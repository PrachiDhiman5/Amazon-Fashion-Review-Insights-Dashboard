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https://d.docs.live.net/E152DBB0A33772AA/Documents/"/>
    </mc:Choice>
  </mc:AlternateContent>
  <xr:revisionPtr revIDLastSave="10" documentId="14_{8B54536D-8828-4D00-A730-24D7DD0F6929}" xr6:coauthVersionLast="47" xr6:coauthVersionMax="47" xr10:uidLastSave="{92005EB0-EE4F-4A24-8786-2780F6A8E434}"/>
  <bookViews>
    <workbookView xWindow="-120" yWindow="-120" windowWidth="29040" windowHeight="15720" activeTab="2" xr2:uid="{A7D68083-58DE-4AA5-84FA-7FC0D2436A2D}"/>
  </bookViews>
  <sheets>
    <sheet name="CleanedData" sheetId="3" r:id="rId1"/>
    <sheet name="Pivots" sheetId="4" r:id="rId2"/>
    <sheet name="Dashboard" sheetId="5" r:id="rId3"/>
  </sheets>
  <definedNames>
    <definedName name="ExternalData_1" localSheetId="0" hidden="1">CleanedData!$A$1:$P$3177</definedName>
    <definedName name="NativeTimeline_reviewDate">#N/A</definedName>
    <definedName name="Slicer_Category">#N/A</definedName>
    <definedName name="Slicer_ReviewYear">#N/A</definedName>
    <definedName name="Slicer_Sentiment">#N/A</definedName>
    <definedName name="Slicer_verifie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6" i="4" l="1"/>
  <c r="T6" i="4"/>
  <c r="V2" i="4"/>
  <c r="T2" i="4"/>
  <c r="S3" i="3"/>
  <c r="S2"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1519" i="3"/>
  <c r="S1520" i="3"/>
  <c r="S1521" i="3"/>
  <c r="S1522" i="3"/>
  <c r="S1523" i="3"/>
  <c r="S1524" i="3"/>
  <c r="S1525" i="3"/>
  <c r="S1526" i="3"/>
  <c r="S1527" i="3"/>
  <c r="S1528" i="3"/>
  <c r="S1529" i="3"/>
  <c r="S1530" i="3"/>
  <c r="S1531" i="3"/>
  <c r="S1532" i="3"/>
  <c r="S1533" i="3"/>
  <c r="S1534" i="3"/>
  <c r="S1535" i="3"/>
  <c r="S1536" i="3"/>
  <c r="S1537" i="3"/>
  <c r="S1538" i="3"/>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1704" i="3"/>
  <c r="S1705" i="3"/>
  <c r="S1706" i="3"/>
  <c r="S1707" i="3"/>
  <c r="S1708" i="3"/>
  <c r="S1709" i="3"/>
  <c r="S1710" i="3"/>
  <c r="S1711" i="3"/>
  <c r="S1712" i="3"/>
  <c r="S1713" i="3"/>
  <c r="S1714" i="3"/>
  <c r="S1715" i="3"/>
  <c r="S1716" i="3"/>
  <c r="S1717" i="3"/>
  <c r="S1718" i="3"/>
  <c r="S1719" i="3"/>
  <c r="S1720" i="3"/>
  <c r="S1721" i="3"/>
  <c r="S1722" i="3"/>
  <c r="S1723" i="3"/>
  <c r="S1724" i="3"/>
  <c r="S1725" i="3"/>
  <c r="S1726" i="3"/>
  <c r="S1727" i="3"/>
  <c r="S1728" i="3"/>
  <c r="S1729" i="3"/>
  <c r="S1730" i="3"/>
  <c r="S1731" i="3"/>
  <c r="S1732" i="3"/>
  <c r="S1733" i="3"/>
  <c r="S1734" i="3"/>
  <c r="S1735" i="3"/>
  <c r="S1736" i="3"/>
  <c r="S1737" i="3"/>
  <c r="S1738" i="3"/>
  <c r="S1739" i="3"/>
  <c r="S1740" i="3"/>
  <c r="S1741" i="3"/>
  <c r="S1742" i="3"/>
  <c r="S1743" i="3"/>
  <c r="S1744" i="3"/>
  <c r="S1745" i="3"/>
  <c r="S1746" i="3"/>
  <c r="S1747" i="3"/>
  <c r="S1748" i="3"/>
  <c r="S1749" i="3"/>
  <c r="S1750" i="3"/>
  <c r="S1751" i="3"/>
  <c r="S1752" i="3"/>
  <c r="S1753" i="3"/>
  <c r="S1754" i="3"/>
  <c r="S1755" i="3"/>
  <c r="S1756" i="3"/>
  <c r="S1757" i="3"/>
  <c r="S1758" i="3"/>
  <c r="S1759" i="3"/>
  <c r="S1760" i="3"/>
  <c r="S1761" i="3"/>
  <c r="S1762" i="3"/>
  <c r="S1763" i="3"/>
  <c r="S1764" i="3"/>
  <c r="S1765" i="3"/>
  <c r="S1766" i="3"/>
  <c r="S1767" i="3"/>
  <c r="S1768" i="3"/>
  <c r="S1769" i="3"/>
  <c r="S1770" i="3"/>
  <c r="S1771" i="3"/>
  <c r="S1772" i="3"/>
  <c r="S1773" i="3"/>
  <c r="S1774" i="3"/>
  <c r="S1775" i="3"/>
  <c r="S1776" i="3"/>
  <c r="S1777" i="3"/>
  <c r="S1778" i="3"/>
  <c r="S1779" i="3"/>
  <c r="S1780" i="3"/>
  <c r="S1781" i="3"/>
  <c r="S1782" i="3"/>
  <c r="S1783" i="3"/>
  <c r="S1784" i="3"/>
  <c r="S1785" i="3"/>
  <c r="S1786" i="3"/>
  <c r="S1787" i="3"/>
  <c r="S1788" i="3"/>
  <c r="S1789" i="3"/>
  <c r="S1790" i="3"/>
  <c r="S1791" i="3"/>
  <c r="S1792" i="3"/>
  <c r="S1793" i="3"/>
  <c r="S1794" i="3"/>
  <c r="S1795" i="3"/>
  <c r="S1796" i="3"/>
  <c r="S1797" i="3"/>
  <c r="S1798" i="3"/>
  <c r="S1799" i="3"/>
  <c r="S1800" i="3"/>
  <c r="S1801" i="3"/>
  <c r="S1802" i="3"/>
  <c r="S1803" i="3"/>
  <c r="S1804" i="3"/>
  <c r="S1805" i="3"/>
  <c r="S1806" i="3"/>
  <c r="S1807" i="3"/>
  <c r="S1808" i="3"/>
  <c r="S1809" i="3"/>
  <c r="S1810" i="3"/>
  <c r="S1811" i="3"/>
  <c r="S1812" i="3"/>
  <c r="S1813" i="3"/>
  <c r="S1814" i="3"/>
  <c r="S1815" i="3"/>
  <c r="S1816" i="3"/>
  <c r="S1817" i="3"/>
  <c r="S1818" i="3"/>
  <c r="S1819" i="3"/>
  <c r="S1820" i="3"/>
  <c r="S1821" i="3"/>
  <c r="S1822" i="3"/>
  <c r="S1823" i="3"/>
  <c r="S1824" i="3"/>
  <c r="S1825" i="3"/>
  <c r="S1826" i="3"/>
  <c r="S1827" i="3"/>
  <c r="S1828" i="3"/>
  <c r="S1829" i="3"/>
  <c r="S1830" i="3"/>
  <c r="S1831" i="3"/>
  <c r="S1832" i="3"/>
  <c r="S1833" i="3"/>
  <c r="S1834" i="3"/>
  <c r="S1835" i="3"/>
  <c r="S1836" i="3"/>
  <c r="S1837" i="3"/>
  <c r="S1838" i="3"/>
  <c r="S1839" i="3"/>
  <c r="S1840" i="3"/>
  <c r="S1841" i="3"/>
  <c r="S1842" i="3"/>
  <c r="S1843" i="3"/>
  <c r="S1844" i="3"/>
  <c r="S1845" i="3"/>
  <c r="S1846" i="3"/>
  <c r="S1847" i="3"/>
  <c r="S1848" i="3"/>
  <c r="S1849" i="3"/>
  <c r="S1850" i="3"/>
  <c r="S1851" i="3"/>
  <c r="S1852" i="3"/>
  <c r="S1853" i="3"/>
  <c r="S1854" i="3"/>
  <c r="S1855" i="3"/>
  <c r="S1856" i="3"/>
  <c r="S1857" i="3"/>
  <c r="S1858" i="3"/>
  <c r="S1859" i="3"/>
  <c r="S1860" i="3"/>
  <c r="S1861" i="3"/>
  <c r="S1862" i="3"/>
  <c r="S1863" i="3"/>
  <c r="S1864" i="3"/>
  <c r="S1865" i="3"/>
  <c r="S1866" i="3"/>
  <c r="S1867" i="3"/>
  <c r="S1868" i="3"/>
  <c r="S1869" i="3"/>
  <c r="S1870" i="3"/>
  <c r="S1871" i="3"/>
  <c r="S1872" i="3"/>
  <c r="S1873" i="3"/>
  <c r="S1874" i="3"/>
  <c r="S1875" i="3"/>
  <c r="S1876" i="3"/>
  <c r="S1877" i="3"/>
  <c r="S1878" i="3"/>
  <c r="S1879" i="3"/>
  <c r="S1880" i="3"/>
  <c r="S1881" i="3"/>
  <c r="S1882" i="3"/>
  <c r="S1883" i="3"/>
  <c r="S1884" i="3"/>
  <c r="S1885" i="3"/>
  <c r="S1886" i="3"/>
  <c r="S1887" i="3"/>
  <c r="S1888" i="3"/>
  <c r="S1889" i="3"/>
  <c r="S1890" i="3"/>
  <c r="S1891" i="3"/>
  <c r="S1892" i="3"/>
  <c r="S1893" i="3"/>
  <c r="S1894" i="3"/>
  <c r="S1895" i="3"/>
  <c r="S1896" i="3"/>
  <c r="S1897" i="3"/>
  <c r="S1898" i="3"/>
  <c r="S1899" i="3"/>
  <c r="S1900" i="3"/>
  <c r="S1901" i="3"/>
  <c r="S1902" i="3"/>
  <c r="S1903" i="3"/>
  <c r="S1904" i="3"/>
  <c r="S1905" i="3"/>
  <c r="S1906" i="3"/>
  <c r="S1907" i="3"/>
  <c r="S1908" i="3"/>
  <c r="S1909" i="3"/>
  <c r="S1910" i="3"/>
  <c r="S1911" i="3"/>
  <c r="S1912" i="3"/>
  <c r="S1913" i="3"/>
  <c r="S1914" i="3"/>
  <c r="S1915" i="3"/>
  <c r="S1916" i="3"/>
  <c r="S1917" i="3"/>
  <c r="S1918" i="3"/>
  <c r="S1919" i="3"/>
  <c r="S1920" i="3"/>
  <c r="S1921" i="3"/>
  <c r="S1922" i="3"/>
  <c r="S1923" i="3"/>
  <c r="S1924" i="3"/>
  <c r="S1925" i="3"/>
  <c r="S1926" i="3"/>
  <c r="S1927" i="3"/>
  <c r="S1928" i="3"/>
  <c r="S1929" i="3"/>
  <c r="S1930" i="3"/>
  <c r="S1931" i="3"/>
  <c r="S1932" i="3"/>
  <c r="S1933" i="3"/>
  <c r="S1934" i="3"/>
  <c r="S1935" i="3"/>
  <c r="S1936" i="3"/>
  <c r="S1937" i="3"/>
  <c r="S1938" i="3"/>
  <c r="S1939" i="3"/>
  <c r="S1940" i="3"/>
  <c r="S1941" i="3"/>
  <c r="S1942" i="3"/>
  <c r="S1943" i="3"/>
  <c r="S1944" i="3"/>
  <c r="S1945" i="3"/>
  <c r="S1946" i="3"/>
  <c r="S1947" i="3"/>
  <c r="S1948" i="3"/>
  <c r="S1949" i="3"/>
  <c r="S1950" i="3"/>
  <c r="S1951" i="3"/>
  <c r="S1952" i="3"/>
  <c r="S1953" i="3"/>
  <c r="S1954" i="3"/>
  <c r="S1955" i="3"/>
  <c r="S1956" i="3"/>
  <c r="S1957" i="3"/>
  <c r="S1958" i="3"/>
  <c r="S1959" i="3"/>
  <c r="S1960" i="3"/>
  <c r="S1961" i="3"/>
  <c r="S1962" i="3"/>
  <c r="S1963" i="3"/>
  <c r="S1964" i="3"/>
  <c r="S1965" i="3"/>
  <c r="S1966" i="3"/>
  <c r="S1967" i="3"/>
  <c r="S1968" i="3"/>
  <c r="S1969" i="3"/>
  <c r="S1970" i="3"/>
  <c r="S1971" i="3"/>
  <c r="S1972" i="3"/>
  <c r="S1973" i="3"/>
  <c r="S1974" i="3"/>
  <c r="S1975" i="3"/>
  <c r="S1976" i="3"/>
  <c r="S1977" i="3"/>
  <c r="S1978" i="3"/>
  <c r="S1979" i="3"/>
  <c r="S1980" i="3"/>
  <c r="S1981" i="3"/>
  <c r="S1982" i="3"/>
  <c r="S1983" i="3"/>
  <c r="S1984" i="3"/>
  <c r="S1985" i="3"/>
  <c r="S1986" i="3"/>
  <c r="S1987" i="3"/>
  <c r="S1988" i="3"/>
  <c r="S1989" i="3"/>
  <c r="S1990" i="3"/>
  <c r="S1991" i="3"/>
  <c r="S1992" i="3"/>
  <c r="S1993" i="3"/>
  <c r="S1994" i="3"/>
  <c r="S1995" i="3"/>
  <c r="S1996" i="3"/>
  <c r="S1997" i="3"/>
  <c r="S1998" i="3"/>
  <c r="S1999" i="3"/>
  <c r="S2000" i="3"/>
  <c r="S2001" i="3"/>
  <c r="S2002" i="3"/>
  <c r="S2003" i="3"/>
  <c r="S2004" i="3"/>
  <c r="S2005" i="3"/>
  <c r="S2006" i="3"/>
  <c r="S2007" i="3"/>
  <c r="S2008" i="3"/>
  <c r="S2009" i="3"/>
  <c r="S2010" i="3"/>
  <c r="S2011" i="3"/>
  <c r="S2012" i="3"/>
  <c r="S2013" i="3"/>
  <c r="S2014" i="3"/>
  <c r="S2015" i="3"/>
  <c r="S2016" i="3"/>
  <c r="S2017" i="3"/>
  <c r="S2018" i="3"/>
  <c r="S2019" i="3"/>
  <c r="S2020" i="3"/>
  <c r="S2021" i="3"/>
  <c r="S2022" i="3"/>
  <c r="S2023" i="3"/>
  <c r="S2024" i="3"/>
  <c r="S2025" i="3"/>
  <c r="S2026" i="3"/>
  <c r="S2027" i="3"/>
  <c r="S2028" i="3"/>
  <c r="S2029" i="3"/>
  <c r="S2030" i="3"/>
  <c r="S2031" i="3"/>
  <c r="S2032" i="3"/>
  <c r="S2033" i="3"/>
  <c r="S2034" i="3"/>
  <c r="S2035" i="3"/>
  <c r="S2036" i="3"/>
  <c r="S2037" i="3"/>
  <c r="S2038" i="3"/>
  <c r="S2039" i="3"/>
  <c r="S2040" i="3"/>
  <c r="S2041" i="3"/>
  <c r="S2042" i="3"/>
  <c r="S2043" i="3"/>
  <c r="S2044" i="3"/>
  <c r="S2045" i="3"/>
  <c r="S2046" i="3"/>
  <c r="S2047" i="3"/>
  <c r="S2048" i="3"/>
  <c r="S2049" i="3"/>
  <c r="S2050" i="3"/>
  <c r="S2051" i="3"/>
  <c r="S2052" i="3"/>
  <c r="S2053" i="3"/>
  <c r="S2054" i="3"/>
  <c r="S2055" i="3"/>
  <c r="S2056" i="3"/>
  <c r="S2057" i="3"/>
  <c r="S2058" i="3"/>
  <c r="S2059" i="3"/>
  <c r="S2060" i="3"/>
  <c r="S2061" i="3"/>
  <c r="S2062" i="3"/>
  <c r="S2063" i="3"/>
  <c r="S2064" i="3"/>
  <c r="S2065" i="3"/>
  <c r="S2066" i="3"/>
  <c r="S2067" i="3"/>
  <c r="S2068" i="3"/>
  <c r="S2069" i="3"/>
  <c r="S2070" i="3"/>
  <c r="S2071" i="3"/>
  <c r="S2072" i="3"/>
  <c r="S2073" i="3"/>
  <c r="S2074" i="3"/>
  <c r="S2075" i="3"/>
  <c r="S2076" i="3"/>
  <c r="S2077" i="3"/>
  <c r="S2078" i="3"/>
  <c r="S2079" i="3"/>
  <c r="S2080" i="3"/>
  <c r="S2081" i="3"/>
  <c r="S2082" i="3"/>
  <c r="S2083" i="3"/>
  <c r="S2084" i="3"/>
  <c r="S2085" i="3"/>
  <c r="S2086" i="3"/>
  <c r="S2087" i="3"/>
  <c r="S2088" i="3"/>
  <c r="S2089" i="3"/>
  <c r="S2090" i="3"/>
  <c r="S2091" i="3"/>
  <c r="S2092" i="3"/>
  <c r="S2093" i="3"/>
  <c r="S2094" i="3"/>
  <c r="S2095" i="3"/>
  <c r="S2096" i="3"/>
  <c r="S2097" i="3"/>
  <c r="S2098" i="3"/>
  <c r="S2099" i="3"/>
  <c r="S2100" i="3"/>
  <c r="S2101" i="3"/>
  <c r="S2102" i="3"/>
  <c r="S2103" i="3"/>
  <c r="S2104" i="3"/>
  <c r="S2105" i="3"/>
  <c r="S2106" i="3"/>
  <c r="S2107" i="3"/>
  <c r="S2108" i="3"/>
  <c r="S2109" i="3"/>
  <c r="S2110" i="3"/>
  <c r="S2111" i="3"/>
  <c r="S2112" i="3"/>
  <c r="S2113" i="3"/>
  <c r="S2114" i="3"/>
  <c r="S2115" i="3"/>
  <c r="S2116" i="3"/>
  <c r="S2117" i="3"/>
  <c r="S2118" i="3"/>
  <c r="S2119" i="3"/>
  <c r="S2120" i="3"/>
  <c r="S2121" i="3"/>
  <c r="S2122" i="3"/>
  <c r="S2123" i="3"/>
  <c r="S2124" i="3"/>
  <c r="S2125" i="3"/>
  <c r="S2126" i="3"/>
  <c r="S2127" i="3"/>
  <c r="S2128" i="3"/>
  <c r="S2129" i="3"/>
  <c r="S2130" i="3"/>
  <c r="S2131" i="3"/>
  <c r="S2132" i="3"/>
  <c r="S2133" i="3"/>
  <c r="S2134" i="3"/>
  <c r="S2135" i="3"/>
  <c r="S2136" i="3"/>
  <c r="S2137" i="3"/>
  <c r="S2138" i="3"/>
  <c r="S2139" i="3"/>
  <c r="S2140" i="3"/>
  <c r="S2141" i="3"/>
  <c r="S2142" i="3"/>
  <c r="S2143" i="3"/>
  <c r="S2144" i="3"/>
  <c r="S2145" i="3"/>
  <c r="S2146" i="3"/>
  <c r="S2147" i="3"/>
  <c r="S2148" i="3"/>
  <c r="S2149" i="3"/>
  <c r="S2150" i="3"/>
  <c r="S2151" i="3"/>
  <c r="S2152" i="3"/>
  <c r="S2153" i="3"/>
  <c r="S2154" i="3"/>
  <c r="S2155" i="3"/>
  <c r="S2156" i="3"/>
  <c r="S2157" i="3"/>
  <c r="S2158" i="3"/>
  <c r="S2159" i="3"/>
  <c r="S2160" i="3"/>
  <c r="S2161" i="3"/>
  <c r="S2162" i="3"/>
  <c r="S2163" i="3"/>
  <c r="S2164" i="3"/>
  <c r="S2165" i="3"/>
  <c r="S2166" i="3"/>
  <c r="S2167" i="3"/>
  <c r="S2168" i="3"/>
  <c r="S2169" i="3"/>
  <c r="S2170" i="3"/>
  <c r="S2171" i="3"/>
  <c r="S2172" i="3"/>
  <c r="S2173" i="3"/>
  <c r="S2174" i="3"/>
  <c r="S2175" i="3"/>
  <c r="S2176" i="3"/>
  <c r="S2177" i="3"/>
  <c r="S2178" i="3"/>
  <c r="S2179" i="3"/>
  <c r="S2180" i="3"/>
  <c r="S2181" i="3"/>
  <c r="S2182" i="3"/>
  <c r="S2183" i="3"/>
  <c r="S2184" i="3"/>
  <c r="S2185" i="3"/>
  <c r="S2186" i="3"/>
  <c r="S2187" i="3"/>
  <c r="S2188" i="3"/>
  <c r="S2189" i="3"/>
  <c r="S2190" i="3"/>
  <c r="S2191" i="3"/>
  <c r="S2192" i="3"/>
  <c r="S2193" i="3"/>
  <c r="S2194" i="3"/>
  <c r="S2195" i="3"/>
  <c r="S2196" i="3"/>
  <c r="S2197" i="3"/>
  <c r="S2198" i="3"/>
  <c r="S2199" i="3"/>
  <c r="S2200" i="3"/>
  <c r="S2201" i="3"/>
  <c r="S2202" i="3"/>
  <c r="S2203" i="3"/>
  <c r="S2204" i="3"/>
  <c r="S2205" i="3"/>
  <c r="S2206" i="3"/>
  <c r="S2207" i="3"/>
  <c r="S2208" i="3"/>
  <c r="S2209" i="3"/>
  <c r="S2210" i="3"/>
  <c r="S2211" i="3"/>
  <c r="S2212" i="3"/>
  <c r="S2213" i="3"/>
  <c r="S2214" i="3"/>
  <c r="S2215" i="3"/>
  <c r="S2216" i="3"/>
  <c r="S2217" i="3"/>
  <c r="S2218" i="3"/>
  <c r="S2219" i="3"/>
  <c r="S2220" i="3"/>
  <c r="S2221" i="3"/>
  <c r="S2222" i="3"/>
  <c r="S2223" i="3"/>
  <c r="S2224" i="3"/>
  <c r="S2225" i="3"/>
  <c r="S2226" i="3"/>
  <c r="S2227" i="3"/>
  <c r="S2228" i="3"/>
  <c r="S2229" i="3"/>
  <c r="S2230" i="3"/>
  <c r="S2231" i="3"/>
  <c r="S2232" i="3"/>
  <c r="S2233" i="3"/>
  <c r="S2234" i="3"/>
  <c r="S2235" i="3"/>
  <c r="S2236" i="3"/>
  <c r="S2237" i="3"/>
  <c r="S2238" i="3"/>
  <c r="S2239" i="3"/>
  <c r="S2240" i="3"/>
  <c r="S2241" i="3"/>
  <c r="S2242" i="3"/>
  <c r="S2243" i="3"/>
  <c r="S2244" i="3"/>
  <c r="S2245" i="3"/>
  <c r="S2246" i="3"/>
  <c r="S2247" i="3"/>
  <c r="S2248" i="3"/>
  <c r="S2249" i="3"/>
  <c r="S2250" i="3"/>
  <c r="S2251" i="3"/>
  <c r="S2252" i="3"/>
  <c r="S2253" i="3"/>
  <c r="S2254" i="3"/>
  <c r="S2255" i="3"/>
  <c r="S2256" i="3"/>
  <c r="S2257" i="3"/>
  <c r="S2258" i="3"/>
  <c r="S2259" i="3"/>
  <c r="S2260" i="3"/>
  <c r="S2261" i="3"/>
  <c r="S2262" i="3"/>
  <c r="S2263" i="3"/>
  <c r="S2264" i="3"/>
  <c r="S2265" i="3"/>
  <c r="S2266" i="3"/>
  <c r="S2267" i="3"/>
  <c r="S2268" i="3"/>
  <c r="S2269" i="3"/>
  <c r="S2270" i="3"/>
  <c r="S2271" i="3"/>
  <c r="S2272" i="3"/>
  <c r="S2273" i="3"/>
  <c r="S2274" i="3"/>
  <c r="S2275" i="3"/>
  <c r="S2276" i="3"/>
  <c r="S2277" i="3"/>
  <c r="S2278" i="3"/>
  <c r="S2279" i="3"/>
  <c r="S2280" i="3"/>
  <c r="S2281" i="3"/>
  <c r="S2282" i="3"/>
  <c r="S2283" i="3"/>
  <c r="S2284" i="3"/>
  <c r="S2285" i="3"/>
  <c r="S2286" i="3"/>
  <c r="S2287" i="3"/>
  <c r="S2288" i="3"/>
  <c r="S2289" i="3"/>
  <c r="S2290" i="3"/>
  <c r="S2291" i="3"/>
  <c r="S2292" i="3"/>
  <c r="S2293" i="3"/>
  <c r="S2294" i="3"/>
  <c r="S2295" i="3"/>
  <c r="S2296" i="3"/>
  <c r="S2297" i="3"/>
  <c r="S2298" i="3"/>
  <c r="S2299" i="3"/>
  <c r="S2300" i="3"/>
  <c r="S2301" i="3"/>
  <c r="S2302" i="3"/>
  <c r="S2303" i="3"/>
  <c r="S2304" i="3"/>
  <c r="S2305" i="3"/>
  <c r="S2306" i="3"/>
  <c r="S2307" i="3"/>
  <c r="S2308" i="3"/>
  <c r="S2309" i="3"/>
  <c r="S2310" i="3"/>
  <c r="S2311" i="3"/>
  <c r="S2312" i="3"/>
  <c r="S2313" i="3"/>
  <c r="S2314" i="3"/>
  <c r="S2315" i="3"/>
  <c r="S2316" i="3"/>
  <c r="S2317" i="3"/>
  <c r="S2318" i="3"/>
  <c r="S2319" i="3"/>
  <c r="S2320" i="3"/>
  <c r="S2321" i="3"/>
  <c r="S2322" i="3"/>
  <c r="S2323" i="3"/>
  <c r="S2324" i="3"/>
  <c r="S2325" i="3"/>
  <c r="S2326" i="3"/>
  <c r="S2327" i="3"/>
  <c r="S2328" i="3"/>
  <c r="S2329" i="3"/>
  <c r="S2330" i="3"/>
  <c r="S2331" i="3"/>
  <c r="S2332" i="3"/>
  <c r="S2333" i="3"/>
  <c r="S2334" i="3"/>
  <c r="S2335" i="3"/>
  <c r="S2336" i="3"/>
  <c r="S2337" i="3"/>
  <c r="S2338" i="3"/>
  <c r="S2339" i="3"/>
  <c r="S2340" i="3"/>
  <c r="S2341" i="3"/>
  <c r="S2342" i="3"/>
  <c r="S2343" i="3"/>
  <c r="S2344" i="3"/>
  <c r="S2345" i="3"/>
  <c r="S2346" i="3"/>
  <c r="S2347" i="3"/>
  <c r="S2348" i="3"/>
  <c r="S2349" i="3"/>
  <c r="S2350" i="3"/>
  <c r="S2351" i="3"/>
  <c r="S2352" i="3"/>
  <c r="S2353" i="3"/>
  <c r="S2354" i="3"/>
  <c r="S2355" i="3"/>
  <c r="S2356" i="3"/>
  <c r="S2357" i="3"/>
  <c r="S2358" i="3"/>
  <c r="S2359" i="3"/>
  <c r="S2360" i="3"/>
  <c r="S2361" i="3"/>
  <c r="S2362" i="3"/>
  <c r="S2363" i="3"/>
  <c r="S2364" i="3"/>
  <c r="S2365" i="3"/>
  <c r="S2366" i="3"/>
  <c r="S2367" i="3"/>
  <c r="S2368" i="3"/>
  <c r="S2369" i="3"/>
  <c r="S2370" i="3"/>
  <c r="S2371" i="3"/>
  <c r="S2372" i="3"/>
  <c r="S2373" i="3"/>
  <c r="S2374" i="3"/>
  <c r="S2375" i="3"/>
  <c r="S2376" i="3"/>
  <c r="S2377" i="3"/>
  <c r="S2378" i="3"/>
  <c r="S2379" i="3"/>
  <c r="S2380" i="3"/>
  <c r="S2381" i="3"/>
  <c r="S2382" i="3"/>
  <c r="S2383" i="3"/>
  <c r="S2384" i="3"/>
  <c r="S2385" i="3"/>
  <c r="S2386" i="3"/>
  <c r="S2387" i="3"/>
  <c r="S2388" i="3"/>
  <c r="S2389" i="3"/>
  <c r="S2390" i="3"/>
  <c r="S2391" i="3"/>
  <c r="S2392" i="3"/>
  <c r="S2393" i="3"/>
  <c r="S2394" i="3"/>
  <c r="S2395" i="3"/>
  <c r="S2396" i="3"/>
  <c r="S2397" i="3"/>
  <c r="S2398" i="3"/>
  <c r="S2399" i="3"/>
  <c r="S2400" i="3"/>
  <c r="S2401" i="3"/>
  <c r="S2402" i="3"/>
  <c r="S2403" i="3"/>
  <c r="S2404" i="3"/>
  <c r="S2405" i="3"/>
  <c r="S2406" i="3"/>
  <c r="S2407" i="3"/>
  <c r="S2408" i="3"/>
  <c r="S2409" i="3"/>
  <c r="S2410" i="3"/>
  <c r="S2411" i="3"/>
  <c r="S2412" i="3"/>
  <c r="S2413" i="3"/>
  <c r="S2414" i="3"/>
  <c r="S2415" i="3"/>
  <c r="S2416" i="3"/>
  <c r="S2417" i="3"/>
  <c r="S2418" i="3"/>
  <c r="S2419" i="3"/>
  <c r="S2420" i="3"/>
  <c r="S2421" i="3"/>
  <c r="S2422" i="3"/>
  <c r="S2423" i="3"/>
  <c r="S2424" i="3"/>
  <c r="S2425" i="3"/>
  <c r="S2426" i="3"/>
  <c r="S2427" i="3"/>
  <c r="S2428" i="3"/>
  <c r="S2429" i="3"/>
  <c r="S2430" i="3"/>
  <c r="S2431" i="3"/>
  <c r="S2432" i="3"/>
  <c r="S2433" i="3"/>
  <c r="S2434" i="3"/>
  <c r="S2435" i="3"/>
  <c r="S2436" i="3"/>
  <c r="S2437" i="3"/>
  <c r="S2438" i="3"/>
  <c r="S2439" i="3"/>
  <c r="S2440" i="3"/>
  <c r="S2441" i="3"/>
  <c r="S2442" i="3"/>
  <c r="S2443" i="3"/>
  <c r="S2444" i="3"/>
  <c r="S2445" i="3"/>
  <c r="S2446" i="3"/>
  <c r="S2447" i="3"/>
  <c r="S2448" i="3"/>
  <c r="S2449" i="3"/>
  <c r="S2450" i="3"/>
  <c r="S2451" i="3"/>
  <c r="S2452" i="3"/>
  <c r="S2453" i="3"/>
  <c r="S2454" i="3"/>
  <c r="S2455" i="3"/>
  <c r="S2456" i="3"/>
  <c r="S2457" i="3"/>
  <c r="S2458" i="3"/>
  <c r="S2459" i="3"/>
  <c r="S2460" i="3"/>
  <c r="S2461" i="3"/>
  <c r="S2462" i="3"/>
  <c r="S2463" i="3"/>
  <c r="S2464" i="3"/>
  <c r="S2465" i="3"/>
  <c r="S2466" i="3"/>
  <c r="S2467" i="3"/>
  <c r="S2468" i="3"/>
  <c r="S2469" i="3"/>
  <c r="S2470" i="3"/>
  <c r="S2471" i="3"/>
  <c r="S2472" i="3"/>
  <c r="S2473" i="3"/>
  <c r="S2474" i="3"/>
  <c r="S2475" i="3"/>
  <c r="S2476" i="3"/>
  <c r="S2477" i="3"/>
  <c r="S2478" i="3"/>
  <c r="S2479" i="3"/>
  <c r="S2480" i="3"/>
  <c r="S2481" i="3"/>
  <c r="S2482" i="3"/>
  <c r="S2483" i="3"/>
  <c r="S2484" i="3"/>
  <c r="S2485" i="3"/>
  <c r="S2486" i="3"/>
  <c r="S2487" i="3"/>
  <c r="S2488" i="3"/>
  <c r="S2489" i="3"/>
  <c r="S2490" i="3"/>
  <c r="S2491" i="3"/>
  <c r="S2492" i="3"/>
  <c r="S2493" i="3"/>
  <c r="S2494" i="3"/>
  <c r="S2495" i="3"/>
  <c r="S2496" i="3"/>
  <c r="S2497" i="3"/>
  <c r="S2498" i="3"/>
  <c r="S2499" i="3"/>
  <c r="S2500" i="3"/>
  <c r="S2501" i="3"/>
  <c r="S2502" i="3"/>
  <c r="S2503" i="3"/>
  <c r="S2504" i="3"/>
  <c r="S2505" i="3"/>
  <c r="S2506" i="3"/>
  <c r="S2507" i="3"/>
  <c r="S2508" i="3"/>
  <c r="S2509" i="3"/>
  <c r="S2510" i="3"/>
  <c r="S2511" i="3"/>
  <c r="S2512" i="3"/>
  <c r="S2513" i="3"/>
  <c r="S2514" i="3"/>
  <c r="S2515" i="3"/>
  <c r="S2516" i="3"/>
  <c r="S2517" i="3"/>
  <c r="S2518" i="3"/>
  <c r="S2519" i="3"/>
  <c r="S2520" i="3"/>
  <c r="S2521" i="3"/>
  <c r="S2522" i="3"/>
  <c r="S2523" i="3"/>
  <c r="S2524" i="3"/>
  <c r="S2525" i="3"/>
  <c r="S2526" i="3"/>
  <c r="S2527" i="3"/>
  <c r="S2528" i="3"/>
  <c r="S2529" i="3"/>
  <c r="S2530" i="3"/>
  <c r="S2531" i="3"/>
  <c r="S2532" i="3"/>
  <c r="S2533" i="3"/>
  <c r="S2534" i="3"/>
  <c r="S2535" i="3"/>
  <c r="S2536" i="3"/>
  <c r="S2537" i="3"/>
  <c r="S2538" i="3"/>
  <c r="S2539" i="3"/>
  <c r="S2540" i="3"/>
  <c r="S2541" i="3"/>
  <c r="S2542" i="3"/>
  <c r="S2543" i="3"/>
  <c r="S2544" i="3"/>
  <c r="S2545" i="3"/>
  <c r="S2546" i="3"/>
  <c r="S2547" i="3"/>
  <c r="S2548" i="3"/>
  <c r="S2549" i="3"/>
  <c r="S2550" i="3"/>
  <c r="S2551" i="3"/>
  <c r="S2552" i="3"/>
  <c r="S2553" i="3"/>
  <c r="S2554" i="3"/>
  <c r="S2555" i="3"/>
  <c r="S2556" i="3"/>
  <c r="S2557" i="3"/>
  <c r="S2558" i="3"/>
  <c r="S2559" i="3"/>
  <c r="S2560" i="3"/>
  <c r="S2561" i="3"/>
  <c r="S2562" i="3"/>
  <c r="S2563" i="3"/>
  <c r="S2564" i="3"/>
  <c r="S2565" i="3"/>
  <c r="S2566" i="3"/>
  <c r="S2567" i="3"/>
  <c r="S2568" i="3"/>
  <c r="S2569" i="3"/>
  <c r="S2570" i="3"/>
  <c r="S2571" i="3"/>
  <c r="S2572" i="3"/>
  <c r="S2573" i="3"/>
  <c r="S2574" i="3"/>
  <c r="S2575" i="3"/>
  <c r="S2576" i="3"/>
  <c r="S2577" i="3"/>
  <c r="S2578" i="3"/>
  <c r="S2579" i="3"/>
  <c r="S2580" i="3"/>
  <c r="S2581" i="3"/>
  <c r="S2582" i="3"/>
  <c r="S2583" i="3"/>
  <c r="S2584" i="3"/>
  <c r="S2585" i="3"/>
  <c r="S2586" i="3"/>
  <c r="S2587" i="3"/>
  <c r="S2588" i="3"/>
  <c r="S2589" i="3"/>
  <c r="S2590" i="3"/>
  <c r="S2591" i="3"/>
  <c r="S2592" i="3"/>
  <c r="S2593" i="3"/>
  <c r="S2594" i="3"/>
  <c r="S2595" i="3"/>
  <c r="S2596" i="3"/>
  <c r="S2597" i="3"/>
  <c r="S2598" i="3"/>
  <c r="S2599" i="3"/>
  <c r="S2600" i="3"/>
  <c r="S2601" i="3"/>
  <c r="S2602" i="3"/>
  <c r="S2603" i="3"/>
  <c r="S2604" i="3"/>
  <c r="S2605" i="3"/>
  <c r="S2606" i="3"/>
  <c r="S2607" i="3"/>
  <c r="S2608" i="3"/>
  <c r="S2609" i="3"/>
  <c r="S2610" i="3"/>
  <c r="S2611" i="3"/>
  <c r="S2612" i="3"/>
  <c r="S2613" i="3"/>
  <c r="S2614" i="3"/>
  <c r="S2615" i="3"/>
  <c r="S2616" i="3"/>
  <c r="S2617" i="3"/>
  <c r="S2618" i="3"/>
  <c r="S2619" i="3"/>
  <c r="S2620" i="3"/>
  <c r="S2621" i="3"/>
  <c r="S2622" i="3"/>
  <c r="S2623" i="3"/>
  <c r="S2624" i="3"/>
  <c r="S2625" i="3"/>
  <c r="S2626" i="3"/>
  <c r="S2627" i="3"/>
  <c r="S2628" i="3"/>
  <c r="S2629" i="3"/>
  <c r="S2630" i="3"/>
  <c r="S2631" i="3"/>
  <c r="S2632" i="3"/>
  <c r="S2633" i="3"/>
  <c r="S2634" i="3"/>
  <c r="S2635" i="3"/>
  <c r="S2636" i="3"/>
  <c r="S2637" i="3"/>
  <c r="S2638" i="3"/>
  <c r="S2639" i="3"/>
  <c r="S2640" i="3"/>
  <c r="S2641" i="3"/>
  <c r="S2642" i="3"/>
  <c r="S2643" i="3"/>
  <c r="S2644" i="3"/>
  <c r="S2645" i="3"/>
  <c r="S2646" i="3"/>
  <c r="S2647" i="3"/>
  <c r="S2648" i="3"/>
  <c r="S2649" i="3"/>
  <c r="S2650" i="3"/>
  <c r="S2651" i="3"/>
  <c r="S2652" i="3"/>
  <c r="S2653" i="3"/>
  <c r="S2654" i="3"/>
  <c r="S2655" i="3"/>
  <c r="S2656" i="3"/>
  <c r="S2657" i="3"/>
  <c r="S2658" i="3"/>
  <c r="S2659" i="3"/>
  <c r="S2660" i="3"/>
  <c r="S2661" i="3"/>
  <c r="S2662" i="3"/>
  <c r="S2663" i="3"/>
  <c r="S2664" i="3"/>
  <c r="S2665" i="3"/>
  <c r="S2666" i="3"/>
  <c r="S2667" i="3"/>
  <c r="S2668" i="3"/>
  <c r="S2669" i="3"/>
  <c r="S2670" i="3"/>
  <c r="S2671" i="3"/>
  <c r="S2672" i="3"/>
  <c r="S2673" i="3"/>
  <c r="S2674" i="3"/>
  <c r="S2675" i="3"/>
  <c r="S2676" i="3"/>
  <c r="S2677" i="3"/>
  <c r="S2678" i="3"/>
  <c r="S2679" i="3"/>
  <c r="S2680" i="3"/>
  <c r="S2681" i="3"/>
  <c r="S2682" i="3"/>
  <c r="S2683" i="3"/>
  <c r="S2684" i="3"/>
  <c r="S2685" i="3"/>
  <c r="S2686" i="3"/>
  <c r="S2687" i="3"/>
  <c r="S2688" i="3"/>
  <c r="S2689" i="3"/>
  <c r="S2690" i="3"/>
  <c r="S2691" i="3"/>
  <c r="S2692" i="3"/>
  <c r="S2693" i="3"/>
  <c r="S2694" i="3"/>
  <c r="S2695" i="3"/>
  <c r="S2696" i="3"/>
  <c r="S2697" i="3"/>
  <c r="S2698" i="3"/>
  <c r="S2699" i="3"/>
  <c r="S2700" i="3"/>
  <c r="S2701" i="3"/>
  <c r="S2702" i="3"/>
  <c r="S2703" i="3"/>
  <c r="S2704" i="3"/>
  <c r="S2705" i="3"/>
  <c r="S2706" i="3"/>
  <c r="S2707" i="3"/>
  <c r="S2708" i="3"/>
  <c r="S2709" i="3"/>
  <c r="S2710" i="3"/>
  <c r="S2711" i="3"/>
  <c r="S2712" i="3"/>
  <c r="S2713" i="3"/>
  <c r="S2714" i="3"/>
  <c r="S2715" i="3"/>
  <c r="S2716" i="3"/>
  <c r="S2717" i="3"/>
  <c r="S2718" i="3"/>
  <c r="S2719" i="3"/>
  <c r="S2720" i="3"/>
  <c r="S2721" i="3"/>
  <c r="S2722" i="3"/>
  <c r="S2723" i="3"/>
  <c r="S2724" i="3"/>
  <c r="S2725" i="3"/>
  <c r="S2726" i="3"/>
  <c r="S2727" i="3"/>
  <c r="S2728" i="3"/>
  <c r="S2729" i="3"/>
  <c r="S2730" i="3"/>
  <c r="S2731" i="3"/>
  <c r="S2732" i="3"/>
  <c r="S2733" i="3"/>
  <c r="S2734" i="3"/>
  <c r="S2735" i="3"/>
  <c r="S2736" i="3"/>
  <c r="S2737" i="3"/>
  <c r="S2738" i="3"/>
  <c r="S2739" i="3"/>
  <c r="S2740" i="3"/>
  <c r="S2741" i="3"/>
  <c r="S2742" i="3"/>
  <c r="S2743" i="3"/>
  <c r="S2744" i="3"/>
  <c r="S2745" i="3"/>
  <c r="S2746" i="3"/>
  <c r="S2747" i="3"/>
  <c r="S2748" i="3"/>
  <c r="S2749" i="3"/>
  <c r="S2750" i="3"/>
  <c r="S2751" i="3"/>
  <c r="S2752" i="3"/>
  <c r="S2753" i="3"/>
  <c r="S2754" i="3"/>
  <c r="S2755" i="3"/>
  <c r="S2756" i="3"/>
  <c r="S2757" i="3"/>
  <c r="S2758" i="3"/>
  <c r="S2759" i="3"/>
  <c r="S2760" i="3"/>
  <c r="S2761" i="3"/>
  <c r="S2762" i="3"/>
  <c r="S2763" i="3"/>
  <c r="S2764" i="3"/>
  <c r="S2765" i="3"/>
  <c r="S2766" i="3"/>
  <c r="S2767" i="3"/>
  <c r="S2768" i="3"/>
  <c r="S2769" i="3"/>
  <c r="S2770" i="3"/>
  <c r="S2771" i="3"/>
  <c r="S2772" i="3"/>
  <c r="S2773" i="3"/>
  <c r="S2774" i="3"/>
  <c r="S2775" i="3"/>
  <c r="S2776" i="3"/>
  <c r="S2777" i="3"/>
  <c r="S2778" i="3"/>
  <c r="S2779" i="3"/>
  <c r="S2780" i="3"/>
  <c r="S2781" i="3"/>
  <c r="S2782" i="3"/>
  <c r="S2783" i="3"/>
  <c r="S2784" i="3"/>
  <c r="S2785" i="3"/>
  <c r="S2786" i="3"/>
  <c r="S2787" i="3"/>
  <c r="S2788" i="3"/>
  <c r="S2789" i="3"/>
  <c r="S2790" i="3"/>
  <c r="S2791" i="3"/>
  <c r="S2792" i="3"/>
  <c r="S2793" i="3"/>
  <c r="S2794" i="3"/>
  <c r="S2795" i="3"/>
  <c r="S2796" i="3"/>
  <c r="S2797" i="3"/>
  <c r="S2798" i="3"/>
  <c r="S2799" i="3"/>
  <c r="S2800" i="3"/>
  <c r="S2801" i="3"/>
  <c r="S2802" i="3"/>
  <c r="S2803" i="3"/>
  <c r="S2804" i="3"/>
  <c r="S2805" i="3"/>
  <c r="S2806" i="3"/>
  <c r="S2807" i="3"/>
  <c r="S2808" i="3"/>
  <c r="S2809" i="3"/>
  <c r="S2810" i="3"/>
  <c r="S2811" i="3"/>
  <c r="S2812" i="3"/>
  <c r="S2813" i="3"/>
  <c r="S2814" i="3"/>
  <c r="S2815" i="3"/>
  <c r="S2816" i="3"/>
  <c r="S2817" i="3"/>
  <c r="S2818" i="3"/>
  <c r="S2819" i="3"/>
  <c r="S2820" i="3"/>
  <c r="S2821" i="3"/>
  <c r="S2822" i="3"/>
  <c r="S2823" i="3"/>
  <c r="S2824" i="3"/>
  <c r="S2825" i="3"/>
  <c r="S2826" i="3"/>
  <c r="S2827" i="3"/>
  <c r="S2828" i="3"/>
  <c r="S2829" i="3"/>
  <c r="S2830" i="3"/>
  <c r="S2831" i="3"/>
  <c r="S2832" i="3"/>
  <c r="S2833" i="3"/>
  <c r="S2834" i="3"/>
  <c r="S2835" i="3"/>
  <c r="S2836" i="3"/>
  <c r="S2837" i="3"/>
  <c r="S2838" i="3"/>
  <c r="S2839" i="3"/>
  <c r="S2840" i="3"/>
  <c r="S2841" i="3"/>
  <c r="S2842" i="3"/>
  <c r="S2843" i="3"/>
  <c r="S2844" i="3"/>
  <c r="S2845" i="3"/>
  <c r="S2846" i="3"/>
  <c r="S2847" i="3"/>
  <c r="S2848" i="3"/>
  <c r="S2849" i="3"/>
  <c r="S2850" i="3"/>
  <c r="S2851" i="3"/>
  <c r="S2852" i="3"/>
  <c r="S2853" i="3"/>
  <c r="S2854" i="3"/>
  <c r="S2855" i="3"/>
  <c r="S2856" i="3"/>
  <c r="S2857" i="3"/>
  <c r="S2858" i="3"/>
  <c r="S2859" i="3"/>
  <c r="S2860" i="3"/>
  <c r="S2861" i="3"/>
  <c r="S2862" i="3"/>
  <c r="S2863" i="3"/>
  <c r="S2864" i="3"/>
  <c r="S2865" i="3"/>
  <c r="S2866" i="3"/>
  <c r="S2867" i="3"/>
  <c r="S2868" i="3"/>
  <c r="S2869" i="3"/>
  <c r="S2870" i="3"/>
  <c r="S2871" i="3"/>
  <c r="S2872" i="3"/>
  <c r="S2873" i="3"/>
  <c r="S2874" i="3"/>
  <c r="S2875" i="3"/>
  <c r="S2876" i="3"/>
  <c r="S2877" i="3"/>
  <c r="S2878" i="3"/>
  <c r="S2879" i="3"/>
  <c r="S2880" i="3"/>
  <c r="S2881" i="3"/>
  <c r="S2882" i="3"/>
  <c r="S2883" i="3"/>
  <c r="S2884" i="3"/>
  <c r="S2885" i="3"/>
  <c r="S2886" i="3"/>
  <c r="S2887" i="3"/>
  <c r="S2888" i="3"/>
  <c r="S2889" i="3"/>
  <c r="S2890" i="3"/>
  <c r="S2891" i="3"/>
  <c r="S2892" i="3"/>
  <c r="S2893" i="3"/>
  <c r="S2894" i="3"/>
  <c r="S2895" i="3"/>
  <c r="S2896" i="3"/>
  <c r="S2897" i="3"/>
  <c r="S2898" i="3"/>
  <c r="S2899" i="3"/>
  <c r="S2900" i="3"/>
  <c r="S2901" i="3"/>
  <c r="S2902" i="3"/>
  <c r="S2903" i="3"/>
  <c r="S2904" i="3"/>
  <c r="S2905" i="3"/>
  <c r="S2906" i="3"/>
  <c r="S2907" i="3"/>
  <c r="S2908" i="3"/>
  <c r="S2909" i="3"/>
  <c r="S2910" i="3"/>
  <c r="S2911" i="3"/>
  <c r="S2912" i="3"/>
  <c r="S2913" i="3"/>
  <c r="S2914" i="3"/>
  <c r="S2915" i="3"/>
  <c r="S2916" i="3"/>
  <c r="S2917" i="3"/>
  <c r="S2918" i="3"/>
  <c r="S2919" i="3"/>
  <c r="S2920" i="3"/>
  <c r="S2921" i="3"/>
  <c r="S2922" i="3"/>
  <c r="S2923" i="3"/>
  <c r="S2924" i="3"/>
  <c r="S2925" i="3"/>
  <c r="S2926" i="3"/>
  <c r="S2927" i="3"/>
  <c r="S2928" i="3"/>
  <c r="S2929" i="3"/>
  <c r="S2930" i="3"/>
  <c r="S2931" i="3"/>
  <c r="S2932" i="3"/>
  <c r="S2933" i="3"/>
  <c r="S2934" i="3"/>
  <c r="S2935" i="3"/>
  <c r="S2936" i="3"/>
  <c r="S2937" i="3"/>
  <c r="S2938" i="3"/>
  <c r="S2939" i="3"/>
  <c r="S2940" i="3"/>
  <c r="S2941" i="3"/>
  <c r="S2942" i="3"/>
  <c r="S2943" i="3"/>
  <c r="S2944" i="3"/>
  <c r="S2945" i="3"/>
  <c r="S2946" i="3"/>
  <c r="S2947" i="3"/>
  <c r="S2948" i="3"/>
  <c r="S2949" i="3"/>
  <c r="S2950" i="3"/>
  <c r="S2951" i="3"/>
  <c r="S2952" i="3"/>
  <c r="S2953" i="3"/>
  <c r="S2954" i="3"/>
  <c r="S2955" i="3"/>
  <c r="S2956" i="3"/>
  <c r="S2957" i="3"/>
  <c r="S2958" i="3"/>
  <c r="S2959" i="3"/>
  <c r="S2960" i="3"/>
  <c r="S2961" i="3"/>
  <c r="S2962" i="3"/>
  <c r="S2963" i="3"/>
  <c r="S2964" i="3"/>
  <c r="S2965" i="3"/>
  <c r="S2966" i="3"/>
  <c r="S2967" i="3"/>
  <c r="S2968" i="3"/>
  <c r="S2969" i="3"/>
  <c r="S2970" i="3"/>
  <c r="S2971" i="3"/>
  <c r="S2972" i="3"/>
  <c r="S2973" i="3"/>
  <c r="S2974" i="3"/>
  <c r="S2975" i="3"/>
  <c r="S2976" i="3"/>
  <c r="S2977" i="3"/>
  <c r="S2978" i="3"/>
  <c r="S2979" i="3"/>
  <c r="S2980" i="3"/>
  <c r="S2981" i="3"/>
  <c r="S2982" i="3"/>
  <c r="S2983" i="3"/>
  <c r="S2984" i="3"/>
  <c r="S2985" i="3"/>
  <c r="S2986" i="3"/>
  <c r="S2987" i="3"/>
  <c r="S2988" i="3"/>
  <c r="S2989" i="3"/>
  <c r="S2990" i="3"/>
  <c r="S2991" i="3"/>
  <c r="S2992" i="3"/>
  <c r="S2993" i="3"/>
  <c r="S2994" i="3"/>
  <c r="S2995" i="3"/>
  <c r="S2996" i="3"/>
  <c r="S2997" i="3"/>
  <c r="S2998" i="3"/>
  <c r="S2999" i="3"/>
  <c r="S3000" i="3"/>
  <c r="S3001" i="3"/>
  <c r="S3002" i="3"/>
  <c r="S3003" i="3"/>
  <c r="S3004" i="3"/>
  <c r="S3005" i="3"/>
  <c r="S3006" i="3"/>
  <c r="S3007" i="3"/>
  <c r="S3008" i="3"/>
  <c r="S3009" i="3"/>
  <c r="S3010" i="3"/>
  <c r="S3011" i="3"/>
  <c r="S3012" i="3"/>
  <c r="S3013" i="3"/>
  <c r="S3014" i="3"/>
  <c r="S3015" i="3"/>
  <c r="S3016" i="3"/>
  <c r="S3017" i="3"/>
  <c r="S3018" i="3"/>
  <c r="S3019" i="3"/>
  <c r="S3020" i="3"/>
  <c r="S3021" i="3"/>
  <c r="S3022" i="3"/>
  <c r="S3023" i="3"/>
  <c r="S3024" i="3"/>
  <c r="S3025" i="3"/>
  <c r="S3026" i="3"/>
  <c r="S3027" i="3"/>
  <c r="S3028" i="3"/>
  <c r="S3029" i="3"/>
  <c r="S3030" i="3"/>
  <c r="S3031" i="3"/>
  <c r="S3032" i="3"/>
  <c r="S3033" i="3"/>
  <c r="S3034" i="3"/>
  <c r="S3035" i="3"/>
  <c r="S3036" i="3"/>
  <c r="S3037" i="3"/>
  <c r="S3038" i="3"/>
  <c r="S3039" i="3"/>
  <c r="S3040" i="3"/>
  <c r="S3041" i="3"/>
  <c r="S3042" i="3"/>
  <c r="S3043" i="3"/>
  <c r="S3044" i="3"/>
  <c r="S3045" i="3"/>
  <c r="S3046" i="3"/>
  <c r="S3047" i="3"/>
  <c r="S3048" i="3"/>
  <c r="S3049" i="3"/>
  <c r="S3050" i="3"/>
  <c r="S3051" i="3"/>
  <c r="S3052" i="3"/>
  <c r="S3053" i="3"/>
  <c r="S3054" i="3"/>
  <c r="S3055" i="3"/>
  <c r="S3056" i="3"/>
  <c r="S3057" i="3"/>
  <c r="S3058" i="3"/>
  <c r="S3059" i="3"/>
  <c r="S3060" i="3"/>
  <c r="S3061" i="3"/>
  <c r="S3062" i="3"/>
  <c r="S3063" i="3"/>
  <c r="S3064" i="3"/>
  <c r="S3065" i="3"/>
  <c r="S3066" i="3"/>
  <c r="S3067" i="3"/>
  <c r="S3068" i="3"/>
  <c r="S3069" i="3"/>
  <c r="S3070" i="3"/>
  <c r="S3071" i="3"/>
  <c r="S3072" i="3"/>
  <c r="S3073" i="3"/>
  <c r="S3074" i="3"/>
  <c r="S3075" i="3"/>
  <c r="S3076" i="3"/>
  <c r="S3077" i="3"/>
  <c r="S3078" i="3"/>
  <c r="S3079" i="3"/>
  <c r="S3080" i="3"/>
  <c r="S3081" i="3"/>
  <c r="S3082" i="3"/>
  <c r="S3083" i="3"/>
  <c r="S3084" i="3"/>
  <c r="S3085" i="3"/>
  <c r="S3086" i="3"/>
  <c r="S3087" i="3"/>
  <c r="S3088" i="3"/>
  <c r="S3089" i="3"/>
  <c r="S3090" i="3"/>
  <c r="S3091" i="3"/>
  <c r="S3092" i="3"/>
  <c r="S3093" i="3"/>
  <c r="S3094" i="3"/>
  <c r="S3095" i="3"/>
  <c r="S3096" i="3"/>
  <c r="S3097" i="3"/>
  <c r="S3098" i="3"/>
  <c r="S3099" i="3"/>
  <c r="S3100" i="3"/>
  <c r="S3101" i="3"/>
  <c r="S3102" i="3"/>
  <c r="S3103" i="3"/>
  <c r="S3104" i="3"/>
  <c r="S3105" i="3"/>
  <c r="S3106" i="3"/>
  <c r="S3107" i="3"/>
  <c r="S3108" i="3"/>
  <c r="S3109" i="3"/>
  <c r="S3110" i="3"/>
  <c r="S3111" i="3"/>
  <c r="S3112" i="3"/>
  <c r="S3113" i="3"/>
  <c r="S3114" i="3"/>
  <c r="S3115" i="3"/>
  <c r="S3116" i="3"/>
  <c r="S3117" i="3"/>
  <c r="S3118" i="3"/>
  <c r="S3119" i="3"/>
  <c r="S3120" i="3"/>
  <c r="S3121" i="3"/>
  <c r="S3122" i="3"/>
  <c r="S3123" i="3"/>
  <c r="S3124" i="3"/>
  <c r="S3125" i="3"/>
  <c r="S3126" i="3"/>
  <c r="S3127" i="3"/>
  <c r="S3128" i="3"/>
  <c r="S3129" i="3"/>
  <c r="S3130" i="3"/>
  <c r="S3131" i="3"/>
  <c r="S3132" i="3"/>
  <c r="S3133" i="3"/>
  <c r="S3134" i="3"/>
  <c r="S3135" i="3"/>
  <c r="S3136" i="3"/>
  <c r="S3137" i="3"/>
  <c r="S3138" i="3"/>
  <c r="S3139" i="3"/>
  <c r="S3140" i="3"/>
  <c r="S3141" i="3"/>
  <c r="S3142" i="3"/>
  <c r="S3143" i="3"/>
  <c r="S3144" i="3"/>
  <c r="S3145" i="3"/>
  <c r="S3146" i="3"/>
  <c r="S3147" i="3"/>
  <c r="S3148" i="3"/>
  <c r="S3149" i="3"/>
  <c r="S3150" i="3"/>
  <c r="S3151" i="3"/>
  <c r="S3152" i="3"/>
  <c r="S3153" i="3"/>
  <c r="S3154" i="3"/>
  <c r="S3155" i="3"/>
  <c r="S3156" i="3"/>
  <c r="S3157" i="3"/>
  <c r="S3158" i="3"/>
  <c r="S3159" i="3"/>
  <c r="S3160" i="3"/>
  <c r="S3161" i="3"/>
  <c r="S3162" i="3"/>
  <c r="S3163" i="3"/>
  <c r="S3164" i="3"/>
  <c r="S3165" i="3"/>
  <c r="S3166" i="3"/>
  <c r="S3167" i="3"/>
  <c r="S3168" i="3"/>
  <c r="S3169" i="3"/>
  <c r="S3170" i="3"/>
  <c r="S3171" i="3"/>
  <c r="S3172" i="3"/>
  <c r="S3173" i="3"/>
  <c r="S3174" i="3"/>
  <c r="S3175" i="3"/>
  <c r="S3176" i="3"/>
  <c r="S3177"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1704" i="3"/>
  <c r="R1705" i="3"/>
  <c r="R1706" i="3"/>
  <c r="R1707" i="3"/>
  <c r="R1708" i="3"/>
  <c r="R1709" i="3"/>
  <c r="R1710" i="3"/>
  <c r="R1711" i="3"/>
  <c r="R1712" i="3"/>
  <c r="R1713" i="3"/>
  <c r="R1714" i="3"/>
  <c r="R1715" i="3"/>
  <c r="R1716" i="3"/>
  <c r="R1717" i="3"/>
  <c r="R1718" i="3"/>
  <c r="R1719" i="3"/>
  <c r="R1720" i="3"/>
  <c r="R1721" i="3"/>
  <c r="R1722" i="3"/>
  <c r="R1723" i="3"/>
  <c r="R1724" i="3"/>
  <c r="R1725" i="3"/>
  <c r="R1726" i="3"/>
  <c r="R1727" i="3"/>
  <c r="R1728" i="3"/>
  <c r="R1729" i="3"/>
  <c r="R1730" i="3"/>
  <c r="R1731" i="3"/>
  <c r="R1732" i="3"/>
  <c r="R1733"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1782" i="3"/>
  <c r="R1783" i="3"/>
  <c r="R1784" i="3"/>
  <c r="R1785" i="3"/>
  <c r="R1786" i="3"/>
  <c r="R1787" i="3"/>
  <c r="R1788" i="3"/>
  <c r="R1789"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1820" i="3"/>
  <c r="R1821" i="3"/>
  <c r="R1822" i="3"/>
  <c r="R1823" i="3"/>
  <c r="R1824" i="3"/>
  <c r="R1825" i="3"/>
  <c r="R1826" i="3"/>
  <c r="R1827" i="3"/>
  <c r="R1828" i="3"/>
  <c r="R1829" i="3"/>
  <c r="R1830" i="3"/>
  <c r="R1831" i="3"/>
  <c r="R1832" i="3"/>
  <c r="R1833" i="3"/>
  <c r="R1834" i="3"/>
  <c r="R1835"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1861" i="3"/>
  <c r="R1862" i="3"/>
  <c r="R1863" i="3"/>
  <c r="R1864" i="3"/>
  <c r="R1865" i="3"/>
  <c r="R1866" i="3"/>
  <c r="R1867" i="3"/>
  <c r="R1868" i="3"/>
  <c r="R1869" i="3"/>
  <c r="R1870" i="3"/>
  <c r="R1871" i="3"/>
  <c r="R1872" i="3"/>
  <c r="R1873" i="3"/>
  <c r="R1874" i="3"/>
  <c r="R1875" i="3"/>
  <c r="R1876" i="3"/>
  <c r="R1877" i="3"/>
  <c r="R1878" i="3"/>
  <c r="R1879" i="3"/>
  <c r="R1880" i="3"/>
  <c r="R1881" i="3"/>
  <c r="R1882" i="3"/>
  <c r="R1883" i="3"/>
  <c r="R1884" i="3"/>
  <c r="R1885" i="3"/>
  <c r="R1886" i="3"/>
  <c r="R1887" i="3"/>
  <c r="R1888" i="3"/>
  <c r="R1889" i="3"/>
  <c r="R1890" i="3"/>
  <c r="R1891" i="3"/>
  <c r="R1892" i="3"/>
  <c r="R1893" i="3"/>
  <c r="R1894" i="3"/>
  <c r="R1895" i="3"/>
  <c r="R1896" i="3"/>
  <c r="R1897" i="3"/>
  <c r="R1898" i="3"/>
  <c r="R1899" i="3"/>
  <c r="R1900" i="3"/>
  <c r="R1901" i="3"/>
  <c r="R1902" i="3"/>
  <c r="R1903" i="3"/>
  <c r="R1904" i="3"/>
  <c r="R1905" i="3"/>
  <c r="R1906" i="3"/>
  <c r="R1907" i="3"/>
  <c r="R1908" i="3"/>
  <c r="R1909" i="3"/>
  <c r="R1910" i="3"/>
  <c r="R1911" i="3"/>
  <c r="R1912" i="3"/>
  <c r="R1913" i="3"/>
  <c r="R1914" i="3"/>
  <c r="R1915" i="3"/>
  <c r="R1916" i="3"/>
  <c r="R1917" i="3"/>
  <c r="R1918" i="3"/>
  <c r="R1919" i="3"/>
  <c r="R1920" i="3"/>
  <c r="R1921" i="3"/>
  <c r="R1922" i="3"/>
  <c r="R1923" i="3"/>
  <c r="R1924" i="3"/>
  <c r="R1925" i="3"/>
  <c r="R1926" i="3"/>
  <c r="R1927" i="3"/>
  <c r="R1928" i="3"/>
  <c r="R1929" i="3"/>
  <c r="R1930" i="3"/>
  <c r="R1931" i="3"/>
  <c r="R1932" i="3"/>
  <c r="R1933" i="3"/>
  <c r="R1934" i="3"/>
  <c r="R1935" i="3"/>
  <c r="R1936" i="3"/>
  <c r="R1937" i="3"/>
  <c r="R1938" i="3"/>
  <c r="R1939" i="3"/>
  <c r="R1940" i="3"/>
  <c r="R1941" i="3"/>
  <c r="R1942" i="3"/>
  <c r="R1943" i="3"/>
  <c r="R1944" i="3"/>
  <c r="R1945" i="3"/>
  <c r="R1946" i="3"/>
  <c r="R1947" i="3"/>
  <c r="R1948" i="3"/>
  <c r="R1949" i="3"/>
  <c r="R1950" i="3"/>
  <c r="R1951" i="3"/>
  <c r="R1952" i="3"/>
  <c r="R1953" i="3"/>
  <c r="R1954" i="3"/>
  <c r="R1955" i="3"/>
  <c r="R1956" i="3"/>
  <c r="R1957" i="3"/>
  <c r="R1958" i="3"/>
  <c r="R1959" i="3"/>
  <c r="R1960" i="3"/>
  <c r="R1961" i="3"/>
  <c r="R1962" i="3"/>
  <c r="R1963" i="3"/>
  <c r="R1964" i="3"/>
  <c r="R1965" i="3"/>
  <c r="R1966" i="3"/>
  <c r="R1967" i="3"/>
  <c r="R1968" i="3"/>
  <c r="R1969" i="3"/>
  <c r="R1970" i="3"/>
  <c r="R1971" i="3"/>
  <c r="R1972" i="3"/>
  <c r="R1973" i="3"/>
  <c r="R1974" i="3"/>
  <c r="R1975" i="3"/>
  <c r="R1976"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R2002" i="3"/>
  <c r="R2003" i="3"/>
  <c r="R2004" i="3"/>
  <c r="R2005" i="3"/>
  <c r="R2006" i="3"/>
  <c r="R2007" i="3"/>
  <c r="R2008" i="3"/>
  <c r="R2009" i="3"/>
  <c r="R2010" i="3"/>
  <c r="R2011" i="3"/>
  <c r="R2012" i="3"/>
  <c r="R2013" i="3"/>
  <c r="R2014" i="3"/>
  <c r="R2015" i="3"/>
  <c r="R2016" i="3"/>
  <c r="R2017" i="3"/>
  <c r="R2018" i="3"/>
  <c r="R2019" i="3"/>
  <c r="R2020" i="3"/>
  <c r="R2021" i="3"/>
  <c r="R2022" i="3"/>
  <c r="R2023" i="3"/>
  <c r="R2024" i="3"/>
  <c r="R2025" i="3"/>
  <c r="R2026" i="3"/>
  <c r="R2027" i="3"/>
  <c r="R2028" i="3"/>
  <c r="R2029" i="3"/>
  <c r="R2030" i="3"/>
  <c r="R2031" i="3"/>
  <c r="R2032" i="3"/>
  <c r="R2033" i="3"/>
  <c r="R2034" i="3"/>
  <c r="R2035" i="3"/>
  <c r="R2036" i="3"/>
  <c r="R2037" i="3"/>
  <c r="R2038" i="3"/>
  <c r="R2039" i="3"/>
  <c r="R2040" i="3"/>
  <c r="R2041" i="3"/>
  <c r="R2042" i="3"/>
  <c r="R2043" i="3"/>
  <c r="R2044" i="3"/>
  <c r="R2045" i="3"/>
  <c r="R2046" i="3"/>
  <c r="R2047" i="3"/>
  <c r="R2048" i="3"/>
  <c r="R2049" i="3"/>
  <c r="R2050" i="3"/>
  <c r="R2051" i="3"/>
  <c r="R2052" i="3"/>
  <c r="R2053" i="3"/>
  <c r="R2054" i="3"/>
  <c r="R2055" i="3"/>
  <c r="R2056" i="3"/>
  <c r="R2057" i="3"/>
  <c r="R2058" i="3"/>
  <c r="R2059" i="3"/>
  <c r="R2060" i="3"/>
  <c r="R2061" i="3"/>
  <c r="R2062" i="3"/>
  <c r="R2063" i="3"/>
  <c r="R2064" i="3"/>
  <c r="R2065" i="3"/>
  <c r="R2066" i="3"/>
  <c r="R2067" i="3"/>
  <c r="R2068" i="3"/>
  <c r="R2069" i="3"/>
  <c r="R2070" i="3"/>
  <c r="R2071" i="3"/>
  <c r="R2072" i="3"/>
  <c r="R2073" i="3"/>
  <c r="R2074" i="3"/>
  <c r="R2075" i="3"/>
  <c r="R2076" i="3"/>
  <c r="R2077" i="3"/>
  <c r="R2078" i="3"/>
  <c r="R2079" i="3"/>
  <c r="R2080" i="3"/>
  <c r="R2081" i="3"/>
  <c r="R2082" i="3"/>
  <c r="R2083" i="3"/>
  <c r="R2084" i="3"/>
  <c r="R2085" i="3"/>
  <c r="R2086" i="3"/>
  <c r="R2087" i="3"/>
  <c r="R2088" i="3"/>
  <c r="R2089" i="3"/>
  <c r="R2090" i="3"/>
  <c r="R2091" i="3"/>
  <c r="R2092" i="3"/>
  <c r="R2093" i="3"/>
  <c r="R2094" i="3"/>
  <c r="R2095" i="3"/>
  <c r="R2096" i="3"/>
  <c r="R2097" i="3"/>
  <c r="R2098" i="3"/>
  <c r="R2099" i="3"/>
  <c r="R2100" i="3"/>
  <c r="R2101" i="3"/>
  <c r="R2102" i="3"/>
  <c r="R2103" i="3"/>
  <c r="R2104" i="3"/>
  <c r="R2105" i="3"/>
  <c r="R2106" i="3"/>
  <c r="R2107" i="3"/>
  <c r="R2108" i="3"/>
  <c r="R2109" i="3"/>
  <c r="R2110" i="3"/>
  <c r="R2111" i="3"/>
  <c r="R2112" i="3"/>
  <c r="R2113" i="3"/>
  <c r="R2114" i="3"/>
  <c r="R2115" i="3"/>
  <c r="R2116" i="3"/>
  <c r="R2117" i="3"/>
  <c r="R2118" i="3"/>
  <c r="R2119" i="3"/>
  <c r="R2120" i="3"/>
  <c r="R2121" i="3"/>
  <c r="R2122" i="3"/>
  <c r="R2123" i="3"/>
  <c r="R2124" i="3"/>
  <c r="R2125" i="3"/>
  <c r="R2126" i="3"/>
  <c r="R2127" i="3"/>
  <c r="R2128" i="3"/>
  <c r="R2129" i="3"/>
  <c r="R2130" i="3"/>
  <c r="R2131" i="3"/>
  <c r="R2132" i="3"/>
  <c r="R2133" i="3"/>
  <c r="R2134" i="3"/>
  <c r="R2135" i="3"/>
  <c r="R2136" i="3"/>
  <c r="R2137" i="3"/>
  <c r="R2138" i="3"/>
  <c r="R2139" i="3"/>
  <c r="R2140" i="3"/>
  <c r="R2141" i="3"/>
  <c r="R2142" i="3"/>
  <c r="R2143" i="3"/>
  <c r="R2144" i="3"/>
  <c r="R2145" i="3"/>
  <c r="R2146" i="3"/>
  <c r="R2147" i="3"/>
  <c r="R2148" i="3"/>
  <c r="R2149" i="3"/>
  <c r="R2150" i="3"/>
  <c r="R2151" i="3"/>
  <c r="R2152" i="3"/>
  <c r="R2153" i="3"/>
  <c r="R2154" i="3"/>
  <c r="R2155" i="3"/>
  <c r="R2156" i="3"/>
  <c r="R2157" i="3"/>
  <c r="R2158" i="3"/>
  <c r="R2159" i="3"/>
  <c r="R2160" i="3"/>
  <c r="R2161" i="3"/>
  <c r="R2162" i="3"/>
  <c r="R2163" i="3"/>
  <c r="R2164" i="3"/>
  <c r="R2165" i="3"/>
  <c r="R2166" i="3"/>
  <c r="R2167" i="3"/>
  <c r="R2168" i="3"/>
  <c r="R2169" i="3"/>
  <c r="R2170" i="3"/>
  <c r="R2171" i="3"/>
  <c r="R2172" i="3"/>
  <c r="R2173" i="3"/>
  <c r="R2174" i="3"/>
  <c r="R2175" i="3"/>
  <c r="R2176" i="3"/>
  <c r="R2177" i="3"/>
  <c r="R2178" i="3"/>
  <c r="R2179" i="3"/>
  <c r="R2180" i="3"/>
  <c r="R2181" i="3"/>
  <c r="R2182" i="3"/>
  <c r="R2183" i="3"/>
  <c r="R2184" i="3"/>
  <c r="R2185" i="3"/>
  <c r="R2186" i="3"/>
  <c r="R2187" i="3"/>
  <c r="R2188" i="3"/>
  <c r="R2189" i="3"/>
  <c r="R2190" i="3"/>
  <c r="R2191" i="3"/>
  <c r="R2192" i="3"/>
  <c r="R2193" i="3"/>
  <c r="R2194" i="3"/>
  <c r="R2195" i="3"/>
  <c r="R2196" i="3"/>
  <c r="R2197" i="3"/>
  <c r="R2198" i="3"/>
  <c r="R2199" i="3"/>
  <c r="R2200" i="3"/>
  <c r="R2201" i="3"/>
  <c r="R2202" i="3"/>
  <c r="R2203" i="3"/>
  <c r="R2204" i="3"/>
  <c r="R2205" i="3"/>
  <c r="R2206" i="3"/>
  <c r="R2207" i="3"/>
  <c r="R2208" i="3"/>
  <c r="R2209" i="3"/>
  <c r="R2210" i="3"/>
  <c r="R2211" i="3"/>
  <c r="R2212" i="3"/>
  <c r="R2213" i="3"/>
  <c r="R2214" i="3"/>
  <c r="R2215" i="3"/>
  <c r="R2216" i="3"/>
  <c r="R2217" i="3"/>
  <c r="R2218" i="3"/>
  <c r="R2219" i="3"/>
  <c r="R2220" i="3"/>
  <c r="R2221" i="3"/>
  <c r="R2222" i="3"/>
  <c r="R2223" i="3"/>
  <c r="R2224" i="3"/>
  <c r="R2225" i="3"/>
  <c r="R2226" i="3"/>
  <c r="R2227" i="3"/>
  <c r="R2228" i="3"/>
  <c r="R2229" i="3"/>
  <c r="R2230" i="3"/>
  <c r="R2231" i="3"/>
  <c r="R2232" i="3"/>
  <c r="R2233" i="3"/>
  <c r="R2234" i="3"/>
  <c r="R2235" i="3"/>
  <c r="R2236" i="3"/>
  <c r="R2237" i="3"/>
  <c r="R2238" i="3"/>
  <c r="R2239" i="3"/>
  <c r="R2240" i="3"/>
  <c r="R2241" i="3"/>
  <c r="R2242" i="3"/>
  <c r="R2243" i="3"/>
  <c r="R2244" i="3"/>
  <c r="R2245" i="3"/>
  <c r="R2246" i="3"/>
  <c r="R2247" i="3"/>
  <c r="R2248" i="3"/>
  <c r="R2249" i="3"/>
  <c r="R2250" i="3"/>
  <c r="R2251" i="3"/>
  <c r="R2252" i="3"/>
  <c r="R2253" i="3"/>
  <c r="R2254" i="3"/>
  <c r="R2255" i="3"/>
  <c r="R2256" i="3"/>
  <c r="R2257" i="3"/>
  <c r="R2258" i="3"/>
  <c r="R2259" i="3"/>
  <c r="R2260" i="3"/>
  <c r="R2261" i="3"/>
  <c r="R2262" i="3"/>
  <c r="R2263" i="3"/>
  <c r="R2264" i="3"/>
  <c r="R2265" i="3"/>
  <c r="R2266" i="3"/>
  <c r="R2267" i="3"/>
  <c r="R2268" i="3"/>
  <c r="R2269" i="3"/>
  <c r="R2270" i="3"/>
  <c r="R2271" i="3"/>
  <c r="R2272" i="3"/>
  <c r="R2273" i="3"/>
  <c r="R2274" i="3"/>
  <c r="R2275" i="3"/>
  <c r="R2276" i="3"/>
  <c r="R2277" i="3"/>
  <c r="R2278" i="3"/>
  <c r="R2279" i="3"/>
  <c r="R2280" i="3"/>
  <c r="R2281" i="3"/>
  <c r="R2282" i="3"/>
  <c r="R2283" i="3"/>
  <c r="R2284" i="3"/>
  <c r="R2285" i="3"/>
  <c r="R2286" i="3"/>
  <c r="R2287" i="3"/>
  <c r="R2288" i="3"/>
  <c r="R2289" i="3"/>
  <c r="R2290" i="3"/>
  <c r="R2291" i="3"/>
  <c r="R2292" i="3"/>
  <c r="R2293" i="3"/>
  <c r="R2294" i="3"/>
  <c r="R2295" i="3"/>
  <c r="R2296" i="3"/>
  <c r="R2297" i="3"/>
  <c r="R2298" i="3"/>
  <c r="R2299" i="3"/>
  <c r="R2300" i="3"/>
  <c r="R2301" i="3"/>
  <c r="R2302" i="3"/>
  <c r="R2303" i="3"/>
  <c r="R2304" i="3"/>
  <c r="R2305" i="3"/>
  <c r="R2306" i="3"/>
  <c r="R2307" i="3"/>
  <c r="R2308" i="3"/>
  <c r="R2309" i="3"/>
  <c r="R2310" i="3"/>
  <c r="R2311" i="3"/>
  <c r="R2312" i="3"/>
  <c r="R2313" i="3"/>
  <c r="R2314" i="3"/>
  <c r="R2315" i="3"/>
  <c r="R2316" i="3"/>
  <c r="R2317" i="3"/>
  <c r="R2318" i="3"/>
  <c r="R2319" i="3"/>
  <c r="R2320" i="3"/>
  <c r="R2321" i="3"/>
  <c r="R2322" i="3"/>
  <c r="R2323" i="3"/>
  <c r="R2324" i="3"/>
  <c r="R2325" i="3"/>
  <c r="R2326" i="3"/>
  <c r="R2327" i="3"/>
  <c r="R2328" i="3"/>
  <c r="R2329" i="3"/>
  <c r="R2330" i="3"/>
  <c r="R2331" i="3"/>
  <c r="R2332" i="3"/>
  <c r="R2333" i="3"/>
  <c r="R2334" i="3"/>
  <c r="R2335" i="3"/>
  <c r="R2336" i="3"/>
  <c r="R2337" i="3"/>
  <c r="R2338" i="3"/>
  <c r="R2339" i="3"/>
  <c r="R2340" i="3"/>
  <c r="R2341" i="3"/>
  <c r="R2342" i="3"/>
  <c r="R2343" i="3"/>
  <c r="R2344" i="3"/>
  <c r="R2345" i="3"/>
  <c r="R2346" i="3"/>
  <c r="R2347" i="3"/>
  <c r="R2348" i="3"/>
  <c r="R2349" i="3"/>
  <c r="R2350" i="3"/>
  <c r="R2351" i="3"/>
  <c r="R2352" i="3"/>
  <c r="R2353" i="3"/>
  <c r="R2354" i="3"/>
  <c r="R2355" i="3"/>
  <c r="R2356" i="3"/>
  <c r="R2357" i="3"/>
  <c r="R2358" i="3"/>
  <c r="R2359" i="3"/>
  <c r="R2360" i="3"/>
  <c r="R2361" i="3"/>
  <c r="R2362" i="3"/>
  <c r="R2363" i="3"/>
  <c r="R2364" i="3"/>
  <c r="R2365" i="3"/>
  <c r="R2366" i="3"/>
  <c r="R2367" i="3"/>
  <c r="R2368" i="3"/>
  <c r="R2369" i="3"/>
  <c r="R2370" i="3"/>
  <c r="R2371" i="3"/>
  <c r="R2372" i="3"/>
  <c r="R2373" i="3"/>
  <c r="R2374" i="3"/>
  <c r="R2375" i="3"/>
  <c r="R2376" i="3"/>
  <c r="R2377" i="3"/>
  <c r="R2378" i="3"/>
  <c r="R2379" i="3"/>
  <c r="R2380" i="3"/>
  <c r="R2381" i="3"/>
  <c r="R2382" i="3"/>
  <c r="R2383" i="3"/>
  <c r="R2384" i="3"/>
  <c r="R2385" i="3"/>
  <c r="R2386" i="3"/>
  <c r="R2387" i="3"/>
  <c r="R2388" i="3"/>
  <c r="R2389" i="3"/>
  <c r="R2390" i="3"/>
  <c r="R2391" i="3"/>
  <c r="R2392" i="3"/>
  <c r="R2393" i="3"/>
  <c r="R2394" i="3"/>
  <c r="R2395" i="3"/>
  <c r="R2396" i="3"/>
  <c r="R2397" i="3"/>
  <c r="R2398" i="3"/>
  <c r="R2399" i="3"/>
  <c r="R2400" i="3"/>
  <c r="R2401" i="3"/>
  <c r="R2402" i="3"/>
  <c r="R2403" i="3"/>
  <c r="R2404" i="3"/>
  <c r="R2405" i="3"/>
  <c r="R2406" i="3"/>
  <c r="R2407" i="3"/>
  <c r="R2408" i="3"/>
  <c r="R2409" i="3"/>
  <c r="R2410" i="3"/>
  <c r="R2411" i="3"/>
  <c r="R2412" i="3"/>
  <c r="R2413" i="3"/>
  <c r="R2414" i="3"/>
  <c r="R2415" i="3"/>
  <c r="R2416" i="3"/>
  <c r="R2417" i="3"/>
  <c r="R2418" i="3"/>
  <c r="R2419" i="3"/>
  <c r="R2420" i="3"/>
  <c r="R2421" i="3"/>
  <c r="R2422" i="3"/>
  <c r="R2423" i="3"/>
  <c r="R2424" i="3"/>
  <c r="R2425" i="3"/>
  <c r="R2426" i="3"/>
  <c r="R2427" i="3"/>
  <c r="R2428" i="3"/>
  <c r="R2429" i="3"/>
  <c r="R2430" i="3"/>
  <c r="R2431" i="3"/>
  <c r="R2432" i="3"/>
  <c r="R2433" i="3"/>
  <c r="R2434" i="3"/>
  <c r="R2435" i="3"/>
  <c r="R2436" i="3"/>
  <c r="R2437" i="3"/>
  <c r="R2438" i="3"/>
  <c r="R2439" i="3"/>
  <c r="R2440" i="3"/>
  <c r="R2441" i="3"/>
  <c r="R2442" i="3"/>
  <c r="R2443" i="3"/>
  <c r="R2444" i="3"/>
  <c r="R2445" i="3"/>
  <c r="R2446" i="3"/>
  <c r="R2447" i="3"/>
  <c r="R2448" i="3"/>
  <c r="R2449" i="3"/>
  <c r="R2450" i="3"/>
  <c r="R2451" i="3"/>
  <c r="R2452" i="3"/>
  <c r="R2453" i="3"/>
  <c r="R2454" i="3"/>
  <c r="R2455" i="3"/>
  <c r="R2456" i="3"/>
  <c r="R2457" i="3"/>
  <c r="R2458" i="3"/>
  <c r="R2459" i="3"/>
  <c r="R2460" i="3"/>
  <c r="R2461" i="3"/>
  <c r="R2462" i="3"/>
  <c r="R2463" i="3"/>
  <c r="R2464" i="3"/>
  <c r="R2465" i="3"/>
  <c r="R2466" i="3"/>
  <c r="R2467" i="3"/>
  <c r="R2468" i="3"/>
  <c r="R2469" i="3"/>
  <c r="R2470" i="3"/>
  <c r="R2471" i="3"/>
  <c r="R2472" i="3"/>
  <c r="R2473" i="3"/>
  <c r="R2474" i="3"/>
  <c r="R2475" i="3"/>
  <c r="R2476" i="3"/>
  <c r="R2477" i="3"/>
  <c r="R2478" i="3"/>
  <c r="R2479" i="3"/>
  <c r="R2480" i="3"/>
  <c r="R2481" i="3"/>
  <c r="R2482" i="3"/>
  <c r="R2483" i="3"/>
  <c r="R2484" i="3"/>
  <c r="R2485" i="3"/>
  <c r="R2486" i="3"/>
  <c r="R2487" i="3"/>
  <c r="R2488" i="3"/>
  <c r="R2489" i="3"/>
  <c r="R2490" i="3"/>
  <c r="R2491" i="3"/>
  <c r="R2492" i="3"/>
  <c r="R2493" i="3"/>
  <c r="R2494" i="3"/>
  <c r="R2495" i="3"/>
  <c r="R2496" i="3"/>
  <c r="R2497" i="3"/>
  <c r="R2498" i="3"/>
  <c r="R2499" i="3"/>
  <c r="R2500" i="3"/>
  <c r="R2501" i="3"/>
  <c r="R2502" i="3"/>
  <c r="R2503" i="3"/>
  <c r="R2504" i="3"/>
  <c r="R2505" i="3"/>
  <c r="R2506" i="3"/>
  <c r="R2507" i="3"/>
  <c r="R2508" i="3"/>
  <c r="R2509" i="3"/>
  <c r="R2510" i="3"/>
  <c r="R2511" i="3"/>
  <c r="R2512" i="3"/>
  <c r="R2513" i="3"/>
  <c r="R2514" i="3"/>
  <c r="R2515" i="3"/>
  <c r="R2516" i="3"/>
  <c r="R2517" i="3"/>
  <c r="R2518" i="3"/>
  <c r="R2519" i="3"/>
  <c r="R2520" i="3"/>
  <c r="R2521" i="3"/>
  <c r="R2522" i="3"/>
  <c r="R2523" i="3"/>
  <c r="R2524" i="3"/>
  <c r="R2525" i="3"/>
  <c r="R2526" i="3"/>
  <c r="R2527" i="3"/>
  <c r="R2528" i="3"/>
  <c r="R2529" i="3"/>
  <c r="R2530" i="3"/>
  <c r="R2531" i="3"/>
  <c r="R2532" i="3"/>
  <c r="R2533" i="3"/>
  <c r="R2534" i="3"/>
  <c r="R2535" i="3"/>
  <c r="R2536" i="3"/>
  <c r="R2537" i="3"/>
  <c r="R2538" i="3"/>
  <c r="R2539" i="3"/>
  <c r="R2540" i="3"/>
  <c r="R2541" i="3"/>
  <c r="R2542" i="3"/>
  <c r="R2543" i="3"/>
  <c r="R2544" i="3"/>
  <c r="R2545" i="3"/>
  <c r="R2546" i="3"/>
  <c r="R2547" i="3"/>
  <c r="R2548" i="3"/>
  <c r="R2549" i="3"/>
  <c r="R2550" i="3"/>
  <c r="R2551" i="3"/>
  <c r="R2552" i="3"/>
  <c r="R2553" i="3"/>
  <c r="R2554" i="3"/>
  <c r="R2555" i="3"/>
  <c r="R2556" i="3"/>
  <c r="R2557" i="3"/>
  <c r="R2558" i="3"/>
  <c r="R2559" i="3"/>
  <c r="R2560" i="3"/>
  <c r="R2561" i="3"/>
  <c r="R2562" i="3"/>
  <c r="R2563" i="3"/>
  <c r="R2564" i="3"/>
  <c r="R2565" i="3"/>
  <c r="R2566" i="3"/>
  <c r="R2567" i="3"/>
  <c r="R2568" i="3"/>
  <c r="R2569" i="3"/>
  <c r="R2570" i="3"/>
  <c r="R2571" i="3"/>
  <c r="R2572" i="3"/>
  <c r="R2573" i="3"/>
  <c r="R2574" i="3"/>
  <c r="R2575" i="3"/>
  <c r="R2576" i="3"/>
  <c r="R2577" i="3"/>
  <c r="R2578" i="3"/>
  <c r="R2579" i="3"/>
  <c r="R2580" i="3"/>
  <c r="R2581" i="3"/>
  <c r="R2582" i="3"/>
  <c r="R2583" i="3"/>
  <c r="R2584" i="3"/>
  <c r="R2585" i="3"/>
  <c r="R2586" i="3"/>
  <c r="R2587" i="3"/>
  <c r="R2588" i="3"/>
  <c r="R2589" i="3"/>
  <c r="R2590" i="3"/>
  <c r="R2591" i="3"/>
  <c r="R2592" i="3"/>
  <c r="R2593" i="3"/>
  <c r="R2594" i="3"/>
  <c r="R2595" i="3"/>
  <c r="R2596" i="3"/>
  <c r="R2597" i="3"/>
  <c r="R2598" i="3"/>
  <c r="R2599" i="3"/>
  <c r="R2600" i="3"/>
  <c r="R2601" i="3"/>
  <c r="R2602" i="3"/>
  <c r="R2603" i="3"/>
  <c r="R2604" i="3"/>
  <c r="R2605" i="3"/>
  <c r="R2606" i="3"/>
  <c r="R2607" i="3"/>
  <c r="R2608" i="3"/>
  <c r="R2609" i="3"/>
  <c r="R2610" i="3"/>
  <c r="R2611" i="3"/>
  <c r="R2612" i="3"/>
  <c r="R2613" i="3"/>
  <c r="R2614" i="3"/>
  <c r="R2615" i="3"/>
  <c r="R2616" i="3"/>
  <c r="R2617" i="3"/>
  <c r="R2618" i="3"/>
  <c r="R2619" i="3"/>
  <c r="R2620" i="3"/>
  <c r="R2621" i="3"/>
  <c r="R2622" i="3"/>
  <c r="R2623" i="3"/>
  <c r="R2624" i="3"/>
  <c r="R2625" i="3"/>
  <c r="R2626" i="3"/>
  <c r="R2627" i="3"/>
  <c r="R2628" i="3"/>
  <c r="R2629" i="3"/>
  <c r="R2630" i="3"/>
  <c r="R2631" i="3"/>
  <c r="R2632" i="3"/>
  <c r="R2633" i="3"/>
  <c r="R2634" i="3"/>
  <c r="R2635" i="3"/>
  <c r="R2636" i="3"/>
  <c r="R2637" i="3"/>
  <c r="R2638" i="3"/>
  <c r="R2639" i="3"/>
  <c r="R2640" i="3"/>
  <c r="R2641" i="3"/>
  <c r="R2642" i="3"/>
  <c r="R2643" i="3"/>
  <c r="R2644" i="3"/>
  <c r="R2645" i="3"/>
  <c r="R2646" i="3"/>
  <c r="R2647" i="3"/>
  <c r="R2648" i="3"/>
  <c r="R2649" i="3"/>
  <c r="R2650" i="3"/>
  <c r="R2651" i="3"/>
  <c r="R2652" i="3"/>
  <c r="R2653" i="3"/>
  <c r="R2654" i="3"/>
  <c r="R2655" i="3"/>
  <c r="R2656" i="3"/>
  <c r="R2657" i="3"/>
  <c r="R2658" i="3"/>
  <c r="R2659" i="3"/>
  <c r="R2660" i="3"/>
  <c r="R2661" i="3"/>
  <c r="R2662" i="3"/>
  <c r="R2663" i="3"/>
  <c r="R2664" i="3"/>
  <c r="R2665" i="3"/>
  <c r="R2666" i="3"/>
  <c r="R2667" i="3"/>
  <c r="R2668" i="3"/>
  <c r="R2669" i="3"/>
  <c r="R2670" i="3"/>
  <c r="R2671" i="3"/>
  <c r="R2672" i="3"/>
  <c r="R2673" i="3"/>
  <c r="R2674" i="3"/>
  <c r="R2675" i="3"/>
  <c r="R2676" i="3"/>
  <c r="R2677" i="3"/>
  <c r="R2678" i="3"/>
  <c r="R2679" i="3"/>
  <c r="R2680" i="3"/>
  <c r="R2681" i="3"/>
  <c r="R2682" i="3"/>
  <c r="R2683" i="3"/>
  <c r="R2684" i="3"/>
  <c r="R2685" i="3"/>
  <c r="R2686" i="3"/>
  <c r="R2687" i="3"/>
  <c r="R2688" i="3"/>
  <c r="R2689" i="3"/>
  <c r="R2690" i="3"/>
  <c r="R2691" i="3"/>
  <c r="R2692" i="3"/>
  <c r="R2693" i="3"/>
  <c r="R2694" i="3"/>
  <c r="R2695" i="3"/>
  <c r="R2696" i="3"/>
  <c r="R2697" i="3"/>
  <c r="R2698" i="3"/>
  <c r="R2699" i="3"/>
  <c r="R2700" i="3"/>
  <c r="R2701" i="3"/>
  <c r="R2702" i="3"/>
  <c r="R2703" i="3"/>
  <c r="R2704" i="3"/>
  <c r="R2705" i="3"/>
  <c r="R2706" i="3"/>
  <c r="R2707" i="3"/>
  <c r="R2708" i="3"/>
  <c r="R2709" i="3"/>
  <c r="R2710" i="3"/>
  <c r="R2711" i="3"/>
  <c r="R2712" i="3"/>
  <c r="R2713" i="3"/>
  <c r="R2714" i="3"/>
  <c r="R2715" i="3"/>
  <c r="R2716" i="3"/>
  <c r="R2717" i="3"/>
  <c r="R2718" i="3"/>
  <c r="R2719" i="3"/>
  <c r="R2720" i="3"/>
  <c r="R2721" i="3"/>
  <c r="R2722" i="3"/>
  <c r="R2723" i="3"/>
  <c r="R2724" i="3"/>
  <c r="R2725" i="3"/>
  <c r="R2726" i="3"/>
  <c r="R2727" i="3"/>
  <c r="R2728" i="3"/>
  <c r="R2729" i="3"/>
  <c r="R2730" i="3"/>
  <c r="R2731" i="3"/>
  <c r="R2732" i="3"/>
  <c r="R2733" i="3"/>
  <c r="R2734" i="3"/>
  <c r="R2735" i="3"/>
  <c r="R2736" i="3"/>
  <c r="R2737" i="3"/>
  <c r="R2738" i="3"/>
  <c r="R2739" i="3"/>
  <c r="R2740" i="3"/>
  <c r="R2741" i="3"/>
  <c r="R2742" i="3"/>
  <c r="R2743" i="3"/>
  <c r="R2744" i="3"/>
  <c r="R2745" i="3"/>
  <c r="R2746" i="3"/>
  <c r="R2747" i="3"/>
  <c r="R2748" i="3"/>
  <c r="R2749" i="3"/>
  <c r="R2750" i="3"/>
  <c r="R2751" i="3"/>
  <c r="R2752" i="3"/>
  <c r="R2753" i="3"/>
  <c r="R2754" i="3"/>
  <c r="R2755" i="3"/>
  <c r="R2756" i="3"/>
  <c r="R2757" i="3"/>
  <c r="R2758" i="3"/>
  <c r="R2759" i="3"/>
  <c r="R2760" i="3"/>
  <c r="R2761" i="3"/>
  <c r="R2762" i="3"/>
  <c r="R2763" i="3"/>
  <c r="R2764" i="3"/>
  <c r="R2765" i="3"/>
  <c r="R2766" i="3"/>
  <c r="R2767" i="3"/>
  <c r="R2768" i="3"/>
  <c r="R2769" i="3"/>
  <c r="R2770" i="3"/>
  <c r="R2771" i="3"/>
  <c r="R2772" i="3"/>
  <c r="R2773" i="3"/>
  <c r="R2774" i="3"/>
  <c r="R2775" i="3"/>
  <c r="R2776" i="3"/>
  <c r="R2777" i="3"/>
  <c r="R2778" i="3"/>
  <c r="R2779" i="3"/>
  <c r="R2780" i="3"/>
  <c r="R2781" i="3"/>
  <c r="R2782" i="3"/>
  <c r="R2783" i="3"/>
  <c r="R2784" i="3"/>
  <c r="R2785" i="3"/>
  <c r="R2786" i="3"/>
  <c r="R2787" i="3"/>
  <c r="R2788" i="3"/>
  <c r="R2789" i="3"/>
  <c r="R2790" i="3"/>
  <c r="R2791" i="3"/>
  <c r="R2792" i="3"/>
  <c r="R2793" i="3"/>
  <c r="R2794" i="3"/>
  <c r="R2795" i="3"/>
  <c r="R2796" i="3"/>
  <c r="R2797" i="3"/>
  <c r="R2798" i="3"/>
  <c r="R2799" i="3"/>
  <c r="R2800" i="3"/>
  <c r="R2801" i="3"/>
  <c r="R2802" i="3"/>
  <c r="R2803" i="3"/>
  <c r="R2804" i="3"/>
  <c r="R2805" i="3"/>
  <c r="R2806" i="3"/>
  <c r="R2807" i="3"/>
  <c r="R2808" i="3"/>
  <c r="R2809" i="3"/>
  <c r="R2810" i="3"/>
  <c r="R2811" i="3"/>
  <c r="R2812" i="3"/>
  <c r="R2813" i="3"/>
  <c r="R2814" i="3"/>
  <c r="R2815" i="3"/>
  <c r="R2816" i="3"/>
  <c r="R2817" i="3"/>
  <c r="R2818" i="3"/>
  <c r="R2819" i="3"/>
  <c r="R2820" i="3"/>
  <c r="R2821" i="3"/>
  <c r="R2822" i="3"/>
  <c r="R2823" i="3"/>
  <c r="R2824" i="3"/>
  <c r="R2825" i="3"/>
  <c r="R2826" i="3"/>
  <c r="R2827" i="3"/>
  <c r="R2828" i="3"/>
  <c r="R2829" i="3"/>
  <c r="R2830" i="3"/>
  <c r="R2831" i="3"/>
  <c r="R2832" i="3"/>
  <c r="R2833" i="3"/>
  <c r="R2834" i="3"/>
  <c r="R2835" i="3"/>
  <c r="R2836" i="3"/>
  <c r="R2837" i="3"/>
  <c r="R2838" i="3"/>
  <c r="R2839" i="3"/>
  <c r="R2840" i="3"/>
  <c r="R2841" i="3"/>
  <c r="R2842" i="3"/>
  <c r="R2843" i="3"/>
  <c r="R2844" i="3"/>
  <c r="R2845" i="3"/>
  <c r="R2846" i="3"/>
  <c r="R2847" i="3"/>
  <c r="R2848" i="3"/>
  <c r="R2849" i="3"/>
  <c r="R2850" i="3"/>
  <c r="R2851" i="3"/>
  <c r="R2852" i="3"/>
  <c r="R2853" i="3"/>
  <c r="R2854" i="3"/>
  <c r="R2855" i="3"/>
  <c r="R2856" i="3"/>
  <c r="R2857" i="3"/>
  <c r="R2858" i="3"/>
  <c r="R2859" i="3"/>
  <c r="R2860" i="3"/>
  <c r="R2861" i="3"/>
  <c r="R2862" i="3"/>
  <c r="R2863" i="3"/>
  <c r="R2864" i="3"/>
  <c r="R2865" i="3"/>
  <c r="R2866" i="3"/>
  <c r="R2867" i="3"/>
  <c r="R2868" i="3"/>
  <c r="R2869" i="3"/>
  <c r="R2870" i="3"/>
  <c r="R2871" i="3"/>
  <c r="R2872" i="3"/>
  <c r="R2873" i="3"/>
  <c r="R2874" i="3"/>
  <c r="R2875" i="3"/>
  <c r="R2876" i="3"/>
  <c r="R2877" i="3"/>
  <c r="R2878" i="3"/>
  <c r="R2879" i="3"/>
  <c r="R2880" i="3"/>
  <c r="R2881" i="3"/>
  <c r="R2882" i="3"/>
  <c r="R2883" i="3"/>
  <c r="R2884" i="3"/>
  <c r="R2885" i="3"/>
  <c r="R2886" i="3"/>
  <c r="R2887" i="3"/>
  <c r="R2888" i="3"/>
  <c r="R2889" i="3"/>
  <c r="R2890" i="3"/>
  <c r="R2891" i="3"/>
  <c r="R2892" i="3"/>
  <c r="R2893" i="3"/>
  <c r="R2894" i="3"/>
  <c r="R2895" i="3"/>
  <c r="R2896" i="3"/>
  <c r="R2897" i="3"/>
  <c r="R2898" i="3"/>
  <c r="R2899" i="3"/>
  <c r="R2900" i="3"/>
  <c r="R2901" i="3"/>
  <c r="R2902" i="3"/>
  <c r="R2903" i="3"/>
  <c r="R2904" i="3"/>
  <c r="R2905" i="3"/>
  <c r="R2906" i="3"/>
  <c r="R2907" i="3"/>
  <c r="R2908" i="3"/>
  <c r="R2909" i="3"/>
  <c r="R2910" i="3"/>
  <c r="R2911" i="3"/>
  <c r="R2912" i="3"/>
  <c r="R2913" i="3"/>
  <c r="R2914" i="3"/>
  <c r="R2915" i="3"/>
  <c r="R2916" i="3"/>
  <c r="R2917" i="3"/>
  <c r="R2918" i="3"/>
  <c r="R2919" i="3"/>
  <c r="R2920" i="3"/>
  <c r="R2921" i="3"/>
  <c r="R2922" i="3"/>
  <c r="R2923" i="3"/>
  <c r="R2924" i="3"/>
  <c r="R2925" i="3"/>
  <c r="R2926" i="3"/>
  <c r="R2927" i="3"/>
  <c r="R2928" i="3"/>
  <c r="R2929" i="3"/>
  <c r="R2930" i="3"/>
  <c r="R2931" i="3"/>
  <c r="R2932" i="3"/>
  <c r="R2933" i="3"/>
  <c r="R2934" i="3"/>
  <c r="R2935" i="3"/>
  <c r="R2936" i="3"/>
  <c r="R2937" i="3"/>
  <c r="R2938" i="3"/>
  <c r="R2939" i="3"/>
  <c r="R2940" i="3"/>
  <c r="R2941" i="3"/>
  <c r="R2942" i="3"/>
  <c r="R2943" i="3"/>
  <c r="R2944" i="3"/>
  <c r="R2945" i="3"/>
  <c r="R2946" i="3"/>
  <c r="R2947" i="3"/>
  <c r="R2948" i="3"/>
  <c r="R2949" i="3"/>
  <c r="R2950" i="3"/>
  <c r="R2951" i="3"/>
  <c r="R2952" i="3"/>
  <c r="R2953" i="3"/>
  <c r="R2954" i="3"/>
  <c r="R2955" i="3"/>
  <c r="R2956" i="3"/>
  <c r="R2957" i="3"/>
  <c r="R2958" i="3"/>
  <c r="R2959" i="3"/>
  <c r="R2960" i="3"/>
  <c r="R2961" i="3"/>
  <c r="R2962" i="3"/>
  <c r="R2963" i="3"/>
  <c r="R2964" i="3"/>
  <c r="R2965" i="3"/>
  <c r="R2966" i="3"/>
  <c r="R2967" i="3"/>
  <c r="R2968" i="3"/>
  <c r="R2969" i="3"/>
  <c r="R2970" i="3"/>
  <c r="R2971" i="3"/>
  <c r="R2972" i="3"/>
  <c r="R2973" i="3"/>
  <c r="R2974" i="3"/>
  <c r="R2975" i="3"/>
  <c r="R2976" i="3"/>
  <c r="R2977" i="3"/>
  <c r="R2978" i="3"/>
  <c r="R2979" i="3"/>
  <c r="R2980" i="3"/>
  <c r="R2981" i="3"/>
  <c r="R2982" i="3"/>
  <c r="R2983" i="3"/>
  <c r="R2984" i="3"/>
  <c r="R2985" i="3"/>
  <c r="R2986" i="3"/>
  <c r="R2987" i="3"/>
  <c r="R2988" i="3"/>
  <c r="R2989" i="3"/>
  <c r="R2990" i="3"/>
  <c r="R2991" i="3"/>
  <c r="R2992" i="3"/>
  <c r="R2993" i="3"/>
  <c r="R2994" i="3"/>
  <c r="R2995" i="3"/>
  <c r="R2996" i="3"/>
  <c r="R2997" i="3"/>
  <c r="R2998" i="3"/>
  <c r="R2999" i="3"/>
  <c r="R3000" i="3"/>
  <c r="R3001" i="3"/>
  <c r="R3002" i="3"/>
  <c r="R3003" i="3"/>
  <c r="R3004" i="3"/>
  <c r="R3005" i="3"/>
  <c r="R3006" i="3"/>
  <c r="R3007" i="3"/>
  <c r="R3008" i="3"/>
  <c r="R3009" i="3"/>
  <c r="R3010" i="3"/>
  <c r="R3011" i="3"/>
  <c r="R3012" i="3"/>
  <c r="R3013" i="3"/>
  <c r="R3014" i="3"/>
  <c r="R3015" i="3"/>
  <c r="R3016" i="3"/>
  <c r="R3017" i="3"/>
  <c r="R3018" i="3"/>
  <c r="R3019" i="3"/>
  <c r="R3020" i="3"/>
  <c r="R3021" i="3"/>
  <c r="R3022" i="3"/>
  <c r="R3023" i="3"/>
  <c r="R3024" i="3"/>
  <c r="R3025" i="3"/>
  <c r="R3026" i="3"/>
  <c r="R3027" i="3"/>
  <c r="R3028" i="3"/>
  <c r="R3029" i="3"/>
  <c r="R3030" i="3"/>
  <c r="R3031" i="3"/>
  <c r="R3032" i="3"/>
  <c r="R3033" i="3"/>
  <c r="R3034" i="3"/>
  <c r="R3035" i="3"/>
  <c r="R3036" i="3"/>
  <c r="R3037" i="3"/>
  <c r="R3038" i="3"/>
  <c r="R3039" i="3"/>
  <c r="R3040" i="3"/>
  <c r="R3041" i="3"/>
  <c r="R3042" i="3"/>
  <c r="R3043" i="3"/>
  <c r="R3044" i="3"/>
  <c r="R3045" i="3"/>
  <c r="R3046" i="3"/>
  <c r="R3047" i="3"/>
  <c r="R3048" i="3"/>
  <c r="R3049" i="3"/>
  <c r="R3050" i="3"/>
  <c r="R3051" i="3"/>
  <c r="R3052" i="3"/>
  <c r="R3053" i="3"/>
  <c r="R3054" i="3"/>
  <c r="R3055" i="3"/>
  <c r="R3056" i="3"/>
  <c r="R3057" i="3"/>
  <c r="R3058" i="3"/>
  <c r="R3059" i="3"/>
  <c r="R3060" i="3"/>
  <c r="R3061" i="3"/>
  <c r="R3062" i="3"/>
  <c r="R3063" i="3"/>
  <c r="R3064" i="3"/>
  <c r="R3065" i="3"/>
  <c r="R3066" i="3"/>
  <c r="R3067" i="3"/>
  <c r="R3068" i="3"/>
  <c r="R3069" i="3"/>
  <c r="R3070" i="3"/>
  <c r="R3071" i="3"/>
  <c r="R3072" i="3"/>
  <c r="R3073" i="3"/>
  <c r="R3074" i="3"/>
  <c r="R3075" i="3"/>
  <c r="R3076" i="3"/>
  <c r="R3077" i="3"/>
  <c r="R3078" i="3"/>
  <c r="R3079" i="3"/>
  <c r="R3080" i="3"/>
  <c r="R3081" i="3"/>
  <c r="R3082" i="3"/>
  <c r="R3083" i="3"/>
  <c r="R3084" i="3"/>
  <c r="R3085" i="3"/>
  <c r="R3086" i="3"/>
  <c r="R3087" i="3"/>
  <c r="R3088" i="3"/>
  <c r="R3089" i="3"/>
  <c r="R3090" i="3"/>
  <c r="R3091" i="3"/>
  <c r="R3092" i="3"/>
  <c r="R3093" i="3"/>
  <c r="R3094" i="3"/>
  <c r="R3095" i="3"/>
  <c r="R3096" i="3"/>
  <c r="R3097" i="3"/>
  <c r="R3098" i="3"/>
  <c r="R3099" i="3"/>
  <c r="R3100" i="3"/>
  <c r="R3101" i="3"/>
  <c r="R3102" i="3"/>
  <c r="R3103" i="3"/>
  <c r="R3104" i="3"/>
  <c r="R3105" i="3"/>
  <c r="R3106" i="3"/>
  <c r="R3107" i="3"/>
  <c r="R3108" i="3"/>
  <c r="R3109" i="3"/>
  <c r="R3110" i="3"/>
  <c r="R3111" i="3"/>
  <c r="R3112" i="3"/>
  <c r="R3113" i="3"/>
  <c r="R3114" i="3"/>
  <c r="R3115" i="3"/>
  <c r="R3116" i="3"/>
  <c r="R3117" i="3"/>
  <c r="R3118" i="3"/>
  <c r="R3119" i="3"/>
  <c r="R3120" i="3"/>
  <c r="R3121" i="3"/>
  <c r="R3122" i="3"/>
  <c r="R3123" i="3"/>
  <c r="R3124" i="3"/>
  <c r="R3125" i="3"/>
  <c r="R3126" i="3"/>
  <c r="R3127" i="3"/>
  <c r="R3128" i="3"/>
  <c r="R3129" i="3"/>
  <c r="R3130" i="3"/>
  <c r="R3131" i="3"/>
  <c r="R3132" i="3"/>
  <c r="R3133" i="3"/>
  <c r="R3134" i="3"/>
  <c r="R3135" i="3"/>
  <c r="R3136" i="3"/>
  <c r="R3137" i="3"/>
  <c r="R3138" i="3"/>
  <c r="R3139" i="3"/>
  <c r="R3140" i="3"/>
  <c r="R3141" i="3"/>
  <c r="R3142" i="3"/>
  <c r="R3143" i="3"/>
  <c r="R3144" i="3"/>
  <c r="R3145" i="3"/>
  <c r="R3146" i="3"/>
  <c r="R3147" i="3"/>
  <c r="R3148" i="3"/>
  <c r="R3149" i="3"/>
  <c r="R3150" i="3"/>
  <c r="R3151" i="3"/>
  <c r="R3152" i="3"/>
  <c r="R3153" i="3"/>
  <c r="R3154" i="3"/>
  <c r="R3155" i="3"/>
  <c r="R3156" i="3"/>
  <c r="R3157" i="3"/>
  <c r="R3158" i="3"/>
  <c r="R3159" i="3"/>
  <c r="R3160" i="3"/>
  <c r="R3161" i="3"/>
  <c r="R3162" i="3"/>
  <c r="R3163" i="3"/>
  <c r="R3164" i="3"/>
  <c r="R3165" i="3"/>
  <c r="R3166" i="3"/>
  <c r="R3167" i="3"/>
  <c r="R3168" i="3"/>
  <c r="R3169" i="3"/>
  <c r="R3170" i="3"/>
  <c r="R3171" i="3"/>
  <c r="R3172" i="3"/>
  <c r="R3173" i="3"/>
  <c r="R3174" i="3"/>
  <c r="R3175" i="3"/>
  <c r="R3176" i="3"/>
  <c r="R3177"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2015" i="3"/>
  <c r="Q2016" i="3"/>
  <c r="Q2017" i="3"/>
  <c r="Q2018" i="3"/>
  <c r="Q2019" i="3"/>
  <c r="Q2020" i="3"/>
  <c r="Q2021" i="3"/>
  <c r="Q2022" i="3"/>
  <c r="Q2023" i="3"/>
  <c r="Q2024" i="3"/>
  <c r="Q2025"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082" i="3"/>
  <c r="Q2083" i="3"/>
  <c r="Q2084" i="3"/>
  <c r="Q2085" i="3"/>
  <c r="Q2086" i="3"/>
  <c r="Q2087" i="3"/>
  <c r="Q2088" i="3"/>
  <c r="Q2089" i="3"/>
  <c r="Q2090" i="3"/>
  <c r="Q2091" i="3"/>
  <c r="Q2092" i="3"/>
  <c r="Q2093" i="3"/>
  <c r="Q2094" i="3"/>
  <c r="Q2095" i="3"/>
  <c r="Q2096" i="3"/>
  <c r="Q2097" i="3"/>
  <c r="Q2098" i="3"/>
  <c r="Q2099" i="3"/>
  <c r="Q2100" i="3"/>
  <c r="Q2101" i="3"/>
  <c r="Q2102" i="3"/>
  <c r="Q2103" i="3"/>
  <c r="Q2104" i="3"/>
  <c r="Q2105" i="3"/>
  <c r="Q2106" i="3"/>
  <c r="Q2107" i="3"/>
  <c r="Q2108" i="3"/>
  <c r="Q2109" i="3"/>
  <c r="Q2110" i="3"/>
  <c r="Q2111" i="3"/>
  <c r="Q2112" i="3"/>
  <c r="Q2113" i="3"/>
  <c r="Q2114" i="3"/>
  <c r="Q2115" i="3"/>
  <c r="Q2116" i="3"/>
  <c r="Q2117" i="3"/>
  <c r="Q2118" i="3"/>
  <c r="Q2119" i="3"/>
  <c r="Q2120" i="3"/>
  <c r="Q2121" i="3"/>
  <c r="Q2122" i="3"/>
  <c r="Q2123" i="3"/>
  <c r="Q2124" i="3"/>
  <c r="Q2125" i="3"/>
  <c r="Q2126" i="3"/>
  <c r="Q2127" i="3"/>
  <c r="Q2128" i="3"/>
  <c r="Q2129" i="3"/>
  <c r="Q2130" i="3"/>
  <c r="Q2131" i="3"/>
  <c r="Q2132" i="3"/>
  <c r="Q2133" i="3"/>
  <c r="Q2134" i="3"/>
  <c r="Q2135" i="3"/>
  <c r="Q2136" i="3"/>
  <c r="Q2137" i="3"/>
  <c r="Q2138" i="3"/>
  <c r="Q2139" i="3"/>
  <c r="Q2140" i="3"/>
  <c r="Q2141" i="3"/>
  <c r="Q2142" i="3"/>
  <c r="Q2143" i="3"/>
  <c r="Q2144" i="3"/>
  <c r="Q2145" i="3"/>
  <c r="Q2146" i="3"/>
  <c r="Q2147" i="3"/>
  <c r="Q2148" i="3"/>
  <c r="Q2149" i="3"/>
  <c r="Q2150" i="3"/>
  <c r="Q2151" i="3"/>
  <c r="Q2152" i="3"/>
  <c r="Q2153" i="3"/>
  <c r="Q2154" i="3"/>
  <c r="Q2155" i="3"/>
  <c r="Q2156" i="3"/>
  <c r="Q2157" i="3"/>
  <c r="Q2158" i="3"/>
  <c r="Q2159" i="3"/>
  <c r="Q2160" i="3"/>
  <c r="Q2161" i="3"/>
  <c r="Q2162" i="3"/>
  <c r="Q2163" i="3"/>
  <c r="Q2164" i="3"/>
  <c r="Q2165" i="3"/>
  <c r="Q2166" i="3"/>
  <c r="Q2167" i="3"/>
  <c r="Q2168" i="3"/>
  <c r="Q2169" i="3"/>
  <c r="Q2170" i="3"/>
  <c r="Q2171" i="3"/>
  <c r="Q2172" i="3"/>
  <c r="Q2173" i="3"/>
  <c r="Q2174" i="3"/>
  <c r="Q2175" i="3"/>
  <c r="Q2176" i="3"/>
  <c r="Q2177" i="3"/>
  <c r="Q2178" i="3"/>
  <c r="Q2179" i="3"/>
  <c r="Q2180" i="3"/>
  <c r="Q2181" i="3"/>
  <c r="Q2182" i="3"/>
  <c r="Q2183" i="3"/>
  <c r="Q2184" i="3"/>
  <c r="Q2185" i="3"/>
  <c r="Q2186" i="3"/>
  <c r="Q2187" i="3"/>
  <c r="Q2188" i="3"/>
  <c r="Q2189" i="3"/>
  <c r="Q2190" i="3"/>
  <c r="Q2191" i="3"/>
  <c r="Q2192" i="3"/>
  <c r="Q2193" i="3"/>
  <c r="Q2194" i="3"/>
  <c r="Q2195" i="3"/>
  <c r="Q2196" i="3"/>
  <c r="Q2197" i="3"/>
  <c r="Q2198" i="3"/>
  <c r="Q2199" i="3"/>
  <c r="Q2200" i="3"/>
  <c r="Q2201" i="3"/>
  <c r="Q2202" i="3"/>
  <c r="Q2203" i="3"/>
  <c r="Q2204" i="3"/>
  <c r="Q2205" i="3"/>
  <c r="Q2206" i="3"/>
  <c r="Q2207" i="3"/>
  <c r="Q2208" i="3"/>
  <c r="Q2209" i="3"/>
  <c r="Q2210" i="3"/>
  <c r="Q221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2248" i="3"/>
  <c r="Q2249" i="3"/>
  <c r="Q2250" i="3"/>
  <c r="Q2251" i="3"/>
  <c r="Q2252" i="3"/>
  <c r="Q2253" i="3"/>
  <c r="Q2254" i="3"/>
  <c r="Q2255" i="3"/>
  <c r="Q2256" i="3"/>
  <c r="Q2257" i="3"/>
  <c r="Q2258" i="3"/>
  <c r="Q2259" i="3"/>
  <c r="Q2260" i="3"/>
  <c r="Q2261" i="3"/>
  <c r="Q2262" i="3"/>
  <c r="Q2263" i="3"/>
  <c r="Q2264" i="3"/>
  <c r="Q2265" i="3"/>
  <c r="Q2266" i="3"/>
  <c r="Q2267" i="3"/>
  <c r="Q2268" i="3"/>
  <c r="Q2269"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293" i="3"/>
  <c r="Q2294" i="3"/>
  <c r="Q2295" i="3"/>
  <c r="Q2296" i="3"/>
  <c r="Q2297" i="3"/>
  <c r="Q2298" i="3"/>
  <c r="Q2299" i="3"/>
  <c r="Q2300" i="3"/>
  <c r="Q2301" i="3"/>
  <c r="Q2302" i="3"/>
  <c r="Q2303" i="3"/>
  <c r="Q2304" i="3"/>
  <c r="Q2305" i="3"/>
  <c r="Q2306" i="3"/>
  <c r="Q2307" i="3"/>
  <c r="Q2308" i="3"/>
  <c r="Q2309" i="3"/>
  <c r="Q2310" i="3"/>
  <c r="Q2311" i="3"/>
  <c r="Q2312" i="3"/>
  <c r="Q2313" i="3"/>
  <c r="Q2314" i="3"/>
  <c r="Q2315" i="3"/>
  <c r="Q2316" i="3"/>
  <c r="Q2317" i="3"/>
  <c r="Q2318" i="3"/>
  <c r="Q2319" i="3"/>
  <c r="Q2320" i="3"/>
  <c r="Q2321" i="3"/>
  <c r="Q2322" i="3"/>
  <c r="Q2323" i="3"/>
  <c r="Q2324" i="3"/>
  <c r="Q2325" i="3"/>
  <c r="Q2326" i="3"/>
  <c r="Q2327" i="3"/>
  <c r="Q2328" i="3"/>
  <c r="Q2329" i="3"/>
  <c r="Q2330" i="3"/>
  <c r="Q2331" i="3"/>
  <c r="Q2332" i="3"/>
  <c r="Q2333" i="3"/>
  <c r="Q2334" i="3"/>
  <c r="Q2335" i="3"/>
  <c r="Q2336" i="3"/>
  <c r="Q2337" i="3"/>
  <c r="Q2338" i="3"/>
  <c r="Q2339" i="3"/>
  <c r="Q2340" i="3"/>
  <c r="Q2341" i="3"/>
  <c r="Q2342" i="3"/>
  <c r="Q2343" i="3"/>
  <c r="Q2344" i="3"/>
  <c r="Q2345" i="3"/>
  <c r="Q2346" i="3"/>
  <c r="Q2347" i="3"/>
  <c r="Q2348" i="3"/>
  <c r="Q2349" i="3"/>
  <c r="Q2350" i="3"/>
  <c r="Q2351" i="3"/>
  <c r="Q2352" i="3"/>
  <c r="Q2353" i="3"/>
  <c r="Q2354" i="3"/>
  <c r="Q2355" i="3"/>
  <c r="Q2356" i="3"/>
  <c r="Q2357" i="3"/>
  <c r="Q2358" i="3"/>
  <c r="Q2359" i="3"/>
  <c r="Q2360" i="3"/>
  <c r="Q2361" i="3"/>
  <c r="Q2362" i="3"/>
  <c r="Q2363" i="3"/>
  <c r="Q2364" i="3"/>
  <c r="Q2365" i="3"/>
  <c r="Q2366" i="3"/>
  <c r="Q2367" i="3"/>
  <c r="Q2368" i="3"/>
  <c r="Q2369" i="3"/>
  <c r="Q2370" i="3"/>
  <c r="Q2371" i="3"/>
  <c r="Q2372" i="3"/>
  <c r="Q2373" i="3"/>
  <c r="Q2374" i="3"/>
  <c r="Q2375" i="3"/>
  <c r="Q2376" i="3"/>
  <c r="Q2377" i="3"/>
  <c r="Q2378" i="3"/>
  <c r="Q2379" i="3"/>
  <c r="Q2380" i="3"/>
  <c r="Q2381" i="3"/>
  <c r="Q2382" i="3"/>
  <c r="Q2383" i="3"/>
  <c r="Q2384" i="3"/>
  <c r="Q2385" i="3"/>
  <c r="Q2386" i="3"/>
  <c r="Q2387" i="3"/>
  <c r="Q2388" i="3"/>
  <c r="Q2389" i="3"/>
  <c r="Q2390" i="3"/>
  <c r="Q2391" i="3"/>
  <c r="Q2392" i="3"/>
  <c r="Q2393" i="3"/>
  <c r="Q2394" i="3"/>
  <c r="Q2395" i="3"/>
  <c r="Q2396" i="3"/>
  <c r="Q2397" i="3"/>
  <c r="Q2398" i="3"/>
  <c r="Q2399" i="3"/>
  <c r="Q2400" i="3"/>
  <c r="Q2401" i="3"/>
  <c r="Q2402" i="3"/>
  <c r="Q2403" i="3"/>
  <c r="Q2404" i="3"/>
  <c r="Q2405" i="3"/>
  <c r="Q2406" i="3"/>
  <c r="Q2407" i="3"/>
  <c r="Q2408" i="3"/>
  <c r="Q2409" i="3"/>
  <c r="Q2410" i="3"/>
  <c r="Q2411" i="3"/>
  <c r="Q2412" i="3"/>
  <c r="Q2413" i="3"/>
  <c r="Q2414" i="3"/>
  <c r="Q2415" i="3"/>
  <c r="Q2416" i="3"/>
  <c r="Q2417" i="3"/>
  <c r="Q2418" i="3"/>
  <c r="Q2419" i="3"/>
  <c r="Q2420" i="3"/>
  <c r="Q2421" i="3"/>
  <c r="Q2422" i="3"/>
  <c r="Q2423" i="3"/>
  <c r="Q2424" i="3"/>
  <c r="Q2425" i="3"/>
  <c r="Q2426" i="3"/>
  <c r="Q2427" i="3"/>
  <c r="Q2428" i="3"/>
  <c r="Q2429" i="3"/>
  <c r="Q2430" i="3"/>
  <c r="Q2431" i="3"/>
  <c r="Q2432" i="3"/>
  <c r="Q2433" i="3"/>
  <c r="Q2434" i="3"/>
  <c r="Q2435" i="3"/>
  <c r="Q2436" i="3"/>
  <c r="Q2437" i="3"/>
  <c r="Q2438" i="3"/>
  <c r="Q2439" i="3"/>
  <c r="Q2440" i="3"/>
  <c r="Q2441" i="3"/>
  <c r="Q2442" i="3"/>
  <c r="Q2443" i="3"/>
  <c r="Q2444" i="3"/>
  <c r="Q2445" i="3"/>
  <c r="Q2446" i="3"/>
  <c r="Q2447" i="3"/>
  <c r="Q2448" i="3"/>
  <c r="Q2449" i="3"/>
  <c r="Q2450" i="3"/>
  <c r="Q2451" i="3"/>
  <c r="Q2452" i="3"/>
  <c r="Q2453" i="3"/>
  <c r="Q2454" i="3"/>
  <c r="Q2455" i="3"/>
  <c r="Q2456" i="3"/>
  <c r="Q2457" i="3"/>
  <c r="Q2458" i="3"/>
  <c r="Q2459" i="3"/>
  <c r="Q2460" i="3"/>
  <c r="Q2461" i="3"/>
  <c r="Q2462" i="3"/>
  <c r="Q2463" i="3"/>
  <c r="Q2464" i="3"/>
  <c r="Q2465" i="3"/>
  <c r="Q2466" i="3"/>
  <c r="Q2467" i="3"/>
  <c r="Q2468" i="3"/>
  <c r="Q2469" i="3"/>
  <c r="Q2470" i="3"/>
  <c r="Q2471" i="3"/>
  <c r="Q2472" i="3"/>
  <c r="Q2473" i="3"/>
  <c r="Q2474" i="3"/>
  <c r="Q2475" i="3"/>
  <c r="Q2476" i="3"/>
  <c r="Q2477" i="3"/>
  <c r="Q2478" i="3"/>
  <c r="Q2479" i="3"/>
  <c r="Q2480" i="3"/>
  <c r="Q2481" i="3"/>
  <c r="Q2482" i="3"/>
  <c r="Q2483" i="3"/>
  <c r="Q2484" i="3"/>
  <c r="Q2485" i="3"/>
  <c r="Q2486" i="3"/>
  <c r="Q2487" i="3"/>
  <c r="Q2488" i="3"/>
  <c r="Q2489" i="3"/>
  <c r="Q2490" i="3"/>
  <c r="Q2491" i="3"/>
  <c r="Q2492" i="3"/>
  <c r="Q2493" i="3"/>
  <c r="Q2494" i="3"/>
  <c r="Q2495" i="3"/>
  <c r="Q2496" i="3"/>
  <c r="Q2497" i="3"/>
  <c r="Q2498" i="3"/>
  <c r="Q2499" i="3"/>
  <c r="Q2500" i="3"/>
  <c r="Q2501" i="3"/>
  <c r="Q2502" i="3"/>
  <c r="Q2503" i="3"/>
  <c r="Q2504" i="3"/>
  <c r="Q2505" i="3"/>
  <c r="Q2506" i="3"/>
  <c r="Q2507" i="3"/>
  <c r="Q2508" i="3"/>
  <c r="Q2509" i="3"/>
  <c r="Q2510" i="3"/>
  <c r="Q2511" i="3"/>
  <c r="Q2512" i="3"/>
  <c r="Q2513" i="3"/>
  <c r="Q2514" i="3"/>
  <c r="Q2515" i="3"/>
  <c r="Q2516" i="3"/>
  <c r="Q2517" i="3"/>
  <c r="Q2518" i="3"/>
  <c r="Q2519" i="3"/>
  <c r="Q2520" i="3"/>
  <c r="Q2521" i="3"/>
  <c r="Q2522" i="3"/>
  <c r="Q2523" i="3"/>
  <c r="Q2524" i="3"/>
  <c r="Q2525" i="3"/>
  <c r="Q2526" i="3"/>
  <c r="Q2527" i="3"/>
  <c r="Q2528" i="3"/>
  <c r="Q2529" i="3"/>
  <c r="Q2530" i="3"/>
  <c r="Q2531" i="3"/>
  <c r="Q2532" i="3"/>
  <c r="Q2533" i="3"/>
  <c r="Q2534" i="3"/>
  <c r="Q2535" i="3"/>
  <c r="Q2536" i="3"/>
  <c r="Q2537" i="3"/>
  <c r="Q2538" i="3"/>
  <c r="Q2539" i="3"/>
  <c r="Q2540" i="3"/>
  <c r="Q2541" i="3"/>
  <c r="Q2542" i="3"/>
  <c r="Q2543" i="3"/>
  <c r="Q2544" i="3"/>
  <c r="Q2545" i="3"/>
  <c r="Q2546" i="3"/>
  <c r="Q2547" i="3"/>
  <c r="Q2548" i="3"/>
  <c r="Q2549"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2606" i="3"/>
  <c r="Q2607" i="3"/>
  <c r="Q2608" i="3"/>
  <c r="Q2609" i="3"/>
  <c r="Q2610"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2650" i="3"/>
  <c r="Q2651" i="3"/>
  <c r="Q2652" i="3"/>
  <c r="Q2653" i="3"/>
  <c r="Q2654" i="3"/>
  <c r="Q2655" i="3"/>
  <c r="Q2656" i="3"/>
  <c r="Q2657" i="3"/>
  <c r="Q2658" i="3"/>
  <c r="Q2659" i="3"/>
  <c r="Q2660" i="3"/>
  <c r="Q2661" i="3"/>
  <c r="Q2662" i="3"/>
  <c r="Q2663" i="3"/>
  <c r="Q2664" i="3"/>
  <c r="Q2665" i="3"/>
  <c r="Q2666" i="3"/>
  <c r="Q2667" i="3"/>
  <c r="Q2668" i="3"/>
  <c r="Q2669" i="3"/>
  <c r="Q2670" i="3"/>
  <c r="Q2671" i="3"/>
  <c r="Q2672" i="3"/>
  <c r="Q2673" i="3"/>
  <c r="Q2674" i="3"/>
  <c r="Q2675" i="3"/>
  <c r="Q2676" i="3"/>
  <c r="Q2677" i="3"/>
  <c r="Q2678" i="3"/>
  <c r="Q2679" i="3"/>
  <c r="Q2680" i="3"/>
  <c r="Q2681" i="3"/>
  <c r="Q2682" i="3"/>
  <c r="Q2683" i="3"/>
  <c r="Q2684" i="3"/>
  <c r="Q2685" i="3"/>
  <c r="Q2686" i="3"/>
  <c r="Q2687" i="3"/>
  <c r="Q2688" i="3"/>
  <c r="Q2689" i="3"/>
  <c r="Q2690" i="3"/>
  <c r="Q2691" i="3"/>
  <c r="Q2692" i="3"/>
  <c r="Q2693" i="3"/>
  <c r="Q2694" i="3"/>
  <c r="Q2695" i="3"/>
  <c r="Q2696" i="3"/>
  <c r="Q2697" i="3"/>
  <c r="Q2698" i="3"/>
  <c r="Q2699" i="3"/>
  <c r="Q2700" i="3"/>
  <c r="Q2701" i="3"/>
  <c r="Q2702" i="3"/>
  <c r="Q2703" i="3"/>
  <c r="Q2704" i="3"/>
  <c r="Q2705" i="3"/>
  <c r="Q2706" i="3"/>
  <c r="Q2707" i="3"/>
  <c r="Q2708" i="3"/>
  <c r="Q2709" i="3"/>
  <c r="Q2710" i="3"/>
  <c r="Q2711" i="3"/>
  <c r="Q2712" i="3"/>
  <c r="Q2713" i="3"/>
  <c r="Q2714" i="3"/>
  <c r="Q2715" i="3"/>
  <c r="Q2716" i="3"/>
  <c r="Q2717" i="3"/>
  <c r="Q2718" i="3"/>
  <c r="Q2719" i="3"/>
  <c r="Q2720" i="3"/>
  <c r="Q2721" i="3"/>
  <c r="Q2722" i="3"/>
  <c r="Q2723" i="3"/>
  <c r="Q2724" i="3"/>
  <c r="Q2725" i="3"/>
  <c r="Q2726" i="3"/>
  <c r="Q2727" i="3"/>
  <c r="Q2728" i="3"/>
  <c r="Q2729" i="3"/>
  <c r="Q2730" i="3"/>
  <c r="Q2731" i="3"/>
  <c r="Q2732" i="3"/>
  <c r="Q2733" i="3"/>
  <c r="Q2734" i="3"/>
  <c r="Q2735" i="3"/>
  <c r="Q2736" i="3"/>
  <c r="Q2737" i="3"/>
  <c r="Q2738" i="3"/>
  <c r="Q2739" i="3"/>
  <c r="Q2740" i="3"/>
  <c r="Q2741" i="3"/>
  <c r="Q2742" i="3"/>
  <c r="Q2743" i="3"/>
  <c r="Q2744" i="3"/>
  <c r="Q2745" i="3"/>
  <c r="Q2746" i="3"/>
  <c r="Q2747" i="3"/>
  <c r="Q2748" i="3"/>
  <c r="Q2749" i="3"/>
  <c r="Q2750" i="3"/>
  <c r="Q2751" i="3"/>
  <c r="Q2752" i="3"/>
  <c r="Q2753" i="3"/>
  <c r="Q2754" i="3"/>
  <c r="Q2755" i="3"/>
  <c r="Q2756" i="3"/>
  <c r="Q2757" i="3"/>
  <c r="Q2758"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2854" i="3"/>
  <c r="Q2855" i="3"/>
  <c r="Q2856" i="3"/>
  <c r="Q2857" i="3"/>
  <c r="Q2858" i="3"/>
  <c r="Q2859" i="3"/>
  <c r="Q2860" i="3"/>
  <c r="Q2861" i="3"/>
  <c r="Q2862" i="3"/>
  <c r="Q2863" i="3"/>
  <c r="Q2864" i="3"/>
  <c r="Q2865" i="3"/>
  <c r="Q2866" i="3"/>
  <c r="Q2867" i="3"/>
  <c r="Q2868" i="3"/>
  <c r="Q2869" i="3"/>
  <c r="Q2870" i="3"/>
  <c r="Q2871" i="3"/>
  <c r="Q2872" i="3"/>
  <c r="Q2873" i="3"/>
  <c r="Q2874" i="3"/>
  <c r="Q2875" i="3"/>
  <c r="Q2876" i="3"/>
  <c r="Q2877" i="3"/>
  <c r="Q2878" i="3"/>
  <c r="Q2879" i="3"/>
  <c r="Q2880" i="3"/>
  <c r="Q2881" i="3"/>
  <c r="Q2882" i="3"/>
  <c r="Q2883" i="3"/>
  <c r="Q2884" i="3"/>
  <c r="Q2885" i="3"/>
  <c r="Q2886" i="3"/>
  <c r="Q2887" i="3"/>
  <c r="Q2888" i="3"/>
  <c r="Q2889" i="3"/>
  <c r="Q2890" i="3"/>
  <c r="Q2891" i="3"/>
  <c r="Q2892" i="3"/>
  <c r="Q2893" i="3"/>
  <c r="Q2894" i="3"/>
  <c r="Q2895" i="3"/>
  <c r="Q2896" i="3"/>
  <c r="Q2897" i="3"/>
  <c r="Q2898" i="3"/>
  <c r="Q2899" i="3"/>
  <c r="Q2900" i="3"/>
  <c r="Q2901" i="3"/>
  <c r="Q2902" i="3"/>
  <c r="Q2903" i="3"/>
  <c r="Q2904" i="3"/>
  <c r="Q2905" i="3"/>
  <c r="Q2906" i="3"/>
  <c r="Q2907" i="3"/>
  <c r="Q2908"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2940" i="3"/>
  <c r="Q2941" i="3"/>
  <c r="Q2942" i="3"/>
  <c r="Q2943" i="3"/>
  <c r="Q2944"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2997" i="3"/>
  <c r="Q2998" i="3"/>
  <c r="Q2999" i="3"/>
  <c r="Q3000" i="3"/>
  <c r="Q3001" i="3"/>
  <c r="Q3002" i="3"/>
  <c r="Q3003" i="3"/>
  <c r="Q3004" i="3"/>
  <c r="Q3005" i="3"/>
  <c r="Q3006" i="3"/>
  <c r="Q3007" i="3"/>
  <c r="Q3008" i="3"/>
  <c r="Q3009" i="3"/>
  <c r="Q3010" i="3"/>
  <c r="Q3011" i="3"/>
  <c r="Q3012" i="3"/>
  <c r="Q3013" i="3"/>
  <c r="Q3014" i="3"/>
  <c r="Q3015" i="3"/>
  <c r="Q3016" i="3"/>
  <c r="Q3017" i="3"/>
  <c r="Q3018" i="3"/>
  <c r="Q3019" i="3"/>
  <c r="Q3020" i="3"/>
  <c r="Q3021" i="3"/>
  <c r="Q3022" i="3"/>
  <c r="Q3023" i="3"/>
  <c r="Q3024" i="3"/>
  <c r="Q3025" i="3"/>
  <c r="Q3026" i="3"/>
  <c r="Q3027" i="3"/>
  <c r="Q3028" i="3"/>
  <c r="Q3029" i="3"/>
  <c r="Q3030" i="3"/>
  <c r="Q3031" i="3"/>
  <c r="Q3032" i="3"/>
  <c r="Q3033" i="3"/>
  <c r="Q3034" i="3"/>
  <c r="Q3035" i="3"/>
  <c r="Q3036" i="3"/>
  <c r="Q3037" i="3"/>
  <c r="Q3038" i="3"/>
  <c r="Q3039" i="3"/>
  <c r="Q3040" i="3"/>
  <c r="Q3041" i="3"/>
  <c r="Q3042" i="3"/>
  <c r="Q3043" i="3"/>
  <c r="Q3044" i="3"/>
  <c r="Q3045" i="3"/>
  <c r="Q3046" i="3"/>
  <c r="Q3047" i="3"/>
  <c r="Q3048" i="3"/>
  <c r="Q3049" i="3"/>
  <c r="Q3050" i="3"/>
  <c r="Q3051" i="3"/>
  <c r="Q3052" i="3"/>
  <c r="Q3053" i="3"/>
  <c r="Q3054" i="3"/>
  <c r="Q3055" i="3"/>
  <c r="Q3056" i="3"/>
  <c r="Q3057" i="3"/>
  <c r="Q3058" i="3"/>
  <c r="Q3059" i="3"/>
  <c r="Q3060" i="3"/>
  <c r="Q3061" i="3"/>
  <c r="Q3062" i="3"/>
  <c r="Q3063" i="3"/>
  <c r="Q3064" i="3"/>
  <c r="Q3065" i="3"/>
  <c r="Q3066" i="3"/>
  <c r="Q3067" i="3"/>
  <c r="Q3068" i="3"/>
  <c r="Q3069" i="3"/>
  <c r="Q3070" i="3"/>
  <c r="Q3071" i="3"/>
  <c r="Q3072" i="3"/>
  <c r="Q3073" i="3"/>
  <c r="Q3074" i="3"/>
  <c r="Q3075" i="3"/>
  <c r="Q3076" i="3"/>
  <c r="Q3077" i="3"/>
  <c r="Q3078" i="3"/>
  <c r="Q3079" i="3"/>
  <c r="Q3080" i="3"/>
  <c r="Q3081" i="3"/>
  <c r="Q3082" i="3"/>
  <c r="Q3083" i="3"/>
  <c r="Q3084" i="3"/>
  <c r="Q3085" i="3"/>
  <c r="Q3086" i="3"/>
  <c r="Q3087" i="3"/>
  <c r="Q3088" i="3"/>
  <c r="Q3089" i="3"/>
  <c r="Q3090" i="3"/>
  <c r="Q3091" i="3"/>
  <c r="Q3092" i="3"/>
  <c r="Q3093" i="3"/>
  <c r="Q3094" i="3"/>
  <c r="Q3095" i="3"/>
  <c r="Q3096" i="3"/>
  <c r="Q3097" i="3"/>
  <c r="Q3098" i="3"/>
  <c r="Q3099" i="3"/>
  <c r="Q3100" i="3"/>
  <c r="Q3101" i="3"/>
  <c r="Q3102" i="3"/>
  <c r="Q3103" i="3"/>
  <c r="Q3104" i="3"/>
  <c r="Q3105" i="3"/>
  <c r="Q3106" i="3"/>
  <c r="Q3107" i="3"/>
  <c r="Q3108" i="3"/>
  <c r="Q3109" i="3"/>
  <c r="Q3110" i="3"/>
  <c r="Q3111" i="3"/>
  <c r="Q3112" i="3"/>
  <c r="Q3113" i="3"/>
  <c r="Q3114" i="3"/>
  <c r="Q3115" i="3"/>
  <c r="Q3116" i="3"/>
  <c r="Q3117" i="3"/>
  <c r="Q3118" i="3"/>
  <c r="Q3119" i="3"/>
  <c r="Q3120" i="3"/>
  <c r="Q3121" i="3"/>
  <c r="Q3122" i="3"/>
  <c r="Q3123" i="3"/>
  <c r="Q3124" i="3"/>
  <c r="Q3125" i="3"/>
  <c r="Q3126" i="3"/>
  <c r="Q3127" i="3"/>
  <c r="Q3128" i="3"/>
  <c r="Q3129" i="3"/>
  <c r="Q3130" i="3"/>
  <c r="Q3131" i="3"/>
  <c r="Q3132" i="3"/>
  <c r="Q3133" i="3"/>
  <c r="Q3134" i="3"/>
  <c r="Q3135" i="3"/>
  <c r="Q3136" i="3"/>
  <c r="Q3137" i="3"/>
  <c r="Q3138" i="3"/>
  <c r="Q3139" i="3"/>
  <c r="Q3140" i="3"/>
  <c r="Q3141" i="3"/>
  <c r="Q3142" i="3"/>
  <c r="Q3143" i="3"/>
  <c r="Q3144" i="3"/>
  <c r="Q3145" i="3"/>
  <c r="Q3146" i="3"/>
  <c r="Q3147" i="3"/>
  <c r="Q3148" i="3"/>
  <c r="Q3149" i="3"/>
  <c r="Q3150" i="3"/>
  <c r="Q3151" i="3"/>
  <c r="Q3152" i="3"/>
  <c r="Q3153" i="3"/>
  <c r="Q3154" i="3"/>
  <c r="Q3155" i="3"/>
  <c r="Q3156" i="3"/>
  <c r="Q3157" i="3"/>
  <c r="Q3158" i="3"/>
  <c r="Q3159" i="3"/>
  <c r="Q3160" i="3"/>
  <c r="Q3161" i="3"/>
  <c r="Q3162" i="3"/>
  <c r="Q3163" i="3"/>
  <c r="Q3164" i="3"/>
  <c r="Q3165" i="3"/>
  <c r="Q3166" i="3"/>
  <c r="Q3167" i="3"/>
  <c r="Q3168" i="3"/>
  <c r="Q3169" i="3"/>
  <c r="Q3170" i="3"/>
  <c r="Q3171" i="3"/>
  <c r="Q3172" i="3"/>
  <c r="Q3173" i="3"/>
  <c r="Q3174" i="3"/>
  <c r="Q3175" i="3"/>
  <c r="Q3176" i="3"/>
  <c r="Q3177"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D2596" i="3"/>
  <c r="D2597" i="3"/>
  <c r="D2598" i="3"/>
  <c r="D2599" i="3"/>
  <c r="D2600" i="3"/>
  <c r="D2601" i="3"/>
  <c r="D2602" i="3"/>
  <c r="D2603" i="3"/>
  <c r="D2604" i="3"/>
  <c r="D2605" i="3"/>
  <c r="D2606" i="3"/>
  <c r="D2607" i="3"/>
  <c r="D2608" i="3"/>
  <c r="D2609" i="3"/>
  <c r="D2610" i="3"/>
  <c r="D2611" i="3"/>
  <c r="D2612" i="3"/>
  <c r="D2613" i="3"/>
  <c r="D2614" i="3"/>
  <c r="D2615" i="3"/>
  <c r="D2616" i="3"/>
  <c r="D2617" i="3"/>
  <c r="D2618" i="3"/>
  <c r="D2619" i="3"/>
  <c r="D2620" i="3"/>
  <c r="D2621" i="3"/>
  <c r="D2622" i="3"/>
  <c r="D2623" i="3"/>
  <c r="D2624" i="3"/>
  <c r="D2625" i="3"/>
  <c r="D2626" i="3"/>
  <c r="D2627" i="3"/>
  <c r="D2628" i="3"/>
  <c r="D2629" i="3"/>
  <c r="D2630" i="3"/>
  <c r="D2631" i="3"/>
  <c r="D2632" i="3"/>
  <c r="D2633" i="3"/>
  <c r="D2634" i="3"/>
  <c r="D2635" i="3"/>
  <c r="D2636" i="3"/>
  <c r="D2637" i="3"/>
  <c r="D2638" i="3"/>
  <c r="D2639" i="3"/>
  <c r="D2640" i="3"/>
  <c r="D2641" i="3"/>
  <c r="D2642" i="3"/>
  <c r="D2643" i="3"/>
  <c r="D2644" i="3"/>
  <c r="D2645" i="3"/>
  <c r="D2646" i="3"/>
  <c r="D2647" i="3"/>
  <c r="D2648" i="3"/>
  <c r="D2649" i="3"/>
  <c r="D2650" i="3"/>
  <c r="D2651" i="3"/>
  <c r="D2652" i="3"/>
  <c r="D2653" i="3"/>
  <c r="D2654" i="3"/>
  <c r="D2655" i="3"/>
  <c r="D2656" i="3"/>
  <c r="D2657" i="3"/>
  <c r="D2658" i="3"/>
  <c r="D2659" i="3"/>
  <c r="D2660" i="3"/>
  <c r="D2661" i="3"/>
  <c r="D2662" i="3"/>
  <c r="D2663" i="3"/>
  <c r="D2664" i="3"/>
  <c r="D2665" i="3"/>
  <c r="D2666" i="3"/>
  <c r="D2667" i="3"/>
  <c r="D2668" i="3"/>
  <c r="D2669" i="3"/>
  <c r="D2670" i="3"/>
  <c r="D2671" i="3"/>
  <c r="D2672" i="3"/>
  <c r="D2673" i="3"/>
  <c r="D2674" i="3"/>
  <c r="D2675" i="3"/>
  <c r="D2676" i="3"/>
  <c r="D2677" i="3"/>
  <c r="D2678" i="3"/>
  <c r="D2679" i="3"/>
  <c r="D2680" i="3"/>
  <c r="D2681" i="3"/>
  <c r="D2682" i="3"/>
  <c r="D2683" i="3"/>
  <c r="D2684" i="3"/>
  <c r="D2685" i="3"/>
  <c r="D2686" i="3"/>
  <c r="D2687" i="3"/>
  <c r="D2688" i="3"/>
  <c r="D2689" i="3"/>
  <c r="D2690" i="3"/>
  <c r="D2691" i="3"/>
  <c r="D2692" i="3"/>
  <c r="D2693" i="3"/>
  <c r="D2694" i="3"/>
  <c r="D2695" i="3"/>
  <c r="D2696" i="3"/>
  <c r="D2697" i="3"/>
  <c r="D2698" i="3"/>
  <c r="D2699" i="3"/>
  <c r="D2700" i="3"/>
  <c r="D2701" i="3"/>
  <c r="D2702" i="3"/>
  <c r="D2703" i="3"/>
  <c r="D2704" i="3"/>
  <c r="D2705" i="3"/>
  <c r="D2706" i="3"/>
  <c r="D2707" i="3"/>
  <c r="D2708" i="3"/>
  <c r="D2709" i="3"/>
  <c r="D2710" i="3"/>
  <c r="D2711" i="3"/>
  <c r="D2712" i="3"/>
  <c r="D2713" i="3"/>
  <c r="D2714" i="3"/>
  <c r="D2715" i="3"/>
  <c r="D2716" i="3"/>
  <c r="D2717" i="3"/>
  <c r="D2718" i="3"/>
  <c r="D2719" i="3"/>
  <c r="D2720" i="3"/>
  <c r="D2721" i="3"/>
  <c r="D2722" i="3"/>
  <c r="D2723" i="3"/>
  <c r="D2724" i="3"/>
  <c r="D2725" i="3"/>
  <c r="D2726" i="3"/>
  <c r="D2727" i="3"/>
  <c r="D2728" i="3"/>
  <c r="D2729" i="3"/>
  <c r="D2730" i="3"/>
  <c r="D2731" i="3"/>
  <c r="D2732" i="3"/>
  <c r="D2733" i="3"/>
  <c r="D2734" i="3"/>
  <c r="D2735" i="3"/>
  <c r="D2736" i="3"/>
  <c r="D2737" i="3"/>
  <c r="D2738" i="3"/>
  <c r="D2739" i="3"/>
  <c r="D2740" i="3"/>
  <c r="D2741" i="3"/>
  <c r="D2742" i="3"/>
  <c r="D2743" i="3"/>
  <c r="D2744" i="3"/>
  <c r="D2745" i="3"/>
  <c r="D2746" i="3"/>
  <c r="D2747" i="3"/>
  <c r="D2748" i="3"/>
  <c r="D2749" i="3"/>
  <c r="D2750" i="3"/>
  <c r="D2751" i="3"/>
  <c r="D2752" i="3"/>
  <c r="D2753" i="3"/>
  <c r="D2754" i="3"/>
  <c r="D2755" i="3"/>
  <c r="D2756" i="3"/>
  <c r="D2757" i="3"/>
  <c r="D2758" i="3"/>
  <c r="D2759" i="3"/>
  <c r="D2760" i="3"/>
  <c r="D2761" i="3"/>
  <c r="D2762" i="3"/>
  <c r="D2763" i="3"/>
  <c r="D2764" i="3"/>
  <c r="D2765" i="3"/>
  <c r="D2766" i="3"/>
  <c r="D2767" i="3"/>
  <c r="D2768" i="3"/>
  <c r="D2769" i="3"/>
  <c r="D2770" i="3"/>
  <c r="D2771" i="3"/>
  <c r="D2772" i="3"/>
  <c r="D2773" i="3"/>
  <c r="D2774" i="3"/>
  <c r="D2775" i="3"/>
  <c r="D2776" i="3"/>
  <c r="D2777" i="3"/>
  <c r="D2778" i="3"/>
  <c r="D2779" i="3"/>
  <c r="D2780" i="3"/>
  <c r="D2781" i="3"/>
  <c r="D2782" i="3"/>
  <c r="D2783" i="3"/>
  <c r="D2784" i="3"/>
  <c r="D2785" i="3"/>
  <c r="D2786" i="3"/>
  <c r="D2787" i="3"/>
  <c r="D2788" i="3"/>
  <c r="D2789" i="3"/>
  <c r="D2790" i="3"/>
  <c r="D2791" i="3"/>
  <c r="D2792" i="3"/>
  <c r="D2793" i="3"/>
  <c r="D2794" i="3"/>
  <c r="D2795" i="3"/>
  <c r="D2796" i="3"/>
  <c r="D2797" i="3"/>
  <c r="D2798" i="3"/>
  <c r="D2799" i="3"/>
  <c r="D2800" i="3"/>
  <c r="D2801" i="3"/>
  <c r="D2802" i="3"/>
  <c r="D2803" i="3"/>
  <c r="D2804" i="3"/>
  <c r="D2805" i="3"/>
  <c r="D2806" i="3"/>
  <c r="D2807" i="3"/>
  <c r="D2808" i="3"/>
  <c r="D2809" i="3"/>
  <c r="D2810" i="3"/>
  <c r="D2811" i="3"/>
  <c r="D2812" i="3"/>
  <c r="D2813" i="3"/>
  <c r="D2814" i="3"/>
  <c r="D2815" i="3"/>
  <c r="D2816" i="3"/>
  <c r="D2817" i="3"/>
  <c r="D2818" i="3"/>
  <c r="D2819" i="3"/>
  <c r="D2820" i="3"/>
  <c r="D2821" i="3"/>
  <c r="D2822" i="3"/>
  <c r="D2823" i="3"/>
  <c r="D2824" i="3"/>
  <c r="D2825" i="3"/>
  <c r="D2826" i="3"/>
  <c r="D2827" i="3"/>
  <c r="D2828" i="3"/>
  <c r="D2829" i="3"/>
  <c r="D2830" i="3"/>
  <c r="D2831" i="3"/>
  <c r="D2832" i="3"/>
  <c r="D2833" i="3"/>
  <c r="D2834" i="3"/>
  <c r="D2835" i="3"/>
  <c r="D2836" i="3"/>
  <c r="D2837" i="3"/>
  <c r="D2838" i="3"/>
  <c r="D2839" i="3"/>
  <c r="D2840" i="3"/>
  <c r="D2841" i="3"/>
  <c r="D2842" i="3"/>
  <c r="D2843" i="3"/>
  <c r="D2844" i="3"/>
  <c r="D2845" i="3"/>
  <c r="D2846" i="3"/>
  <c r="D2847" i="3"/>
  <c r="D2848" i="3"/>
  <c r="D2849" i="3"/>
  <c r="D2850" i="3"/>
  <c r="D2851" i="3"/>
  <c r="D2852" i="3"/>
  <c r="D2853" i="3"/>
  <c r="D2854" i="3"/>
  <c r="D2855" i="3"/>
  <c r="D2856" i="3"/>
  <c r="D2857" i="3"/>
  <c r="D2858" i="3"/>
  <c r="D2859" i="3"/>
  <c r="D2860" i="3"/>
  <c r="D2861" i="3"/>
  <c r="D2862" i="3"/>
  <c r="D2863" i="3"/>
  <c r="D2864" i="3"/>
  <c r="D2865" i="3"/>
  <c r="D2866" i="3"/>
  <c r="D2867" i="3"/>
  <c r="D2868" i="3"/>
  <c r="D2869" i="3"/>
  <c r="D2870" i="3"/>
  <c r="D2871" i="3"/>
  <c r="D2872" i="3"/>
  <c r="D2873" i="3"/>
  <c r="D2874" i="3"/>
  <c r="D2875" i="3"/>
  <c r="D2876" i="3"/>
  <c r="D2877" i="3"/>
  <c r="D2878" i="3"/>
  <c r="D2879" i="3"/>
  <c r="D2880" i="3"/>
  <c r="D2881" i="3"/>
  <c r="D2882" i="3"/>
  <c r="D2883" i="3"/>
  <c r="D2884" i="3"/>
  <c r="D2885" i="3"/>
  <c r="D2886" i="3"/>
  <c r="D2887" i="3"/>
  <c r="D2888" i="3"/>
  <c r="D2889" i="3"/>
  <c r="D2890" i="3"/>
  <c r="D2891" i="3"/>
  <c r="D2892" i="3"/>
  <c r="D2893" i="3"/>
  <c r="D2894" i="3"/>
  <c r="D2895" i="3"/>
  <c r="D2896" i="3"/>
  <c r="D2897" i="3"/>
  <c r="D2898" i="3"/>
  <c r="D2899" i="3"/>
  <c r="D2900" i="3"/>
  <c r="D2901" i="3"/>
  <c r="D2902" i="3"/>
  <c r="D2903" i="3"/>
  <c r="D2904" i="3"/>
  <c r="D2905" i="3"/>
  <c r="D2906" i="3"/>
  <c r="D2907" i="3"/>
  <c r="D2908" i="3"/>
  <c r="D2909" i="3"/>
  <c r="D2910" i="3"/>
  <c r="D2911" i="3"/>
  <c r="D2912" i="3"/>
  <c r="D2913" i="3"/>
  <c r="D2914" i="3"/>
  <c r="D2915" i="3"/>
  <c r="D2916" i="3"/>
  <c r="D2917" i="3"/>
  <c r="D2918" i="3"/>
  <c r="D2919" i="3"/>
  <c r="D2920" i="3"/>
  <c r="D2921" i="3"/>
  <c r="D2922" i="3"/>
  <c r="D2923" i="3"/>
  <c r="D2924" i="3"/>
  <c r="D2925" i="3"/>
  <c r="D2926" i="3"/>
  <c r="D2927" i="3"/>
  <c r="D2928" i="3"/>
  <c r="D2929" i="3"/>
  <c r="D2930" i="3"/>
  <c r="D2931" i="3"/>
  <c r="D2932" i="3"/>
  <c r="D2933" i="3"/>
  <c r="D2934" i="3"/>
  <c r="D2935" i="3"/>
  <c r="D2936" i="3"/>
  <c r="D2937" i="3"/>
  <c r="D2938" i="3"/>
  <c r="D2939" i="3"/>
  <c r="D2940" i="3"/>
  <c r="D2941" i="3"/>
  <c r="D2942" i="3"/>
  <c r="D2943" i="3"/>
  <c r="D2944" i="3"/>
  <c r="D2945" i="3"/>
  <c r="D2946" i="3"/>
  <c r="D2947" i="3"/>
  <c r="D2948" i="3"/>
  <c r="D2949" i="3"/>
  <c r="D2950" i="3"/>
  <c r="D2951" i="3"/>
  <c r="D2952" i="3"/>
  <c r="D2953" i="3"/>
  <c r="D2954" i="3"/>
  <c r="D2955" i="3"/>
  <c r="D2956" i="3"/>
  <c r="D2957" i="3"/>
  <c r="D2958" i="3"/>
  <c r="D2959" i="3"/>
  <c r="D2960" i="3"/>
  <c r="D2961" i="3"/>
  <c r="D2962" i="3"/>
  <c r="D2963" i="3"/>
  <c r="D2964" i="3"/>
  <c r="D2965" i="3"/>
  <c r="D2966" i="3"/>
  <c r="D2967" i="3"/>
  <c r="D2968" i="3"/>
  <c r="D2969" i="3"/>
  <c r="D2970" i="3"/>
  <c r="D2971" i="3"/>
  <c r="D2972" i="3"/>
  <c r="D2973" i="3"/>
  <c r="D2974" i="3"/>
  <c r="D2975" i="3"/>
  <c r="D2976" i="3"/>
  <c r="D2977" i="3"/>
  <c r="D2978" i="3"/>
  <c r="D2979" i="3"/>
  <c r="D2980" i="3"/>
  <c r="D2981" i="3"/>
  <c r="D2982" i="3"/>
  <c r="D2983" i="3"/>
  <c r="D2984" i="3"/>
  <c r="D2985" i="3"/>
  <c r="D2986" i="3"/>
  <c r="D2987" i="3"/>
  <c r="D2988" i="3"/>
  <c r="D2989" i="3"/>
  <c r="D2990" i="3"/>
  <c r="D2991" i="3"/>
  <c r="D2992" i="3"/>
  <c r="D2993" i="3"/>
  <c r="D2994" i="3"/>
  <c r="D2995" i="3"/>
  <c r="D2996" i="3"/>
  <c r="D2997" i="3"/>
  <c r="D2998" i="3"/>
  <c r="D2999" i="3"/>
  <c r="D3000" i="3"/>
  <c r="D3001" i="3"/>
  <c r="D3002" i="3"/>
  <c r="D3003" i="3"/>
  <c r="D3004" i="3"/>
  <c r="D3005" i="3"/>
  <c r="D3006" i="3"/>
  <c r="D3007" i="3"/>
  <c r="D3008" i="3"/>
  <c r="D3009" i="3"/>
  <c r="D3010" i="3"/>
  <c r="D3011" i="3"/>
  <c r="D3012" i="3"/>
  <c r="D3013" i="3"/>
  <c r="D3014" i="3"/>
  <c r="D3015" i="3"/>
  <c r="D3016" i="3"/>
  <c r="D3017" i="3"/>
  <c r="D3018" i="3"/>
  <c r="D3019" i="3"/>
  <c r="D3020" i="3"/>
  <c r="D3021" i="3"/>
  <c r="D3022" i="3"/>
  <c r="D3023" i="3"/>
  <c r="D3024" i="3"/>
  <c r="D3025" i="3"/>
  <c r="D3026" i="3"/>
  <c r="D3027" i="3"/>
  <c r="D3028" i="3"/>
  <c r="D3029" i="3"/>
  <c r="D3030" i="3"/>
  <c r="D3031" i="3"/>
  <c r="D3032" i="3"/>
  <c r="D3033" i="3"/>
  <c r="D3034" i="3"/>
  <c r="D3035" i="3"/>
  <c r="D3036" i="3"/>
  <c r="D3037" i="3"/>
  <c r="D3038" i="3"/>
  <c r="D3039" i="3"/>
  <c r="D3040" i="3"/>
  <c r="D3041" i="3"/>
  <c r="D3042" i="3"/>
  <c r="D3043" i="3"/>
  <c r="D3044" i="3"/>
  <c r="D3045" i="3"/>
  <c r="D3046" i="3"/>
  <c r="D3047" i="3"/>
  <c r="D3048" i="3"/>
  <c r="D3049" i="3"/>
  <c r="D3050" i="3"/>
  <c r="D3051" i="3"/>
  <c r="D3052" i="3"/>
  <c r="D3053" i="3"/>
  <c r="D3054" i="3"/>
  <c r="D3055" i="3"/>
  <c r="D3056" i="3"/>
  <c r="D3057" i="3"/>
  <c r="D3058" i="3"/>
  <c r="D3059" i="3"/>
  <c r="D3060" i="3"/>
  <c r="D3061" i="3"/>
  <c r="D3062" i="3"/>
  <c r="D3063" i="3"/>
  <c r="D3064" i="3"/>
  <c r="D3065" i="3"/>
  <c r="D3066" i="3"/>
  <c r="D3067" i="3"/>
  <c r="D3068" i="3"/>
  <c r="D3069" i="3"/>
  <c r="D3070" i="3"/>
  <c r="D3071" i="3"/>
  <c r="D3072" i="3"/>
  <c r="D3073" i="3"/>
  <c r="D3074" i="3"/>
  <c r="D3075" i="3"/>
  <c r="D3076" i="3"/>
  <c r="D3077" i="3"/>
  <c r="D3078" i="3"/>
  <c r="D3079" i="3"/>
  <c r="D3080" i="3"/>
  <c r="D3081" i="3"/>
  <c r="D3082" i="3"/>
  <c r="D3083" i="3"/>
  <c r="D3084" i="3"/>
  <c r="D3085" i="3"/>
  <c r="D3086" i="3"/>
  <c r="D3087" i="3"/>
  <c r="D3088" i="3"/>
  <c r="D3089" i="3"/>
  <c r="D3090" i="3"/>
  <c r="D3091" i="3"/>
  <c r="D3092" i="3"/>
  <c r="D3093" i="3"/>
  <c r="D3094" i="3"/>
  <c r="D3095" i="3"/>
  <c r="D3096" i="3"/>
  <c r="D3097" i="3"/>
  <c r="D3098" i="3"/>
  <c r="D3099" i="3"/>
  <c r="D3100" i="3"/>
  <c r="D3101" i="3"/>
  <c r="D3102" i="3"/>
  <c r="D3103" i="3"/>
  <c r="D3104" i="3"/>
  <c r="D3105" i="3"/>
  <c r="D3106" i="3"/>
  <c r="D3107" i="3"/>
  <c r="D3108" i="3"/>
  <c r="D3109" i="3"/>
  <c r="D3110" i="3"/>
  <c r="D3111" i="3"/>
  <c r="D3112" i="3"/>
  <c r="D3113" i="3"/>
  <c r="D3114" i="3"/>
  <c r="D3115" i="3"/>
  <c r="D3116" i="3"/>
  <c r="D3117" i="3"/>
  <c r="D3118" i="3"/>
  <c r="D3119" i="3"/>
  <c r="D3120" i="3"/>
  <c r="D3121" i="3"/>
  <c r="D3122" i="3"/>
  <c r="D3123" i="3"/>
  <c r="D3124" i="3"/>
  <c r="D3125" i="3"/>
  <c r="D3126" i="3"/>
  <c r="D3127" i="3"/>
  <c r="D3128" i="3"/>
  <c r="D3129" i="3"/>
  <c r="D3130" i="3"/>
  <c r="D3131" i="3"/>
  <c r="D3132" i="3"/>
  <c r="D3133" i="3"/>
  <c r="D3134" i="3"/>
  <c r="D3135" i="3"/>
  <c r="D3136" i="3"/>
  <c r="D3137" i="3"/>
  <c r="D3138" i="3"/>
  <c r="D3139" i="3"/>
  <c r="D3140" i="3"/>
  <c r="D3141" i="3"/>
  <c r="D3142" i="3"/>
  <c r="D3143" i="3"/>
  <c r="D3144" i="3"/>
  <c r="D3145" i="3"/>
  <c r="D3146" i="3"/>
  <c r="D3147" i="3"/>
  <c r="D3148" i="3"/>
  <c r="D3149" i="3"/>
  <c r="D3150" i="3"/>
  <c r="D3151" i="3"/>
  <c r="D3152" i="3"/>
  <c r="D3153" i="3"/>
  <c r="D3154" i="3"/>
  <c r="D3155" i="3"/>
  <c r="D3156" i="3"/>
  <c r="D3157" i="3"/>
  <c r="D3158" i="3"/>
  <c r="D3159" i="3"/>
  <c r="D3160" i="3"/>
  <c r="D3161" i="3"/>
  <c r="D3162" i="3"/>
  <c r="D3163" i="3"/>
  <c r="D3164" i="3"/>
  <c r="D3165" i="3"/>
  <c r="D3166" i="3"/>
  <c r="D3167" i="3"/>
  <c r="D3168" i="3"/>
  <c r="D3169" i="3"/>
  <c r="D3170" i="3"/>
  <c r="D3171" i="3"/>
  <c r="D3172" i="3"/>
  <c r="D3173" i="3"/>
  <c r="D3174" i="3"/>
  <c r="D3175" i="3"/>
  <c r="D3176" i="3"/>
  <c r="D3177"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285906-9CDE-4FAC-952B-AA89C0919B74}" keepAlive="1" name="Query - AMAZON_FASHION_5" description="Connection to the 'AMAZON_FASHION_5' query in the workbook." type="5" refreshedVersion="0" background="1" saveData="1">
    <dbPr connection="Provider=Microsoft.Mashup.OleDb.1;Data Source=$Workbook$;Location=AMAZON_FASHION_5;Extended Properties=&quot;&quot;" command="SELECT * FROM [AMAZON_FASHION_5]"/>
  </connection>
  <connection id="2" xr16:uid="{C7F291DE-374B-4CA8-8064-0E1E475A7566}" keepAlive="1" name="Query - AMAZON_FASHION_5 (2)" description="Connection to the 'AMAZON_FASHION_5 (2)' query in the workbook." type="5" refreshedVersion="8" background="1" saveData="1">
    <dbPr connection="Provider=Microsoft.Mashup.OleDb.1;Data Source=$Workbook$;Location=&quot;AMAZON_FASHION_5 (2)&quot;;Extended Properties=&quot;&quot;" command="SELECT * FROM [AMAZON_FASHION_5 (2)]"/>
  </connection>
</connections>
</file>

<file path=xl/sharedStrings.xml><?xml version="1.0" encoding="utf-8"?>
<sst xmlns="http://schemas.openxmlformats.org/spreadsheetml/2006/main" count="31570" uniqueCount="1675">
  <si>
    <t>overall</t>
  </si>
  <si>
    <t>verified</t>
  </si>
  <si>
    <t>reviewerID</t>
  </si>
  <si>
    <t>asin</t>
  </si>
  <si>
    <t>reviewerName</t>
  </si>
  <si>
    <t>reviewText</t>
  </si>
  <si>
    <t>summary</t>
  </si>
  <si>
    <t>unixReviewTime</t>
  </si>
  <si>
    <t>style/Size Name:</t>
  </si>
  <si>
    <t>style/Style:</t>
  </si>
  <si>
    <t>vote</t>
  </si>
  <si>
    <t>ALJ66O1Y6SLHA</t>
  </si>
  <si>
    <t>B000K2PJ4K</t>
  </si>
  <si>
    <t xml:space="preserve"> Big Boys</t>
  </si>
  <si>
    <t xml:space="preserve"> Blue/Orange</t>
  </si>
  <si>
    <t>Tonya B.</t>
  </si>
  <si>
    <t>Great product and price!</t>
  </si>
  <si>
    <t>Five Stars</t>
  </si>
  <si>
    <t/>
  </si>
  <si>
    <t xml:space="preserve"> Black (37467610) / Red/White</t>
  </si>
  <si>
    <t xml:space="preserve"> Blue/Gray Logo</t>
  </si>
  <si>
    <t xml:space="preserve"> Blue (37867638-99) / Yellow</t>
  </si>
  <si>
    <t xml:space="preserve"> Blue/Pink</t>
  </si>
  <si>
    <t>A3W11493KS6Z2L</t>
  </si>
  <si>
    <t xml:space="preserve"> Little Boys</t>
  </si>
  <si>
    <t xml:space="preserve"> White/Black</t>
  </si>
  <si>
    <t>NaeNae</t>
  </si>
  <si>
    <t>Waaay too small. Will use for futur children!</t>
  </si>
  <si>
    <t>Oops!</t>
  </si>
  <si>
    <t>Stays vibrant after many washes</t>
  </si>
  <si>
    <t>Great</t>
  </si>
  <si>
    <t>Good</t>
  </si>
  <si>
    <t>My son really likes the pink. Ones which I was nervous about</t>
  </si>
  <si>
    <t xml:space="preserve"> Light Blue/Red</t>
  </si>
  <si>
    <t>Waaay too small. Will use for future child.</t>
  </si>
  <si>
    <t>A3HX4X3TIABWOV</t>
  </si>
  <si>
    <t>B000KPIHQ4</t>
  </si>
  <si>
    <t>Denise A. Conte</t>
  </si>
  <si>
    <t>Relieved my Plantar Fascitis for 3 Days. Then the unbearable pain returned in full force. These were recommended by my Podiatrist.</t>
  </si>
  <si>
    <t>These were recommended by my Podiatrist</t>
  </si>
  <si>
    <t xml:space="preserve"> Men's 6-6.5, Women's 8-8.5</t>
  </si>
  <si>
    <t xml:space="preserve"> Pinnacle</t>
  </si>
  <si>
    <t>AW8UBYMNJ894V</t>
  </si>
  <si>
    <t>Cognizant Consumer</t>
  </si>
  <si>
    <t>This is my 6th pair and they are the best thing ever for my plantar fasciitis and resultant neuromas. Unfortunately, the ones I ordered from SmartDestination must be seconds as they kill my feet. The hard plastic insert rubs on the outside edges of my feet. I am unable to exchange them as I waited one day too late to use them in my walking shoes.</t>
  </si>
  <si>
    <t>Not the same as all my other pairs.</t>
  </si>
  <si>
    <t xml:space="preserve"> Men's 8-8.5, Women's 10-10.5</t>
  </si>
  <si>
    <t>A265UZVOZWTTXQ</t>
  </si>
  <si>
    <t>William_Jasper</t>
  </si>
  <si>
    <t>We have used these inserts for years.  They provide great support.</t>
  </si>
  <si>
    <t>Great inserts</t>
  </si>
  <si>
    <t>Pinnacle seems to have more cushioning so my husband likes them better. He's tried all the other Powerstep inserts as well as other brands. This is his must have insert. He is 6'3" and weighs 257lbs with bone spurs (plantar fasciitis) and a high instep. He is very active and wears these in all his shoes. His bone spurs rarely bother him any more. Remember to replace them every 3 months if you wear them every day, especially if you weigh more than average and/or run.</t>
  </si>
  <si>
    <t>Personal favorite</t>
  </si>
  <si>
    <t>Excellent insole with good support.</t>
  </si>
  <si>
    <t>A little more cushion than the Powerstep Protech but the arch is maybe just a little lower. We love both styles. Excellent for plantar fasciitis and neuromas.</t>
  </si>
  <si>
    <t>Great comfort!</t>
  </si>
  <si>
    <t>These insoles help my heels feel much better.  I would never wear a pair of athletic shoes with the original insoles.</t>
  </si>
  <si>
    <t>These insoles help my heel feels much better. I would never wear a pair of athletic ...</t>
  </si>
  <si>
    <t>B000V0IBDM</t>
  </si>
  <si>
    <t>A3QY3THQ42WSCQ</t>
  </si>
  <si>
    <t>B000YFSR5G</t>
  </si>
  <si>
    <t xml:space="preserve"> X-Large</t>
  </si>
  <si>
    <t xml:space="preserve"> Charcoal Heather</t>
  </si>
  <si>
    <t>Amazon Customer</t>
  </si>
  <si>
    <t>Waaaay too BIG</t>
  </si>
  <si>
    <t>One Star</t>
  </si>
  <si>
    <t>AGZ5OOZVDO194</t>
  </si>
  <si>
    <t xml:space="preserve"> XX-Large</t>
  </si>
  <si>
    <t xml:space="preserve"> Deep Royal</t>
  </si>
  <si>
    <t>Comfortable</t>
  </si>
  <si>
    <t>A3GJ3DJU1RXOHN</t>
  </si>
  <si>
    <t>B000YFSR4W</t>
  </si>
  <si>
    <t>JCW</t>
  </si>
  <si>
    <t>great price for the product, though the sizes tend to be bigger (based on mens size i think).  there wasn't a size chart to refer to when i was ordering, so i ended up buying two, each at a difference size.</t>
  </si>
  <si>
    <t>size runs big</t>
  </si>
  <si>
    <t>A232J1FHOQI5YN</t>
  </si>
  <si>
    <t xml:space="preserve"> Navy</t>
  </si>
  <si>
    <t>Louis Robbio</t>
  </si>
  <si>
    <t>Good product for the price.  Used very day and no problem.</t>
  </si>
  <si>
    <t>A2ON4RYI9Z4SQ</t>
  </si>
  <si>
    <t xml:space="preserve"> Medium</t>
  </si>
  <si>
    <t xml:space="preserve"> Light Steel</t>
  </si>
  <si>
    <t>Fhteacher</t>
  </si>
  <si>
    <t>Good fit even after washing in hot water to force shrinking. I have a 30 inch inseam and 34 waist and got a medium size. Note that these sweatpants are very thick so not good for warm climates. Good quality and great price.</t>
  </si>
  <si>
    <t>Good fit</t>
  </si>
  <si>
    <t>Excellent value.  Comfortable.</t>
  </si>
  <si>
    <t>Excellent Product</t>
  </si>
  <si>
    <t>A1EZN3E9R322YJ</t>
  </si>
  <si>
    <t xml:space="preserve"> XXX-Large</t>
  </si>
  <si>
    <t>wayne ereira</t>
  </si>
  <si>
    <t>Typical Hanes quality. Good weight, sized just right, made pretty well</t>
  </si>
  <si>
    <t>Typical Quality</t>
  </si>
  <si>
    <t>A3T8NHQYBQSV1X</t>
  </si>
  <si>
    <t>Mark</t>
  </si>
  <si>
    <t>The waist string broke first time trying them on. Luckily I don't really need the wast string but it would be nice if it did not break._x000D_
_x000D_
That being said the pants fit as expected and are comfortable. Probably shop around next time I make a sweatpant purchase.</t>
  </si>
  <si>
    <t>Don't sweat the pants</t>
  </si>
  <si>
    <t>A2NEJIX5NIH2ZZ</t>
  </si>
  <si>
    <t>jami</t>
  </si>
  <si>
    <t>Fit perfectly. I bought dark grey, and they didn't fade</t>
  </si>
  <si>
    <t xml:space="preserve"> Black</t>
  </si>
  <si>
    <t>They fit great. But they fade bad</t>
  </si>
  <si>
    <t>Three Stars</t>
  </si>
  <si>
    <t>I only give four stars because the pants have no pockets.</t>
  </si>
  <si>
    <t>Four Stars</t>
  </si>
  <si>
    <t>A1G0HYMR02WM2W</t>
  </si>
  <si>
    <t>Cici Ciconia</t>
  </si>
  <si>
    <t>Average product.  As described.</t>
  </si>
  <si>
    <t>A2BFZUQ2XV535H</t>
  </si>
  <si>
    <t xml:space="preserve"> Large</t>
  </si>
  <si>
    <t>comfy fit</t>
  </si>
  <si>
    <t>ABX2R8Q6GBTJ8</t>
  </si>
  <si>
    <t>Sammy C.</t>
  </si>
  <si>
    <t>Nice pants but too small for a medium. Return it.</t>
  </si>
  <si>
    <t>Returned also</t>
  </si>
  <si>
    <t>Nice pants but too small for a medium. Returned it.</t>
  </si>
  <si>
    <t>Returned</t>
  </si>
  <si>
    <t>A1Y01U6OZLZE7I</t>
  </si>
  <si>
    <t>Heather Devine</t>
  </si>
  <si>
    <t>Very comfy. If they had pockets, theyd be awesome! I bought these for me to lounge around in and my husband has stolen them. I might have to buy another pair!</t>
  </si>
  <si>
    <t>Comfy and warm.</t>
  </si>
  <si>
    <t>A21HH0VIBKK80J</t>
  </si>
  <si>
    <t>Sondra McDonald</t>
  </si>
  <si>
    <t>Was terribly disappointed, the pants were way too large in the legs, my husband looked like he was wearing blown up clown pants.</t>
  </si>
  <si>
    <t>Was terribly disappointed, the pants were way too large in ...</t>
  </si>
  <si>
    <t>As described.</t>
  </si>
  <si>
    <t>Very comfy for wearing at home.</t>
  </si>
  <si>
    <t>A3E30OLSMGJEVK</t>
  </si>
  <si>
    <t>ladybug</t>
  </si>
  <si>
    <t>So comfortable and soft.</t>
  </si>
  <si>
    <t>Hanes pants</t>
  </si>
  <si>
    <t>A26TEJJ6YOGWMZ</t>
  </si>
  <si>
    <t>Henry A.</t>
  </si>
  <si>
    <t>Did not fit well. Was not comfortable. Switched to "Fruit of the loom". Fruit of the loom are somewhat oversized but fit well and are very comfortable.</t>
  </si>
  <si>
    <t>Was not comfortable. Switched to "Fruit of the loom"</t>
  </si>
  <si>
    <t>A2J9WEIRNVTX61</t>
  </si>
  <si>
    <t>Wildcat</t>
  </si>
  <si>
    <t>No pockets and huge, the bottom of the pants go over shoes</t>
  </si>
  <si>
    <t>large with no pockets</t>
  </si>
  <si>
    <t>A2UUEV4MYOJY66</t>
  </si>
  <si>
    <t>Fix-it Man</t>
  </si>
  <si>
    <t>Not much for wearing anything other than jeans. These fit OK for my size. Nice for lounging in around the house.</t>
  </si>
  <si>
    <t>Fleece Pants</t>
  </si>
  <si>
    <t>A36GNVEQP92OPA</t>
  </si>
  <si>
    <t>Peter B. Thorp</t>
  </si>
  <si>
    <t>Love 'em, just the plain no frills no pockets not too heavy good ol sweatpants.</t>
  </si>
  <si>
    <t>A3CNRM11BHAR1A</t>
  </si>
  <si>
    <t>B0012DR1LU</t>
  </si>
  <si>
    <t>DD</t>
  </si>
  <si>
    <t>Havaiana's are THE BEST!!!</t>
  </si>
  <si>
    <t>Perfect color!</t>
  </si>
  <si>
    <t>I love Havaianas!</t>
  </si>
  <si>
    <t>A276HQXYS553QW</t>
  </si>
  <si>
    <t>B0014F8TIU</t>
  </si>
  <si>
    <t xml:space="preserve"> One Size</t>
  </si>
  <si>
    <t xml:space="preserve"> Black/White</t>
  </si>
  <si>
    <t>AvidShopper</t>
  </si>
  <si>
    <t>Should have listened to other reviews. The elastics does not hold up.</t>
  </si>
  <si>
    <t>Constantly rolls down</t>
  </si>
  <si>
    <t>A3BN0MRGRDKM0J</t>
  </si>
  <si>
    <t xml:space="preserve"> Red/White/Blue</t>
  </si>
  <si>
    <t>j.morris</t>
  </si>
  <si>
    <t>Superrrr thigh high. Im 54 and it easily reaches 3/4 up my thigh!!</t>
  </si>
  <si>
    <t>Great!!! Very high!</t>
  </si>
  <si>
    <t>I just wish they would not roll down.</t>
  </si>
  <si>
    <t>Cute but will roll</t>
  </si>
  <si>
    <t>B0014HA6VG</t>
  </si>
  <si>
    <t xml:space="preserve"> Fireman (Red)</t>
  </si>
  <si>
    <t>Sadly, not a true red. It's definitely orange</t>
  </si>
  <si>
    <t xml:space="preserve"> Space Hero (Blue)</t>
  </si>
  <si>
    <t>Well made, soft, thick &amp; so very colorful. Bought the just as gorgeous rich, red Fireman's scarf, too. My little fella is quite the fashion plate! And toasty, too!</t>
  </si>
  <si>
    <t>Well made, soft, thick &amp; so very colorful ...</t>
  </si>
  <si>
    <t>A1Z8U8IPBLBEU5</t>
  </si>
  <si>
    <t>B0017LD0BM</t>
  </si>
  <si>
    <t xml:space="preserve"> 1.50</t>
  </si>
  <si>
    <t>Seth Hanson</t>
  </si>
  <si>
    <t>Not pretty for fashion but great around the house and work.</t>
  </si>
  <si>
    <t xml:space="preserve"> 2.50</t>
  </si>
  <si>
    <t>I'm not sure I was shipped the correct style.  The ones I received are a lot clunkier than I expected, although the quality is fine.</t>
  </si>
  <si>
    <t>Huh</t>
  </si>
  <si>
    <t>A33GD4H5O1MK6S</t>
  </si>
  <si>
    <t xml:space="preserve"> 3.25</t>
  </si>
  <si>
    <t>phil bensinger</t>
  </si>
  <si>
    <t>Excellent value</t>
  </si>
  <si>
    <t>excellent value and quality</t>
  </si>
  <si>
    <t>A12DWXDNZQTKXQ</t>
  </si>
  <si>
    <t xml:space="preserve"> 2.75</t>
  </si>
  <si>
    <t>TDL Chicago</t>
  </si>
  <si>
    <t>they are fine for the value, particularly since I lose so many_x000D_
reading glasses.  some of the screws do require constant_x000D_
tightening.</t>
  </si>
  <si>
    <t>loose screws</t>
  </si>
  <si>
    <t>A2VR6SWVSF6K4</t>
  </si>
  <si>
    <t xml:space="preserve"> 2.25</t>
  </si>
  <si>
    <t>C. Schmitt</t>
  </si>
  <si>
    <t>It is so handy to have this many reading glasses at such a reasonable price.  I like this style reading glasses instead of the ones with nose pieces, I find this style more comfortable.  These glasses are very nice...cheaper than Walmart!</t>
  </si>
  <si>
    <t>Good Value</t>
  </si>
  <si>
    <t>B0017LGD34</t>
  </si>
  <si>
    <t>A3UMNRR89DIZRM</t>
  </si>
  <si>
    <t>B001IKJOLW</t>
  </si>
  <si>
    <t xml:space="preserve"> 7 B(M) US</t>
  </si>
  <si>
    <t xml:space="preserve"> Black/White/Anthracite/Stealth</t>
  </si>
  <si>
    <t>Good light weight shoe...had to add insole for more support.</t>
  </si>
  <si>
    <t>AZRZ2FB7CFNOE</t>
  </si>
  <si>
    <t xml:space="preserve"> 8 B(M) US</t>
  </si>
  <si>
    <t>Catherine Uribe</t>
  </si>
  <si>
    <t>I love my tennis shoes</t>
  </si>
  <si>
    <t>A4M7JTCBXRAT3</t>
  </si>
  <si>
    <t xml:space="preserve"> 9.5 B(M) US</t>
  </si>
  <si>
    <t>Micki from FL</t>
  </si>
  <si>
    <t>This is a shoe I will wear with black dress pants or jeans when I need comfort and a little style, but I am not impressed.  This is a very flimsy shoe with little support at all.  Not like any Nike I've ever purchased in the past.  It looks nice, but it's not comfortable.</t>
  </si>
  <si>
    <t>LOOKS GOOD, FEELS ICKY!</t>
  </si>
  <si>
    <t>A2TRI54C8EMCX</t>
  </si>
  <si>
    <t xml:space="preserve"> 9 B(M) US</t>
  </si>
  <si>
    <t xml:space="preserve"> Black/Wolf Grey/White/Pink</t>
  </si>
  <si>
    <t>Andrea Seo B.</t>
  </si>
  <si>
    <t>Love it!! Super comfortable and nice!! Got more than I expected, super flexible great for training. Definetly recommend it.</t>
  </si>
  <si>
    <t>Love it!! Definetly recommend it</t>
  </si>
  <si>
    <t>A1WVSBL8J4ZESK</t>
  </si>
  <si>
    <t xml:space="preserve"> 7.5 D(M) US</t>
  </si>
  <si>
    <t xml:space="preserve"> Cool Grey/Team Orange/White/Platinum</t>
  </si>
  <si>
    <t>Magu</t>
  </si>
  <si>
    <t>Excelente</t>
  </si>
  <si>
    <t>A2GJUMX0CRHLIN</t>
  </si>
  <si>
    <t xml:space="preserve"> 13 D(M) US</t>
  </si>
  <si>
    <t>These shoes are poorly constructed and I don't expect them to last more that one summer.  Would not recommend, and will not order another Nike downshifter series again</t>
  </si>
  <si>
    <t>Cheap</t>
  </si>
  <si>
    <t>A3KAX5RZ4XH9L7</t>
  </si>
  <si>
    <t xml:space="preserve"> 9 D(M) US</t>
  </si>
  <si>
    <t>initialkl</t>
  </si>
  <si>
    <t>For the price I spent on the pair of shoes, I'd say it's as good as expected._x000D_
It's comfortable and doesn't hurt my feet when I run.</t>
  </si>
  <si>
    <t>Pretty comfortable pair of running shoes</t>
  </si>
  <si>
    <t>A2YI41MCJB2QCV</t>
  </si>
  <si>
    <t xml:space="preserve"> 8.5 B(M) US</t>
  </si>
  <si>
    <t>Elizabeth Gravesen</t>
  </si>
  <si>
    <t>I always get a half size up in my tennis shoes. For some reason these feel to big in the heel area and wide.</t>
  </si>
  <si>
    <t>I always get a half size up in my tennis ...</t>
  </si>
  <si>
    <t>A3ONF0JD2UBP54</t>
  </si>
  <si>
    <t xml:space="preserve"> 7.5 B(M) US</t>
  </si>
  <si>
    <t xml:space="preserve"> Bright Mango/Crimson/White/Blue</t>
  </si>
  <si>
    <t>Denise L Woodruff</t>
  </si>
  <si>
    <t>Put them on and walked 3 hours with no problem! Love them! So light feeling</t>
  </si>
  <si>
    <t>Love them! So light feeling</t>
  </si>
  <si>
    <t>A3R09ZAUTB2PUU</t>
  </si>
  <si>
    <t xml:space="preserve"> 10.5 D(M) US</t>
  </si>
  <si>
    <t>ely concepcion</t>
  </si>
  <si>
    <t>excelente</t>
  </si>
  <si>
    <t>A1VH37JYIIHE3F</t>
  </si>
  <si>
    <t>Margaret</t>
  </si>
  <si>
    <t>Love these shoes!_x000D_
So stylish and comfortable. Just got back from a trip to NYC, Black and white Nikes and yoga pants are in high fashion right now!</t>
  </si>
  <si>
    <t>Love these shoes</t>
  </si>
  <si>
    <t>AOZHQ15OKY2ZT</t>
  </si>
  <si>
    <t xml:space="preserve"> Blue Tint/Green Glow/Hasta/White</t>
  </si>
  <si>
    <t>Fixalot</t>
  </si>
  <si>
    <t>This shoe is JUST OK. Its not as comfortable as I was expecting, compared to my last pair of NIKE shoes. I hope they hold up.</t>
  </si>
  <si>
    <t>Its not as comfortable as I was expecting</t>
  </si>
  <si>
    <t>A2YZERYQTLB8NG</t>
  </si>
  <si>
    <t>Lenci</t>
  </si>
  <si>
    <t>Best tennis shoes I've had all my life. Very comfortable out the box. I would buy 10 pairs of these shoes if had the money.</t>
  </si>
  <si>
    <t>Very Comfortable</t>
  </si>
  <si>
    <t>A2EGVPBTNJI3HB</t>
  </si>
  <si>
    <t>The color pattern and fit is what I liked the most what I liked the least is that they are not easy to clean and stains do not come out very easy or at all</t>
  </si>
  <si>
    <t>The color pattern and fit is what I liked the most what I liked the least is that ...</t>
  </si>
  <si>
    <t>A1B3W4RSJ1CJEO</t>
  </si>
  <si>
    <t xml:space="preserve"> 6 B(M) US</t>
  </si>
  <si>
    <t xml:space="preserve"> Black/White-anthracite-stealth</t>
  </si>
  <si>
    <t>Kteel717</t>
  </si>
  <si>
    <t>love these shoes. Workout in them 3-4 times a week at the gym. I do treadmill, stairmaster, cardio classes and weight lifting. lightweight and versatile shoe.</t>
  </si>
  <si>
    <t>Great shoe for the price!</t>
  </si>
  <si>
    <t>A3P9DECTULU1B3</t>
  </si>
  <si>
    <t>JP</t>
  </si>
  <si>
    <t>Great shoe. I've had Nike's before and have always been pleased with the comfort, performance, and quality. Though I will say this was the first time I ordered a pair online without trying them on first, so I was nervous. But this turned out to be a great choice. Breathable, lightweight but sturdy, and comfortable during all my workouts. The built-in arch support is great and I've had no discomfort after 2 weeks of use. As far as the sole thickness and cushioning goes, I would consider these a 'medium' build (not thin, not overly thick) so if you're into heavy running outdoors then take that into consideration. Everyone is different in their preference for cushioning, but I think for light runs on a treadmill they would be sufficient. Love these, highly recommend!</t>
  </si>
  <si>
    <t>Great shoe!</t>
  </si>
  <si>
    <t>A353OJ19SEMPT4</t>
  </si>
  <si>
    <t>Annette t.</t>
  </si>
  <si>
    <t>The material is real then hope they don't fall apart . to expensive for what you get.</t>
  </si>
  <si>
    <t>A1CIQ2ULKB933A</t>
  </si>
  <si>
    <t xml:space="preserve"> Wolf Grey/Black-pink Blast/White</t>
  </si>
  <si>
    <t>Pablo Mateo</t>
  </si>
  <si>
    <t>Nice</t>
  </si>
  <si>
    <t>A1TFZVGT6J5NYZ</t>
  </si>
  <si>
    <t>Sandra calleros</t>
  </si>
  <si>
    <t>Gracias</t>
  </si>
  <si>
    <t>A2IJJUO99LXIXG</t>
  </si>
  <si>
    <t>Aline J Cone</t>
  </si>
  <si>
    <t>Love these shoes!! They are true to size and very comfortable!! This is my second pair - I wore out the first pair!! Good arch support - I have a high arch!!</t>
  </si>
  <si>
    <t>A1CKPC88NHMYGR</t>
  </si>
  <si>
    <t xml:space="preserve"> 11 B(M) US</t>
  </si>
  <si>
    <t>Cynthia Foyer</t>
  </si>
  <si>
    <t>A1S4O68F0UG4GA</t>
  </si>
  <si>
    <t>JAXJAG</t>
  </si>
  <si>
    <t>Great arch support and comfortable.</t>
  </si>
  <si>
    <t>Great cross trainer</t>
  </si>
  <si>
    <t>A8C8Q1GQPYPR3</t>
  </si>
  <si>
    <t>Natasha Henry</t>
  </si>
  <si>
    <t>It looks a bit nicer on the picture. Its very light in such a way that when I held the box I wondered if there was just paper filling inside. They are comfortable for the most. Good looking training shoes overall.</t>
  </si>
  <si>
    <t>They are comfortable for the most but just a bit narrow</t>
  </si>
  <si>
    <t>A3RHNGQAZWUX01</t>
  </si>
  <si>
    <t>Masher41</t>
  </si>
  <si>
    <t>second pair. Comfortable and great for people with bunion issues or previous surgeries.  Sole wears great</t>
  </si>
  <si>
    <t>staple sneakers</t>
  </si>
  <si>
    <t>A2ILUTAAPPZY79</t>
  </si>
  <si>
    <t>Proud dad</t>
  </si>
  <si>
    <t>My daughter loves these shoes. Fit true to size.</t>
  </si>
  <si>
    <t>Great looking shoe</t>
  </si>
  <si>
    <t>A21PLUMLST80EK</t>
  </si>
  <si>
    <t xml:space="preserve"> Hyper Jade/Mtlc Silver/Hyper Turq</t>
  </si>
  <si>
    <t>The Lucky One</t>
  </si>
  <si>
    <t>Purchased for my daughter for gym class.  She loves them.  Very cute and very comfortable.</t>
  </si>
  <si>
    <t>Great shoes.</t>
  </si>
  <si>
    <t>A1R9CFF27RIALC</t>
  </si>
  <si>
    <t>Danielle</t>
  </si>
  <si>
    <t>Great look but zero support inside the shoe. Had to buy expensive inserts to be wearable. Expected more from a nike shoe.</t>
  </si>
  <si>
    <t>Style 10/10, Comfort 3/10</t>
  </si>
  <si>
    <t>A3KKVVAINMZF9D</t>
  </si>
  <si>
    <t>Nadege Marcellus</t>
  </si>
  <si>
    <t>Straight out of the box, these shoes are great! Very lightweight and fits comfortably on my feet like a glove! I love most especially that the sole is not bulky like my previous running shoes  I hated those things lol! I would give them a shot and they are great for the price!</t>
  </si>
  <si>
    <t>these shoes are great! Very lightweight and fits comfortably on my feet ...</t>
  </si>
  <si>
    <t>AHQZL3LSIR57E</t>
  </si>
  <si>
    <t>Donna Rische</t>
  </si>
  <si>
    <t>Great shoes. Fit perfectly. Comfortable right from the start. Light weight and perfect for a 12 hour work shift. Good price also.</t>
  </si>
  <si>
    <t>Great shoes. Fit perfectly</t>
  </si>
  <si>
    <t>A36UF843501J4Y</t>
  </si>
  <si>
    <t xml:space="preserve"> 6.5 B(M) US</t>
  </si>
  <si>
    <t>Alisha K. Casey</t>
  </si>
  <si>
    <t>I love them! They fit perfect and are very comfortable!!</t>
  </si>
  <si>
    <t>AJ74ZOS1UKOBA</t>
  </si>
  <si>
    <t>keith jones</t>
  </si>
  <si>
    <t>Love these lightweight shoes! Absolute favorite. Always order half a size bigger with nike shoes than with every other shoe in my closet.</t>
  </si>
  <si>
    <t>Perfect. Lightweight and comfortable all day</t>
  </si>
  <si>
    <t>A3UTTXFSBNV2V7</t>
  </si>
  <si>
    <t>Mary</t>
  </si>
  <si>
    <t>My knees were bothering me during HIIT workouts so i  purchased these shoes after researching many styles.  Fit true to size and are lightweight.  My knees feel better so so hard so good.  They are cute in too!!</t>
  </si>
  <si>
    <t>My knees feel better so so hard so good</t>
  </si>
  <si>
    <t>A2QPBIA0HKEL96</t>
  </si>
  <si>
    <t>kristin</t>
  </si>
  <si>
    <t>Love the color!</t>
  </si>
  <si>
    <t>AHXQ0PAMEKC0P</t>
  </si>
  <si>
    <t xml:space="preserve"> 8 D - Wide</t>
  </si>
  <si>
    <t xml:space="preserve"> Cool Grey / Volt - Wolf Grey - Pure Platinum</t>
  </si>
  <si>
    <t>ALH</t>
  </si>
  <si>
    <t>Comfortable athletic shoe,  good for the gym (ellipical, tredmill, etc.) Fit is good, and shoe is really lightweight and comfy.</t>
  </si>
  <si>
    <t>Comfortable, lightweight Xtrainer</t>
  </si>
  <si>
    <t>A2P6I9PGAVEW6E</t>
  </si>
  <si>
    <t>kathleen Malcomb</t>
  </si>
  <si>
    <t>The shoes fit perfectly and came within the time frame i was given.  Very comfortable, which is needed since my job requires a lot if standing abd walking throughout the day.</t>
  </si>
  <si>
    <t>A6CXK8NXD50R2</t>
  </si>
  <si>
    <t xml:space="preserve"> Wolf Grey/Platinum/White/Crimson</t>
  </si>
  <si>
    <t>MMB</t>
  </si>
  <si>
    <t>They looked very cheap</t>
  </si>
  <si>
    <t>Returned...looked cheap</t>
  </si>
  <si>
    <t>A39943Z2419XIU</t>
  </si>
  <si>
    <t>The fit is as expected</t>
  </si>
  <si>
    <t>Fits to size</t>
  </si>
  <si>
    <t>A2RZ3T3ECENTMO</t>
  </si>
  <si>
    <t>Jo</t>
  </si>
  <si>
    <t>Very comfortable shoes. This is my second pair of this style of shoe because I loved them that much.</t>
  </si>
  <si>
    <t>Very comfortable shoes. This is my second pair of this ...</t>
  </si>
  <si>
    <t>A16BGUHQH20CIP</t>
  </si>
  <si>
    <t>Van G</t>
  </si>
  <si>
    <t>Comfortable, consistent each time I order and good looking</t>
  </si>
  <si>
    <t>Sleek and sporty</t>
  </si>
  <si>
    <t>A3O3KF45YVTOGY</t>
  </si>
  <si>
    <t>I love the shoe and it fit as expected the photos and description are accurate if you're looking for a shoe that has more cushion or support try a different style but as far as wanting a lightweight and breathable shoe this is it. I am very satisfied with this purchase</t>
  </si>
  <si>
    <t>I love the shoes and the description and photos were accurate</t>
  </si>
  <si>
    <t>A3TLWN2BRF1QH5</t>
  </si>
  <si>
    <t>Brittany C.</t>
  </si>
  <si>
    <t>These are so cute and comfortable and very light. I just received them today and the fit is perfect. I normally wear an 8 1/2 and they are true to size!</t>
  </si>
  <si>
    <t>Great fit!</t>
  </si>
  <si>
    <t>A2ZGEESHHGFZKL</t>
  </si>
  <si>
    <t>Janelle Drenowatz</t>
  </si>
  <si>
    <t>I always order a 1/2 size up in workout shoes.</t>
  </si>
  <si>
    <t>Lightweight</t>
  </si>
  <si>
    <t>AUE82PKEUMKZB</t>
  </si>
  <si>
    <t>NAME_NOT_RETURNED</t>
  </si>
  <si>
    <t>I wore these shoe one time, from the airport in Omaha, NE to the airport in Phoenix, AZ. When I arrived in Phoenix, the left shoe/sole started squeaking and won't stop. I want to return for a refund. Need instructions for returning as no paperwork was in my package when it arrived.</t>
  </si>
  <si>
    <t>Squeaky soles</t>
  </si>
  <si>
    <t>A2UVALXRJ35D1A</t>
  </si>
  <si>
    <t>They run big and are super uncomfortable and the soles squeak. They don't breathe at all.</t>
  </si>
  <si>
    <t>Two Stars</t>
  </si>
  <si>
    <t>A3E05IUHHCTRJC</t>
  </si>
  <si>
    <t>Sahar Mahboob</t>
  </si>
  <si>
    <t>Exactly what I expected! Comfortable and chic</t>
  </si>
  <si>
    <t>Comfortable and</t>
  </si>
  <si>
    <t>A3RNGBSBRJ3YAQ</t>
  </si>
  <si>
    <t>Andrea L Hogan</t>
  </si>
  <si>
    <t>They were a gift  to my daughter she loved them</t>
  </si>
  <si>
    <t>Their Cute and Pink</t>
  </si>
  <si>
    <t>A13W5DGU9QF721</t>
  </si>
  <si>
    <t>Marjorie J. Moore</t>
  </si>
  <si>
    <t>Love these comfy shoes. they fit like a glove.</t>
  </si>
  <si>
    <t>A2QRWCN5YR05G9</t>
  </si>
  <si>
    <t>Very confortable.</t>
  </si>
  <si>
    <t>Smooth and confortable.</t>
  </si>
  <si>
    <t>A2UALK0MY7S3C2</t>
  </si>
  <si>
    <t xml:space="preserve"> Energy/Mtlc Silver/Black</t>
  </si>
  <si>
    <t>salina</t>
  </si>
  <si>
    <t>i love these shoes.</t>
  </si>
  <si>
    <t>A5JF4EQ9MQC78</t>
  </si>
  <si>
    <t xml:space="preserve"> Cool Grey/Pure Platinum/White/Volt</t>
  </si>
  <si>
    <t>Rosalyn Russell</t>
  </si>
  <si>
    <t>Lightweight, decent arch support and comfortably to wear all day doing regular activity and sprinting.</t>
  </si>
  <si>
    <t>decent arch support and comfortably to wear all day doing regular activity and sprinting</t>
  </si>
  <si>
    <t>A3VGHF7VNFBMCQ</t>
  </si>
  <si>
    <t>sporting road</t>
  </si>
  <si>
    <t>daughter loves them</t>
  </si>
  <si>
    <t>A13JGYKUU10QKH</t>
  </si>
  <si>
    <t>jled</t>
  </si>
  <si>
    <t>I ordered a 1/2 size smaller than my usual size, and they are perfect. These shoes are hard to find. Great customer service as well.</t>
  </si>
  <si>
    <t>Good shoes</t>
  </si>
  <si>
    <t>ATHL3S7ZD436V</t>
  </si>
  <si>
    <t>Joanna D</t>
  </si>
  <si>
    <t>Very good overall._x000D_
Now Ive been a huge Sketchers Go Walk fan for some time and the only reason I tried these instead of the latest number 4 of those is because the tread looked too slippery to me._x000D_
These shoes are very sturdy and the grip of the soles has been very solid so far. I use them for basic workout cardio and cross training, as well as work as a massage therapist (I go through shoes fast enough that Ive recently consolidated)._x000D_
If you're a Go Walk fan, these do not offer the same level of cushion-comfort as those, HOWEVER, they offer the kind of long-term comfort to make them a durable option._x000D_
The material of the shoes seem very durable and the breathable. My feet do not feel hot in them._x000D_
Now these shoes are ideal for a basic workout or cross training, I would not get them to do 25,000 steps in Walt Disney World._x000D_
Solid choice, overall.</t>
  </si>
  <si>
    <t>A36T5MSMYI9F3C</t>
  </si>
  <si>
    <t xml:space="preserve"> Cool Grey/Volt/Pure Platinum</t>
  </si>
  <si>
    <t>Lee Berrey</t>
  </si>
  <si>
    <t>Wife loves them!</t>
  </si>
  <si>
    <t>ACZAPPQ95QM86</t>
  </si>
  <si>
    <t xml:space="preserve"> 9 D - Wide</t>
  </si>
  <si>
    <t>Shannon Youngblood</t>
  </si>
  <si>
    <t>These shoes are extremely comfortable, and fit as expected.  Will purchase again.</t>
  </si>
  <si>
    <t>A23TE15JI8Q2YQ</t>
  </si>
  <si>
    <t xml:space="preserve"> Racer Blue/Obsidian/Blue Tint</t>
  </si>
  <si>
    <t>sonia</t>
  </si>
  <si>
    <t>Artculo equivocado en color</t>
  </si>
  <si>
    <t>AC5PPX3XLCZN1</t>
  </si>
  <si>
    <t>G.K. Hyder</t>
  </si>
  <si>
    <t>Glad I read the reviews and ordered a half size too big. These are light weight. I worked out in them last night and had a great work out. They are very comfortable. I would recommend these to anyone. I am a Beach Body Coach and these are now my new favorite shoes to work out in. I feel like I am walking in slippers when I wear these shoes. They are so comfortable. I LOVE them so much. I never buy myself anything nice and for Christmas got an Amazon gift card and used it to buy myself these sneakers and they are so awesome. I really do love them and have been telling all my friends about them. GET THESE SHOES!</t>
  </si>
  <si>
    <t>Glad I read the reviews and ordered a half size ...</t>
  </si>
  <si>
    <t>A3U0BBRU2Q85LE</t>
  </si>
  <si>
    <t>Alix gray</t>
  </si>
  <si>
    <t>On the left shoe, there were two stained yellow spots.</t>
  </si>
  <si>
    <t>Not in perfect condition</t>
  </si>
  <si>
    <t>A174EEWMHB3J8N</t>
  </si>
  <si>
    <t>sneakerlover</t>
  </si>
  <si>
    <t>I love these, I had the previous iteration (or maybe two earlier?) and finally wore them out after several years. They are definitely a light-weight training shoe so I wouldn't get them if you are going to be doing a lot of running. But this also makes them extremely comfortable, I hadn't realized how hot running shoes made my feet until I switched to these. Good support and my feet stay cool all day, also noticeably light but well-made and long lasting._x000D_
_x000D_
I have worn them hiking in a pinch but don't really recommend it because the material is mesh-like and will let a lot of dirt in. But if you mainly take cardio classes and/or do weight training or just need something to wear around town look no further.</t>
  </si>
  <si>
    <t>Very comfortable, cute, and long-lasting</t>
  </si>
  <si>
    <t>A1VXFXHDY4SRI5</t>
  </si>
  <si>
    <t xml:space="preserve"> Pure Platinum/Blue Glow/Wolf Grey</t>
  </si>
  <si>
    <t>Trl</t>
  </si>
  <si>
    <t>Super light-weight, decent arch support (mine is higher than average).  I was pleasantly surprised by the sole/tread on these for my circuit training classes, as I couldn't really tell by online pics.  Also pleasantly surprised that these ran ever so slightly bigger than Nike running shoes I use to wear 15+years ago - I always wore one to 1.5 sizes larger in their "Hurache's"/running shoes, so I was really worried my size 6 would be too small - there is actually more toe room in these shoes than any other size 6 shoe I own (athletic, heel, boot).  But it is the correct amount of room from big toe to edge of shoe for me (an inch or less, I don't want my big toe being jammed into edge of shoe when lunging, jumping, etc.).  Shoes arrived with an odd yellowish color on side of one shoe, but no damage to box, paper lining etc - I was happy that a clorox wipe easily cleaned the shoe and did not discolor any further.  I am very happy and highly recommend, although I have only worked out it once!</t>
  </si>
  <si>
    <t>Super light-weight, nice tread and arch support - love them so far!</t>
  </si>
  <si>
    <t>A1FQAVH5JBSV6A</t>
  </si>
  <si>
    <t>Renata</t>
  </si>
  <si>
    <t>I Love it. It is very light and the color is great.</t>
  </si>
  <si>
    <t>A2GBBOXDACUA6</t>
  </si>
  <si>
    <t xml:space="preserve"> 8.5 D - Wide</t>
  </si>
  <si>
    <t>My wife loves these shoes. We have both been wearing sketchers and new balance for several years and recently we have both purchased Nike. There is a reason why Nike is still number 1 after all these years, you just cant beat their comfort.</t>
  </si>
  <si>
    <t>My wife loves these shoes. We have both been ...</t>
  </si>
  <si>
    <t>A2LZMWZ1CM4PF3</t>
  </si>
  <si>
    <t>Kitten</t>
  </si>
  <si>
    <t>Absolutly love these shoes!! Beautiful color, comfy, and lightweight</t>
  </si>
  <si>
    <t>New Favorite Shoes</t>
  </si>
  <si>
    <t>A1UVWOQTPDSYGY</t>
  </si>
  <si>
    <t>Heather</t>
  </si>
  <si>
    <t>I **loved** these shoes when I got them. I've noticed that the foam inside tends to compress during a workout, though. I'll lace them tightly enough that they're nearly cutting off my circulation. 20 minutes later, I'm sliding out of them while doing sled pushes.</t>
  </si>
  <si>
    <t>Foam compresses</t>
  </si>
  <si>
    <t>A18530DRJJ0QAF</t>
  </si>
  <si>
    <t>Phyllis Cecilia McCray</t>
  </si>
  <si>
    <t>She loves them</t>
  </si>
  <si>
    <t>A2LSGH30A8AN2Y</t>
  </si>
  <si>
    <t>Karen Andrews</t>
  </si>
  <si>
    <t>These are a bit longer than they should be. I usually wear a 9 but could have easily ordered a 8.5. The width is accurate._x000D_
_x000D_
The pink is even pinker than shown and the light gray is over the very bright pink so it isn't as gray as shown in the picture. It makes the shoe a bit overwhelming. Also two grommets on each shoe is dark. I'm not referring to the dark grommets closer to the toe as shown in the photo, I'm talking about two grommets up at the top of of the laces (opposite side of side shown in photo). I thought it was faulty at first until I noticed they were on the same side of each shoe. Kind of odd and not pictured._x000D_
_x000D_
Overall, they are very comfortable shoes which is why I am keeping them...even if you can see me coming from a mile away.</t>
  </si>
  <si>
    <t>I usually wear a 9 but could have easily ordered a 8</t>
  </si>
  <si>
    <t>A1LKTJ6HKH077C</t>
  </si>
  <si>
    <t>m.e</t>
  </si>
  <si>
    <t>great</t>
  </si>
  <si>
    <t>A1DX2WRQ2ZHAEK</t>
  </si>
  <si>
    <t>c</t>
  </si>
  <si>
    <t>A2PWOO618R3IKJ</t>
  </si>
  <si>
    <t>Faith Harrison</t>
  </si>
  <si>
    <t>Love them!</t>
  </si>
  <si>
    <t>AERFS3FMQJJ9L</t>
  </si>
  <si>
    <t>Very nice shoe, just a bit to snug/small for my foot. The Flex wire really makes it the shoe fit tight to your foot. I need more "wiggle" room in my footwear, otherwise I would have kept them.</t>
  </si>
  <si>
    <t>Fits snug</t>
  </si>
  <si>
    <t>A22FYN2DKXSWS0</t>
  </si>
  <si>
    <t>APrime Tower</t>
  </si>
  <si>
    <t>Not sure why, but my mid section of my foot starts to hurt using these shoes for a long day or a tough workout at the gym. I've owned other nike shoes of this line but that never happened to me.</t>
  </si>
  <si>
    <t>Not sure why, but my mid section of my ...</t>
  </si>
  <si>
    <t>A22WH1BPQH7XJD</t>
  </si>
  <si>
    <t xml:space="preserve"> 10 B(M) US</t>
  </si>
  <si>
    <t xml:space="preserve">Priscilla Wallace </t>
  </si>
  <si>
    <t>My New Gym shoes! Love them</t>
  </si>
  <si>
    <t>Love</t>
  </si>
  <si>
    <t>A3OP70LPLALBKN</t>
  </si>
  <si>
    <t>Chelsea</t>
  </si>
  <si>
    <t>Perfect!</t>
  </si>
  <si>
    <t>A1BN6I0B2OF7WB</t>
  </si>
  <si>
    <t>goldenhikergirl</t>
  </si>
  <si>
    <t>I usually wear a size 8 and they fit fine. These are way too narrow. Thought they might stretch out but they didnt. Had to give away.</t>
  </si>
  <si>
    <t>TOO NARROW!</t>
  </si>
  <si>
    <t>A2PYQN4T4LV0NP</t>
  </si>
  <si>
    <t>Brittany</t>
  </si>
  <si>
    <t>Great shoe! Outside arch is kind of high, but I'm still breaking them in. So I'm sure that will work it's way out. I originally ordered a 9, my regular size, and it was a tad too big. Returned and ordered an 8.5 and it fits perfect!</t>
  </si>
  <si>
    <t>Consider sizing down 1 size</t>
  </si>
  <si>
    <t>A14LN0R1PQA5WI</t>
  </si>
  <si>
    <t xml:space="preserve"> Ocean Fog/Blue Grey/Mango</t>
  </si>
  <si>
    <t>Robin</t>
  </si>
  <si>
    <t>I had to return the first pair and buy a 1/2 size smaller.  First time I've had to buy smaller for Nike.</t>
  </si>
  <si>
    <t>Seem to Run Big</t>
  </si>
  <si>
    <t>A35U6TP5276HMD</t>
  </si>
  <si>
    <t>LORNA DOUGLAS</t>
  </si>
  <si>
    <t>Fit comfortable</t>
  </si>
  <si>
    <t>AKZNLII88A0KO</t>
  </si>
  <si>
    <t>My favorite running shoes!  The wall of the shoe is very thin, which makes them very comfortable to wear if your feet swell as you run.  I would not recommend for use on concrete or a treadmill, as there isn't very much impact absorption, but they are perfect for trail running!</t>
  </si>
  <si>
    <t>Perfect for trails</t>
  </si>
  <si>
    <t>A3PZ1TJ71WPLXV</t>
  </si>
  <si>
    <t>Mellany Upshaw</t>
  </si>
  <si>
    <t>Nice fit</t>
  </si>
  <si>
    <t>A3M69Q5SNV7U0X</t>
  </si>
  <si>
    <t xml:space="preserve"> Black/Green Glow-blue Glow-white</t>
  </si>
  <si>
    <t>I bought these for gym training - weight class and dance class (body jam, Zumba) - and really wanted to like them, since I loved the color and the light weight feel. But when I worked out high impact, my toes tingled, went numb and cramped because the toe bed is very narrow. Also, there wasn't enough cushion for me. When doing lunges, the ball of my feet hurt. Can't return them because I wore them several times. These might be fine for someone with a narrow foot.</t>
  </si>
  <si>
    <t>Zumba) - and really wanted to like them, since I loved the color and the ...</t>
  </si>
  <si>
    <t>A2GOOFFNUI20XI</t>
  </si>
  <si>
    <t>Jerry Holley</t>
  </si>
  <si>
    <t>They fit perfect, extremely comfortable</t>
  </si>
  <si>
    <t>A10Z8PKPUJ7YHO</t>
  </si>
  <si>
    <t>Pen Name</t>
  </si>
  <si>
    <t>No arch support but l love the colors!</t>
  </si>
  <si>
    <t>AHFAVT1MUB29W</t>
  </si>
  <si>
    <t>Diego</t>
  </si>
  <si>
    <t>Shoe was somewhat large</t>
  </si>
  <si>
    <t>Size problem</t>
  </si>
  <si>
    <t>A10X6EMVZGVX9E</t>
  </si>
  <si>
    <t>vanessa nix</t>
  </si>
  <si>
    <t>love them!</t>
  </si>
  <si>
    <t>A3JPU96NVWGUF5</t>
  </si>
  <si>
    <t xml:space="preserve"> Grey</t>
  </si>
  <si>
    <t>AnonymousBeaver</t>
  </si>
  <si>
    <t>This is a great shoe for in gym workouts. I did take a 10 mile hike and had a blister on my pinky, but other than that these are very comfortable shoes!</t>
  </si>
  <si>
    <t>True to size, would recommend</t>
  </si>
  <si>
    <t>A2620Z0QR2OFYC</t>
  </si>
  <si>
    <t>matt</t>
  </si>
  <si>
    <t>Comfortable and light</t>
  </si>
  <si>
    <t>Best birthday present</t>
  </si>
  <si>
    <t>A312BTXKFHK927</t>
  </si>
  <si>
    <t>D. Bonnet</t>
  </si>
  <si>
    <t>Purchased these for my wife as she has a similar pair that is wearing out.  She has feet are difficult to fit and these fit perfectly without pressure on sensitive portions of her feet.</t>
  </si>
  <si>
    <t>Purchased these for my wife as she has a similar ...</t>
  </si>
  <si>
    <t>A30HFZ2FW8CQBI</t>
  </si>
  <si>
    <t>Mecala Fitzpatrick</t>
  </si>
  <si>
    <t>I have pretty high arches and my calves always hurt at the gym with other shoes. I have been on the hunt for a good cross trainer that I can use to lift, take gym classes, and lightly jog/run on the treadmill. These have been wonderful! I don't ever have any pain in my calves or my feet when wearing these and they fit like a glove. Highly recommend!</t>
  </si>
  <si>
    <t>I have pretty high arches and my calves always hurt at the ...</t>
  </si>
  <si>
    <t>AF70T61UO8MCD</t>
  </si>
  <si>
    <t xml:space="preserve"> White/Metallic Silver/Black</t>
  </si>
  <si>
    <t>Deb Lyon</t>
  </si>
  <si>
    <t>Great shoes</t>
  </si>
  <si>
    <t>AJX8JEGB4Z8AI</t>
  </si>
  <si>
    <t>Charla McDaniel</t>
  </si>
  <si>
    <t>These were exactly what I expected.</t>
  </si>
  <si>
    <t>A2HMEEX4K9UX81</t>
  </si>
  <si>
    <t xml:space="preserve"> Green Glow/Seaweed - Hasta - White</t>
  </si>
  <si>
    <t>Kerry</t>
  </si>
  <si>
    <t>Love love love</t>
  </si>
  <si>
    <t>AKG96VVJ8XANP</t>
  </si>
  <si>
    <t>Sonia Dietrich</t>
  </si>
  <si>
    <t>I always wear a womans 9 in Nikes but these are bigger than usual. The right one almost slips off my foot a bit.  They are really light and not as sturdy as what I was looking for but over all not bad.</t>
  </si>
  <si>
    <t>They are really light and not as sturdy as what I was looking for but over all ...</t>
  </si>
  <si>
    <t>A34LYR4FWZ77CA</t>
  </si>
  <si>
    <t>These shoes are awesome!!</t>
  </si>
  <si>
    <t>A2M3ZNLCYPZ5A1</t>
  </si>
  <si>
    <t xml:space="preserve"> 10.5 B(M) US</t>
  </si>
  <si>
    <t>Luba Capps</t>
  </si>
  <si>
    <t>l always buy Nike shoes and been happy so far, but this time my left shoe fit perfectly while the right shoe was too loose on my heal and when I tighten it more it was hurting side of my foot.</t>
  </si>
  <si>
    <t>l always buy Nike shoes and been happy so far</t>
  </si>
  <si>
    <t>AQAY0P6DQAWDL</t>
  </si>
  <si>
    <t>Ashley Files</t>
  </si>
  <si>
    <t>Bought these as my back up shoes but they have turned into my daily ones I go to! So comfortable and my feet don't hurt after long hours on my feet. I own a cleaning business so I need my feet not to hurt in the middle of the day.</t>
  </si>
  <si>
    <t>Honestly Fantastic Shoes</t>
  </si>
  <si>
    <t>A246RG8KSPK5XS</t>
  </si>
  <si>
    <t>Absolutely love these shoes and color!! They are perfect for running! I run roughly 4 miles 3x per week. This is my second or 3rd pair of this exact style. Fit is perfect!</t>
  </si>
  <si>
    <t>Absolutely love these shoes and color</t>
  </si>
  <si>
    <t>A2JCYVQLKWULGM</t>
  </si>
  <si>
    <t>Manda Lynn</t>
  </si>
  <si>
    <t>Super comfy!</t>
  </si>
  <si>
    <t>A1EF7YWCNN7E9K</t>
  </si>
  <si>
    <t xml:space="preserve"> 11.5 B(M) US</t>
  </si>
  <si>
    <t xml:space="preserve"> Cool Grey/Rage Green/Hyper Turquoise</t>
  </si>
  <si>
    <t>Kelly M</t>
  </si>
  <si>
    <t>Ordered half a size larger than my usual shoe size and fits perfectly.</t>
  </si>
  <si>
    <t>Nike runs small</t>
  </si>
  <si>
    <t>AQWZQKD0N851T</t>
  </si>
  <si>
    <t>Birger B.</t>
  </si>
  <si>
    <t>Fit well.</t>
  </si>
  <si>
    <t>A3V6I3EA3X3SCE</t>
  </si>
  <si>
    <t>M Corrie</t>
  </si>
  <si>
    <t>The fit was perfect! I Highly recommend this shoe.</t>
  </si>
  <si>
    <t>AGT48Z76ZQSQU</t>
  </si>
  <si>
    <t>Obsessed with these shoes! I was looking for good all around sneakers (running, walking, tennis, etc.) and these more than fit the bill. I was looking specifically for black nikes (I love the fit) with white soles (good for court sports); I was a little reluctant to purchase because I wasn't sure whether the black on the soles would contact the ground, but it doesn't!</t>
  </si>
  <si>
    <t>Very Happy Customer</t>
  </si>
  <si>
    <t>A2W3B4YHP3HZ9R</t>
  </si>
  <si>
    <t>judy laurel</t>
  </si>
  <si>
    <t>Cute shoe, fit as expected, and very comfortable.</t>
  </si>
  <si>
    <t>and very comfortable.</t>
  </si>
  <si>
    <t>AGVYFU0PR5IWV</t>
  </si>
  <si>
    <t>On time, nice sneakers. Fit as expected.</t>
  </si>
  <si>
    <t>nice sneakers. Fit as expected</t>
  </si>
  <si>
    <t>A2SU06VTWMFP7C</t>
  </si>
  <si>
    <t>ange edmounds harrison</t>
  </si>
  <si>
    <t>Perfect fit, as always.</t>
  </si>
  <si>
    <t>5 stars</t>
  </si>
  <si>
    <t>AVZB7UFLT6VD</t>
  </si>
  <si>
    <t xml:space="preserve"> Plure Platinum/Blue Glow/Wolf Grey</t>
  </si>
  <si>
    <t>Robbin</t>
  </si>
  <si>
    <t>Great shoe, very comfortable</t>
  </si>
  <si>
    <t>ANPPQ1G3RP88H</t>
  </si>
  <si>
    <t>Love these sneakers! Perfect fit and super light</t>
  </si>
  <si>
    <t>ABONZZSS8YG3K</t>
  </si>
  <si>
    <t>Delores Williams</t>
  </si>
  <si>
    <t>These shoes fit like a glove! Light but very supportive! I have worn them several times and feel very light on my feet.</t>
  </si>
  <si>
    <t>These shoes fit like a glove</t>
  </si>
  <si>
    <t>A2T8BWOO7BFBWY</t>
  </si>
  <si>
    <t>vera alster</t>
  </si>
  <si>
    <t>Fit true to size</t>
  </si>
  <si>
    <t>A1NTI9B7VY30JM</t>
  </si>
  <si>
    <t>lezanaz</t>
  </si>
  <si>
    <t>Love the fit</t>
  </si>
  <si>
    <t>AM9TTLTT6DR1W</t>
  </si>
  <si>
    <t>Karen VanFossen</t>
  </si>
  <si>
    <t>Nike always makes a good shoe ..abit rough breaking them in but after 9 hours on my feet anyone's feet would hurt abit</t>
  </si>
  <si>
    <t>Nike always makes a good shoe.</t>
  </si>
  <si>
    <t>AP8CWOZ30P4GH</t>
  </si>
  <si>
    <t>Marie</t>
  </si>
  <si>
    <t>Oops! I returned these because I ordered wrong size!</t>
  </si>
  <si>
    <t>A2ORP5RT8NQ0Q7</t>
  </si>
  <si>
    <t>Jackie Carola</t>
  </si>
  <si>
    <t>Extremely comfortable sneaker!</t>
  </si>
  <si>
    <t>A5Z3UGOPDBJPW</t>
  </si>
  <si>
    <t>Carol</t>
  </si>
  <si>
    <t>Good looking shoe</t>
  </si>
  <si>
    <t xml:space="preserve"> Shoes</t>
  </si>
  <si>
    <t>A2GWLCDWM7V59I</t>
  </si>
  <si>
    <t>Carol G</t>
  </si>
  <si>
    <t>I have had this style before in a different color and have received many compliments on the shoes.  They are great walking shoes!  I wear orthotics and these shoes are one of the best I have found to accommodate them for fit.</t>
  </si>
  <si>
    <t>A2XUQXG9J9SRTG</t>
  </si>
  <si>
    <t>JMH515</t>
  </si>
  <si>
    <t>I loved these shoes...that is until after about an hour of wear, the green inserts on the sole of the right show began falling off. The wear was in my home, on smooth floors. I can only assume they were defective.</t>
  </si>
  <si>
    <t>I loved these shoes</t>
  </si>
  <si>
    <t>A2R0RL0TF6E9VC</t>
  </si>
  <si>
    <t>SadDad</t>
  </si>
  <si>
    <t>Great! Super comfy and cute! No issues and fit perfect!</t>
  </si>
  <si>
    <t>perfect</t>
  </si>
  <si>
    <t>AB29N6EMOFEVW</t>
  </si>
  <si>
    <t>dan h.</t>
  </si>
  <si>
    <t>A2Y2IKO63FNHQE</t>
  </si>
  <si>
    <t xml:space="preserve"> Black/Hyper Violet/Total Crimson/White</t>
  </si>
  <si>
    <t>Sandie</t>
  </si>
  <si>
    <t>I returned them...found a Ryka pair I liked better</t>
  </si>
  <si>
    <t>found a Ryka pair I liked</t>
  </si>
  <si>
    <t>A1OK7HI3YI9682</t>
  </si>
  <si>
    <t>Mel B</t>
  </si>
  <si>
    <t>BEST sneakers I've ever purchased!!!!</t>
  </si>
  <si>
    <t>A39U1R8S96YIR4</t>
  </si>
  <si>
    <t>Excellent ...!!!</t>
  </si>
  <si>
    <t>A1Z37N7XE7FRD2</t>
  </si>
  <si>
    <t>gi</t>
  </si>
  <si>
    <t>the best sneakers by far! I had never owned a pair of Nike sneakers, and I went solely on the reviews by others..._x000D_
And I absolutely loved them!!</t>
  </si>
  <si>
    <t>the best sneakers by far</t>
  </si>
  <si>
    <t>A3LGYYLGO2KJOE</t>
  </si>
  <si>
    <t>Bree</t>
  </si>
  <si>
    <t>Love these shoes. I've been buying Nikes for years now. I bought this pair for work and everyday wear and another pair for working out and active wear. They also last a long time in my opinion, especially if you take care of them.</t>
  </si>
  <si>
    <t>Classically comfortable and durable</t>
  </si>
  <si>
    <t>A1J3XYI0M1D0LW</t>
  </si>
  <si>
    <t>ellen</t>
  </si>
  <si>
    <t>Right one is slightly tight.. hope it will stretch out.. !!</t>
  </si>
  <si>
    <t>A9KR8PT0Z47CL</t>
  </si>
  <si>
    <t>Chandler F</t>
  </si>
  <si>
    <t>They're ugly: the toe is rounded and the material is weird. the Nike Womens Flex Trainer 6 is way better looking and costs about the same.</t>
  </si>
  <si>
    <t>the Nike Womens Flex Trainer 6 is way better looking and costs about the same</t>
  </si>
  <si>
    <t>A1AUEUD7NP1LUC</t>
  </si>
  <si>
    <t>Flip Flop Life</t>
  </si>
  <si>
    <t>So lightweight and awesome!</t>
  </si>
  <si>
    <t>A177WB7O660HS8</t>
  </si>
  <si>
    <t>shannon Donaldson</t>
  </si>
  <si>
    <t>Luv them!!</t>
  </si>
  <si>
    <t>A38BS1VCQ4XSGV</t>
  </si>
  <si>
    <t>ptovar</t>
  </si>
  <si>
    <t>Love the color and fit. I use them to work on at the gym on the treadmill and they are very light and comfortable.</t>
  </si>
  <si>
    <t>Love the color and fit</t>
  </si>
  <si>
    <t>A38X15IJFAPHZP</t>
  </si>
  <si>
    <t xml:space="preserve"> 5 B(M) US</t>
  </si>
  <si>
    <t>Anonymous</t>
  </si>
  <si>
    <t>Bought these shoes with HIIT in mind, but not too sure how I like the fit on my foot. First time to wear them, not great for running. Maybe after they're broken in a little they'll get better. If you just need a comfortable pair of shoes for walking, they're fine.</t>
  </si>
  <si>
    <t>OK</t>
  </si>
  <si>
    <t>A1OFFB5DLIHH41</t>
  </si>
  <si>
    <t>My daughter loves them. Great fit!</t>
  </si>
  <si>
    <t>A1PFKS00R93MRZ</t>
  </si>
  <si>
    <t>Rakesh Duneja</t>
  </si>
  <si>
    <t>This is a very attractive shoe. It is true to size and fits as expected. Very satisfied with the seller - delivered on time.</t>
  </si>
  <si>
    <t>Very satisfied with the seller - delivered on time</t>
  </si>
  <si>
    <t>A23H50RT6SLXY9</t>
  </si>
  <si>
    <t>Edle Liljeblad</t>
  </si>
  <si>
    <t>Fits good, very lightweight.</t>
  </si>
  <si>
    <t>APWLFTPOXQCCG</t>
  </si>
  <si>
    <t>Andrea T.</t>
  </si>
  <si>
    <t>Comfortable shoe for both workout sessions and walking.  Neither too bulky nor too light.  This is my second pair because they fit and have no neon or pink colors, just nice basic B&amp;W.</t>
  </si>
  <si>
    <t>Comfortable shoe for both workout sessions and walking</t>
  </si>
  <si>
    <t>AN5PL4KUZS35E</t>
  </si>
  <si>
    <t>Dilly Anderson</t>
  </si>
  <si>
    <t>A37EEIAK5YJGTS</t>
  </si>
  <si>
    <t>myrtlyn Allen Skeeling</t>
  </si>
  <si>
    <t>A87LWEOT3ZJU7</t>
  </si>
  <si>
    <t>These are the best shoes I have ever use for my workouts!!! I love them and buy them in bulk!!! LOL</t>
  </si>
  <si>
    <t>These are the best shoes I have ever use for my workouts</t>
  </si>
  <si>
    <t>A1LCV2UNXGHB0W</t>
  </si>
  <si>
    <t>luvtoshop</t>
  </si>
  <si>
    <t>I love these shoes.  They fit as expected and they look really nice on.  These shoes have a narrow base which I really like.  I don't like the ones that make your foot look wide.</t>
  </si>
  <si>
    <t>I love these shoes</t>
  </si>
  <si>
    <t>A3O0UBMD8CSF1V</t>
  </si>
  <si>
    <t>Jennifer S. Flack</t>
  </si>
  <si>
    <t>Love this product.  Great fit.</t>
  </si>
  <si>
    <t>A184AKBVD3WI86</t>
  </si>
  <si>
    <t>Elke</t>
  </si>
  <si>
    <t>Very low cut heel so if you training and pushing sleds - I ran right out of shoes! Although the traction on toe and heel are great</t>
  </si>
  <si>
    <t>Low cut heels</t>
  </si>
  <si>
    <t>A3I0ZDRING4F8W</t>
  </si>
  <si>
    <t>S</t>
  </si>
  <si>
    <t>Just what I needed for Group Fight class. Quick movements and footwork are so easy in these sneakers. Love them.</t>
  </si>
  <si>
    <t>Perfect</t>
  </si>
  <si>
    <t>AXZ02W7FMBC35</t>
  </si>
  <si>
    <t xml:space="preserve"> 9.5 D Wide</t>
  </si>
  <si>
    <t>Bill Ellenwood II</t>
  </si>
  <si>
    <t>Love! Great price too.</t>
  </si>
  <si>
    <t>Exactly what I wanted</t>
  </si>
  <si>
    <t>A29K85C92Z8HGR</t>
  </si>
  <si>
    <t>MET</t>
  </si>
  <si>
    <t>It's been a long time since I've worked a cross training shoe. This shoe is very light and minimally passed compared to running shoes. That's not meant to be a knock, just a fact._x000D_
_x000D_
I ordered the shoes half a size up because as a former runner, I'm used to my feet needing room to spread and swell. I wish I hadn't because they feel a little roomy. I have orthotics, so I think I can remedy the issue once I swap those in._x000D_
_x000D_
Otherwise, very good shoes</t>
  </si>
  <si>
    <t>Light shoes</t>
  </si>
  <si>
    <t>AE6W48FPMKO4L</t>
  </si>
  <si>
    <t>PineTree</t>
  </si>
  <si>
    <t>Good indoor training shoes for running on treadmill, doing lunges and regular exercises at the gym. These are very flexible, light weight and comfortable. Grip is okay - sticky rubber is used only at the edges of heel and toe areas so I slipped a little when I worked on cable machines, resistance band, etc. on un-carpeted floor.  I would emphasize that if you do lifting as a part of your everyday routine workout I would not recommend them because mine (cushion) lasted only for six months and this is the reason I gave three stars. Other than that, I liked them!</t>
  </si>
  <si>
    <t>Good indoor training shoes</t>
  </si>
  <si>
    <t>AKY3EYDEZVW6C</t>
  </si>
  <si>
    <t>AmazonAbuser</t>
  </si>
  <si>
    <t>Perf.</t>
  </si>
  <si>
    <t>So Perf.</t>
  </si>
  <si>
    <t>A1GQ2TRY8J631M</t>
  </si>
  <si>
    <t>K</t>
  </si>
  <si>
    <t>Best shoes ever!!!</t>
  </si>
  <si>
    <t>A21M1G84SE8SOO</t>
  </si>
  <si>
    <t>Pat Chavez</t>
  </si>
  <si>
    <t>Fit good</t>
  </si>
  <si>
    <t>AU2OMN6TEN4GA</t>
  </si>
  <si>
    <t>I use these for my Cardio Dance class and they are perfect and very cute. I would definitely recommend. They also cam earlier than expected!!</t>
  </si>
  <si>
    <t>Great work out shoe</t>
  </si>
  <si>
    <t>A2PJ5F6BY1TZNK</t>
  </si>
  <si>
    <t>Jennifer</t>
  </si>
  <si>
    <t>I love these shoes so much that  I reordered another pair online. It's hard to find shoes that fit my really wide feet! The heel back is my favorite part on them, they're thin and feel like another layer of skin, not bulky or tight at all.  I walked all over Europe in these!</t>
  </si>
  <si>
    <t>I love these shoes so much that I reordered another pair ...</t>
  </si>
  <si>
    <t>A3B23RZXRXYT9Q</t>
  </si>
  <si>
    <t xml:space="preserve">Babsly </t>
  </si>
  <si>
    <t>Love these sneakers. Light weight and comfortable even without socks.</t>
  </si>
  <si>
    <t>Comfortable, light weight, nice.</t>
  </si>
  <si>
    <t>A3JTZ664IGZIOK</t>
  </si>
  <si>
    <t>Aprildiver</t>
  </si>
  <si>
    <t>Nice product</t>
  </si>
  <si>
    <t>A2JOUOASELY1XR</t>
  </si>
  <si>
    <t>R. Petersen</t>
  </si>
  <si>
    <t>I feel like this pair of shoes was made for my feet. Great fit and comfort! Very pleased with this purchase.</t>
  </si>
  <si>
    <t>I feel like this pair of shoes was made for my feet</t>
  </si>
  <si>
    <t>ADTQ22MUSQFIR</t>
  </si>
  <si>
    <t>Quick tranasaction!!!  Loved the shoes!!!  Would purchase from them again!!!</t>
  </si>
  <si>
    <t>Awesome shoes!!!</t>
  </si>
  <si>
    <t>A1OM5S4Z9J2JQQ</t>
  </si>
  <si>
    <t>Hassnaa</t>
  </si>
  <si>
    <t>I got the impression it's cushiony and comfy by reading the reviews on this product, when i tried it on it was a much firmer than my other work shoes, i'm standing all day and need enough support and comfort, this isn't the right product for that._x000D_
So i had to return it, but i would assume it would work fine for training._x000D_
_x000D_
It looks decent and clean. and seems sturdy.  just not the right thing for me._x000D_
I was refunded instantly upon returning so.. credit for that.</t>
  </si>
  <si>
    <t>Just wasn't what i was looking for</t>
  </si>
  <si>
    <t>AXJZFD1IUBAE7</t>
  </si>
  <si>
    <t>Joanna Lyn</t>
  </si>
  <si>
    <t>So comfortable, I don't even feel like I have a sneaker on. Based on the other reviews I got a half a size up and glad I did.</t>
  </si>
  <si>
    <t>So comfortable, I don't even feel like I have a ...</t>
  </si>
  <si>
    <t>A3UO0DDWXIJ8DW</t>
  </si>
  <si>
    <t>Dawn Houston</t>
  </si>
  <si>
    <t>they are very comfortable feel like you have nothing on.</t>
  </si>
  <si>
    <t>A4GR8SDFRBSDV</t>
  </si>
  <si>
    <t>My favorite nike shoe</t>
  </si>
  <si>
    <t>A29ACU3O9IMICZ</t>
  </si>
  <si>
    <t>SWS</t>
  </si>
  <si>
    <t>Super comfortable and extremely lightweight. Great for crossfit!</t>
  </si>
  <si>
    <t>A9C9408H23DRM</t>
  </si>
  <si>
    <t>Nena</t>
  </si>
  <si>
    <t>Beautiful I love them comfy</t>
  </si>
  <si>
    <t>A3T9CL6JYWAP40</t>
  </si>
  <si>
    <t>Stacie</t>
  </si>
  <si>
    <t>I've not even had them a month and the bottom is coming off. I'm not happy!</t>
  </si>
  <si>
    <t>Falling apart already!!</t>
  </si>
  <si>
    <t>A3W0GO31B8Y2KE</t>
  </si>
  <si>
    <t>Kristin Swearengen</t>
  </si>
  <si>
    <t>Love them! Fit exactly as expected in length and width! I would definitely buy these again.</t>
  </si>
  <si>
    <t>A3GQXGVAIH5EU4</t>
  </si>
  <si>
    <t>Hailey Lapp</t>
  </si>
  <si>
    <t>A14LVJDMDABMML</t>
  </si>
  <si>
    <t>Chris</t>
  </si>
  <si>
    <t>My second pair, love the fit, light weight and great support.</t>
  </si>
  <si>
    <t>love the fit</t>
  </si>
  <si>
    <t>AJWKZNI5VHW86</t>
  </si>
  <si>
    <t>Carol-Anne Quinn</t>
  </si>
  <si>
    <t>I have wide feet and these were too narrow but very nice looking.</t>
  </si>
  <si>
    <t>Nike</t>
  </si>
  <si>
    <t>A3J4XAGMLTHFHZ</t>
  </si>
  <si>
    <t>Susan</t>
  </si>
  <si>
    <t>Ugh... way to large - is this for a man?</t>
  </si>
  <si>
    <t>Nope</t>
  </si>
  <si>
    <t>A12FBA7DCFE5W7</t>
  </si>
  <si>
    <t>Julia</t>
  </si>
  <si>
    <t>The shoe fit has expected. It is comfortable.</t>
  </si>
  <si>
    <t>It is comfortable.</t>
  </si>
  <si>
    <t>A2ZE58RF22658T</t>
  </si>
  <si>
    <t>Dcf42</t>
  </si>
  <si>
    <t>They fit great, look great, are quite comfortable and are just what I was looking for!</t>
  </si>
  <si>
    <t>Perfect cross trainers</t>
  </si>
  <si>
    <t>AT7UEQ7UJB0RU</t>
  </si>
  <si>
    <t xml:space="preserve"> 7.5 D - Wide</t>
  </si>
  <si>
    <t>J.T.</t>
  </si>
  <si>
    <t>Super comfy, true Size , I use them for boot Camp,  cross fit and they are great , absolutely recommended it.</t>
  </si>
  <si>
    <t>Great training shoes</t>
  </si>
  <si>
    <t>Love them absolutely comfortable. I'm very picky with sneakers and this ones for the price are great I use them for cross fit , boot camp &amp; they work great . The sole is very flexible , true size . I have a wide feet and they fit perfectly. Very nice looking Great sneakers.</t>
  </si>
  <si>
    <t>Amazing training Sneakers.</t>
  </si>
  <si>
    <t>A10WPKF2VH1JWY</t>
  </si>
  <si>
    <t>J. Mitchell</t>
  </si>
  <si>
    <t>Wife happy with fit.</t>
  </si>
  <si>
    <t>HIIT shoes</t>
  </si>
  <si>
    <t>A2ABEGA0S52R5E</t>
  </si>
  <si>
    <t>Katie Yockey</t>
  </si>
  <si>
    <t>They run big. Order a full size smaller.</t>
  </si>
  <si>
    <t>ADD8OMIBXZ89G</t>
  </si>
  <si>
    <t>Gwen F.</t>
  </si>
  <si>
    <t>Super light and very comfortable. I'm a runner and they lack a bit in arch support, so the soles of my feet are a sore. I'm going to add an insert to try fix the problem.</t>
  </si>
  <si>
    <t>Lack support but overall good shoe</t>
  </si>
  <si>
    <t>A1P2JWDZ4SFW78</t>
  </si>
  <si>
    <t xml:space="preserve"> White/Hyper Pink/Pure Platinum/Wolf Grey</t>
  </si>
  <si>
    <t>ND</t>
  </si>
  <si>
    <t>Just because they are white, they do need a washing regularly but I have received many compliments on how pretty these white and pink shoes are. Extremely good Nike quality. Highly recommended.</t>
  </si>
  <si>
    <t>Adorable shoes</t>
  </si>
  <si>
    <t>AI4KO5XDRKDFR</t>
  </si>
  <si>
    <t>Ms. Trainer</t>
  </si>
  <si>
    <t>Arrived in time. Fit as exoected. They take some breaking in but I wore them 2 days in a row for more than five hours per day.</t>
  </si>
  <si>
    <t>Wide sneaker for wide feet</t>
  </si>
  <si>
    <t>A24DSR6Y3A08QM</t>
  </si>
  <si>
    <t>Luiza A.</t>
  </si>
  <si>
    <t>I've been using these to exercise and they are nice a roomy and allow my feet to breath. Also love the colors.</t>
  </si>
  <si>
    <t>I've been using these to exercise and they are nice a roomy and allow my feet to breath</t>
  </si>
  <si>
    <t>A1E4Y7BABMEA03</t>
  </si>
  <si>
    <t>KV</t>
  </si>
  <si>
    <t>Comfortable from the start and very light.</t>
  </si>
  <si>
    <t>AJDX5KE665V0K</t>
  </si>
  <si>
    <t>Msmatt</t>
  </si>
  <si>
    <t>As expected.</t>
  </si>
  <si>
    <t>A1SR58S4CXKU5G</t>
  </si>
  <si>
    <t>Leslie Marks</t>
  </si>
  <si>
    <t>Lightweight, comfortable, supportive. Very happy I bought these shoes for working out.</t>
  </si>
  <si>
    <t>A3D71DQPAAI6O4</t>
  </si>
  <si>
    <t xml:space="preserve"> Pink Blast/Stealth/Hyper Pink/White</t>
  </si>
  <si>
    <t>Deanna S. Beres</t>
  </si>
  <si>
    <t>I love these and have them in a light blue too. Very light weight, airy, and comfortable.</t>
  </si>
  <si>
    <t>AASAT3YLO3WTB</t>
  </si>
  <si>
    <t>Rerch</t>
  </si>
  <si>
    <t>good quality</t>
  </si>
  <si>
    <t>A1RNS06YMZXM0K</t>
  </si>
  <si>
    <t>Very comfortable sneakers and I also like the way it fits.</t>
  </si>
  <si>
    <t>A21SV1XYXF2GK</t>
  </si>
  <si>
    <t xml:space="preserve"> 7 D - Wide</t>
  </si>
  <si>
    <t>Morgan Slimskey</t>
  </si>
  <si>
    <t>Purchased to wear for weightlifting and Zumba. Zumba trial was last night, and they were great! Super comfortable, good ventilation! Not too much padding, very minimalist, which is just what I wanted</t>
  </si>
  <si>
    <t>and they were great! Super comfortable</t>
  </si>
  <si>
    <t>A17DW041T4X7TJ</t>
  </si>
  <si>
    <t>Anne M. Guss</t>
  </si>
  <si>
    <t>Comfortable and lightweight.</t>
  </si>
  <si>
    <t>A14TS9PCRLLWEG</t>
  </si>
  <si>
    <t>Lynda J. Ottey</t>
  </si>
  <si>
    <t>I love these shoes my second pair of 40 plus $ shoes and they both have certainly out done the $100 K-swiss that I'm looking to return . The shoes are extremely comfortable, all my clients love them, just wish they came in more colors.</t>
  </si>
  <si>
    <t>I love these shoes my second pair of 40 plus $ ...</t>
  </si>
  <si>
    <t>A2ZMHBMNYFXOX7</t>
  </si>
  <si>
    <t>Juliana</t>
  </si>
  <si>
    <t>They fit as expected and perfect for training, the shoelaces are a little bit too long. Other than that these shoes are as I expected them !</t>
  </si>
  <si>
    <t>They fit as expected and perfect for training</t>
  </si>
  <si>
    <t>A1K0VEMIB5QF7I</t>
  </si>
  <si>
    <t>Extremely well fitting and light weight</t>
  </si>
  <si>
    <t>A135KOM855ZA5</t>
  </si>
  <si>
    <t>A2IAB9QOQH3IA6</t>
  </si>
  <si>
    <t>Love them</t>
  </si>
  <si>
    <t>A3S1CGGMXE41RR</t>
  </si>
  <si>
    <t>AA - Amazon Addicted!!</t>
  </si>
  <si>
    <t>I love these shoes and have worn them for a long time. That are comfy, thinner on the top &amp; sole and are very cute!</t>
  </si>
  <si>
    <t>Very Good For Everyday</t>
  </si>
  <si>
    <t>A3B4FM5VE99X4P</t>
  </si>
  <si>
    <t>Candace</t>
  </si>
  <si>
    <t>Fast shipping and turned out as expected. Couldn't be happier.</t>
  </si>
  <si>
    <t>AKJVCU7H1KDWI</t>
  </si>
  <si>
    <t>madison</t>
  </si>
  <si>
    <t>I have been wearing for a solid week during my work outs &amp; they are great for comfort and they are light weight.</t>
  </si>
  <si>
    <t>AFD4WKNPLPS3I</t>
  </si>
  <si>
    <t>Love these shoes for circuit training.</t>
  </si>
  <si>
    <t>A36GUL3Z65YSIP</t>
  </si>
  <si>
    <t>J. washington</t>
  </si>
  <si>
    <t>Super comfortable. I joined Cross Fit and this is the perfect shoe.</t>
  </si>
  <si>
    <t>Super comfortable. I joined Cross Fit and this is ...</t>
  </si>
  <si>
    <t>AT72GRKOXVE25</t>
  </si>
  <si>
    <t xml:space="preserve"> 10 D - Wide</t>
  </si>
  <si>
    <t>Cristian Sosa</t>
  </si>
  <si>
    <t>just do it :)</t>
  </si>
  <si>
    <t>A2AEJ9NTLWD61V</t>
  </si>
  <si>
    <t>Karen Mary Rowe</t>
  </si>
  <si>
    <t>Love these, comfortable, light weight, great fit.</t>
  </si>
  <si>
    <t>Sooo comfortable</t>
  </si>
  <si>
    <t>AWEIW3G1E0MKO</t>
  </si>
  <si>
    <t>Janie M</t>
  </si>
  <si>
    <t>I love this show.</t>
  </si>
  <si>
    <t>So happy.</t>
  </si>
  <si>
    <t>A2IFCGU2IQ6KAV</t>
  </si>
  <si>
    <t>JCSurf</t>
  </si>
  <si>
    <t>The shoes are true to size. I am used to wearing running shoes so these have been an adjustment. Overall, the shoe is nice and provides well for my HIIT and Grit classes I take.</t>
  </si>
  <si>
    <t>the shoe is nice and provides well for my HIIT and Grit classes ...</t>
  </si>
  <si>
    <t>A2AGT9INDKDK6B</t>
  </si>
  <si>
    <t>Love them!  I ordered an 8.5 because I usually wear that size but these are a bit big. I wish I ordered an 8. They are really comfortable and I enjoy wearing them.</t>
  </si>
  <si>
    <t>Look amazing, runs slightly big.</t>
  </si>
  <si>
    <t>A2Q6OH5LUQXPFV</t>
  </si>
  <si>
    <t>Very comfortable.</t>
  </si>
  <si>
    <t>ADLAYE3PNYFJM</t>
  </si>
  <si>
    <t>Rosi B.</t>
  </si>
  <si>
    <t>Very nice shoes.  Comfortable.</t>
  </si>
  <si>
    <t>AZ7LUSY20ZFSC</t>
  </si>
  <si>
    <t>Maria Morales</t>
  </si>
  <si>
    <t>Very comfortable. I love wearing them.</t>
  </si>
  <si>
    <t>A1L7TD1CZQDK6R</t>
  </si>
  <si>
    <t>corinnehoffman</t>
  </si>
  <si>
    <t>Great fit so comfortable love them!!!!!</t>
  </si>
  <si>
    <t>A3T1O294HJJTUH</t>
  </si>
  <si>
    <t>SmartMonkey</t>
  </si>
  <si>
    <t>A nice lightweight shoe. Not a lot of cushion so I wouldn't run long distances in them.</t>
  </si>
  <si>
    <t>Decent little shoe for the price.</t>
  </si>
  <si>
    <t>A3EOYFVP68048C</t>
  </si>
  <si>
    <t>Judy</t>
  </si>
  <si>
    <t>I really love these shoes.  They are attractive and very comfortable.  They work well for my daily workout and fit well.</t>
  </si>
  <si>
    <t>Attractive and fit well</t>
  </si>
  <si>
    <t>A2JX7ESVMGXMJY</t>
  </si>
  <si>
    <t>Marlex</t>
  </si>
  <si>
    <t>Comfortable shoe.  First time I've ever bought nikes that feel so large.  It feels about 1/2 size too big.  I bought 7.5.  I normally wear exactly that size and on occasion an 8.</t>
  </si>
  <si>
    <t>Runs large</t>
  </si>
  <si>
    <t>A2K5ZBX75J80TX</t>
  </si>
  <si>
    <t>Marjorie A. Dunbar</t>
  </si>
  <si>
    <t>Ordered 9(m) received 9 Wide for the second time. Returned them for the second time.</t>
  </si>
  <si>
    <t>AY9TXNLYCD9L5</t>
  </si>
  <si>
    <t>Nice shoes</t>
  </si>
  <si>
    <t>A9MOCNHJD03PI</t>
  </si>
  <si>
    <t>Anna Smith</t>
  </si>
  <si>
    <t>This is my second pair of these shoes.  I love the fit and they provide support for walking.  I like the way the shoes fit around my ankle, as many shoes are uncomfortable because they come up too high in the back.  Try them!</t>
  </si>
  <si>
    <t>I love the fit and they provide support for walking</t>
  </si>
  <si>
    <t>AEUUYBIO73RLA</t>
  </si>
  <si>
    <t>L. Jones</t>
  </si>
  <si>
    <t>There is about a 1/2 inch of extra space from the tip of my big toe to the front of the shoe. That's okay, though. I usually wear socks, so it doesn't feel too big, even if it does make your foot look a bit long._x000D_
_x000D_
The colors are vibrant, and the sole has plenty of grip, even on a slippery floor. I wore them for most of the day and they are comfortable._x000D_
_x000D_
Overall, I'm very pleased with this shoe.</t>
  </si>
  <si>
    <t>Good Shoes!</t>
  </si>
  <si>
    <t>A3A2DRPMDCRFBC</t>
  </si>
  <si>
    <t>Michael Carpenter</t>
  </si>
  <si>
    <t>Got them for my girlfriend. She loves them. Says it's like wearing slippers because they are incredibly light.</t>
  </si>
  <si>
    <t>A140XVPLRQYKYY</t>
  </si>
  <si>
    <t>Deambrea</t>
  </si>
  <si>
    <t>Serves intended purpose</t>
  </si>
  <si>
    <t>Good shoe</t>
  </si>
  <si>
    <t>A2KMWD77XBGZ8K</t>
  </si>
  <si>
    <t>Bonnie White</t>
  </si>
  <si>
    <t>They are super comfortable. Loving them.</t>
  </si>
  <si>
    <t>A25SOIZ0IZE1YY</t>
  </si>
  <si>
    <t>vp22</t>
  </si>
  <si>
    <t>I have gotten so many compliments on the blue color and look of this shoe.  It is super comfortable.  The grip is wonderful for my indoor gym cross training classes.  I always order a half size larger in Nike brand shoes and thy fit perfectly as I did with this shoe.</t>
  </si>
  <si>
    <t>Love These Shoes!</t>
  </si>
  <si>
    <t>A1ZR8LQHUOUFJP</t>
  </si>
  <si>
    <t>Mammot</t>
  </si>
  <si>
    <t>Fit is fine, but not much cushioning in the footbed. The first time wearing them on a long walk I developed a blister on the bottom of my foot.</t>
  </si>
  <si>
    <t>Not my favorites...</t>
  </si>
  <si>
    <t>A2AAABWQUYH26V</t>
  </si>
  <si>
    <t>Beth C</t>
  </si>
  <si>
    <t>Perfect for the gym, could use a little more support in the toe area but very comfortable and light. Fit true to size.</t>
  </si>
  <si>
    <t>Perfect for the gym</t>
  </si>
  <si>
    <t>A3LBTMJ453T4W6</t>
  </si>
  <si>
    <t>MSM</t>
  </si>
  <si>
    <t>Meh, felt very comfortable but provided no support. Seem like a good option for walking around in the summer but not for aerobics or lateral movements</t>
  </si>
  <si>
    <t>Meh</t>
  </si>
  <si>
    <t>A2NBGWZH3VC2EW</t>
  </si>
  <si>
    <t>Kathy</t>
  </si>
  <si>
    <t>Love these! Super light and comfortable!</t>
  </si>
  <si>
    <t>A3B5TYITM5FKRO</t>
  </si>
  <si>
    <t>Jonika R.</t>
  </si>
  <si>
    <t>Loved the products and services!!</t>
  </si>
  <si>
    <t>A2O3GSYI4B5Z9H</t>
  </si>
  <si>
    <t>Letitia C</t>
  </si>
  <si>
    <t>It's hard to find a lightweight athletic shoe with a wide toe box. This shoe has that. I am happy with the support for walking and everyday wear. I wouldn't run in them. Now I just have to stock up on as many pair as I can afford before Nike discontinues them :). Don't you hate when that happens?</t>
  </si>
  <si>
    <t>Hurry before they're gone!</t>
  </si>
  <si>
    <t>AG1CF6PFNBOQH</t>
  </si>
  <si>
    <t>anat</t>
  </si>
  <si>
    <t>The shoes are amazing,very comfortable and fit as expected highly recommended. :)</t>
  </si>
  <si>
    <t>Amazing</t>
  </si>
  <si>
    <t>A1LLDHUO4OLXYI</t>
  </si>
  <si>
    <t>mommyof2</t>
  </si>
  <si>
    <t>Super comfy!!</t>
  </si>
  <si>
    <t>A37K0VP2H8FKOU</t>
  </si>
  <si>
    <t>I needed a wide size, that option was not available. So I went up a half size bigger hoping that would work. It's not quite comfortable but I am  able to wear them. I like the shoes.</t>
  </si>
  <si>
    <t>Not quite wide enough</t>
  </si>
  <si>
    <t>AZYHPRWLMSY9O</t>
  </si>
  <si>
    <t>Dj Tab</t>
  </si>
  <si>
    <t>Look great</t>
  </si>
  <si>
    <t>A1GZ9Z5M3Q4FDK</t>
  </si>
  <si>
    <t>Holly S.</t>
  </si>
  <si>
    <t>I love these shoes. I am rather basic when it comes to Nikes, I don't need all the cool colors, so these look amazing and feel amazing, like they were made for my feet. I definitely suggest purchasing them.</t>
  </si>
  <si>
    <t>Simple look, outstanding comfort!</t>
  </si>
  <si>
    <t>A3F5015D4BBJM9</t>
  </si>
  <si>
    <t>Hedy</t>
  </si>
  <si>
    <t>Cute and comfy. Sleek design. My only complaint is the fly wire loosens up and my shoe sometimes slips off my heels during heavy sled runs. I have two pairs of this style.</t>
  </si>
  <si>
    <t>My second favorite.</t>
  </si>
  <si>
    <t>ABKS5CX4GI72B</t>
  </si>
  <si>
    <t>Blue</t>
  </si>
  <si>
    <t>I love them!</t>
  </si>
  <si>
    <t>A2A1WECA7Y5UPN</t>
  </si>
  <si>
    <t>Derek</t>
  </si>
  <si>
    <t>normally Nike fits small so we go up a half size. These actually fit to my wife's appropriate size. So be ware when you order.</t>
  </si>
  <si>
    <t>Fit to actual size.</t>
  </si>
  <si>
    <t>A3PRZ9ESGB2KPU</t>
  </si>
  <si>
    <t>kwa</t>
  </si>
  <si>
    <t>love these shoes. use them to workout inside and to work</t>
  </si>
  <si>
    <t>A3JGWZXFBDENRB</t>
  </si>
  <si>
    <t>I was shocked at how small these shoes were, not true at all to size, and I own multiple shoes in this brand. The quality could have been better, in my opinion -- very little support from the upper.</t>
  </si>
  <si>
    <t>Too small, flimsy upper</t>
  </si>
  <si>
    <t>A6BHQ6FNIRI1K</t>
  </si>
  <si>
    <t>Donna Omar</t>
  </si>
  <si>
    <t>Great shoes - was looking for something to replace my barefeet so I can wear orthotics while kickboxing. These are light weight, hug my feet comfortably and have a thinner upper so I can still feel the bag when I kick AND they have good lateral stability. My feet are on the narrow side so it's hard to find shoes that are snug enough. These are perfect. Oh, and they are really cute too.</t>
  </si>
  <si>
    <t>Great for kickboxing</t>
  </si>
  <si>
    <t>A1EE1EP2G0HKQ</t>
  </si>
  <si>
    <t>Deborah Bodiford</t>
  </si>
  <si>
    <t>They fit perfectly. These shoes are great for walking - so very comfortable. Love them.</t>
  </si>
  <si>
    <t>These shoes are great for walking - so very comfortable</t>
  </si>
  <si>
    <t>A2DDYH2QTGQ6FZ</t>
  </si>
  <si>
    <t>gmathil</t>
  </si>
  <si>
    <t>Good fit and comfy.  Not so cushiony so definetly better for training and not for running or aerobics. Bought size 8 which is my usual size.</t>
  </si>
  <si>
    <t>Good choice for training shoe</t>
  </si>
  <si>
    <t>A2T47RI1J0I7JM</t>
  </si>
  <si>
    <t>Brooke R</t>
  </si>
  <si>
    <t>Light weight and comfortable</t>
  </si>
  <si>
    <t>ABWHIDHK8JSRD</t>
  </si>
  <si>
    <t>ddsmith8</t>
  </si>
  <si>
    <t>I was wearing running shoes for cardio dance classes at the gym because I thought they would be sufficient. After getting 2 blood blisters I did some research and found out cross trainers would be more appropriate which is how I ended up buying this pair. They are slightly longer in look then I  would like but I think that is typical of cross trainers. Also, the lacing is done in a way that allows you to tie too tightly if you're not careful (my toes were tingling during one particular work out when I had done this). Other then that I am very happy with the shoes.</t>
  </si>
  <si>
    <t>They are slightly longer in look then I was would like but I think that is typical of cross trainers</t>
  </si>
  <si>
    <t>ADUWEIS0CHJV8</t>
  </si>
  <si>
    <t>Julie W.</t>
  </si>
  <si>
    <t>Nikes usually run small and I'm a 7.5, so I ordered these in an 8 and they were actually very roomy.  I love them but they are definitely bright orange/coral and not bright crimson like the description said.  I thought they'd be more red in hue to wear with my Ohio State clothes, but instead I use them for running.</t>
  </si>
  <si>
    <t>I love them but they are definitely bright orange/coral and not ...</t>
  </si>
  <si>
    <t>A2JD3RN8JCO62Z</t>
  </si>
  <si>
    <t>Color was not at all what i expected.  It was more orange then red.  Not sure that I am going to keep them.</t>
  </si>
  <si>
    <t>Color was not at all what i expected. It ...</t>
  </si>
  <si>
    <t>Perfect fit! Brand new in new box completely perfect condition and on sale!!! Awesome! Highly reccomend! Super cute shoes.</t>
  </si>
  <si>
    <t>Super cute and on sale!!</t>
  </si>
  <si>
    <t>AODFGQL9CC7G7</t>
  </si>
  <si>
    <t>ZS87</t>
  </si>
  <si>
    <t>Squeaky</t>
  </si>
  <si>
    <t>A13P82MG3XFWV1</t>
  </si>
  <si>
    <t>If you wear Nike on the regular, then you should pretty much know your size. I wear only 7's in Nike, and it fit just as expected. I have many of the trail runner generations, and love them all. they're my go to sneakers for the gym use, or casual wear. I have a pair I used mostly for casual wear that have lasted about 5 years. Another pair that I used for cross fit/outdoor runs that lasted a little over a year (very vigorous daily use). All in all, these shoes are great for me. They're lightweight, and comfortable.</t>
  </si>
  <si>
    <t>then you should pretty much know your size</t>
  </si>
  <si>
    <t>A8I41EKH4UI1Y</t>
  </si>
  <si>
    <t>SLM</t>
  </si>
  <si>
    <t>Great arch support and cushion both for the heel and ball of the foot. Great aerobic shoe!</t>
  </si>
  <si>
    <t>Nice Support</t>
  </si>
  <si>
    <t>ADJRDVMENHF0J</t>
  </si>
  <si>
    <t>Skiman</t>
  </si>
  <si>
    <t>Good quality, perfect fit.  It's a Nike!</t>
  </si>
  <si>
    <t>Good Sneaker</t>
  </si>
  <si>
    <t>A3QKKFB26AZSMG</t>
  </si>
  <si>
    <t>Susana Ibarra</t>
  </si>
  <si>
    <t>Size 8, but purchased 8.5 for a more comfortable feel, considering shrinkage as a result of perspiration.</t>
  </si>
  <si>
    <t>Satisfied</t>
  </si>
  <si>
    <t>A1IE5BGNY2JTF4</t>
  </si>
  <si>
    <t>Debra A.</t>
  </si>
  <si>
    <t>I've always gotten this size in Nike shoes with similar description, but these are too long- at least an inch and 1/2.</t>
  </si>
  <si>
    <t>Too large</t>
  </si>
  <si>
    <t>A1F6LKEC43RSZM</t>
  </si>
  <si>
    <t>Tara S.</t>
  </si>
  <si>
    <t>Very lightweight. Normal Nike quality. Pink is very bright , colors look great together.</t>
  </si>
  <si>
    <t>colors look great together.</t>
  </si>
  <si>
    <t>A3BZKR332FQEP8</t>
  </si>
  <si>
    <t>Love them!!</t>
  </si>
  <si>
    <t>ARY4E7Y947T9P</t>
  </si>
  <si>
    <t>Kindle Customer</t>
  </si>
  <si>
    <t>Arrived on time. I probably should have gone with a 7.5 instead of an 8 because they do seem a little big, but if I wear thick socks they are fine. Also, they can sometimes make a very annoying squeaky noise when I run on certain surfaces so I'm trying to get them worn in. Over-all, I am satisfied with my purchase!</t>
  </si>
  <si>
    <t>but if I wear thick socks they are fine. Also</t>
  </si>
  <si>
    <t>A8DR2Z71DERN0</t>
  </si>
  <si>
    <t>Dawn Rosa</t>
  </si>
  <si>
    <t>After less than a week the sole ripped off on the outside of the shoe</t>
  </si>
  <si>
    <t>Poor quality for Nike</t>
  </si>
  <si>
    <t>A3RP2S6J4VUA7D</t>
  </si>
  <si>
    <t xml:space="preserve"> Black/Red Bronze/White</t>
  </si>
  <si>
    <t>The lines don't really show up unless there is a bright light on them. But other than that they are perfect. They are very true to size and are comfortable the first time you put them on.</t>
  </si>
  <si>
    <t>4/5</t>
  </si>
  <si>
    <t>A34NDY5V71MVJ6</t>
  </si>
  <si>
    <t>Bpiq</t>
  </si>
  <si>
    <t>I love these!  I ordered an 8.5 which is my normal shoe size and they fit great.  I used them for my strength training class and they performed well, and they are sooooo pretty!  Comfortable, low profile and stylish!</t>
  </si>
  <si>
    <t>LOVE!</t>
  </si>
  <si>
    <t>A2AXI9WHORKU6X</t>
  </si>
  <si>
    <t>J. Spatsie</t>
  </si>
  <si>
    <t>Cute and comfortable</t>
  </si>
  <si>
    <t>AOYR5V85UYA8O</t>
  </si>
  <si>
    <t>A38Z4KJHHVY0AU</t>
  </si>
  <si>
    <t>Sizing was perfect as ordered. Quality appears good, still new, not too much more to report.</t>
  </si>
  <si>
    <t>Correct size</t>
  </si>
  <si>
    <t>A1WK3VVSUB1FY7</t>
  </si>
  <si>
    <t>STACEY</t>
  </si>
  <si>
    <t>Size really depends on the brand.  I wear a 6.5 in Nike and they fit me perfectly.  These shoes are comfortable, they wrap around my feet like a bandage but do not restrict movement.</t>
  </si>
  <si>
    <t>A3KWGJH9EBRLE8</t>
  </si>
  <si>
    <t>I was really excited when I opened the box to see the color is exactly like the image shows! I have the Nike flex tr 5 and used the same size to order these. They are a little bigger than expected but still comfortable.</t>
  </si>
  <si>
    <t>... opened the box to see the color is exactly like the image shows</t>
  </si>
  <si>
    <t>A199ICSPL9EXJ5</t>
  </si>
  <si>
    <t>KaDecha Richardson</t>
  </si>
  <si>
    <t>Returning these. the pictures on here make the shoe appear all black with a touch of pink in the check. however, the whole shoe has pink coming through. I was looking for an all black shoe. I ordered the Nike Women's Flex Supreme TR3 instead and love them!!!</t>
  </si>
  <si>
    <t>I ordered the Nike Women's Flex Supreme TR3 instead and love them!</t>
  </si>
  <si>
    <t>A11D8CLU9H24YK</t>
  </si>
  <si>
    <t>Wendy L. Brady</t>
  </si>
  <si>
    <t>wow these are the most comfortable, light weight shoes. I love them!!</t>
  </si>
  <si>
    <t>so light &amp; comfortable!</t>
  </si>
  <si>
    <t>A3A90ECS7ALV4T</t>
  </si>
  <si>
    <t>marysaw</t>
  </si>
  <si>
    <t>love the lightweight and the fit</t>
  </si>
  <si>
    <t>A1LLX8PMQSAUHT</t>
  </si>
  <si>
    <t>teco</t>
  </si>
  <si>
    <t>fits perfect, my daughter loves them</t>
  </si>
  <si>
    <t>A62VUJ6MUZU6M</t>
  </si>
  <si>
    <t>sultari</t>
  </si>
  <si>
    <t>Finally, after trying about 10 pairs of Nike's, these were a perfect fit.  They are light and very comfortable, I really just forget about my feet when I'm wearing them.</t>
  </si>
  <si>
    <t>these were a perfect fit. They are light and very comfortable</t>
  </si>
  <si>
    <t>A37RTXMIC21YOH</t>
  </si>
  <si>
    <t>R Hyden</t>
  </si>
  <si>
    <t>Came quick and my daughter LOVES them</t>
  </si>
  <si>
    <t>A2JMHGCCBZPYP4</t>
  </si>
  <si>
    <t>Great Gift - she loved it!  It's a nice shoe!</t>
  </si>
  <si>
    <t>A29KOO6WMPLGOQ</t>
  </si>
  <si>
    <t>Just what I wanted!</t>
  </si>
  <si>
    <t>A3LWEZO2OWFJX5</t>
  </si>
  <si>
    <t>B.G. - Iliinois</t>
  </si>
  <si>
    <t>Bought these for my daughter and she loves them.  She tried them on at a retail store a couple months prior, so I knew her exact size.</t>
  </si>
  <si>
    <t>Bought these for my daughter and she loves them. ...</t>
  </si>
  <si>
    <t>A1IR4GED6BXNSR</t>
  </si>
  <si>
    <t>M. Ridgell</t>
  </si>
  <si>
    <t>Great product and fast shipping!</t>
  </si>
  <si>
    <t>A9MNC403IAKFS</t>
  </si>
  <si>
    <t>caridad Hidalgo</t>
  </si>
  <si>
    <t>Tried one in the store and bought it online but it was a different  kind of shoe . Too big , different fit !</t>
  </si>
  <si>
    <t>Tried one in the store and bought it online but ...</t>
  </si>
  <si>
    <t>ASEXDKPTYY14D</t>
  </si>
  <si>
    <t>Tomoe</t>
  </si>
  <si>
    <t>I had the older generation of this shoe that survived 2 or 3 mud runs and of all my aches and pains, my feet was not one of them. This is because of this shoe. Nike really dropped the mic with this.</t>
  </si>
  <si>
    <t>I had the older generation of this shoe that survived ...</t>
  </si>
  <si>
    <t>AEHOCC2S72M38</t>
  </si>
  <si>
    <t xml:space="preserve"> 12 B(M) US</t>
  </si>
  <si>
    <t>This pair fits perfect.....the first pair was wrong size in the right box.....definitely order again!!!!!</t>
  </si>
  <si>
    <t>A1R7S4XNZLSLBH</t>
  </si>
  <si>
    <t>Wollstonecraft</t>
  </si>
  <si>
    <t>I returned these as they were not true to size. They ran large.</t>
  </si>
  <si>
    <t>Not true to size</t>
  </si>
  <si>
    <t>A3PTZ7IHGU9BA8</t>
  </si>
  <si>
    <t>wrong shoes</t>
  </si>
  <si>
    <t>AZ7P3NH09B66S</t>
  </si>
  <si>
    <t>Cotton</t>
  </si>
  <si>
    <t>There very nice</t>
  </si>
  <si>
    <t>A37OEAOYVLKYC</t>
  </si>
  <si>
    <t>Lisa (Hartford CT)</t>
  </si>
  <si>
    <t>I actually have 3 pairs of these trainers.  They are very comfortable, there is a neoprene sleeve that goes around your ankle that makes them the most comfortable for me compared to normal athletic shoes.  They run a little narrow - for me this is perfect, but you may want to round up on the size or try on in the store first if your feet are on the wider side.</t>
  </si>
  <si>
    <t>A1QGX3IWOHIZYA</t>
  </si>
  <si>
    <t>Jenny Jones</t>
  </si>
  <si>
    <t>Just too big otherwise I liked them!</t>
  </si>
  <si>
    <t>A1DF4MM3K93J0W</t>
  </si>
  <si>
    <t>Andrea Valdez</t>
  </si>
  <si>
    <t>Comfortable shoe.  I would buy again</t>
  </si>
  <si>
    <t>A2VMKNYTJ973O3</t>
  </si>
  <si>
    <t>Light weight and comfortable.</t>
  </si>
  <si>
    <t>A1OZMZ4FLR5UPW</t>
  </si>
  <si>
    <t>Deborah M. Klein</t>
  </si>
  <si>
    <t>Fit my size perfectly and very comfortable!</t>
  </si>
  <si>
    <t>A3G2IEH99QRNYP</t>
  </si>
  <si>
    <t>Love these shoes! Needed new running shoes and these are perfect. Light weight and fit great!</t>
  </si>
  <si>
    <t>A9E07GS8ZV3ON</t>
  </si>
  <si>
    <t>Purchased these for our teenage daughter. She loves them. For both casual wear and sports.</t>
  </si>
  <si>
    <t>ACDIEMICS7XGC</t>
  </si>
  <si>
    <t>Shopping Queen</t>
  </si>
  <si>
    <t>Love these shoes, I have worn them all day and found them really comfortable with no aching feet at the end of the day. Fantastic colour and true to size. I also bought  Nike Women's Flex Supreme Tr 3 Pnk Pw/Mtllc Slvr/Cl Gry/White Training Shoe and these shoes are slightly more comfortable than those even though they look very similar.</t>
  </si>
  <si>
    <t>A1223JGQ0GRSPT</t>
  </si>
  <si>
    <t>CStaples</t>
  </si>
  <si>
    <t>Super light weight comfortable! Kick box in these and run too. Good support!</t>
  </si>
  <si>
    <t>Super light weight versatile</t>
  </si>
  <si>
    <t>AUDAQGK21DH1Z</t>
  </si>
  <si>
    <t>Yusra</t>
  </si>
  <si>
    <t>i bought a pair from DSW for 50$ and they are very comfortable but i bought a size 6.5 when I normally where a size 7.  and even the 6.5 feels a little roomy.  I have wide flat feet btw.  im not sure if I will keep them even though i love their look and comfort.  I've been having feet problems while taking a gym class and I think they won't give me enough support when running.  they're great for wearing at home or gym and doing exercises in one place- extremely light weight and flexible, but i don't know if they'll last long if you use them everywhere else.  :(  i really like them but i cant just buy 2 different shoes._x000D_
also, i really like the strings inside the lining on the side of the shoes to adjust and make the shoe fit snug. it makes me feel secure :D</t>
  </si>
  <si>
    <t>very comfortable but limited use</t>
  </si>
  <si>
    <t>ATSUXY7ASCGPY</t>
  </si>
  <si>
    <t>Lara Miller</t>
  </si>
  <si>
    <t>Not a lot of arch support but really lightweight.</t>
  </si>
  <si>
    <t>AY6GA8WZR3JKV</t>
  </si>
  <si>
    <t>EXCELLENT</t>
  </si>
  <si>
    <t>A1NBH6OGAD3BSK</t>
  </si>
  <si>
    <t>Khs</t>
  </si>
  <si>
    <t>Good for non-aerobic workout. Mesh was very comfortable but no support for lateral movrment.</t>
  </si>
  <si>
    <t>Not for aerobic exercise</t>
  </si>
  <si>
    <t>A3DIMXA53RL7P</t>
  </si>
  <si>
    <t>B Savage</t>
  </si>
  <si>
    <t>Favorite Nikes ever. I already owned this style and was ready for a new pair so I went with these. Love the color and they fit great.</t>
  </si>
  <si>
    <t>Favorite Nikes ever</t>
  </si>
  <si>
    <t>A2RI4IA5982B8I</t>
  </si>
  <si>
    <t>Wejdan Turkistani</t>
  </si>
  <si>
    <t>Light-weight comfy shoes.</t>
  </si>
  <si>
    <t>A1EWNWTJPKEO4Z</t>
  </si>
  <si>
    <t>Tried a lot of shoes for cross training and these were the best!</t>
  </si>
  <si>
    <t>... of shoes for cross training and these were the best!</t>
  </si>
  <si>
    <t>AXKDU1CHG7Y4</t>
  </si>
  <si>
    <t>Lauren Nielsen</t>
  </si>
  <si>
    <t>Wish they had a little more support/cushion, but I love everything else about them!</t>
  </si>
  <si>
    <t>Overall, a grwat shoe.</t>
  </si>
  <si>
    <t>A2FCRNY9C46Q4H</t>
  </si>
  <si>
    <t>Darlene Christ</t>
  </si>
  <si>
    <t>These are as far as comfort goes the most comfortable pair of sneakers I have I suffer from sciatica pain that goes into my feet I have difficulty finding the proper support and comfort in shoes I would recommend these most definitely.</t>
  </si>
  <si>
    <t>These are as far as comfort goes the most comfortable pair of sneakers I have I suffer from sciatica ...</t>
  </si>
  <si>
    <t>AJWSFNS4F87M6</t>
  </si>
  <si>
    <t>Yraida V.</t>
  </si>
  <si>
    <t>After my purchased I found out they are overpriced. They feel good but I will not recommended if you need Wide fit.</t>
  </si>
  <si>
    <t>They feel good but I will not recommended if you need Wide ...</t>
  </si>
  <si>
    <t>A2KGKIJ528667I</t>
  </si>
  <si>
    <t>EdTheTalkingHorse</t>
  </si>
  <si>
    <t>I bought a pair of these in my size, but they are too small. I can get my feet in them but not comfortably. It's too bad because I can tell the soles are comfortable. Of course, now I've work them to work so I can't return them.</t>
  </si>
  <si>
    <t>Get a half-size or more larger than usual.</t>
  </si>
  <si>
    <t>A2CP5A30XO5JUO</t>
  </si>
  <si>
    <t>Aaron O.</t>
  </si>
  <si>
    <t>Love them!  Very comfortable and great for weight training!</t>
  </si>
  <si>
    <t>Love them! Very comfortable and great for weight training</t>
  </si>
  <si>
    <t>A6IYTCB1PQ6NR</t>
  </si>
  <si>
    <t>TAL</t>
  </si>
  <si>
    <t>Took other reviewers advice and went up half size and it was too large. I thought this was a more sock-like fit but it had a tongue that came up high on my ankle not at all sock like. Nice looking and very light weight with a rounded square toe that left plenty of room front foot and toes. These just weren't what I was looking for.</t>
  </si>
  <si>
    <t>Not as expected</t>
  </si>
  <si>
    <t>A3CXL2P49AQQRH</t>
  </si>
  <si>
    <t>Sofiya kantor</t>
  </si>
  <si>
    <t>Really comfortable and very cute.</t>
  </si>
  <si>
    <t>A1TEBP1FCCJW5V</t>
  </si>
  <si>
    <t>These shoes are great.  This is the second pair that I have purchased and I love them.</t>
  </si>
  <si>
    <t>Really Comfortable Shoes</t>
  </si>
  <si>
    <t>AD7ZF3D5JH9HL</t>
  </si>
  <si>
    <t>Vickie Hairston</t>
  </si>
  <si>
    <t>Fit to size. Comfortable</t>
  </si>
  <si>
    <t>A2HL6AXS8GU07F</t>
  </si>
  <si>
    <t>Picky daughter actually loves them.</t>
  </si>
  <si>
    <t>Worth it.</t>
  </si>
  <si>
    <t>A3GJ2XW7W3VC5L</t>
  </si>
  <si>
    <t>Meredith P</t>
  </si>
  <si>
    <t>Fit like a dream! Great for cross-training/HITT videos I do everyday. Great for walking too. Look amazing!</t>
  </si>
  <si>
    <t>Great sneakers!</t>
  </si>
  <si>
    <t>A1X1ZJUOWLSFPG</t>
  </si>
  <si>
    <t>Gayla F. Frazier</t>
  </si>
  <si>
    <t>Most comfortable training shoes I've worn in a long time.</t>
  </si>
  <si>
    <t>Lightweight yet supportive</t>
  </si>
  <si>
    <t>A2QVLSH9P0BFA6</t>
  </si>
  <si>
    <t>KayH</t>
  </si>
  <si>
    <t>I bought these sneakers for boot camp class.  They are very light weight and different than other sneakers that I have owned.  Have only used them a few times, but like them so far.</t>
  </si>
  <si>
    <t>but like them so far</t>
  </si>
  <si>
    <t>A17SQ5GHL7FCTZ</t>
  </si>
  <si>
    <t>Beverly Neal</t>
  </si>
  <si>
    <t>I got a hot spot on the bottom of my foot the first day I wore them.</t>
  </si>
  <si>
    <t>Great red color</t>
  </si>
  <si>
    <t>A2JYB3OMH5QEBV</t>
  </si>
  <si>
    <t>Noreen A. Murray</t>
  </si>
  <si>
    <t>Still breaking them in for use at the gym.  I think once I get used to them, they'll work great!  :)</t>
  </si>
  <si>
    <t>they'll work great!: )</t>
  </si>
  <si>
    <t>A717DJ1DZRTC5</t>
  </si>
  <si>
    <t>JMcQ</t>
  </si>
  <si>
    <t>Not a fan. Shoes looked great but too narrow for most feet.</t>
  </si>
  <si>
    <t>Shoes looked great but too narrow for most feet</t>
  </si>
  <si>
    <t>A2NKNE9SV2KIN2</t>
  </si>
  <si>
    <t>Reka</t>
  </si>
  <si>
    <t>I love these shoes. I exercise in them as well as just take them on longer walks. Feels good, looks GREAT!!</t>
  </si>
  <si>
    <t>AZ3KLARHNWMNZ</t>
  </si>
  <si>
    <t>PomeLo</t>
  </si>
  <si>
    <t>fits perfect</t>
  </si>
  <si>
    <t>A218T4MO2D9DF3</t>
  </si>
  <si>
    <t>Very comfortable shoes. I have wide feet with falling arches. These help both and are comfortable enough that I can be in them all day long.</t>
  </si>
  <si>
    <t>Very comfortable shoes. I have wide feet with falling arches</t>
  </si>
  <si>
    <t>A39XW67H6XEUOJ</t>
  </si>
  <si>
    <t>Kris L. Brown</t>
  </si>
  <si>
    <t>Unfortunately, this Flex Supreme does NOT have enough support over the toe and ankle are for my requirements._x000D_
Returning for credit.  Thanks anyway.</t>
  </si>
  <si>
    <t>Did not fit my feet</t>
  </si>
  <si>
    <t>A3SM5XENOINDNH</t>
  </si>
  <si>
    <t>Marielys Rodrguez</t>
  </si>
  <si>
    <t>After using this shoes seven times for regular activities like walking or dancing the sole came out. I am very disappointed. I don't recommend this product at all. The worse part is that I can not return this item because the return window closed 4 days ago.</t>
  </si>
  <si>
    <t>Poor Quality. Don't buy.</t>
  </si>
  <si>
    <t>AMDBCZOTA9PVG</t>
  </si>
  <si>
    <t>Megan</t>
  </si>
  <si>
    <t>Fit like gloves to my feet! Perfect for workouts.</t>
  </si>
  <si>
    <t>AIIPH3GX5LWS0</t>
  </si>
  <si>
    <t>Sophie G</t>
  </si>
  <si>
    <t>I've worn these to work out for 5 days in a row now. Initially, my arches ached but over time the discomfort subsided entirely. I've done everything from bootcamps, resistance training, running and Zumba. So yeah.., they are truly crosstrainers ;-)</t>
  </si>
  <si>
    <t>Does the job!</t>
  </si>
  <si>
    <t>ASOSP4VAUDB7I</t>
  </si>
  <si>
    <t>I liked these shoes a lot. Very light weight. I didn't give a 5 because the color was a little lighter than I thought it was going to be but still a great shoe. Very comfortable</t>
  </si>
  <si>
    <t>I liked these shoes a lot</t>
  </si>
  <si>
    <t>A11JLWK8H96AU</t>
  </si>
  <si>
    <t>Love them !!!</t>
  </si>
  <si>
    <t>AC5WLG32YTU5K</t>
  </si>
  <si>
    <t>I love these shoes! Great arch support and perfect for cardio.</t>
  </si>
  <si>
    <t>A2MIBT81MX859C</t>
  </si>
  <si>
    <t>I workout at the local crossfit and find that these shoes help give me good support  with my endurance workouts.</t>
  </si>
  <si>
    <t>... crossfit and find that these shoes help give me good support with my endurance workouts</t>
  </si>
  <si>
    <t>A2YPMEQ0QQ2I50</t>
  </si>
  <si>
    <t>These shoes look really great. However, slightly loose. The problems with lack of support arose when I exercised. It feels like there is little to no support in them. Possibly this is a shoe more geared for an office environment or short walking distances.</t>
  </si>
  <si>
    <t>Unnacceptable. Zero support</t>
  </si>
  <si>
    <t>A12LDKOWDBPQTC</t>
  </si>
  <si>
    <t>Marci</t>
  </si>
  <si>
    <t>These are my favorite walk around shoes! I can wear them all day and not be in pain! Love em!</t>
  </si>
  <si>
    <t>Great for walking!</t>
  </si>
  <si>
    <t>A2S1234WV0NH27</t>
  </si>
  <si>
    <t>Sonj</t>
  </si>
  <si>
    <t>Favorite training and walking-around sneakers._x000D_
They look good with just about anything, and are comfortable for most situations._x000D_
With the exception of running (for which I use proper Mizuno running sneakers with an arch-support insole), these sneakers are my go-to._x000D_
If I could, I'd take away a 1/2 star for arch support - I have a slightly wider front of the foot and arches that are a little on the high side, so I do look for a good under the foot fit. I could probably tie the laces differently or put in an insole(they're pretty expensive), but as is, when I did a zumba class in these, my arch began to twinge :(_x000D_
However, this is overall an awesome shoe that I will continue to stick with for going out, day to day walking, and for training and gym use (with the exception of running and zumba (although hip-hop was fine). The shoes have a great flexibility to them and don't look "dirty" easily. My previous pair of flex supreme TR 3s have lasted for a good 2 years and are just now on the verge of being worn out. This is the optimal sneaker that is flexible in more ways than one: from pointing you toes to leg-pressing, from gym use to shopping to adding a sporty edge to a dressy night out, the flex has it all.</t>
  </si>
  <si>
    <t>Simply Supreme.</t>
  </si>
  <si>
    <t>A3R2PQ01UGPDOX</t>
  </si>
  <si>
    <t>Michelle</t>
  </si>
  <si>
    <t>Love these! I have 3 pairs...they're so comfortable - I'm on my feet all day &amp; my feet actually don't hurt at the end of the day when I wear these :)_x000D_
I've learned to get these 1/2 size smaller....I'm normally a size 7 and the 6 1/2 fit perfectly</t>
  </si>
  <si>
    <t>Soooo comfortable.....</t>
  </si>
  <si>
    <t>AV2MXVWMTERBK</t>
  </si>
  <si>
    <t>Katherine M.</t>
  </si>
  <si>
    <t>Great shoes. Lightweight and comfortable</t>
  </si>
  <si>
    <t>A2UE1H1A7NH56P</t>
  </si>
  <si>
    <t>K. Towler</t>
  </si>
  <si>
    <t>BEST. SHOES. EVER.  I bought two pairs in different colors- black n' white and the pink and white...  They have AWESOME support for whatever you use them for.. I have one for work and the other for training/running/etc in...</t>
  </si>
  <si>
    <t>BEST SHOES EVER!</t>
  </si>
  <si>
    <t>A36XF6818PQ4DJ</t>
  </si>
  <si>
    <t>Sydney S.</t>
  </si>
  <si>
    <t>These sneakers give me the motivation to workout because they feel so good and are great for any training</t>
  </si>
  <si>
    <t>... me the motivation to workout because they feel so good and are great for any training</t>
  </si>
  <si>
    <t>A2SF88GW3AWEFK</t>
  </si>
  <si>
    <t>Amazon Junkie</t>
  </si>
  <si>
    <t>I LOVE the look and comfort of these shoes for style and lifting weights. Super cute and flezable. BUT for running, absolutely not!! It might just be my pronation/supnation and these shoes just do not work for my personal stride. I run about 2-4 miles every few days. Average of 8 miles a week and then sprints twice a week on a treadmill. Just after running with these 3 times, I am having major back issues that I have never had before._x000D_
_x000D_
MY STATS and other shoes:_x000D_
I road and trail run. I run on my tip toes on the treadmill and a lot of heal on the road. I am 5'6 169lbs with more muscle than an average runner. Built more like a sprinter than a marathon runner._x000D_
I LOVE Nike FLEX bottoms. They really give me support and flex needed. I have also used Asics and Puma.</t>
  </si>
  <si>
    <t>Hurt my knees and back running</t>
  </si>
  <si>
    <t>AIM9MWMG87AWG</t>
  </si>
  <si>
    <t>Dennae</t>
  </si>
  <si>
    <t>Size 5. Very comfortable shoes. Love!</t>
  </si>
  <si>
    <t>Very comfortable shoes. Love</t>
  </si>
  <si>
    <t>AK1X6JAJ2L389</t>
  </si>
  <si>
    <t>S. Vanhoose</t>
  </si>
  <si>
    <t>I bought a wide size of these at a local store and they are amazing!  Soft, comfy, with moderate support.  Not a cloud to walk on, but not minimalist.  The wide size is perfect for my wide feet with high arches.  The shoe tends to run about a half size long though, especially for Nike.  I am working on getting in shape, and these shoes feel good all day... No rubbing on my big toe joint or pinkie toe or heel.  Very pleased.</t>
  </si>
  <si>
    <t>A3IO5BLF4EPZDR</t>
  </si>
  <si>
    <t>Wendita</t>
  </si>
  <si>
    <t>I always buy the same size this ones came to large</t>
  </si>
  <si>
    <t>large shoe</t>
  </si>
  <si>
    <t>A26TU9F2BSPSGT</t>
  </si>
  <si>
    <t>Christy</t>
  </si>
  <si>
    <t>Nice shoes, fit good</t>
  </si>
  <si>
    <t>ABRX0RQNRXX85</t>
  </si>
  <si>
    <t>Ivan P.</t>
  </si>
  <si>
    <t>I bought these for my wife. She saw them in the store but did not have their size so i ordered on amazon. She loves them . She already had for a couple of months and no complains at all. One of her favorites shoes for running or for her job since she walks a lot in the warehouse. Now she loves me more. :)</t>
  </si>
  <si>
    <t>My wife loves these shoes.</t>
  </si>
  <si>
    <t>A2GXUQFUWMZ2FH</t>
  </si>
  <si>
    <t>carlcalico</t>
  </si>
  <si>
    <t>Love these shoes. My feet have been weird since I was pregnant and my old shoes were uncomfortable. These are very comfy and help me get active. They are also stylish and go with anything.</t>
  </si>
  <si>
    <t>Love Love Love</t>
  </si>
  <si>
    <t>AS378UOMHULXO</t>
  </si>
  <si>
    <t>Look better than the picture, very comfortable, great support.</t>
  </si>
  <si>
    <t>PERFECT</t>
  </si>
  <si>
    <t>A3QX1A6IPFQTN9</t>
  </si>
  <si>
    <t>Campsandalwood</t>
  </si>
  <si>
    <t>Love my new Nike's.  It's been years since I've been able to wear them (sizing changed years ago and I just couldn't wear them any more) but now the new styles and sizing are perfect.  Lightweight shoe with tons of style.  The Fog color is just what I was looking for...not black and not neon!  I wore them to participate in Relay for Life (24 hour walk) and they held up great!</t>
  </si>
  <si>
    <t>Nice shoe</t>
  </si>
  <si>
    <t>A3LJ4LLR2UX4CB</t>
  </si>
  <si>
    <t>C.L.</t>
  </si>
  <si>
    <t>I am so happy with this purchase. I feel like I'm barely wearing a sneaker when working out. Another plus is that when I take off my sneaker, my sock is barely sweaty! I have never had that experience with a shoe. The shoe is also very attractive and flattering and looks nice on my feet.</t>
  </si>
  <si>
    <t>I am so happy with this purchase</t>
  </si>
  <si>
    <t>A34WSGSH5OBAM2</t>
  </si>
  <si>
    <t>Darci Claude</t>
  </si>
  <si>
    <t>Absolutely love them. Can even wear them without my insoles.</t>
  </si>
  <si>
    <t>A2QJWHL4HY9FMF</t>
  </si>
  <si>
    <t>Super cute shoe however runs wide and big, I'm a size 10 however this size 10 is too big. I went to a sporting goods store and tried the same shoe on  turns out with this particular shoe I'm a 9.5, so order half the size u normally are.</t>
  </si>
  <si>
    <t>Cute</t>
  </si>
  <si>
    <t>AXVYVUK058AM3</t>
  </si>
  <si>
    <t>HP</t>
  </si>
  <si>
    <t>Wore these for the first time hiking the bluffs. Not the best traction on well worn rocks, but super comfy. No blisters, no achilles pain like with other shoes. Will continue to purchase Nike shoes, because my feet love them for all activities! ( except my home workouts, they drag pretty hard on the carpet)</t>
  </si>
  <si>
    <t>A1AS1520CGYJ79</t>
  </si>
  <si>
    <t>A-MA-ZING!  I needed a good jogging shoe and these make me feel like "Forest Gump".  I felt like I was running on a cloud.  I have narrow feet and these fit perfectly.  I am so happy that I am going to purchase another two pair as back-ups for once it's time to replace them.  Highly recommend to women who like to walk or run and light a light weight, comfortable shoe.</t>
  </si>
  <si>
    <t>Absolutely Perfect Shoe!!</t>
  </si>
  <si>
    <t>AIP4C9MG13COB</t>
  </si>
  <si>
    <t>Cheryl A Stoneham</t>
  </si>
  <si>
    <t>Comfortable and lightweight. Need a good training shoe that's also supportive and flexible.  I really like the fit, but had to get 1/2 size larger as this style in my size is too perfect from heel to toe.</t>
  </si>
  <si>
    <t>Comfortable and lightweight</t>
  </si>
  <si>
    <t>A1X1DXP9HGXG27</t>
  </si>
  <si>
    <t>Andrea Beatriz Spinelli</t>
  </si>
  <si>
    <t>Excellent</t>
  </si>
  <si>
    <t>AIO1XEP0AIDQJ</t>
  </si>
  <si>
    <t>my3sons+3</t>
  </si>
  <si>
    <t>These shoes are awesome!  They are nearly weightless and feel great on my feet.  The first day I wore them I wore them ALL day on vacation.  I put them on the next day and did the same.  Besides the comfort, they are really a cool color!</t>
  </si>
  <si>
    <t>Awesome shoes!</t>
  </si>
  <si>
    <t>AYNXCABS73RDW</t>
  </si>
  <si>
    <t>DEBRA GRANT</t>
  </si>
  <si>
    <t>Super cute!</t>
  </si>
  <si>
    <t>A2X2KP4XXM06OU</t>
  </si>
  <si>
    <t xml:space="preserve"> 11 D(M) US</t>
  </si>
  <si>
    <t>A15DWAOMHKY7F2</t>
  </si>
  <si>
    <t>N. Barker</t>
  </si>
  <si>
    <t>This is the most comfortable shoe I've ever had. No other shoe can compare to how the individual nubs on the bottom allow your foot to be cushioned, yet work like it's suppose to. My feet feel cradled in this shoe and hard surfaces don't make my feet ache anymore._x000D_
_x000D_
These shoes have a small amount of support, but not much, which I like as I'm coming from vibram five fingers. (Sorry vffs, I'm bailing after 2 years of shin splints, no matter what I did)._x000D_
_x000D_
Highly recommended for walking/running on concrete or tracks. As long as nike continues to make the flex supreme, they will get my money. Please don't change this shoe!</t>
  </si>
  <si>
    <t>Time to leave the fad of the month for something that works.</t>
  </si>
  <si>
    <t>A2P87PVYP2KLT6</t>
  </si>
  <si>
    <t>J Monk</t>
  </si>
  <si>
    <t>I wear them for Zumba and my heel slips on turns. A little annoying because I have to pay attention but they are so cute and comfy, it balances out.</t>
  </si>
  <si>
    <t>A little annoying because I have to pay attention but they are ...</t>
  </si>
  <si>
    <t>A1OOBIVO3APP7E</t>
  </si>
  <si>
    <t>Rosana Maita</t>
  </si>
  <si>
    <t>A2G9JO5SZ3GUXH</t>
  </si>
  <si>
    <t>TJ Amber</t>
  </si>
  <si>
    <t>These run large. I wear a 9.5 exactly in every shoe, but these I bought a 9, and the toe area is pretty wide plus plenty long even with socks. Very comfy and very nice looking shoe. I love them but glad I was able to try them on before purchasing.</t>
  </si>
  <si>
    <t>and the toe area is pretty wide plus plenty long even with socks</t>
  </si>
  <si>
    <t>A14NH559TEDFQL</t>
  </si>
  <si>
    <t>Perfect fit, very comfortable, and a great color. They also fit as expected.</t>
  </si>
  <si>
    <t>A2KCFRMKVHYSU7</t>
  </si>
  <si>
    <t>Saving star</t>
  </si>
  <si>
    <t>Really comfy and nice color</t>
  </si>
  <si>
    <t>Great and comfy for sports</t>
  </si>
  <si>
    <t>A10RXRZE0TAKPU</t>
  </si>
  <si>
    <t xml:space="preserve"> 10 D(M) US</t>
  </si>
  <si>
    <t xml:space="preserve"> Grey/Orange</t>
  </si>
  <si>
    <t>Mark S</t>
  </si>
  <si>
    <t>The picture makes the shoe look like it has a "boxier" toe rather than the "pointier" toe that it actually has. I have wider feet and generally need to buy a size or half size longer to get a comfortable width (in any brand of shoe). I was shooting for a rounder, broader toe design which is more comfortable for me, and I feel that the pictures of this shoe didn't accurately depict what I received, in that one detail. Otherwise, "the shoe fits." So I am wearing it.</t>
  </si>
  <si>
    <t>A bit pointier toe than depicted...</t>
  </si>
  <si>
    <t>A22WG2NE4D47UM</t>
  </si>
  <si>
    <t>These are the most comfortable shoes I've used for working out. Extremely light weight and flexible. Loved them so much I purchased two more pair in different colors.</t>
  </si>
  <si>
    <t>A1SC6HVU28ND3D</t>
  </si>
  <si>
    <t>Sarah</t>
  </si>
  <si>
    <t>Very comfortable and looks great!</t>
  </si>
  <si>
    <t>AJDH2WVLX79KA</t>
  </si>
  <si>
    <t>brookelynne</t>
  </si>
  <si>
    <t>Love this shoes so comfy and great very everyday use. Runs big</t>
  </si>
  <si>
    <t>Fits wonderful</t>
  </si>
  <si>
    <t>AVHVZJ5HB6FSK</t>
  </si>
  <si>
    <t xml:space="preserve"> 12 D(M) US</t>
  </si>
  <si>
    <t>calacas</t>
  </si>
  <si>
    <t>Nice looking and fit nice</t>
  </si>
  <si>
    <t>AG8MPE8CQAPM7</t>
  </si>
  <si>
    <t>MerryM</t>
  </si>
  <si>
    <t>I am a recess aide and on my feet all day long. I tried these shoes on in the store before purchasing them on Amazon. They are very lightweight and comfortable. I was surprised how great they felt. I haven't had a pair of Nikes since Nike shoxs came out. They are so much more lightweight than those. I wore them an entire day the first day and had no problems. The second day; however, I got a pain in my hip to the point where I started limping. As soon as I got home and took them off, the pain was gone the rest of the evening. I'm only 30 by the way. Nothing else in my daily routine changed except wearing these shoes two days in a row. I don't understand why it would make my hip hurt since they are comfortable on my feet, but I'm sure that was the problem. I wore different shoes today and had no pain. I don't think as much as I am on my feet I will be able to wear them an extended amount of time. I will have to rotate wearing them every other day. For normal wear, I believe, people will be fine. I am literally walking or standing six hours a day straight._x000D_
_x000D_
**UPDATE: So, initially after wearing them, I had hip pain after wearing them. I don't know if they just needed to be broken in, but I wear them all the time now and have not experienced any pain since the first couple times of wearing them. They are comfortable, and I love them even more now.</t>
  </si>
  <si>
    <t>A1AWX0M8R6A2I1</t>
  </si>
  <si>
    <t>CBP</t>
  </si>
  <si>
    <t>Perfict fit for me. Great looking shoes at a great price.</t>
  </si>
  <si>
    <t>nice</t>
  </si>
  <si>
    <t>AT5OQFDS6PEE1</t>
  </si>
  <si>
    <t>H. Heckstall</t>
  </si>
  <si>
    <t>The sneakers are very comfortable and fit to size.</t>
  </si>
  <si>
    <t>AOFQAZVA6Q6E7</t>
  </si>
  <si>
    <t>D. Resendes</t>
  </si>
  <si>
    <t>I've had these shoes for about a week now and have so far enjoyed using them. Considering the fact that I have wide feet, the shoes are slightly tight. However, it doesn't feel uncomfortable nor does it bothers me as I use them throughout my workouts. I know some people personally like when the shoes are a bit tighter or a bit looser so it's all in personal preference.</t>
  </si>
  <si>
    <t>Wide Feet so Somewhat Tight</t>
  </si>
  <si>
    <t>A2C6XHB0AEBNEG</t>
  </si>
  <si>
    <t>I really like them!</t>
  </si>
  <si>
    <t>B001LNSY2Q</t>
  </si>
  <si>
    <t>B0058YEJ5K</t>
  </si>
  <si>
    <t>A3NAUSUOBMW1XH</t>
  </si>
  <si>
    <t>ok but too big</t>
  </si>
  <si>
    <t>AHZ8GGXF4BCNP</t>
  </si>
  <si>
    <t>Melissa Williams</t>
  </si>
  <si>
    <t>Love these shoes.. they are so comfortable.</t>
  </si>
  <si>
    <t>A1OWUKMLTHKYG</t>
  </si>
  <si>
    <t>Alison</t>
  </si>
  <si>
    <t>In really like these. I wear between a 9-9.5 womens, I got the 9.5 and they fit perfectly. They are light weight but have good support. I will buy another pair.</t>
  </si>
  <si>
    <t>Great Shoe</t>
  </si>
  <si>
    <t xml:space="preserve"> black</t>
  </si>
  <si>
    <t>B0014F7B98</t>
  </si>
  <si>
    <t>A3P1MRTMU7EH0D</t>
  </si>
  <si>
    <t>Amy S.</t>
  </si>
  <si>
    <t>The shoes fit well in the arch area. They are a little wider in the toe area of the shoe, you feel like you have a lot of room. This does not make the shoe uncomfortable, just had to get used to it. Love the shoe.</t>
  </si>
  <si>
    <t>you feel like you have a lot of room</t>
  </si>
  <si>
    <t>ATS6HOUGOVX0D</t>
  </si>
  <si>
    <t>Tried them on in a store before buying online so I knew they'd fit good. Overall I was looking for a durable cross training shoe that would hold up to my rigorous training and these have been great so far. They are really light and comfortable. Most importantly for me they have grips on the bottoms so my feet don't slide out from under me while doing planks, push-ups, etc. Highly satisfied with this purchase.</t>
  </si>
  <si>
    <t>Exactly What I Was Looking For</t>
  </si>
  <si>
    <t>A12AWD9L3DD93E</t>
  </si>
  <si>
    <t>I recommend that!</t>
  </si>
  <si>
    <t>A1D6THAJG4XGSP</t>
  </si>
  <si>
    <t>Shoppermom</t>
  </si>
  <si>
    <t>My son likes these, and this is the 2nd pair he's worn.</t>
  </si>
  <si>
    <t>Good shoes, tolerable price.</t>
  </si>
  <si>
    <t>A2N97FVE233YZ4</t>
  </si>
  <si>
    <t>GadgetDiva</t>
  </si>
  <si>
    <t>Really great for walking I'm very glad I got these and the color is fun</t>
  </si>
  <si>
    <t>A2YIR9LKJO8W37</t>
  </si>
  <si>
    <t>Hair_bear_xo</t>
  </si>
  <si>
    <t>Love these shoes. My feet feel so much better. Lots of padding and light enough to run in.</t>
  </si>
  <si>
    <t xml:space="preserve"> Cool Grey/Volt-pure Platinum</t>
  </si>
  <si>
    <t xml:space="preserve"> 8.5 W US</t>
  </si>
  <si>
    <t xml:space="preserve"> 7 W US</t>
  </si>
  <si>
    <t>B009MA34NY</t>
  </si>
  <si>
    <t>A39LISAY8SNHM</t>
  </si>
  <si>
    <t>k</t>
  </si>
  <si>
    <t>A1A8RABZPTD7HL</t>
  </si>
  <si>
    <t>Fit fine...did not like color in person</t>
  </si>
  <si>
    <t>A2BM6XH033ZQ3I</t>
  </si>
  <si>
    <t>amazonuser</t>
  </si>
  <si>
    <t>The shoe is too large. When you do lunges it hurts the heel. The shoe size from a local store is the size I ordered from Amazon however the size or fitting seems to be large</t>
  </si>
  <si>
    <t>somewhat large fit</t>
  </si>
  <si>
    <t xml:space="preserve"> 9 W US</t>
  </si>
  <si>
    <t xml:space="preserve"> 7.5 W US</t>
  </si>
  <si>
    <t>B0092UF54A</t>
  </si>
  <si>
    <t>A1T708NWV60HSO</t>
  </si>
  <si>
    <t>Beatrice Garcia</t>
  </si>
  <si>
    <t>Super comfortable and fit my small feet perfectly. I have flat feet so a lot of shoes are not comfortable for long periods of time. I can wear the shoe all day long and they are super comfortable. They are light colored so any dirt will be seen right away, but they are easy to clean compared to other shoes Ive had. Would definitely buy another pair in a different color.</t>
  </si>
  <si>
    <t>LOVE my new sneakers!</t>
  </si>
  <si>
    <t>ASECGGNQIT2RN</t>
  </si>
  <si>
    <t>Debra DeGrand</t>
  </si>
  <si>
    <t>Love these shoes!</t>
  </si>
  <si>
    <t>Very confortable!</t>
  </si>
  <si>
    <t xml:space="preserve"> 8 W US</t>
  </si>
  <si>
    <t xml:space="preserve"> 10 W US</t>
  </si>
  <si>
    <t>B005AGO4LU</t>
  </si>
  <si>
    <t>A3H6A9RH9LN2LJ</t>
  </si>
  <si>
    <t>Lea M</t>
  </si>
  <si>
    <t>Love these shoes! Great fit, very light weight.</t>
  </si>
  <si>
    <t>A3LJRA2I5F34W5</t>
  </si>
  <si>
    <t>B00G8Q7JZ4</t>
  </si>
  <si>
    <t xml:space="preserve"> 6</t>
  </si>
  <si>
    <t xml:space="preserve"> 5mm</t>
  </si>
  <si>
    <t>Foxymoma82</t>
  </si>
  <si>
    <t>Beautiful mirror finish-very comfortable. Looks great with my white gold engagement ring and you cant beat the price. I have another band like this in a different size that Ive had for 2 years and the finish is still beautiful with no scratches. If you want a beautiful ring at a great price I highly recommend the white tungsten carbide!!</t>
  </si>
  <si>
    <t>Beautiful!!!</t>
  </si>
  <si>
    <t xml:space="preserve"> 3mm</t>
  </si>
  <si>
    <t>Love the mirror finish - very comfortable - scratchproof. Pairs beautifully with my white gold engagement ring.</t>
  </si>
  <si>
    <t>Beautiful ring!!!</t>
  </si>
  <si>
    <t>A1NCY0KWVFW829</t>
  </si>
  <si>
    <t xml:space="preserve"> 6mm</t>
  </si>
  <si>
    <t>very nice...quick shipment...</t>
  </si>
  <si>
    <t xml:space="preserve"> 10</t>
  </si>
  <si>
    <t xml:space="preserve"> 10mm</t>
  </si>
  <si>
    <t>very nice...quick shipment</t>
  </si>
  <si>
    <t xml:space="preserve"> 6.5</t>
  </si>
  <si>
    <t>very nice ....high quality....</t>
  </si>
  <si>
    <t>A1QL6WZ4EJAUTD</t>
  </si>
  <si>
    <t xml:space="preserve"> 9.5</t>
  </si>
  <si>
    <t>Candy H</t>
  </si>
  <si>
    <t>looks great</t>
  </si>
  <si>
    <t xml:space="preserve"> 9</t>
  </si>
  <si>
    <t>yes</t>
  </si>
  <si>
    <t xml:space="preserve"> 11</t>
  </si>
  <si>
    <t>B00GKF5BAS</t>
  </si>
  <si>
    <t xml:space="preserve"> Multi</t>
  </si>
  <si>
    <t>Very nice</t>
  </si>
  <si>
    <t>B00I0VHS10</t>
  </si>
  <si>
    <t xml:space="preserve"> Black 2 Pack</t>
  </si>
  <si>
    <t>Would recomend</t>
  </si>
  <si>
    <t>Soft. Strong. Comfortable!!</t>
  </si>
  <si>
    <t>My favorite workout pants.  Have had them several months and use several times a week.  Keep me dry and stand up to a llt of washing!</t>
  </si>
  <si>
    <t>Love these pants!</t>
  </si>
  <si>
    <t xml:space="preserve"> Heather Charcoal</t>
  </si>
  <si>
    <t>I ended up having to throw them out. The inside seam and around the private area was unraveling which can't happen when working out. I have a black pair which are just find so I think I got a defective pair.</t>
  </si>
  <si>
    <t>Good just watch the seams!</t>
  </si>
  <si>
    <t xml:space="preserve"> Deep Teal Space Dye</t>
  </si>
  <si>
    <t>WOW!  I love these capris!  I ordered the deep teal and they are a very dark blue/teal (a much deeper prettier color than shown).  I received many compliments the first time I wore them to the gym.  They are super soft and comfortable from the leg all the way to the waist...COMFORTABLE.  They never slip down at the waist and give me full coverage (not see through at all). I am 5' 4" and 159 pounds and I ordered a medium.  The size fit perfectly although that being said they are longer on me than the photo (probably my short legs) but came 2 inches above my ankle so just below my calf.  Given that I have weight to loose these are very flattering on as well.  They are also a nice stretchy fabric (thus the comfort) and cool.  We are in the high 90's and 100 degree summer weather and I am cool!  Purchase these as you won't be disappointed especially at this price.  I like these better than my Lululemon and Athleta capris!!!  I am back to purchase more!</t>
  </si>
  <si>
    <t>Comfortable Capris</t>
  </si>
  <si>
    <t>B00LKWYX2I</t>
  </si>
  <si>
    <t xml:space="preserve"> E05-8pack</t>
  </si>
  <si>
    <t>SO CUTE!!  Very good value. Cute style, pretty colors and soft material.</t>
  </si>
  <si>
    <t>You will love the colors, the softness and value</t>
  </si>
  <si>
    <t>B00MLYE8PQ</t>
  </si>
  <si>
    <t>I like it. I wasn't sure if I could pull off this kind of hat, but it looks good and fits nicely.</t>
  </si>
  <si>
    <t>Good quality for price</t>
  </si>
  <si>
    <t>B00ND9047Y</t>
  </si>
  <si>
    <t xml:space="preserve"> Dark Red-EGC1B01C</t>
  </si>
  <si>
    <t>I used this for a costume and it worked well.</t>
  </si>
  <si>
    <t xml:space="preserve"> Blue-EGC1B03C</t>
  </si>
  <si>
    <t>Husband was very happy. He now feels like he would fit in on the set of Downton Abbey.</t>
  </si>
  <si>
    <t>Nice vest.</t>
  </si>
  <si>
    <t>B00RLSCLJM</t>
  </si>
  <si>
    <t xml:space="preserve"> 7mm</t>
  </si>
  <si>
    <t>My ring shipped the same day that I placed the order and was received well before the estimated delivery date. It is absolutely beautiful!! It is a substantial ring without being overly heavy and is very comfortable to wear. I've cooked and cleaned with it on and it is still free of scratches and the finish is beautifully shiny. It also runs true to size. I highly recommend this ring and this seller!! Will definitely do business with them again.</t>
  </si>
  <si>
    <t>Beautiful ring - I love it!!!</t>
  </si>
  <si>
    <t>B00ZUA6AJK</t>
  </si>
  <si>
    <t xml:space="preserve"> 8 Pack-art</t>
  </si>
  <si>
    <t>I am changing my review after a second washing._x000D_
I am a male size 9 wide and after washing  they are a very tight fit. They are mid calf, wide enough at the toe, but snug from toe to heel. That said I think a male size 8 is about it. Larger size feet might have a problem. Quality is OK for the price. You will see these socks sold singly on other sites at $12.99 each!  I like the socks and ordered a second set to put in my daughters Christmas stocking.</t>
  </si>
  <si>
    <t>OK esp. for the price but size 8 mens' is probably the max.</t>
  </si>
  <si>
    <t>B010RRWKT4</t>
  </si>
  <si>
    <t xml:space="preserve"> 9 M US</t>
  </si>
  <si>
    <t xml:space="preserve"> 7.5 M US</t>
  </si>
  <si>
    <t xml:space="preserve"> 13 M US</t>
  </si>
  <si>
    <t xml:space="preserve"> Cool Grey/Team Orange/White/Metallic Platinum</t>
  </si>
  <si>
    <t xml:space="preserve"> 8.5 M US</t>
  </si>
  <si>
    <t xml:space="preserve"> 10.5 M US</t>
  </si>
  <si>
    <t>A3331XPWE0QR9O</t>
  </si>
  <si>
    <t xml:space="preserve"> 7 M US</t>
  </si>
  <si>
    <t>Renee</t>
  </si>
  <si>
    <t>I love this shoes they are so comfortable</t>
  </si>
  <si>
    <t>A1DHIMM5SZGIIL</t>
  </si>
  <si>
    <t xml:space="preserve"> 8 M US</t>
  </si>
  <si>
    <t>Ang</t>
  </si>
  <si>
    <t>I absolutely LOVE these shoes. These are my absolute favorite. So light and comfortable. These are actually my 2nd pair. I am still wearing my 1st pair after 2 years and they look good still. I am just afraid they are going to disappear and I want a back up pair for when my 1st pair wears out. These have been the best shoes I've owned!</t>
  </si>
  <si>
    <t>I absolutely LOVE these shoes</t>
  </si>
  <si>
    <t>A2077NII5H62R2</t>
  </si>
  <si>
    <t>Perfect fit!</t>
  </si>
  <si>
    <t>A2IBS6PIPAGAB5</t>
  </si>
  <si>
    <t xml:space="preserve"> 5 M US</t>
  </si>
  <si>
    <t>J. Avila</t>
  </si>
  <si>
    <t>My favorite cross trainers!</t>
  </si>
  <si>
    <t>A1GTC5EVSJNCQ8</t>
  </si>
  <si>
    <t>Love them fit perfect</t>
  </si>
  <si>
    <t>A311XHHLM12MUT</t>
  </si>
  <si>
    <t>Peter</t>
  </si>
  <si>
    <t>Favorite Nike shoe ever! The flex sole is excellent for someone like me who loves the free feeling of sandals or being barefoot. These move effortlessly with the bend of my foot. I've worn these for multiple activities and I've had no foot or ankle pain. The white/green/dark grey color goes with so many outfits and the mesh breathes perfectly on hot summer days. Highly recommend!</t>
  </si>
  <si>
    <t>A135SGOQMVWABQ</t>
  </si>
  <si>
    <t>I wear these everyday to work, the gym, etc.</t>
  </si>
  <si>
    <t xml:space="preserve"> 6 M US</t>
  </si>
  <si>
    <t xml:space="preserve"> 10 M US</t>
  </si>
  <si>
    <t xml:space="preserve"> 12 M US</t>
  </si>
  <si>
    <t xml:space="preserve"> 9.5 M US</t>
  </si>
  <si>
    <t xml:space="preserve"> 6.5 M US</t>
  </si>
  <si>
    <t xml:space="preserve"> 11 M US</t>
  </si>
  <si>
    <t>Greg &amp;amp; Kristin Hyder</t>
  </si>
  <si>
    <t>angemomma</t>
  </si>
  <si>
    <t xml:space="preserve"> 9.5 W US</t>
  </si>
  <si>
    <t>schholly</t>
  </si>
  <si>
    <t>Meal Prep Chick</t>
  </si>
  <si>
    <t>J Linsell</t>
  </si>
  <si>
    <t>B014IBJKNO</t>
  </si>
  <si>
    <t>B01595OS62</t>
  </si>
  <si>
    <t xml:space="preserve"> X-Large (16-18)</t>
  </si>
  <si>
    <t xml:space="preserve"> Bluestone Wash</t>
  </si>
  <si>
    <t>Very comfortable and fits perfectly</t>
  </si>
  <si>
    <t>B016XAJLVO</t>
  </si>
  <si>
    <t xml:space="preserve"> Matte</t>
  </si>
  <si>
    <t>Super.</t>
  </si>
  <si>
    <t>B01H7KY678</t>
  </si>
  <si>
    <t xml:space="preserve"> Medium (15-15.5 Neck) Sleeve 34/35</t>
  </si>
  <si>
    <t xml:space="preserve"> Red</t>
  </si>
  <si>
    <t>Largely my fault for not reading carefully, but the high synthetic fiber content made the shirt uncomfortable to the touch.  Not the manufacturer's fault, of course.</t>
  </si>
  <si>
    <t>Read fiber content carefully</t>
  </si>
  <si>
    <t>B003M6060S</t>
  </si>
  <si>
    <t xml:space="preserve"> Large / 14/16</t>
  </si>
  <si>
    <t xml:space="preserve"> Immergruen Black</t>
  </si>
  <si>
    <t>Size, colour and print all above average but does not wash great.</t>
  </si>
  <si>
    <t>Cold wash or you'll be handing this down</t>
  </si>
  <si>
    <t xml:space="preserve"> Short Sleeve Crew Neck Shirt</t>
  </si>
  <si>
    <t>StyleSize</t>
  </si>
  <si>
    <t>StyleColor</t>
  </si>
  <si>
    <t>Not Specified</t>
  </si>
  <si>
    <t>ReviewYear</t>
  </si>
  <si>
    <t>ReviewMonth</t>
  </si>
  <si>
    <t>reviewDate</t>
  </si>
  <si>
    <t>reviewLength</t>
  </si>
  <si>
    <t>Sentiment</t>
  </si>
  <si>
    <t>Category</t>
  </si>
  <si>
    <t>Sum of overall</t>
  </si>
  <si>
    <t>Row Labels</t>
  </si>
  <si>
    <t>Grand Total</t>
  </si>
  <si>
    <t>January</t>
  </si>
  <si>
    <t>February</t>
  </si>
  <si>
    <t>March</t>
  </si>
  <si>
    <t>April</t>
  </si>
  <si>
    <t>May</t>
  </si>
  <si>
    <t>June</t>
  </si>
  <si>
    <t>July</t>
  </si>
  <si>
    <t>August</t>
  </si>
  <si>
    <t>September</t>
  </si>
  <si>
    <t>October</t>
  </si>
  <si>
    <t>November</t>
  </si>
  <si>
    <t>December</t>
  </si>
  <si>
    <t>Positive</t>
  </si>
  <si>
    <t>Negative</t>
  </si>
  <si>
    <t>Neutral</t>
  </si>
  <si>
    <t>Column Labels</t>
  </si>
  <si>
    <t>Count of reviewText</t>
  </si>
  <si>
    <t>Rating Distribution</t>
  </si>
  <si>
    <t>Monthly Review Trends</t>
  </si>
  <si>
    <t>Clothing</t>
  </si>
  <si>
    <t>Other</t>
  </si>
  <si>
    <t>Reading Glasses</t>
  </si>
  <si>
    <t>Count of asin</t>
  </si>
  <si>
    <t>Total Count of asin</t>
  </si>
  <si>
    <t>Total Average of overall</t>
  </si>
  <si>
    <t>Average of overall</t>
  </si>
  <si>
    <t>Product Performance</t>
  </si>
  <si>
    <t>Size vs Color Analysis(for Clothing)</t>
  </si>
  <si>
    <t>Count of reviewerID</t>
  </si>
  <si>
    <t>FALSE</t>
  </si>
  <si>
    <t>TRUE</t>
  </si>
  <si>
    <t>Total Review</t>
  </si>
  <si>
    <t>Average Rating</t>
  </si>
  <si>
    <t>% verified</t>
  </si>
  <si>
    <t>%positive</t>
  </si>
  <si>
    <t>R</t>
  </si>
  <si>
    <t>Review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</si>
</sst>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b/>
      <sz val="11"/>
      <color theme="1"/>
      <name val="Calibri"/>
      <family val="2"/>
      <scheme val="minor"/>
    </font>
    <font>
      <b/>
      <sz val="18"/>
      <color theme="1"/>
      <name val="Calibri"/>
      <family val="2"/>
      <scheme val="minor"/>
    </font>
    <font>
      <b/>
      <sz val="18"/>
      <color theme="1"/>
      <name val="Century Gothic"/>
      <family val="2"/>
    </font>
    <font>
      <b/>
      <sz val="20"/>
      <color theme="1"/>
      <name val="Calibri"/>
      <family val="2"/>
      <scheme val="minor"/>
    </font>
    <font>
      <b/>
      <sz val="26"/>
      <color theme="1"/>
      <name val="Calibri"/>
      <family val="2"/>
      <scheme val="minor"/>
    </font>
    <font>
      <b/>
      <sz val="24"/>
      <color theme="1"/>
      <name val="Calibri"/>
      <family val="2"/>
      <scheme val="minor"/>
    </font>
    <font>
      <b/>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0" xfId="0" applyFont="1" applyFill="1"/>
    <xf numFmtId="0" fontId="0" fillId="2" borderId="0" xfId="0" applyFill="1"/>
    <xf numFmtId="0" fontId="3" fillId="0" borderId="0" xfId="0" applyFont="1"/>
    <xf numFmtId="0" fontId="4" fillId="0" borderId="0" xfId="0" applyFont="1"/>
    <xf numFmtId="0" fontId="0" fillId="0" borderId="0" xfId="0" applyAlignment="1">
      <alignment horizontal="left" vertical="top"/>
    </xf>
    <xf numFmtId="0" fontId="5" fillId="0" borderId="0" xfId="0" applyFont="1"/>
    <xf numFmtId="0" fontId="7" fillId="0" borderId="0" xfId="0" applyFont="1"/>
    <xf numFmtId="0" fontId="6" fillId="0" borderId="0" xfId="0" applyFont="1"/>
    <xf numFmtId="0" fontId="8" fillId="0" borderId="0" xfId="0" applyFont="1"/>
    <xf numFmtId="0" fontId="9" fillId="0" borderId="0" xfId="0" applyFont="1"/>
    <xf numFmtId="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AMAZON.xlsx]Pivots!Review Analysis</c:name>
    <c:fmtId val="0"/>
  </c:pivotSource>
  <c:chart>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Pivots!$I$35</c:f>
              <c:strCache>
                <c:ptCount val="1"/>
                <c:pt idx="0">
                  <c:v>Average of overall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Pivots!$H$36:$H$48</c:f>
              <c:strCache>
                <c:ptCount val="12"/>
                <c:pt idx="0">
                  <c:v>Amazon Customer</c:v>
                </c:pt>
                <c:pt idx="1">
                  <c:v>Chelsea</c:v>
                </c:pt>
                <c:pt idx="2">
                  <c:v>Elizabeth Gravesen</c:v>
                </c:pt>
                <c:pt idx="3">
                  <c:v>Heather</c:v>
                </c:pt>
                <c:pt idx="4">
                  <c:v>j.morris</c:v>
                </c:pt>
                <c:pt idx="5">
                  <c:v>J.T.</c:v>
                </c:pt>
                <c:pt idx="6">
                  <c:v>K</c:v>
                </c:pt>
                <c:pt idx="7">
                  <c:v>Kindle Customer</c:v>
                </c:pt>
                <c:pt idx="8">
                  <c:v>Mary</c:v>
                </c:pt>
                <c:pt idx="9">
                  <c:v>sporting road</c:v>
                </c:pt>
                <c:pt idx="10">
                  <c:v>Susan</c:v>
                </c:pt>
                <c:pt idx="11">
                  <c:v>vp22</c:v>
                </c:pt>
              </c:strCache>
            </c:strRef>
          </c:cat>
          <c:val>
            <c:numRef>
              <c:f>Pivots!$I$36:$I$48</c:f>
              <c:numCache>
                <c:formatCode>General</c:formatCode>
                <c:ptCount val="12"/>
                <c:pt idx="0">
                  <c:v>4.429590017825312</c:v>
                </c:pt>
                <c:pt idx="1">
                  <c:v>5</c:v>
                </c:pt>
                <c:pt idx="2">
                  <c:v>3</c:v>
                </c:pt>
                <c:pt idx="3">
                  <c:v>3.5</c:v>
                </c:pt>
                <c:pt idx="4">
                  <c:v>5</c:v>
                </c:pt>
                <c:pt idx="5">
                  <c:v>5</c:v>
                </c:pt>
                <c:pt idx="6">
                  <c:v>5</c:v>
                </c:pt>
                <c:pt idx="7">
                  <c:v>4.2</c:v>
                </c:pt>
                <c:pt idx="8">
                  <c:v>5</c:v>
                </c:pt>
                <c:pt idx="9">
                  <c:v>5</c:v>
                </c:pt>
                <c:pt idx="10">
                  <c:v>3.9333333333333331</c:v>
                </c:pt>
                <c:pt idx="11">
                  <c:v>5</c:v>
                </c:pt>
              </c:numCache>
            </c:numRef>
          </c:val>
          <c:extLst>
            <c:ext xmlns:c16="http://schemas.microsoft.com/office/drawing/2014/chart" uri="{C3380CC4-5D6E-409C-BE32-E72D297353CC}">
              <c16:uniqueId val="{00000000-2B5F-47DC-9730-DAE15DAF791A}"/>
            </c:ext>
          </c:extLst>
        </c:ser>
        <c:ser>
          <c:idx val="1"/>
          <c:order val="1"/>
          <c:tx>
            <c:strRef>
              <c:f>Pivots!$J$35</c:f>
              <c:strCache>
                <c:ptCount val="1"/>
                <c:pt idx="0">
                  <c:v>Count of reviewerID</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Pivots!$H$36:$H$48</c:f>
              <c:strCache>
                <c:ptCount val="12"/>
                <c:pt idx="0">
                  <c:v>Amazon Customer</c:v>
                </c:pt>
                <c:pt idx="1">
                  <c:v>Chelsea</c:v>
                </c:pt>
                <c:pt idx="2">
                  <c:v>Elizabeth Gravesen</c:v>
                </c:pt>
                <c:pt idx="3">
                  <c:v>Heather</c:v>
                </c:pt>
                <c:pt idx="4">
                  <c:v>j.morris</c:v>
                </c:pt>
                <c:pt idx="5">
                  <c:v>J.T.</c:v>
                </c:pt>
                <c:pt idx="6">
                  <c:v>K</c:v>
                </c:pt>
                <c:pt idx="7">
                  <c:v>Kindle Customer</c:v>
                </c:pt>
                <c:pt idx="8">
                  <c:v>Mary</c:v>
                </c:pt>
                <c:pt idx="9">
                  <c:v>sporting road</c:v>
                </c:pt>
                <c:pt idx="10">
                  <c:v>Susan</c:v>
                </c:pt>
                <c:pt idx="11">
                  <c:v>vp22</c:v>
                </c:pt>
              </c:strCache>
            </c:strRef>
          </c:cat>
          <c:val>
            <c:numRef>
              <c:f>Pivots!$J$36:$J$48</c:f>
              <c:numCache>
                <c:formatCode>General</c:formatCode>
                <c:ptCount val="12"/>
                <c:pt idx="0">
                  <c:v>561</c:v>
                </c:pt>
                <c:pt idx="1">
                  <c:v>16</c:v>
                </c:pt>
                <c:pt idx="2">
                  <c:v>9</c:v>
                </c:pt>
                <c:pt idx="3">
                  <c:v>16</c:v>
                </c:pt>
                <c:pt idx="4">
                  <c:v>10</c:v>
                </c:pt>
                <c:pt idx="5">
                  <c:v>16</c:v>
                </c:pt>
                <c:pt idx="6">
                  <c:v>16</c:v>
                </c:pt>
                <c:pt idx="7">
                  <c:v>20</c:v>
                </c:pt>
                <c:pt idx="8">
                  <c:v>9</c:v>
                </c:pt>
                <c:pt idx="9">
                  <c:v>9</c:v>
                </c:pt>
                <c:pt idx="10">
                  <c:v>15</c:v>
                </c:pt>
                <c:pt idx="11">
                  <c:v>9</c:v>
                </c:pt>
              </c:numCache>
            </c:numRef>
          </c:val>
          <c:extLst>
            <c:ext xmlns:c16="http://schemas.microsoft.com/office/drawing/2014/chart" uri="{C3380CC4-5D6E-409C-BE32-E72D297353CC}">
              <c16:uniqueId val="{00000001-2B5F-47DC-9730-DAE15DAF791A}"/>
            </c:ext>
          </c:extLst>
        </c:ser>
        <c:dLbls>
          <c:showLegendKey val="0"/>
          <c:showVal val="0"/>
          <c:showCatName val="0"/>
          <c:showSerName val="0"/>
          <c:showPercent val="0"/>
          <c:showBubbleSize val="0"/>
        </c:dLbls>
        <c:gapWidth val="150"/>
        <c:shape val="box"/>
        <c:axId val="117687055"/>
        <c:axId val="117687535"/>
        <c:axId val="0"/>
      </c:bar3DChart>
      <c:catAx>
        <c:axId val="117687055"/>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87535"/>
        <c:crosses val="autoZero"/>
        <c:auto val="1"/>
        <c:lblAlgn val="ctr"/>
        <c:lblOffset val="100"/>
        <c:noMultiLvlLbl val="0"/>
      </c:catAx>
      <c:valAx>
        <c:axId val="117687535"/>
        <c:scaling>
          <c:orientation val="minMax"/>
        </c:scaling>
        <c:delete val="0"/>
        <c:axPos val="b"/>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8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AMAZON.xlsx]Pivots!size vs color analysis</c:name>
    <c:fmtId val="2"/>
  </c:pivotSource>
  <c:chart>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Pivots!$O$22:$O$23</c:f>
              <c:strCache>
                <c:ptCount val="1"/>
                <c:pt idx="0">
                  <c:v> Black (37467610) / Red/White</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Pivots!$N$24:$N$26</c:f>
              <c:strCache>
                <c:ptCount val="2"/>
                <c:pt idx="0">
                  <c:v> Big Boys</c:v>
                </c:pt>
                <c:pt idx="1">
                  <c:v> Little Boys</c:v>
                </c:pt>
              </c:strCache>
            </c:strRef>
          </c:cat>
          <c:val>
            <c:numRef>
              <c:f>Pivots!$O$24:$O$26</c:f>
              <c:numCache>
                <c:formatCode>General</c:formatCode>
                <c:ptCount val="2"/>
                <c:pt idx="0">
                  <c:v>5</c:v>
                </c:pt>
              </c:numCache>
            </c:numRef>
          </c:val>
          <c:extLst>
            <c:ext xmlns:c16="http://schemas.microsoft.com/office/drawing/2014/chart" uri="{C3380CC4-5D6E-409C-BE32-E72D297353CC}">
              <c16:uniqueId val="{00000000-ED0C-4154-91AC-C1985E9858F5}"/>
            </c:ext>
          </c:extLst>
        </c:ser>
        <c:ser>
          <c:idx val="1"/>
          <c:order val="1"/>
          <c:tx>
            <c:strRef>
              <c:f>Pivots!$P$22:$P$23</c:f>
              <c:strCache>
                <c:ptCount val="1"/>
                <c:pt idx="0">
                  <c:v> Blue (37867638-99) / Yellow</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Pivots!$N$24:$N$26</c:f>
              <c:strCache>
                <c:ptCount val="2"/>
                <c:pt idx="0">
                  <c:v> Big Boys</c:v>
                </c:pt>
                <c:pt idx="1">
                  <c:v> Little Boys</c:v>
                </c:pt>
              </c:strCache>
            </c:strRef>
          </c:cat>
          <c:val>
            <c:numRef>
              <c:f>Pivots!$P$24:$P$26</c:f>
              <c:numCache>
                <c:formatCode>General</c:formatCode>
                <c:ptCount val="2"/>
                <c:pt idx="0">
                  <c:v>5</c:v>
                </c:pt>
                <c:pt idx="1">
                  <c:v>5</c:v>
                </c:pt>
              </c:numCache>
            </c:numRef>
          </c:val>
          <c:extLst>
            <c:ext xmlns:c16="http://schemas.microsoft.com/office/drawing/2014/chart" uri="{C3380CC4-5D6E-409C-BE32-E72D297353CC}">
              <c16:uniqueId val="{00000001-ED0C-4154-91AC-C1985E9858F5}"/>
            </c:ext>
          </c:extLst>
        </c:ser>
        <c:ser>
          <c:idx val="2"/>
          <c:order val="2"/>
          <c:tx>
            <c:strRef>
              <c:f>Pivots!$Q$22:$Q$23</c:f>
              <c:strCache>
                <c:ptCount val="1"/>
                <c:pt idx="0">
                  <c:v> Blue/Gray Logo</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Ref>
              <c:f>Pivots!$N$24:$N$26</c:f>
              <c:strCache>
                <c:ptCount val="2"/>
                <c:pt idx="0">
                  <c:v> Big Boys</c:v>
                </c:pt>
                <c:pt idx="1">
                  <c:v> Little Boys</c:v>
                </c:pt>
              </c:strCache>
            </c:strRef>
          </c:cat>
          <c:val>
            <c:numRef>
              <c:f>Pivots!$Q$24:$Q$26</c:f>
              <c:numCache>
                <c:formatCode>General</c:formatCode>
                <c:ptCount val="2"/>
                <c:pt idx="0">
                  <c:v>5</c:v>
                </c:pt>
              </c:numCache>
            </c:numRef>
          </c:val>
          <c:extLst>
            <c:ext xmlns:c16="http://schemas.microsoft.com/office/drawing/2014/chart" uri="{C3380CC4-5D6E-409C-BE32-E72D297353CC}">
              <c16:uniqueId val="{00000008-ED0C-4154-91AC-C1985E9858F5}"/>
            </c:ext>
          </c:extLst>
        </c:ser>
        <c:ser>
          <c:idx val="3"/>
          <c:order val="3"/>
          <c:tx>
            <c:strRef>
              <c:f>Pivots!$R$22:$R$23</c:f>
              <c:strCache>
                <c:ptCount val="1"/>
                <c:pt idx="0">
                  <c:v> Blue/Orange</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Pivots!$N$24:$N$26</c:f>
              <c:strCache>
                <c:ptCount val="2"/>
                <c:pt idx="0">
                  <c:v> Big Boys</c:v>
                </c:pt>
                <c:pt idx="1">
                  <c:v> Little Boys</c:v>
                </c:pt>
              </c:strCache>
            </c:strRef>
          </c:cat>
          <c:val>
            <c:numRef>
              <c:f>Pivots!$R$24:$R$26</c:f>
              <c:numCache>
                <c:formatCode>General</c:formatCode>
                <c:ptCount val="2"/>
                <c:pt idx="0">
                  <c:v>5</c:v>
                </c:pt>
                <c:pt idx="1">
                  <c:v>5</c:v>
                </c:pt>
              </c:numCache>
            </c:numRef>
          </c:val>
          <c:extLst>
            <c:ext xmlns:c16="http://schemas.microsoft.com/office/drawing/2014/chart" uri="{C3380CC4-5D6E-409C-BE32-E72D297353CC}">
              <c16:uniqueId val="{00000009-ED0C-4154-91AC-C1985E9858F5}"/>
            </c:ext>
          </c:extLst>
        </c:ser>
        <c:ser>
          <c:idx val="4"/>
          <c:order val="4"/>
          <c:tx>
            <c:strRef>
              <c:f>Pivots!$S$22:$S$23</c:f>
              <c:strCache>
                <c:ptCount val="1"/>
                <c:pt idx="0">
                  <c:v> Blue/Pink</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Pivots!$N$24:$N$26</c:f>
              <c:strCache>
                <c:ptCount val="2"/>
                <c:pt idx="0">
                  <c:v> Big Boys</c:v>
                </c:pt>
                <c:pt idx="1">
                  <c:v> Little Boys</c:v>
                </c:pt>
              </c:strCache>
            </c:strRef>
          </c:cat>
          <c:val>
            <c:numRef>
              <c:f>Pivots!$S$24:$S$26</c:f>
              <c:numCache>
                <c:formatCode>General</c:formatCode>
                <c:ptCount val="2"/>
                <c:pt idx="0">
                  <c:v>5</c:v>
                </c:pt>
                <c:pt idx="1">
                  <c:v>5</c:v>
                </c:pt>
              </c:numCache>
            </c:numRef>
          </c:val>
          <c:extLst>
            <c:ext xmlns:c16="http://schemas.microsoft.com/office/drawing/2014/chart" uri="{C3380CC4-5D6E-409C-BE32-E72D297353CC}">
              <c16:uniqueId val="{0000000A-ED0C-4154-91AC-C1985E9858F5}"/>
            </c:ext>
          </c:extLst>
        </c:ser>
        <c:ser>
          <c:idx val="5"/>
          <c:order val="5"/>
          <c:tx>
            <c:strRef>
              <c:f>Pivots!$T$22:$T$23</c:f>
              <c:strCache>
                <c:ptCount val="1"/>
                <c:pt idx="0">
                  <c:v> Light Blue/Red</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Pivots!$N$24:$N$26</c:f>
              <c:strCache>
                <c:ptCount val="2"/>
                <c:pt idx="0">
                  <c:v> Big Boys</c:v>
                </c:pt>
                <c:pt idx="1">
                  <c:v> Little Boys</c:v>
                </c:pt>
              </c:strCache>
            </c:strRef>
          </c:cat>
          <c:val>
            <c:numRef>
              <c:f>Pivots!$T$24:$T$26</c:f>
              <c:numCache>
                <c:formatCode>General</c:formatCode>
                <c:ptCount val="2"/>
                <c:pt idx="1">
                  <c:v>3</c:v>
                </c:pt>
              </c:numCache>
            </c:numRef>
          </c:val>
          <c:extLst>
            <c:ext xmlns:c16="http://schemas.microsoft.com/office/drawing/2014/chart" uri="{C3380CC4-5D6E-409C-BE32-E72D297353CC}">
              <c16:uniqueId val="{0000000B-ED0C-4154-91AC-C1985E9858F5}"/>
            </c:ext>
          </c:extLst>
        </c:ser>
        <c:ser>
          <c:idx val="6"/>
          <c:order val="6"/>
          <c:tx>
            <c:strRef>
              <c:f>Pivots!$U$22:$U$23</c:f>
              <c:strCache>
                <c:ptCount val="1"/>
                <c:pt idx="0">
                  <c:v> White/Black</c:v>
                </c:pt>
              </c:strCache>
            </c:strRef>
          </c:tx>
          <c:spPr>
            <a:pattFill prst="ltDnDiag">
              <a:fgClr>
                <a:schemeClr val="accent1">
                  <a:lumMod val="60000"/>
                </a:schemeClr>
              </a:fgClr>
              <a:bgClr>
                <a:schemeClr val="accent1">
                  <a:lumMod val="60000"/>
                  <a:lumMod val="20000"/>
                  <a:lumOff val="80000"/>
                </a:schemeClr>
              </a:bgClr>
            </a:pattFill>
            <a:ln>
              <a:solidFill>
                <a:schemeClr val="accent1">
                  <a:lumMod val="60000"/>
                </a:schemeClr>
              </a:solidFill>
            </a:ln>
            <a:effectLst/>
            <a:sp3d>
              <a:contourClr>
                <a:schemeClr val="accent1">
                  <a:lumMod val="60000"/>
                </a:schemeClr>
              </a:contourClr>
            </a:sp3d>
          </c:spPr>
          <c:invertIfNegative val="0"/>
          <c:cat>
            <c:strRef>
              <c:f>Pivots!$N$24:$N$26</c:f>
              <c:strCache>
                <c:ptCount val="2"/>
                <c:pt idx="0">
                  <c:v> Big Boys</c:v>
                </c:pt>
                <c:pt idx="1">
                  <c:v> Little Boys</c:v>
                </c:pt>
              </c:strCache>
            </c:strRef>
          </c:cat>
          <c:val>
            <c:numRef>
              <c:f>Pivots!$U$24:$U$26</c:f>
              <c:numCache>
                <c:formatCode>General</c:formatCode>
                <c:ptCount val="2"/>
                <c:pt idx="1">
                  <c:v>3</c:v>
                </c:pt>
              </c:numCache>
            </c:numRef>
          </c:val>
          <c:extLst>
            <c:ext xmlns:c16="http://schemas.microsoft.com/office/drawing/2014/chart" uri="{C3380CC4-5D6E-409C-BE32-E72D297353CC}">
              <c16:uniqueId val="{0000000C-ED0C-4154-91AC-C1985E9858F5}"/>
            </c:ext>
          </c:extLst>
        </c:ser>
        <c:dLbls>
          <c:showLegendKey val="0"/>
          <c:showVal val="0"/>
          <c:showCatName val="0"/>
          <c:showSerName val="0"/>
          <c:showPercent val="0"/>
          <c:showBubbleSize val="0"/>
        </c:dLbls>
        <c:gapWidth val="150"/>
        <c:shape val="box"/>
        <c:axId val="15495263"/>
        <c:axId val="2061529071"/>
        <c:axId val="0"/>
      </c:bar3DChart>
      <c:catAx>
        <c:axId val="1549526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29071"/>
        <c:crosses val="autoZero"/>
        <c:auto val="1"/>
        <c:lblAlgn val="ctr"/>
        <c:lblOffset val="100"/>
        <c:noMultiLvlLbl val="0"/>
      </c:catAx>
      <c:valAx>
        <c:axId val="2061529071"/>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AMAZON.xlsx]Pivots!Monthly review trends</c:name>
    <c:fmtId val="0"/>
  </c:pivotSource>
  <c:chart>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Pivots!$B$29:$B$30</c:f>
              <c:strCache>
                <c:ptCount val="1"/>
                <c:pt idx="0">
                  <c:v>Negative</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multiLvlStrRef>
              <c:f>Pivots!$A$31:$A$79</c:f>
              <c:multiLvlStrCache>
                <c:ptCount val="36"/>
                <c:lvl>
                  <c:pt idx="0">
                    <c:v>2016</c:v>
                  </c:pt>
                  <c:pt idx="1">
                    <c:v>2017</c:v>
                  </c:pt>
                  <c:pt idx="2">
                    <c:v>2015</c:v>
                  </c:pt>
                  <c:pt idx="3">
                    <c:v>2016</c:v>
                  </c:pt>
                  <c:pt idx="4">
                    <c:v>2017</c:v>
                  </c:pt>
                  <c:pt idx="5">
                    <c:v>2016</c:v>
                  </c:pt>
                  <c:pt idx="6">
                    <c:v>2017</c:v>
                  </c:pt>
                  <c:pt idx="7">
                    <c:v>2016</c:v>
                  </c:pt>
                  <c:pt idx="8">
                    <c:v>2017</c:v>
                  </c:pt>
                  <c:pt idx="9">
                    <c:v>2015</c:v>
                  </c:pt>
                  <c:pt idx="10">
                    <c:v>2016</c:v>
                  </c:pt>
                  <c:pt idx="11">
                    <c:v>2017</c:v>
                  </c:pt>
                  <c:pt idx="12">
                    <c:v>2015</c:v>
                  </c:pt>
                  <c:pt idx="13">
                    <c:v>2016</c:v>
                  </c:pt>
                  <c:pt idx="14">
                    <c:v>2017</c:v>
                  </c:pt>
                  <c:pt idx="15">
                    <c:v>2010</c:v>
                  </c:pt>
                  <c:pt idx="16">
                    <c:v>2015</c:v>
                  </c:pt>
                  <c:pt idx="17">
                    <c:v>2016</c:v>
                  </c:pt>
                  <c:pt idx="18">
                    <c:v>2017</c:v>
                  </c:pt>
                  <c:pt idx="19">
                    <c:v>2014</c:v>
                  </c:pt>
                  <c:pt idx="20">
                    <c:v>2016</c:v>
                  </c:pt>
                  <c:pt idx="21">
                    <c:v>2017</c:v>
                  </c:pt>
                  <c:pt idx="22">
                    <c:v>2015</c:v>
                  </c:pt>
                  <c:pt idx="23">
                    <c:v>2016</c:v>
                  </c:pt>
                  <c:pt idx="24">
                    <c:v>2017</c:v>
                  </c:pt>
                  <c:pt idx="25">
                    <c:v>2015</c:v>
                  </c:pt>
                  <c:pt idx="26">
                    <c:v>2016</c:v>
                  </c:pt>
                  <c:pt idx="27">
                    <c:v>2017</c:v>
                  </c:pt>
                  <c:pt idx="28">
                    <c:v>2014</c:v>
                  </c:pt>
                  <c:pt idx="29">
                    <c:v>2016</c:v>
                  </c:pt>
                  <c:pt idx="30">
                    <c:v>2017</c:v>
                  </c:pt>
                  <c:pt idx="31">
                    <c:v>2009</c:v>
                  </c:pt>
                  <c:pt idx="32">
                    <c:v>2012</c:v>
                  </c:pt>
                  <c:pt idx="33">
                    <c:v>2014</c:v>
                  </c:pt>
                  <c:pt idx="34">
                    <c:v>2016</c:v>
                  </c:pt>
                  <c:pt idx="35">
                    <c:v>2017</c:v>
                  </c:pt>
                </c:lvl>
                <c:lvl>
                  <c:pt idx="0">
                    <c:v>January</c:v>
                  </c:pt>
                  <c:pt idx="2">
                    <c:v>February</c:v>
                  </c:pt>
                  <c:pt idx="5">
                    <c:v>March</c:v>
                  </c:pt>
                  <c:pt idx="7">
                    <c:v>April</c:v>
                  </c:pt>
                  <c:pt idx="9">
                    <c:v>May</c:v>
                  </c:pt>
                  <c:pt idx="12">
                    <c:v>June</c:v>
                  </c:pt>
                  <c:pt idx="15">
                    <c:v>July</c:v>
                  </c:pt>
                  <c:pt idx="19">
                    <c:v>August</c:v>
                  </c:pt>
                  <c:pt idx="22">
                    <c:v>September</c:v>
                  </c:pt>
                  <c:pt idx="25">
                    <c:v>October</c:v>
                  </c:pt>
                  <c:pt idx="28">
                    <c:v>November</c:v>
                  </c:pt>
                  <c:pt idx="31">
                    <c:v>December</c:v>
                  </c:pt>
                </c:lvl>
              </c:multiLvlStrCache>
            </c:multiLvlStrRef>
          </c:cat>
          <c:val>
            <c:numRef>
              <c:f>Pivots!$B$31:$B$79</c:f>
              <c:numCache>
                <c:formatCode>General</c:formatCode>
                <c:ptCount val="36"/>
                <c:pt idx="1">
                  <c:v>26</c:v>
                </c:pt>
                <c:pt idx="4">
                  <c:v>21</c:v>
                </c:pt>
                <c:pt idx="5">
                  <c:v>8</c:v>
                </c:pt>
                <c:pt idx="6">
                  <c:v>16</c:v>
                </c:pt>
                <c:pt idx="9">
                  <c:v>4</c:v>
                </c:pt>
                <c:pt idx="14">
                  <c:v>8</c:v>
                </c:pt>
                <c:pt idx="21">
                  <c:v>16</c:v>
                </c:pt>
                <c:pt idx="23">
                  <c:v>16</c:v>
                </c:pt>
                <c:pt idx="25">
                  <c:v>5</c:v>
                </c:pt>
                <c:pt idx="30">
                  <c:v>16</c:v>
                </c:pt>
                <c:pt idx="34">
                  <c:v>24</c:v>
                </c:pt>
                <c:pt idx="35">
                  <c:v>8</c:v>
                </c:pt>
              </c:numCache>
            </c:numRef>
          </c:val>
          <c:smooth val="0"/>
          <c:extLst>
            <c:ext xmlns:c16="http://schemas.microsoft.com/office/drawing/2014/chart" uri="{C3380CC4-5D6E-409C-BE32-E72D297353CC}">
              <c16:uniqueId val="{00000000-24D2-4AEC-BE6F-891D4579850E}"/>
            </c:ext>
          </c:extLst>
        </c:ser>
        <c:ser>
          <c:idx val="1"/>
          <c:order val="1"/>
          <c:tx>
            <c:strRef>
              <c:f>Pivots!$C$29:$C$30</c:f>
              <c:strCache>
                <c:ptCount val="1"/>
                <c:pt idx="0">
                  <c:v>Neutral</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multiLvlStrRef>
              <c:f>Pivots!$A$31:$A$79</c:f>
              <c:multiLvlStrCache>
                <c:ptCount val="36"/>
                <c:lvl>
                  <c:pt idx="0">
                    <c:v>2016</c:v>
                  </c:pt>
                  <c:pt idx="1">
                    <c:v>2017</c:v>
                  </c:pt>
                  <c:pt idx="2">
                    <c:v>2015</c:v>
                  </c:pt>
                  <c:pt idx="3">
                    <c:v>2016</c:v>
                  </c:pt>
                  <c:pt idx="4">
                    <c:v>2017</c:v>
                  </c:pt>
                  <c:pt idx="5">
                    <c:v>2016</c:v>
                  </c:pt>
                  <c:pt idx="6">
                    <c:v>2017</c:v>
                  </c:pt>
                  <c:pt idx="7">
                    <c:v>2016</c:v>
                  </c:pt>
                  <c:pt idx="8">
                    <c:v>2017</c:v>
                  </c:pt>
                  <c:pt idx="9">
                    <c:v>2015</c:v>
                  </c:pt>
                  <c:pt idx="10">
                    <c:v>2016</c:v>
                  </c:pt>
                  <c:pt idx="11">
                    <c:v>2017</c:v>
                  </c:pt>
                  <c:pt idx="12">
                    <c:v>2015</c:v>
                  </c:pt>
                  <c:pt idx="13">
                    <c:v>2016</c:v>
                  </c:pt>
                  <c:pt idx="14">
                    <c:v>2017</c:v>
                  </c:pt>
                  <c:pt idx="15">
                    <c:v>2010</c:v>
                  </c:pt>
                  <c:pt idx="16">
                    <c:v>2015</c:v>
                  </c:pt>
                  <c:pt idx="17">
                    <c:v>2016</c:v>
                  </c:pt>
                  <c:pt idx="18">
                    <c:v>2017</c:v>
                  </c:pt>
                  <c:pt idx="19">
                    <c:v>2014</c:v>
                  </c:pt>
                  <c:pt idx="20">
                    <c:v>2016</c:v>
                  </c:pt>
                  <c:pt idx="21">
                    <c:v>2017</c:v>
                  </c:pt>
                  <c:pt idx="22">
                    <c:v>2015</c:v>
                  </c:pt>
                  <c:pt idx="23">
                    <c:v>2016</c:v>
                  </c:pt>
                  <c:pt idx="24">
                    <c:v>2017</c:v>
                  </c:pt>
                  <c:pt idx="25">
                    <c:v>2015</c:v>
                  </c:pt>
                  <c:pt idx="26">
                    <c:v>2016</c:v>
                  </c:pt>
                  <c:pt idx="27">
                    <c:v>2017</c:v>
                  </c:pt>
                  <c:pt idx="28">
                    <c:v>2014</c:v>
                  </c:pt>
                  <c:pt idx="29">
                    <c:v>2016</c:v>
                  </c:pt>
                  <c:pt idx="30">
                    <c:v>2017</c:v>
                  </c:pt>
                  <c:pt idx="31">
                    <c:v>2009</c:v>
                  </c:pt>
                  <c:pt idx="32">
                    <c:v>2012</c:v>
                  </c:pt>
                  <c:pt idx="33">
                    <c:v>2014</c:v>
                  </c:pt>
                  <c:pt idx="34">
                    <c:v>2016</c:v>
                  </c:pt>
                  <c:pt idx="35">
                    <c:v>2017</c:v>
                  </c:pt>
                </c:lvl>
                <c:lvl>
                  <c:pt idx="0">
                    <c:v>January</c:v>
                  </c:pt>
                  <c:pt idx="2">
                    <c:v>February</c:v>
                  </c:pt>
                  <c:pt idx="5">
                    <c:v>March</c:v>
                  </c:pt>
                  <c:pt idx="7">
                    <c:v>April</c:v>
                  </c:pt>
                  <c:pt idx="9">
                    <c:v>May</c:v>
                  </c:pt>
                  <c:pt idx="12">
                    <c:v>June</c:v>
                  </c:pt>
                  <c:pt idx="15">
                    <c:v>July</c:v>
                  </c:pt>
                  <c:pt idx="19">
                    <c:v>August</c:v>
                  </c:pt>
                  <c:pt idx="22">
                    <c:v>September</c:v>
                  </c:pt>
                  <c:pt idx="25">
                    <c:v>October</c:v>
                  </c:pt>
                  <c:pt idx="28">
                    <c:v>November</c:v>
                  </c:pt>
                  <c:pt idx="31">
                    <c:v>December</c:v>
                  </c:pt>
                </c:lvl>
              </c:multiLvlStrCache>
            </c:multiLvlStrRef>
          </c:cat>
          <c:val>
            <c:numRef>
              <c:f>Pivots!$C$31:$C$79</c:f>
              <c:numCache>
                <c:formatCode>General</c:formatCode>
                <c:ptCount val="36"/>
                <c:pt idx="1">
                  <c:v>8</c:v>
                </c:pt>
                <c:pt idx="3">
                  <c:v>1</c:v>
                </c:pt>
                <c:pt idx="4">
                  <c:v>12</c:v>
                </c:pt>
                <c:pt idx="5">
                  <c:v>8</c:v>
                </c:pt>
                <c:pt idx="6">
                  <c:v>20</c:v>
                </c:pt>
                <c:pt idx="7">
                  <c:v>8</c:v>
                </c:pt>
                <c:pt idx="8">
                  <c:v>8</c:v>
                </c:pt>
                <c:pt idx="9">
                  <c:v>2</c:v>
                </c:pt>
                <c:pt idx="11">
                  <c:v>16</c:v>
                </c:pt>
                <c:pt idx="12">
                  <c:v>5</c:v>
                </c:pt>
                <c:pt idx="13">
                  <c:v>8</c:v>
                </c:pt>
                <c:pt idx="14">
                  <c:v>8</c:v>
                </c:pt>
                <c:pt idx="16">
                  <c:v>4</c:v>
                </c:pt>
                <c:pt idx="17">
                  <c:v>8</c:v>
                </c:pt>
                <c:pt idx="18">
                  <c:v>16</c:v>
                </c:pt>
                <c:pt idx="20">
                  <c:v>16</c:v>
                </c:pt>
                <c:pt idx="21">
                  <c:v>24</c:v>
                </c:pt>
                <c:pt idx="26">
                  <c:v>32</c:v>
                </c:pt>
                <c:pt idx="27">
                  <c:v>16</c:v>
                </c:pt>
                <c:pt idx="29">
                  <c:v>16</c:v>
                </c:pt>
                <c:pt idx="30">
                  <c:v>25</c:v>
                </c:pt>
                <c:pt idx="32">
                  <c:v>4</c:v>
                </c:pt>
                <c:pt idx="35">
                  <c:v>8</c:v>
                </c:pt>
              </c:numCache>
            </c:numRef>
          </c:val>
          <c:smooth val="0"/>
          <c:extLst>
            <c:ext xmlns:c16="http://schemas.microsoft.com/office/drawing/2014/chart" uri="{C3380CC4-5D6E-409C-BE32-E72D297353CC}">
              <c16:uniqueId val="{00000000-2863-4EEE-AC11-E281934CB780}"/>
            </c:ext>
          </c:extLst>
        </c:ser>
        <c:ser>
          <c:idx val="2"/>
          <c:order val="2"/>
          <c:tx>
            <c:strRef>
              <c:f>Pivots!$D$29:$D$30</c:f>
              <c:strCache>
                <c:ptCount val="1"/>
                <c:pt idx="0">
                  <c:v>Positive</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multiLvlStrRef>
              <c:f>Pivots!$A$31:$A$79</c:f>
              <c:multiLvlStrCache>
                <c:ptCount val="36"/>
                <c:lvl>
                  <c:pt idx="0">
                    <c:v>2016</c:v>
                  </c:pt>
                  <c:pt idx="1">
                    <c:v>2017</c:v>
                  </c:pt>
                  <c:pt idx="2">
                    <c:v>2015</c:v>
                  </c:pt>
                  <c:pt idx="3">
                    <c:v>2016</c:v>
                  </c:pt>
                  <c:pt idx="4">
                    <c:v>2017</c:v>
                  </c:pt>
                  <c:pt idx="5">
                    <c:v>2016</c:v>
                  </c:pt>
                  <c:pt idx="6">
                    <c:v>2017</c:v>
                  </c:pt>
                  <c:pt idx="7">
                    <c:v>2016</c:v>
                  </c:pt>
                  <c:pt idx="8">
                    <c:v>2017</c:v>
                  </c:pt>
                  <c:pt idx="9">
                    <c:v>2015</c:v>
                  </c:pt>
                  <c:pt idx="10">
                    <c:v>2016</c:v>
                  </c:pt>
                  <c:pt idx="11">
                    <c:v>2017</c:v>
                  </c:pt>
                  <c:pt idx="12">
                    <c:v>2015</c:v>
                  </c:pt>
                  <c:pt idx="13">
                    <c:v>2016</c:v>
                  </c:pt>
                  <c:pt idx="14">
                    <c:v>2017</c:v>
                  </c:pt>
                  <c:pt idx="15">
                    <c:v>2010</c:v>
                  </c:pt>
                  <c:pt idx="16">
                    <c:v>2015</c:v>
                  </c:pt>
                  <c:pt idx="17">
                    <c:v>2016</c:v>
                  </c:pt>
                  <c:pt idx="18">
                    <c:v>2017</c:v>
                  </c:pt>
                  <c:pt idx="19">
                    <c:v>2014</c:v>
                  </c:pt>
                  <c:pt idx="20">
                    <c:v>2016</c:v>
                  </c:pt>
                  <c:pt idx="21">
                    <c:v>2017</c:v>
                  </c:pt>
                  <c:pt idx="22">
                    <c:v>2015</c:v>
                  </c:pt>
                  <c:pt idx="23">
                    <c:v>2016</c:v>
                  </c:pt>
                  <c:pt idx="24">
                    <c:v>2017</c:v>
                  </c:pt>
                  <c:pt idx="25">
                    <c:v>2015</c:v>
                  </c:pt>
                  <c:pt idx="26">
                    <c:v>2016</c:v>
                  </c:pt>
                  <c:pt idx="27">
                    <c:v>2017</c:v>
                  </c:pt>
                  <c:pt idx="28">
                    <c:v>2014</c:v>
                  </c:pt>
                  <c:pt idx="29">
                    <c:v>2016</c:v>
                  </c:pt>
                  <c:pt idx="30">
                    <c:v>2017</c:v>
                  </c:pt>
                  <c:pt idx="31">
                    <c:v>2009</c:v>
                  </c:pt>
                  <c:pt idx="32">
                    <c:v>2012</c:v>
                  </c:pt>
                  <c:pt idx="33">
                    <c:v>2014</c:v>
                  </c:pt>
                  <c:pt idx="34">
                    <c:v>2016</c:v>
                  </c:pt>
                  <c:pt idx="35">
                    <c:v>2017</c:v>
                  </c:pt>
                </c:lvl>
                <c:lvl>
                  <c:pt idx="0">
                    <c:v>January</c:v>
                  </c:pt>
                  <c:pt idx="2">
                    <c:v>February</c:v>
                  </c:pt>
                  <c:pt idx="5">
                    <c:v>March</c:v>
                  </c:pt>
                  <c:pt idx="7">
                    <c:v>April</c:v>
                  </c:pt>
                  <c:pt idx="9">
                    <c:v>May</c:v>
                  </c:pt>
                  <c:pt idx="12">
                    <c:v>June</c:v>
                  </c:pt>
                  <c:pt idx="15">
                    <c:v>July</c:v>
                  </c:pt>
                  <c:pt idx="19">
                    <c:v>August</c:v>
                  </c:pt>
                  <c:pt idx="22">
                    <c:v>September</c:v>
                  </c:pt>
                  <c:pt idx="25">
                    <c:v>October</c:v>
                  </c:pt>
                  <c:pt idx="28">
                    <c:v>November</c:v>
                  </c:pt>
                  <c:pt idx="31">
                    <c:v>December</c:v>
                  </c:pt>
                </c:lvl>
              </c:multiLvlStrCache>
            </c:multiLvlStrRef>
          </c:cat>
          <c:val>
            <c:numRef>
              <c:f>Pivots!$D$31:$D$79</c:f>
              <c:numCache>
                <c:formatCode>General</c:formatCode>
                <c:ptCount val="36"/>
                <c:pt idx="0">
                  <c:v>4</c:v>
                </c:pt>
                <c:pt idx="1">
                  <c:v>139</c:v>
                </c:pt>
                <c:pt idx="2">
                  <c:v>3</c:v>
                </c:pt>
                <c:pt idx="4">
                  <c:v>100</c:v>
                </c:pt>
                <c:pt idx="5">
                  <c:v>69</c:v>
                </c:pt>
                <c:pt idx="6">
                  <c:v>148</c:v>
                </c:pt>
                <c:pt idx="7">
                  <c:v>40</c:v>
                </c:pt>
                <c:pt idx="8">
                  <c:v>198</c:v>
                </c:pt>
                <c:pt idx="9">
                  <c:v>8</c:v>
                </c:pt>
                <c:pt idx="10">
                  <c:v>120</c:v>
                </c:pt>
                <c:pt idx="11">
                  <c:v>134</c:v>
                </c:pt>
                <c:pt idx="12">
                  <c:v>3</c:v>
                </c:pt>
                <c:pt idx="13">
                  <c:v>56</c:v>
                </c:pt>
                <c:pt idx="14">
                  <c:v>125</c:v>
                </c:pt>
                <c:pt idx="15">
                  <c:v>5</c:v>
                </c:pt>
                <c:pt idx="16">
                  <c:v>2</c:v>
                </c:pt>
                <c:pt idx="17">
                  <c:v>56</c:v>
                </c:pt>
                <c:pt idx="18">
                  <c:v>102</c:v>
                </c:pt>
                <c:pt idx="19">
                  <c:v>2</c:v>
                </c:pt>
                <c:pt idx="20">
                  <c:v>75</c:v>
                </c:pt>
                <c:pt idx="21">
                  <c:v>112</c:v>
                </c:pt>
                <c:pt idx="22">
                  <c:v>5</c:v>
                </c:pt>
                <c:pt idx="23">
                  <c:v>48</c:v>
                </c:pt>
                <c:pt idx="24">
                  <c:v>105</c:v>
                </c:pt>
                <c:pt idx="25">
                  <c:v>2</c:v>
                </c:pt>
                <c:pt idx="26">
                  <c:v>74</c:v>
                </c:pt>
                <c:pt idx="27">
                  <c:v>88</c:v>
                </c:pt>
                <c:pt idx="28">
                  <c:v>2</c:v>
                </c:pt>
                <c:pt idx="29">
                  <c:v>88</c:v>
                </c:pt>
                <c:pt idx="30">
                  <c:v>95</c:v>
                </c:pt>
                <c:pt idx="31">
                  <c:v>4</c:v>
                </c:pt>
                <c:pt idx="33">
                  <c:v>6</c:v>
                </c:pt>
                <c:pt idx="34">
                  <c:v>120</c:v>
                </c:pt>
                <c:pt idx="35">
                  <c:v>41</c:v>
                </c:pt>
              </c:numCache>
            </c:numRef>
          </c:val>
          <c:smooth val="0"/>
          <c:extLst>
            <c:ext xmlns:c16="http://schemas.microsoft.com/office/drawing/2014/chart" uri="{C3380CC4-5D6E-409C-BE32-E72D297353CC}">
              <c16:uniqueId val="{00000001-2863-4EEE-AC11-E281934CB780}"/>
            </c:ext>
          </c:extLst>
        </c:ser>
        <c:dLbls>
          <c:showLegendKey val="0"/>
          <c:showVal val="0"/>
          <c:showCatName val="0"/>
          <c:showSerName val="0"/>
          <c:showPercent val="0"/>
          <c:showBubbleSize val="0"/>
        </c:dLbls>
        <c:marker val="1"/>
        <c:smooth val="0"/>
        <c:axId val="89049935"/>
        <c:axId val="89048975"/>
      </c:lineChart>
      <c:catAx>
        <c:axId val="8904993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9048975"/>
        <c:crosses val="autoZero"/>
        <c:auto val="1"/>
        <c:lblAlgn val="ctr"/>
        <c:lblOffset val="100"/>
        <c:noMultiLvlLbl val="0"/>
      </c:catAx>
      <c:valAx>
        <c:axId val="89048975"/>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904993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AMAZON.xlsx]Pivots!verified or not</c:name>
    <c:fmtId val="0"/>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How Many Reviews Are Verified?</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Pivots!$I$10</c:f>
              <c:strCache>
                <c:ptCount val="1"/>
                <c:pt idx="0">
                  <c:v>Average of overall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E018-46EA-9909-DF204AF4E6E2}"/>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4-E018-46EA-9909-DF204AF4E6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Pivots!$H$11:$H$13</c:f>
              <c:strCache>
                <c:ptCount val="2"/>
                <c:pt idx="0">
                  <c:v>FALSE</c:v>
                </c:pt>
                <c:pt idx="1">
                  <c:v>TRUE</c:v>
                </c:pt>
              </c:strCache>
            </c:strRef>
          </c:cat>
          <c:val>
            <c:numRef>
              <c:f>Pivots!$I$11:$I$13</c:f>
              <c:numCache>
                <c:formatCode>General</c:formatCode>
                <c:ptCount val="2"/>
                <c:pt idx="0">
                  <c:v>4.7525773195876289</c:v>
                </c:pt>
                <c:pt idx="1">
                  <c:v>4.3933095160766484</c:v>
                </c:pt>
              </c:numCache>
            </c:numRef>
          </c:val>
          <c:extLst>
            <c:ext xmlns:c16="http://schemas.microsoft.com/office/drawing/2014/chart" uri="{C3380CC4-5D6E-409C-BE32-E72D297353CC}">
              <c16:uniqueId val="{00000000-E018-46EA-9909-DF204AF4E6E2}"/>
            </c:ext>
          </c:extLst>
        </c:ser>
        <c:ser>
          <c:idx val="1"/>
          <c:order val="1"/>
          <c:tx>
            <c:strRef>
              <c:f>Pivots!$J$10</c:f>
              <c:strCache>
                <c:ptCount val="1"/>
                <c:pt idx="0">
                  <c:v>Count of reviewerID</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E018-46EA-9909-DF204AF4E6E2}"/>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6-E018-46EA-9909-DF204AF4E6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Pivots!$H$11:$H$13</c:f>
              <c:strCache>
                <c:ptCount val="2"/>
                <c:pt idx="0">
                  <c:v>FALSE</c:v>
                </c:pt>
                <c:pt idx="1">
                  <c:v>TRUE</c:v>
                </c:pt>
              </c:strCache>
            </c:strRef>
          </c:cat>
          <c:val>
            <c:numRef>
              <c:f>Pivots!$J$11:$J$13</c:f>
              <c:numCache>
                <c:formatCode>General</c:formatCode>
                <c:ptCount val="2"/>
                <c:pt idx="0">
                  <c:v>97</c:v>
                </c:pt>
                <c:pt idx="1">
                  <c:v>3079</c:v>
                </c:pt>
              </c:numCache>
            </c:numRef>
          </c:val>
          <c:extLst>
            <c:ext xmlns:c16="http://schemas.microsoft.com/office/drawing/2014/chart" uri="{C3380CC4-5D6E-409C-BE32-E72D297353CC}">
              <c16:uniqueId val="{00000001-E018-46EA-9909-DF204AF4E6E2}"/>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AMAZON.xlsx]Pivots!Product Performance</c:name>
    <c:fmtId val="0"/>
  </c:pivotSource>
  <c:chart>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Pivots!$I$3:$I$5</c:f>
              <c:strCache>
                <c:ptCount val="1"/>
                <c:pt idx="0">
                  <c:v>Negative - Count of asin</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Pivots!$H$6:$H$9</c:f>
              <c:strCache>
                <c:ptCount val="3"/>
                <c:pt idx="0">
                  <c:v>Clothing</c:v>
                </c:pt>
                <c:pt idx="1">
                  <c:v>Other</c:v>
                </c:pt>
                <c:pt idx="2">
                  <c:v>Reading Glasses</c:v>
                </c:pt>
              </c:strCache>
            </c:strRef>
          </c:cat>
          <c:val>
            <c:numRef>
              <c:f>Pivots!$I$6:$I$9</c:f>
              <c:numCache>
                <c:formatCode>General</c:formatCode>
                <c:ptCount val="3"/>
                <c:pt idx="1">
                  <c:v>160</c:v>
                </c:pt>
                <c:pt idx="2">
                  <c:v>2</c:v>
                </c:pt>
              </c:numCache>
            </c:numRef>
          </c:val>
          <c:extLst>
            <c:ext xmlns:c16="http://schemas.microsoft.com/office/drawing/2014/chart" uri="{C3380CC4-5D6E-409C-BE32-E72D297353CC}">
              <c16:uniqueId val="{00000000-774A-487C-B05C-9FD8961C5842}"/>
            </c:ext>
          </c:extLst>
        </c:ser>
        <c:ser>
          <c:idx val="1"/>
          <c:order val="1"/>
          <c:tx>
            <c:strRef>
              <c:f>Pivots!$J$3:$J$5</c:f>
              <c:strCache>
                <c:ptCount val="1"/>
                <c:pt idx="0">
                  <c:v>Negative - Average of overall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Pivots!$H$6:$H$9</c:f>
              <c:strCache>
                <c:ptCount val="3"/>
                <c:pt idx="0">
                  <c:v>Clothing</c:v>
                </c:pt>
                <c:pt idx="1">
                  <c:v>Other</c:v>
                </c:pt>
                <c:pt idx="2">
                  <c:v>Reading Glasses</c:v>
                </c:pt>
              </c:strCache>
            </c:strRef>
          </c:cat>
          <c:val>
            <c:numRef>
              <c:f>Pivots!$J$6:$J$9</c:f>
              <c:numCache>
                <c:formatCode>General</c:formatCode>
                <c:ptCount val="3"/>
                <c:pt idx="1">
                  <c:v>1.425</c:v>
                </c:pt>
                <c:pt idx="2">
                  <c:v>2</c:v>
                </c:pt>
              </c:numCache>
            </c:numRef>
          </c:val>
          <c:extLst>
            <c:ext xmlns:c16="http://schemas.microsoft.com/office/drawing/2014/chart" uri="{C3380CC4-5D6E-409C-BE32-E72D297353CC}">
              <c16:uniqueId val="{00000001-774A-487C-B05C-9FD8961C5842}"/>
            </c:ext>
          </c:extLst>
        </c:ser>
        <c:ser>
          <c:idx val="2"/>
          <c:order val="2"/>
          <c:tx>
            <c:strRef>
              <c:f>Pivots!$K$3:$K$5</c:f>
              <c:strCache>
                <c:ptCount val="1"/>
                <c:pt idx="0">
                  <c:v>Neutral - Count of asin</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Ref>
              <c:f>Pivots!$H$6:$H$9</c:f>
              <c:strCache>
                <c:ptCount val="3"/>
                <c:pt idx="0">
                  <c:v>Clothing</c:v>
                </c:pt>
                <c:pt idx="1">
                  <c:v>Other</c:v>
                </c:pt>
                <c:pt idx="2">
                  <c:v>Reading Glasses</c:v>
                </c:pt>
              </c:strCache>
            </c:strRef>
          </c:cat>
          <c:val>
            <c:numRef>
              <c:f>Pivots!$K$6:$K$9</c:f>
              <c:numCache>
                <c:formatCode>General</c:formatCode>
                <c:ptCount val="3"/>
                <c:pt idx="0">
                  <c:v>2</c:v>
                </c:pt>
                <c:pt idx="1">
                  <c:v>273</c:v>
                </c:pt>
                <c:pt idx="2">
                  <c:v>4</c:v>
                </c:pt>
              </c:numCache>
            </c:numRef>
          </c:val>
          <c:extLst>
            <c:ext xmlns:c16="http://schemas.microsoft.com/office/drawing/2014/chart" uri="{C3380CC4-5D6E-409C-BE32-E72D297353CC}">
              <c16:uniqueId val="{00000000-FAFF-4CBA-84E7-0256553066EF}"/>
            </c:ext>
          </c:extLst>
        </c:ser>
        <c:ser>
          <c:idx val="3"/>
          <c:order val="3"/>
          <c:tx>
            <c:strRef>
              <c:f>Pivots!$L$3:$L$5</c:f>
              <c:strCache>
                <c:ptCount val="1"/>
                <c:pt idx="0">
                  <c:v>Neutral - Average of overall</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Pivots!$H$6:$H$9</c:f>
              <c:strCache>
                <c:ptCount val="3"/>
                <c:pt idx="0">
                  <c:v>Clothing</c:v>
                </c:pt>
                <c:pt idx="1">
                  <c:v>Other</c:v>
                </c:pt>
                <c:pt idx="2">
                  <c:v>Reading Glasses</c:v>
                </c:pt>
              </c:strCache>
            </c:strRef>
          </c:cat>
          <c:val>
            <c:numRef>
              <c:f>Pivots!$L$6:$L$9</c:f>
              <c:numCache>
                <c:formatCode>General</c:formatCode>
                <c:ptCount val="3"/>
                <c:pt idx="0">
                  <c:v>3</c:v>
                </c:pt>
                <c:pt idx="1">
                  <c:v>3</c:v>
                </c:pt>
                <c:pt idx="2">
                  <c:v>3</c:v>
                </c:pt>
              </c:numCache>
            </c:numRef>
          </c:val>
          <c:extLst>
            <c:ext xmlns:c16="http://schemas.microsoft.com/office/drawing/2014/chart" uri="{C3380CC4-5D6E-409C-BE32-E72D297353CC}">
              <c16:uniqueId val="{00000001-FAFF-4CBA-84E7-0256553066EF}"/>
            </c:ext>
          </c:extLst>
        </c:ser>
        <c:ser>
          <c:idx val="4"/>
          <c:order val="4"/>
          <c:tx>
            <c:strRef>
              <c:f>Pivots!$M$3:$M$5</c:f>
              <c:strCache>
                <c:ptCount val="1"/>
                <c:pt idx="0">
                  <c:v>Positive - Count of asin</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Pivots!$H$6:$H$9</c:f>
              <c:strCache>
                <c:ptCount val="3"/>
                <c:pt idx="0">
                  <c:v>Clothing</c:v>
                </c:pt>
                <c:pt idx="1">
                  <c:v>Other</c:v>
                </c:pt>
                <c:pt idx="2">
                  <c:v>Reading Glasses</c:v>
                </c:pt>
              </c:strCache>
            </c:strRef>
          </c:cat>
          <c:val>
            <c:numRef>
              <c:f>Pivots!$M$6:$M$9</c:f>
              <c:numCache>
                <c:formatCode>General</c:formatCode>
                <c:ptCount val="3"/>
                <c:pt idx="0">
                  <c:v>8</c:v>
                </c:pt>
                <c:pt idx="1">
                  <c:v>2243</c:v>
                </c:pt>
                <c:pt idx="2">
                  <c:v>4</c:v>
                </c:pt>
              </c:numCache>
            </c:numRef>
          </c:val>
          <c:extLst>
            <c:ext xmlns:c16="http://schemas.microsoft.com/office/drawing/2014/chart" uri="{C3380CC4-5D6E-409C-BE32-E72D297353CC}">
              <c16:uniqueId val="{00000004-FAFF-4CBA-84E7-0256553066EF}"/>
            </c:ext>
          </c:extLst>
        </c:ser>
        <c:ser>
          <c:idx val="5"/>
          <c:order val="5"/>
          <c:tx>
            <c:strRef>
              <c:f>Pivots!$N$3:$N$5</c:f>
              <c:strCache>
                <c:ptCount val="1"/>
                <c:pt idx="0">
                  <c:v>Positive - Average of overall</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Pivots!$H$6:$H$9</c:f>
              <c:strCache>
                <c:ptCount val="3"/>
                <c:pt idx="0">
                  <c:v>Clothing</c:v>
                </c:pt>
                <c:pt idx="1">
                  <c:v>Other</c:v>
                </c:pt>
                <c:pt idx="2">
                  <c:v>Reading Glasses</c:v>
                </c:pt>
              </c:strCache>
            </c:strRef>
          </c:cat>
          <c:val>
            <c:numRef>
              <c:f>Pivots!$N$6:$N$9</c:f>
              <c:numCache>
                <c:formatCode>General</c:formatCode>
                <c:ptCount val="3"/>
                <c:pt idx="0">
                  <c:v>5</c:v>
                </c:pt>
                <c:pt idx="1">
                  <c:v>4.8247882300490419</c:v>
                </c:pt>
                <c:pt idx="2">
                  <c:v>4</c:v>
                </c:pt>
              </c:numCache>
            </c:numRef>
          </c:val>
          <c:extLst>
            <c:ext xmlns:c16="http://schemas.microsoft.com/office/drawing/2014/chart" uri="{C3380CC4-5D6E-409C-BE32-E72D297353CC}">
              <c16:uniqueId val="{00000005-FAFF-4CBA-84E7-0256553066EF}"/>
            </c:ext>
          </c:extLst>
        </c:ser>
        <c:dLbls>
          <c:showLegendKey val="0"/>
          <c:showVal val="0"/>
          <c:showCatName val="0"/>
          <c:showSerName val="0"/>
          <c:showPercent val="0"/>
          <c:showBubbleSize val="0"/>
        </c:dLbls>
        <c:gapWidth val="150"/>
        <c:shape val="box"/>
        <c:axId val="125566383"/>
        <c:axId val="127390735"/>
        <c:axId val="0"/>
      </c:bar3DChart>
      <c:catAx>
        <c:axId val="12556638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90735"/>
        <c:crosses val="autoZero"/>
        <c:auto val="1"/>
        <c:lblAlgn val="ctr"/>
        <c:lblOffset val="100"/>
        <c:noMultiLvlLbl val="0"/>
      </c:catAx>
      <c:valAx>
        <c:axId val="127390735"/>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6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AMAZON.xlsx]Pivots!Rating Distribution</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Pivots!$A$4:$A$9</c:f>
              <c:strCache>
                <c:ptCount val="5"/>
                <c:pt idx="0">
                  <c:v>1</c:v>
                </c:pt>
                <c:pt idx="1">
                  <c:v>2</c:v>
                </c:pt>
                <c:pt idx="2">
                  <c:v>3</c:v>
                </c:pt>
                <c:pt idx="3">
                  <c:v>4</c:v>
                </c:pt>
                <c:pt idx="4">
                  <c:v>5</c:v>
                </c:pt>
              </c:strCache>
            </c:strRef>
          </c:cat>
          <c:val>
            <c:numRef>
              <c:f>Pivots!$B$4:$B$9</c:f>
              <c:numCache>
                <c:formatCode>General</c:formatCode>
                <c:ptCount val="5"/>
                <c:pt idx="0">
                  <c:v>117</c:v>
                </c:pt>
                <c:pt idx="1">
                  <c:v>186</c:v>
                </c:pt>
                <c:pt idx="2">
                  <c:v>1011</c:v>
                </c:pt>
                <c:pt idx="3">
                  <c:v>1884</c:v>
                </c:pt>
                <c:pt idx="4">
                  <c:v>10790</c:v>
                </c:pt>
              </c:numCache>
            </c:numRef>
          </c:val>
          <c:extLst>
            <c:ext xmlns:c16="http://schemas.microsoft.com/office/drawing/2014/chart" uri="{C3380CC4-5D6E-409C-BE32-E72D297353CC}">
              <c16:uniqueId val="{00000000-612F-400D-BF4F-C7A9F9D90132}"/>
            </c:ext>
          </c:extLst>
        </c:ser>
        <c:dLbls>
          <c:showLegendKey val="0"/>
          <c:showVal val="0"/>
          <c:showCatName val="0"/>
          <c:showSerName val="0"/>
          <c:showPercent val="0"/>
          <c:showBubbleSize val="0"/>
        </c:dLbls>
        <c:gapWidth val="160"/>
        <c:gapDepth val="0"/>
        <c:shape val="box"/>
        <c:axId val="56871023"/>
        <c:axId val="36546159"/>
        <c:axId val="0"/>
      </c:bar3DChart>
      <c:catAx>
        <c:axId val="56871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6159"/>
        <c:crosses val="autoZero"/>
        <c:auto val="1"/>
        <c:lblAlgn val="ctr"/>
        <c:lblOffset val="100"/>
        <c:noMultiLvlLbl val="0"/>
      </c:catAx>
      <c:valAx>
        <c:axId val="36546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7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AMAZON.xlsx]Pivots!Monthly review trends</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800" b="1">
                <a:solidFill>
                  <a:schemeClr val="tx1"/>
                </a:solidFill>
              </a:rPr>
              <a:t>Monthly</a:t>
            </a:r>
            <a:r>
              <a:rPr lang="en-IN" sz="1800" b="1" baseline="0">
                <a:solidFill>
                  <a:schemeClr val="tx1"/>
                </a:solidFill>
              </a:rPr>
              <a:t> Review Trends</a:t>
            </a:r>
            <a:endParaRPr lang="en-IN" sz="1800" b="1">
              <a:solidFill>
                <a:schemeClr val="tx1"/>
              </a:solidFill>
            </a:endParaRPr>
          </a:p>
        </c:rich>
      </c:tx>
      <c:layout>
        <c:manualLayout>
          <c:xMode val="edge"/>
          <c:yMode val="edge"/>
          <c:x val="0.30716910847621104"/>
          <c:y val="2.7941814855153317E-3"/>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23804363417311"/>
          <c:y val="0.1430014351359172"/>
          <c:w val="0.69569568160465567"/>
          <c:h val="0.54232077903406539"/>
        </c:manualLayout>
      </c:layout>
      <c:lineChart>
        <c:grouping val="percentStacked"/>
        <c:varyColors val="0"/>
        <c:ser>
          <c:idx val="0"/>
          <c:order val="0"/>
          <c:tx>
            <c:strRef>
              <c:f>Pivots!$B$29:$B$30</c:f>
              <c:strCache>
                <c:ptCount val="1"/>
                <c:pt idx="0">
                  <c:v>Negative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Pivots!$A$31:$A$79</c:f>
              <c:multiLvlStrCache>
                <c:ptCount val="36"/>
                <c:lvl>
                  <c:pt idx="0">
                    <c:v>2016</c:v>
                  </c:pt>
                  <c:pt idx="1">
                    <c:v>2017</c:v>
                  </c:pt>
                  <c:pt idx="2">
                    <c:v>2015</c:v>
                  </c:pt>
                  <c:pt idx="3">
                    <c:v>2016</c:v>
                  </c:pt>
                  <c:pt idx="4">
                    <c:v>2017</c:v>
                  </c:pt>
                  <c:pt idx="5">
                    <c:v>2016</c:v>
                  </c:pt>
                  <c:pt idx="6">
                    <c:v>2017</c:v>
                  </c:pt>
                  <c:pt idx="7">
                    <c:v>2016</c:v>
                  </c:pt>
                  <c:pt idx="8">
                    <c:v>2017</c:v>
                  </c:pt>
                  <c:pt idx="9">
                    <c:v>2015</c:v>
                  </c:pt>
                  <c:pt idx="10">
                    <c:v>2016</c:v>
                  </c:pt>
                  <c:pt idx="11">
                    <c:v>2017</c:v>
                  </c:pt>
                  <c:pt idx="12">
                    <c:v>2015</c:v>
                  </c:pt>
                  <c:pt idx="13">
                    <c:v>2016</c:v>
                  </c:pt>
                  <c:pt idx="14">
                    <c:v>2017</c:v>
                  </c:pt>
                  <c:pt idx="15">
                    <c:v>2010</c:v>
                  </c:pt>
                  <c:pt idx="16">
                    <c:v>2015</c:v>
                  </c:pt>
                  <c:pt idx="17">
                    <c:v>2016</c:v>
                  </c:pt>
                  <c:pt idx="18">
                    <c:v>2017</c:v>
                  </c:pt>
                  <c:pt idx="19">
                    <c:v>2014</c:v>
                  </c:pt>
                  <c:pt idx="20">
                    <c:v>2016</c:v>
                  </c:pt>
                  <c:pt idx="21">
                    <c:v>2017</c:v>
                  </c:pt>
                  <c:pt idx="22">
                    <c:v>2015</c:v>
                  </c:pt>
                  <c:pt idx="23">
                    <c:v>2016</c:v>
                  </c:pt>
                  <c:pt idx="24">
                    <c:v>2017</c:v>
                  </c:pt>
                  <c:pt idx="25">
                    <c:v>2015</c:v>
                  </c:pt>
                  <c:pt idx="26">
                    <c:v>2016</c:v>
                  </c:pt>
                  <c:pt idx="27">
                    <c:v>2017</c:v>
                  </c:pt>
                  <c:pt idx="28">
                    <c:v>2014</c:v>
                  </c:pt>
                  <c:pt idx="29">
                    <c:v>2016</c:v>
                  </c:pt>
                  <c:pt idx="30">
                    <c:v>2017</c:v>
                  </c:pt>
                  <c:pt idx="31">
                    <c:v>2009</c:v>
                  </c:pt>
                  <c:pt idx="32">
                    <c:v>2012</c:v>
                  </c:pt>
                  <c:pt idx="33">
                    <c:v>2014</c:v>
                  </c:pt>
                  <c:pt idx="34">
                    <c:v>2016</c:v>
                  </c:pt>
                  <c:pt idx="35">
                    <c:v>2017</c:v>
                  </c:pt>
                </c:lvl>
                <c:lvl>
                  <c:pt idx="0">
                    <c:v>January</c:v>
                  </c:pt>
                  <c:pt idx="2">
                    <c:v>February</c:v>
                  </c:pt>
                  <c:pt idx="5">
                    <c:v>March</c:v>
                  </c:pt>
                  <c:pt idx="7">
                    <c:v>April</c:v>
                  </c:pt>
                  <c:pt idx="9">
                    <c:v>May</c:v>
                  </c:pt>
                  <c:pt idx="12">
                    <c:v>June</c:v>
                  </c:pt>
                  <c:pt idx="15">
                    <c:v>July</c:v>
                  </c:pt>
                  <c:pt idx="19">
                    <c:v>August</c:v>
                  </c:pt>
                  <c:pt idx="22">
                    <c:v>September</c:v>
                  </c:pt>
                  <c:pt idx="25">
                    <c:v>October</c:v>
                  </c:pt>
                  <c:pt idx="28">
                    <c:v>November</c:v>
                  </c:pt>
                  <c:pt idx="31">
                    <c:v>December</c:v>
                  </c:pt>
                </c:lvl>
              </c:multiLvlStrCache>
            </c:multiLvlStrRef>
          </c:cat>
          <c:val>
            <c:numRef>
              <c:f>Pivots!$B$31:$B$79</c:f>
              <c:numCache>
                <c:formatCode>General</c:formatCode>
                <c:ptCount val="36"/>
                <c:pt idx="1">
                  <c:v>26</c:v>
                </c:pt>
                <c:pt idx="4">
                  <c:v>21</c:v>
                </c:pt>
                <c:pt idx="5">
                  <c:v>8</c:v>
                </c:pt>
                <c:pt idx="6">
                  <c:v>16</c:v>
                </c:pt>
                <c:pt idx="9">
                  <c:v>4</c:v>
                </c:pt>
                <c:pt idx="14">
                  <c:v>8</c:v>
                </c:pt>
                <c:pt idx="21">
                  <c:v>16</c:v>
                </c:pt>
                <c:pt idx="23">
                  <c:v>16</c:v>
                </c:pt>
                <c:pt idx="25">
                  <c:v>5</c:v>
                </c:pt>
                <c:pt idx="30">
                  <c:v>16</c:v>
                </c:pt>
                <c:pt idx="34">
                  <c:v>24</c:v>
                </c:pt>
                <c:pt idx="35">
                  <c:v>8</c:v>
                </c:pt>
              </c:numCache>
            </c:numRef>
          </c:val>
          <c:smooth val="0"/>
          <c:extLst>
            <c:ext xmlns:c16="http://schemas.microsoft.com/office/drawing/2014/chart" uri="{C3380CC4-5D6E-409C-BE32-E72D297353CC}">
              <c16:uniqueId val="{00000000-9C06-4F5D-A6CB-AA4E5FDE5224}"/>
            </c:ext>
          </c:extLst>
        </c:ser>
        <c:ser>
          <c:idx val="1"/>
          <c:order val="1"/>
          <c:tx>
            <c:strRef>
              <c:f>Pivots!$C$29:$C$30</c:f>
              <c:strCache>
                <c:ptCount val="1"/>
                <c:pt idx="0">
                  <c:v>Neutral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multiLvlStrRef>
              <c:f>Pivots!$A$31:$A$79</c:f>
              <c:multiLvlStrCache>
                <c:ptCount val="36"/>
                <c:lvl>
                  <c:pt idx="0">
                    <c:v>2016</c:v>
                  </c:pt>
                  <c:pt idx="1">
                    <c:v>2017</c:v>
                  </c:pt>
                  <c:pt idx="2">
                    <c:v>2015</c:v>
                  </c:pt>
                  <c:pt idx="3">
                    <c:v>2016</c:v>
                  </c:pt>
                  <c:pt idx="4">
                    <c:v>2017</c:v>
                  </c:pt>
                  <c:pt idx="5">
                    <c:v>2016</c:v>
                  </c:pt>
                  <c:pt idx="6">
                    <c:v>2017</c:v>
                  </c:pt>
                  <c:pt idx="7">
                    <c:v>2016</c:v>
                  </c:pt>
                  <c:pt idx="8">
                    <c:v>2017</c:v>
                  </c:pt>
                  <c:pt idx="9">
                    <c:v>2015</c:v>
                  </c:pt>
                  <c:pt idx="10">
                    <c:v>2016</c:v>
                  </c:pt>
                  <c:pt idx="11">
                    <c:v>2017</c:v>
                  </c:pt>
                  <c:pt idx="12">
                    <c:v>2015</c:v>
                  </c:pt>
                  <c:pt idx="13">
                    <c:v>2016</c:v>
                  </c:pt>
                  <c:pt idx="14">
                    <c:v>2017</c:v>
                  </c:pt>
                  <c:pt idx="15">
                    <c:v>2010</c:v>
                  </c:pt>
                  <c:pt idx="16">
                    <c:v>2015</c:v>
                  </c:pt>
                  <c:pt idx="17">
                    <c:v>2016</c:v>
                  </c:pt>
                  <c:pt idx="18">
                    <c:v>2017</c:v>
                  </c:pt>
                  <c:pt idx="19">
                    <c:v>2014</c:v>
                  </c:pt>
                  <c:pt idx="20">
                    <c:v>2016</c:v>
                  </c:pt>
                  <c:pt idx="21">
                    <c:v>2017</c:v>
                  </c:pt>
                  <c:pt idx="22">
                    <c:v>2015</c:v>
                  </c:pt>
                  <c:pt idx="23">
                    <c:v>2016</c:v>
                  </c:pt>
                  <c:pt idx="24">
                    <c:v>2017</c:v>
                  </c:pt>
                  <c:pt idx="25">
                    <c:v>2015</c:v>
                  </c:pt>
                  <c:pt idx="26">
                    <c:v>2016</c:v>
                  </c:pt>
                  <c:pt idx="27">
                    <c:v>2017</c:v>
                  </c:pt>
                  <c:pt idx="28">
                    <c:v>2014</c:v>
                  </c:pt>
                  <c:pt idx="29">
                    <c:v>2016</c:v>
                  </c:pt>
                  <c:pt idx="30">
                    <c:v>2017</c:v>
                  </c:pt>
                  <c:pt idx="31">
                    <c:v>2009</c:v>
                  </c:pt>
                  <c:pt idx="32">
                    <c:v>2012</c:v>
                  </c:pt>
                  <c:pt idx="33">
                    <c:v>2014</c:v>
                  </c:pt>
                  <c:pt idx="34">
                    <c:v>2016</c:v>
                  </c:pt>
                  <c:pt idx="35">
                    <c:v>2017</c:v>
                  </c:pt>
                </c:lvl>
                <c:lvl>
                  <c:pt idx="0">
                    <c:v>January</c:v>
                  </c:pt>
                  <c:pt idx="2">
                    <c:v>February</c:v>
                  </c:pt>
                  <c:pt idx="5">
                    <c:v>March</c:v>
                  </c:pt>
                  <c:pt idx="7">
                    <c:v>April</c:v>
                  </c:pt>
                  <c:pt idx="9">
                    <c:v>May</c:v>
                  </c:pt>
                  <c:pt idx="12">
                    <c:v>June</c:v>
                  </c:pt>
                  <c:pt idx="15">
                    <c:v>July</c:v>
                  </c:pt>
                  <c:pt idx="19">
                    <c:v>August</c:v>
                  </c:pt>
                  <c:pt idx="22">
                    <c:v>September</c:v>
                  </c:pt>
                  <c:pt idx="25">
                    <c:v>October</c:v>
                  </c:pt>
                  <c:pt idx="28">
                    <c:v>November</c:v>
                  </c:pt>
                  <c:pt idx="31">
                    <c:v>December</c:v>
                  </c:pt>
                </c:lvl>
              </c:multiLvlStrCache>
            </c:multiLvlStrRef>
          </c:cat>
          <c:val>
            <c:numRef>
              <c:f>Pivots!$C$31:$C$79</c:f>
              <c:numCache>
                <c:formatCode>General</c:formatCode>
                <c:ptCount val="36"/>
                <c:pt idx="1">
                  <c:v>8</c:v>
                </c:pt>
                <c:pt idx="3">
                  <c:v>1</c:v>
                </c:pt>
                <c:pt idx="4">
                  <c:v>12</c:v>
                </c:pt>
                <c:pt idx="5">
                  <c:v>8</c:v>
                </c:pt>
                <c:pt idx="6">
                  <c:v>20</c:v>
                </c:pt>
                <c:pt idx="7">
                  <c:v>8</c:v>
                </c:pt>
                <c:pt idx="8">
                  <c:v>8</c:v>
                </c:pt>
                <c:pt idx="9">
                  <c:v>2</c:v>
                </c:pt>
                <c:pt idx="11">
                  <c:v>16</c:v>
                </c:pt>
                <c:pt idx="12">
                  <c:v>5</c:v>
                </c:pt>
                <c:pt idx="13">
                  <c:v>8</c:v>
                </c:pt>
                <c:pt idx="14">
                  <c:v>8</c:v>
                </c:pt>
                <c:pt idx="16">
                  <c:v>4</c:v>
                </c:pt>
                <c:pt idx="17">
                  <c:v>8</c:v>
                </c:pt>
                <c:pt idx="18">
                  <c:v>16</c:v>
                </c:pt>
                <c:pt idx="20">
                  <c:v>16</c:v>
                </c:pt>
                <c:pt idx="21">
                  <c:v>24</c:v>
                </c:pt>
                <c:pt idx="26">
                  <c:v>32</c:v>
                </c:pt>
                <c:pt idx="27">
                  <c:v>16</c:v>
                </c:pt>
                <c:pt idx="29">
                  <c:v>16</c:v>
                </c:pt>
                <c:pt idx="30">
                  <c:v>25</c:v>
                </c:pt>
                <c:pt idx="32">
                  <c:v>4</c:v>
                </c:pt>
                <c:pt idx="35">
                  <c:v>8</c:v>
                </c:pt>
              </c:numCache>
            </c:numRef>
          </c:val>
          <c:smooth val="0"/>
          <c:extLst>
            <c:ext xmlns:c16="http://schemas.microsoft.com/office/drawing/2014/chart" uri="{C3380CC4-5D6E-409C-BE32-E72D297353CC}">
              <c16:uniqueId val="{00000001-EB03-4D98-A4A0-9B406C315F09}"/>
            </c:ext>
          </c:extLst>
        </c:ser>
        <c:ser>
          <c:idx val="2"/>
          <c:order val="2"/>
          <c:tx>
            <c:strRef>
              <c:f>Pivots!$D$29:$D$30</c:f>
              <c:strCache>
                <c:ptCount val="1"/>
                <c:pt idx="0">
                  <c:v>Positive</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multiLvlStrRef>
              <c:f>Pivots!$A$31:$A$79</c:f>
              <c:multiLvlStrCache>
                <c:ptCount val="36"/>
                <c:lvl>
                  <c:pt idx="0">
                    <c:v>2016</c:v>
                  </c:pt>
                  <c:pt idx="1">
                    <c:v>2017</c:v>
                  </c:pt>
                  <c:pt idx="2">
                    <c:v>2015</c:v>
                  </c:pt>
                  <c:pt idx="3">
                    <c:v>2016</c:v>
                  </c:pt>
                  <c:pt idx="4">
                    <c:v>2017</c:v>
                  </c:pt>
                  <c:pt idx="5">
                    <c:v>2016</c:v>
                  </c:pt>
                  <c:pt idx="6">
                    <c:v>2017</c:v>
                  </c:pt>
                  <c:pt idx="7">
                    <c:v>2016</c:v>
                  </c:pt>
                  <c:pt idx="8">
                    <c:v>2017</c:v>
                  </c:pt>
                  <c:pt idx="9">
                    <c:v>2015</c:v>
                  </c:pt>
                  <c:pt idx="10">
                    <c:v>2016</c:v>
                  </c:pt>
                  <c:pt idx="11">
                    <c:v>2017</c:v>
                  </c:pt>
                  <c:pt idx="12">
                    <c:v>2015</c:v>
                  </c:pt>
                  <c:pt idx="13">
                    <c:v>2016</c:v>
                  </c:pt>
                  <c:pt idx="14">
                    <c:v>2017</c:v>
                  </c:pt>
                  <c:pt idx="15">
                    <c:v>2010</c:v>
                  </c:pt>
                  <c:pt idx="16">
                    <c:v>2015</c:v>
                  </c:pt>
                  <c:pt idx="17">
                    <c:v>2016</c:v>
                  </c:pt>
                  <c:pt idx="18">
                    <c:v>2017</c:v>
                  </c:pt>
                  <c:pt idx="19">
                    <c:v>2014</c:v>
                  </c:pt>
                  <c:pt idx="20">
                    <c:v>2016</c:v>
                  </c:pt>
                  <c:pt idx="21">
                    <c:v>2017</c:v>
                  </c:pt>
                  <c:pt idx="22">
                    <c:v>2015</c:v>
                  </c:pt>
                  <c:pt idx="23">
                    <c:v>2016</c:v>
                  </c:pt>
                  <c:pt idx="24">
                    <c:v>2017</c:v>
                  </c:pt>
                  <c:pt idx="25">
                    <c:v>2015</c:v>
                  </c:pt>
                  <c:pt idx="26">
                    <c:v>2016</c:v>
                  </c:pt>
                  <c:pt idx="27">
                    <c:v>2017</c:v>
                  </c:pt>
                  <c:pt idx="28">
                    <c:v>2014</c:v>
                  </c:pt>
                  <c:pt idx="29">
                    <c:v>2016</c:v>
                  </c:pt>
                  <c:pt idx="30">
                    <c:v>2017</c:v>
                  </c:pt>
                  <c:pt idx="31">
                    <c:v>2009</c:v>
                  </c:pt>
                  <c:pt idx="32">
                    <c:v>2012</c:v>
                  </c:pt>
                  <c:pt idx="33">
                    <c:v>2014</c:v>
                  </c:pt>
                  <c:pt idx="34">
                    <c:v>2016</c:v>
                  </c:pt>
                  <c:pt idx="35">
                    <c:v>2017</c:v>
                  </c:pt>
                </c:lvl>
                <c:lvl>
                  <c:pt idx="0">
                    <c:v>January</c:v>
                  </c:pt>
                  <c:pt idx="2">
                    <c:v>February</c:v>
                  </c:pt>
                  <c:pt idx="5">
                    <c:v>March</c:v>
                  </c:pt>
                  <c:pt idx="7">
                    <c:v>April</c:v>
                  </c:pt>
                  <c:pt idx="9">
                    <c:v>May</c:v>
                  </c:pt>
                  <c:pt idx="12">
                    <c:v>June</c:v>
                  </c:pt>
                  <c:pt idx="15">
                    <c:v>July</c:v>
                  </c:pt>
                  <c:pt idx="19">
                    <c:v>August</c:v>
                  </c:pt>
                  <c:pt idx="22">
                    <c:v>September</c:v>
                  </c:pt>
                  <c:pt idx="25">
                    <c:v>October</c:v>
                  </c:pt>
                  <c:pt idx="28">
                    <c:v>November</c:v>
                  </c:pt>
                  <c:pt idx="31">
                    <c:v>December</c:v>
                  </c:pt>
                </c:lvl>
              </c:multiLvlStrCache>
            </c:multiLvlStrRef>
          </c:cat>
          <c:val>
            <c:numRef>
              <c:f>Pivots!$D$31:$D$79</c:f>
              <c:numCache>
                <c:formatCode>General</c:formatCode>
                <c:ptCount val="36"/>
                <c:pt idx="0">
                  <c:v>4</c:v>
                </c:pt>
                <c:pt idx="1">
                  <c:v>139</c:v>
                </c:pt>
                <c:pt idx="2">
                  <c:v>3</c:v>
                </c:pt>
                <c:pt idx="4">
                  <c:v>100</c:v>
                </c:pt>
                <c:pt idx="5">
                  <c:v>69</c:v>
                </c:pt>
                <c:pt idx="6">
                  <c:v>148</c:v>
                </c:pt>
                <c:pt idx="7">
                  <c:v>40</c:v>
                </c:pt>
                <c:pt idx="8">
                  <c:v>198</c:v>
                </c:pt>
                <c:pt idx="9">
                  <c:v>8</c:v>
                </c:pt>
                <c:pt idx="10">
                  <c:v>120</c:v>
                </c:pt>
                <c:pt idx="11">
                  <c:v>134</c:v>
                </c:pt>
                <c:pt idx="12">
                  <c:v>3</c:v>
                </c:pt>
                <c:pt idx="13">
                  <c:v>56</c:v>
                </c:pt>
                <c:pt idx="14">
                  <c:v>125</c:v>
                </c:pt>
                <c:pt idx="15">
                  <c:v>5</c:v>
                </c:pt>
                <c:pt idx="16">
                  <c:v>2</c:v>
                </c:pt>
                <c:pt idx="17">
                  <c:v>56</c:v>
                </c:pt>
                <c:pt idx="18">
                  <c:v>102</c:v>
                </c:pt>
                <c:pt idx="19">
                  <c:v>2</c:v>
                </c:pt>
                <c:pt idx="20">
                  <c:v>75</c:v>
                </c:pt>
                <c:pt idx="21">
                  <c:v>112</c:v>
                </c:pt>
                <c:pt idx="22">
                  <c:v>5</c:v>
                </c:pt>
                <c:pt idx="23">
                  <c:v>48</c:v>
                </c:pt>
                <c:pt idx="24">
                  <c:v>105</c:v>
                </c:pt>
                <c:pt idx="25">
                  <c:v>2</c:v>
                </c:pt>
                <c:pt idx="26">
                  <c:v>74</c:v>
                </c:pt>
                <c:pt idx="27">
                  <c:v>88</c:v>
                </c:pt>
                <c:pt idx="28">
                  <c:v>2</c:v>
                </c:pt>
                <c:pt idx="29">
                  <c:v>88</c:v>
                </c:pt>
                <c:pt idx="30">
                  <c:v>95</c:v>
                </c:pt>
                <c:pt idx="31">
                  <c:v>4</c:v>
                </c:pt>
                <c:pt idx="33">
                  <c:v>6</c:v>
                </c:pt>
                <c:pt idx="34">
                  <c:v>120</c:v>
                </c:pt>
                <c:pt idx="35">
                  <c:v>41</c:v>
                </c:pt>
              </c:numCache>
            </c:numRef>
          </c:val>
          <c:smooth val="0"/>
          <c:extLst>
            <c:ext xmlns:c16="http://schemas.microsoft.com/office/drawing/2014/chart" uri="{C3380CC4-5D6E-409C-BE32-E72D297353CC}">
              <c16:uniqueId val="{00000002-EB03-4D98-A4A0-9B406C315F0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9049935"/>
        <c:axId val="89048975"/>
      </c:lineChart>
      <c:catAx>
        <c:axId val="8904993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9048975"/>
        <c:crosses val="autoZero"/>
        <c:auto val="1"/>
        <c:lblAlgn val="ctr"/>
        <c:lblOffset val="100"/>
        <c:noMultiLvlLbl val="0"/>
      </c:catAx>
      <c:valAx>
        <c:axId val="890489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904993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a:softEdge rad="1104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AMAZON.xlsx]Pivots!verified or not</c:name>
    <c:fmtId val="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sz="1800">
                <a:solidFill>
                  <a:schemeClr val="tx1"/>
                </a:solidFill>
                <a:latin typeface="+mn-lt"/>
              </a:rPr>
              <a:t>How Many Reviews Are Verified?</a:t>
            </a:r>
            <a:endParaRPr lang="en-US" sz="1800">
              <a:solidFill>
                <a:schemeClr val="tx1"/>
              </a:solidFill>
              <a:latin typeface="+mn-lt"/>
            </a:endParaRP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pivotFmt>
      <c:pivotFmt>
        <c:idx val="11"/>
      </c:pivotFmt>
      <c:pivotFmt>
        <c:idx val="1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Pivots!$I$10</c:f>
              <c:strCache>
                <c:ptCount val="1"/>
                <c:pt idx="0">
                  <c:v>Average of overall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6C9B-4F61-9F34-9BB333E17881}"/>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6C9B-4F61-9F34-9BB333E178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Pivots!$H$11:$H$13</c:f>
              <c:strCache>
                <c:ptCount val="2"/>
                <c:pt idx="0">
                  <c:v>FALSE</c:v>
                </c:pt>
                <c:pt idx="1">
                  <c:v>TRUE</c:v>
                </c:pt>
              </c:strCache>
            </c:strRef>
          </c:cat>
          <c:val>
            <c:numRef>
              <c:f>Pivots!$I$11:$I$13</c:f>
              <c:numCache>
                <c:formatCode>General</c:formatCode>
                <c:ptCount val="2"/>
                <c:pt idx="0">
                  <c:v>4.7525773195876289</c:v>
                </c:pt>
                <c:pt idx="1">
                  <c:v>4.3933095160766484</c:v>
                </c:pt>
              </c:numCache>
            </c:numRef>
          </c:val>
          <c:extLst>
            <c:ext xmlns:c16="http://schemas.microsoft.com/office/drawing/2014/chart" uri="{C3380CC4-5D6E-409C-BE32-E72D297353CC}">
              <c16:uniqueId val="{00000004-6C9B-4F61-9F34-9BB333E17881}"/>
            </c:ext>
          </c:extLst>
        </c:ser>
        <c:ser>
          <c:idx val="1"/>
          <c:order val="1"/>
          <c:tx>
            <c:strRef>
              <c:f>Pivots!$J$10</c:f>
              <c:strCache>
                <c:ptCount val="1"/>
                <c:pt idx="0">
                  <c:v>Count of reviewerID</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6-6C9B-4F61-9F34-9BB333E17881}"/>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8-6C9B-4F61-9F34-9BB333E178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Pivots!$H$11:$H$13</c:f>
              <c:strCache>
                <c:ptCount val="2"/>
                <c:pt idx="0">
                  <c:v>FALSE</c:v>
                </c:pt>
                <c:pt idx="1">
                  <c:v>TRUE</c:v>
                </c:pt>
              </c:strCache>
            </c:strRef>
          </c:cat>
          <c:val>
            <c:numRef>
              <c:f>Pivots!$J$11:$J$13</c:f>
              <c:numCache>
                <c:formatCode>General</c:formatCode>
                <c:ptCount val="2"/>
                <c:pt idx="0">
                  <c:v>97</c:v>
                </c:pt>
                <c:pt idx="1">
                  <c:v>3079</c:v>
                </c:pt>
              </c:numCache>
            </c:numRef>
          </c:val>
          <c:extLst>
            <c:ext xmlns:c16="http://schemas.microsoft.com/office/drawing/2014/chart" uri="{C3380CC4-5D6E-409C-BE32-E72D297353CC}">
              <c16:uniqueId val="{00000009-6C9B-4F61-9F34-9BB333E17881}"/>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AMAZON.xlsx]Pivots!size vs color analysis</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2000" b="1">
                <a:solidFill>
                  <a:schemeClr val="tx1"/>
                </a:solidFill>
              </a:rPr>
              <a:t>Size</a:t>
            </a:r>
            <a:r>
              <a:rPr lang="en-IN" sz="2000" b="1" baseline="0">
                <a:solidFill>
                  <a:schemeClr val="tx1"/>
                </a:solidFill>
              </a:rPr>
              <a:t> vs COLOR ANALYSIS</a:t>
            </a:r>
            <a:endParaRPr lang="en-IN" sz="2000" b="1">
              <a:solidFill>
                <a:schemeClr val="tx1"/>
              </a:solidFill>
            </a:endParaRPr>
          </a:p>
        </c:rich>
      </c:tx>
      <c:layout>
        <c:manualLayout>
          <c:xMode val="edge"/>
          <c:yMode val="edge"/>
          <c:x val="0.24020431714350277"/>
          <c:y val="7.141588892935553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Pivots!$O$22:$O$23</c:f>
              <c:strCache>
                <c:ptCount val="1"/>
                <c:pt idx="0">
                  <c:v> Black (37467610) / Red/White</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Pivots!$N$24:$N$26</c:f>
              <c:strCache>
                <c:ptCount val="2"/>
                <c:pt idx="0">
                  <c:v> Big Boys</c:v>
                </c:pt>
                <c:pt idx="1">
                  <c:v> Little Boys</c:v>
                </c:pt>
              </c:strCache>
            </c:strRef>
          </c:cat>
          <c:val>
            <c:numRef>
              <c:f>Pivots!$O$24:$O$26</c:f>
              <c:numCache>
                <c:formatCode>General</c:formatCode>
                <c:ptCount val="2"/>
                <c:pt idx="0">
                  <c:v>5</c:v>
                </c:pt>
              </c:numCache>
            </c:numRef>
          </c:val>
          <c:extLst>
            <c:ext xmlns:c16="http://schemas.microsoft.com/office/drawing/2014/chart" uri="{C3380CC4-5D6E-409C-BE32-E72D297353CC}">
              <c16:uniqueId val="{00000000-7311-4672-91C7-06FCFE2620D0}"/>
            </c:ext>
          </c:extLst>
        </c:ser>
        <c:ser>
          <c:idx val="1"/>
          <c:order val="1"/>
          <c:tx>
            <c:strRef>
              <c:f>Pivots!$P$22:$P$23</c:f>
              <c:strCache>
                <c:ptCount val="1"/>
                <c:pt idx="0">
                  <c:v> Blue (37867638-99) / Yellow</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Pivots!$N$24:$N$26</c:f>
              <c:strCache>
                <c:ptCount val="2"/>
                <c:pt idx="0">
                  <c:v> Big Boys</c:v>
                </c:pt>
                <c:pt idx="1">
                  <c:v> Little Boys</c:v>
                </c:pt>
              </c:strCache>
            </c:strRef>
          </c:cat>
          <c:val>
            <c:numRef>
              <c:f>Pivots!$P$24:$P$26</c:f>
              <c:numCache>
                <c:formatCode>General</c:formatCode>
                <c:ptCount val="2"/>
                <c:pt idx="0">
                  <c:v>5</c:v>
                </c:pt>
                <c:pt idx="1">
                  <c:v>5</c:v>
                </c:pt>
              </c:numCache>
            </c:numRef>
          </c:val>
          <c:extLst>
            <c:ext xmlns:c16="http://schemas.microsoft.com/office/drawing/2014/chart" uri="{C3380CC4-5D6E-409C-BE32-E72D297353CC}">
              <c16:uniqueId val="{00000001-7311-4672-91C7-06FCFE2620D0}"/>
            </c:ext>
          </c:extLst>
        </c:ser>
        <c:ser>
          <c:idx val="2"/>
          <c:order val="2"/>
          <c:tx>
            <c:strRef>
              <c:f>Pivots!$Q$22:$Q$23</c:f>
              <c:strCache>
                <c:ptCount val="1"/>
                <c:pt idx="0">
                  <c:v> Blue/Gray Logo</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Pivots!$N$24:$N$26</c:f>
              <c:strCache>
                <c:ptCount val="2"/>
                <c:pt idx="0">
                  <c:v> Big Boys</c:v>
                </c:pt>
                <c:pt idx="1">
                  <c:v> Little Boys</c:v>
                </c:pt>
              </c:strCache>
            </c:strRef>
          </c:cat>
          <c:val>
            <c:numRef>
              <c:f>Pivots!$Q$24:$Q$26</c:f>
              <c:numCache>
                <c:formatCode>General</c:formatCode>
                <c:ptCount val="2"/>
                <c:pt idx="0">
                  <c:v>5</c:v>
                </c:pt>
              </c:numCache>
            </c:numRef>
          </c:val>
          <c:extLst>
            <c:ext xmlns:c16="http://schemas.microsoft.com/office/drawing/2014/chart" uri="{C3380CC4-5D6E-409C-BE32-E72D297353CC}">
              <c16:uniqueId val="{00000002-7311-4672-91C7-06FCFE2620D0}"/>
            </c:ext>
          </c:extLst>
        </c:ser>
        <c:ser>
          <c:idx val="3"/>
          <c:order val="3"/>
          <c:tx>
            <c:strRef>
              <c:f>Pivots!$R$22:$R$23</c:f>
              <c:strCache>
                <c:ptCount val="1"/>
                <c:pt idx="0">
                  <c:v> Blue/Orange</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Pivots!$N$24:$N$26</c:f>
              <c:strCache>
                <c:ptCount val="2"/>
                <c:pt idx="0">
                  <c:v> Big Boys</c:v>
                </c:pt>
                <c:pt idx="1">
                  <c:v> Little Boys</c:v>
                </c:pt>
              </c:strCache>
            </c:strRef>
          </c:cat>
          <c:val>
            <c:numRef>
              <c:f>Pivots!$R$24:$R$26</c:f>
              <c:numCache>
                <c:formatCode>General</c:formatCode>
                <c:ptCount val="2"/>
                <c:pt idx="0">
                  <c:v>5</c:v>
                </c:pt>
                <c:pt idx="1">
                  <c:v>5</c:v>
                </c:pt>
              </c:numCache>
            </c:numRef>
          </c:val>
          <c:extLst>
            <c:ext xmlns:c16="http://schemas.microsoft.com/office/drawing/2014/chart" uri="{C3380CC4-5D6E-409C-BE32-E72D297353CC}">
              <c16:uniqueId val="{00000003-7311-4672-91C7-06FCFE2620D0}"/>
            </c:ext>
          </c:extLst>
        </c:ser>
        <c:ser>
          <c:idx val="4"/>
          <c:order val="4"/>
          <c:tx>
            <c:strRef>
              <c:f>Pivots!$S$22:$S$23</c:f>
              <c:strCache>
                <c:ptCount val="1"/>
                <c:pt idx="0">
                  <c:v> Blue/Pink</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Pivots!$N$24:$N$26</c:f>
              <c:strCache>
                <c:ptCount val="2"/>
                <c:pt idx="0">
                  <c:v> Big Boys</c:v>
                </c:pt>
                <c:pt idx="1">
                  <c:v> Little Boys</c:v>
                </c:pt>
              </c:strCache>
            </c:strRef>
          </c:cat>
          <c:val>
            <c:numRef>
              <c:f>Pivots!$S$24:$S$26</c:f>
              <c:numCache>
                <c:formatCode>General</c:formatCode>
                <c:ptCount val="2"/>
                <c:pt idx="0">
                  <c:v>5</c:v>
                </c:pt>
                <c:pt idx="1">
                  <c:v>5</c:v>
                </c:pt>
              </c:numCache>
            </c:numRef>
          </c:val>
          <c:extLst>
            <c:ext xmlns:c16="http://schemas.microsoft.com/office/drawing/2014/chart" uri="{C3380CC4-5D6E-409C-BE32-E72D297353CC}">
              <c16:uniqueId val="{00000004-7311-4672-91C7-06FCFE2620D0}"/>
            </c:ext>
          </c:extLst>
        </c:ser>
        <c:ser>
          <c:idx val="5"/>
          <c:order val="5"/>
          <c:tx>
            <c:strRef>
              <c:f>Pivots!$T$22:$T$23</c:f>
              <c:strCache>
                <c:ptCount val="1"/>
                <c:pt idx="0">
                  <c:v> Light Blue/Red</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Pivots!$N$24:$N$26</c:f>
              <c:strCache>
                <c:ptCount val="2"/>
                <c:pt idx="0">
                  <c:v> Big Boys</c:v>
                </c:pt>
                <c:pt idx="1">
                  <c:v> Little Boys</c:v>
                </c:pt>
              </c:strCache>
            </c:strRef>
          </c:cat>
          <c:val>
            <c:numRef>
              <c:f>Pivots!$T$24:$T$26</c:f>
              <c:numCache>
                <c:formatCode>General</c:formatCode>
                <c:ptCount val="2"/>
                <c:pt idx="1">
                  <c:v>3</c:v>
                </c:pt>
              </c:numCache>
            </c:numRef>
          </c:val>
          <c:extLst>
            <c:ext xmlns:c16="http://schemas.microsoft.com/office/drawing/2014/chart" uri="{C3380CC4-5D6E-409C-BE32-E72D297353CC}">
              <c16:uniqueId val="{00000005-7311-4672-91C7-06FCFE2620D0}"/>
            </c:ext>
          </c:extLst>
        </c:ser>
        <c:ser>
          <c:idx val="6"/>
          <c:order val="6"/>
          <c:tx>
            <c:strRef>
              <c:f>Pivots!$U$22:$U$23</c:f>
              <c:strCache>
                <c:ptCount val="1"/>
                <c:pt idx="0">
                  <c:v> White/Black</c:v>
                </c:pt>
              </c:strCache>
            </c:strRef>
          </c:tx>
          <c:spPr>
            <a:pattFill prst="ltDnDiag">
              <a:fgClr>
                <a:schemeClr val="accent1">
                  <a:lumMod val="60000"/>
                </a:schemeClr>
              </a:fgClr>
              <a:bgClr>
                <a:schemeClr val="accent1">
                  <a:lumMod val="60000"/>
                  <a:lumMod val="20000"/>
                  <a:lumOff val="80000"/>
                </a:schemeClr>
              </a:bgClr>
            </a:pattFill>
            <a:ln>
              <a:solidFill>
                <a:schemeClr val="accent1">
                  <a:lumMod val="60000"/>
                </a:schemeClr>
              </a:solidFill>
            </a:ln>
            <a:effectLst/>
            <a:sp3d>
              <a:contourClr>
                <a:schemeClr val="accent1">
                  <a:lumMod val="6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Pivots!$N$24:$N$26</c:f>
              <c:strCache>
                <c:ptCount val="2"/>
                <c:pt idx="0">
                  <c:v> Big Boys</c:v>
                </c:pt>
                <c:pt idx="1">
                  <c:v> Little Boys</c:v>
                </c:pt>
              </c:strCache>
            </c:strRef>
          </c:cat>
          <c:val>
            <c:numRef>
              <c:f>Pivots!$U$24:$U$26</c:f>
              <c:numCache>
                <c:formatCode>General</c:formatCode>
                <c:ptCount val="2"/>
                <c:pt idx="1">
                  <c:v>3</c:v>
                </c:pt>
              </c:numCache>
            </c:numRef>
          </c:val>
          <c:extLst>
            <c:ext xmlns:c16="http://schemas.microsoft.com/office/drawing/2014/chart" uri="{C3380CC4-5D6E-409C-BE32-E72D297353CC}">
              <c16:uniqueId val="{00000006-7311-4672-91C7-06FCFE2620D0}"/>
            </c:ext>
          </c:extLst>
        </c:ser>
        <c:dLbls>
          <c:showLegendKey val="0"/>
          <c:showVal val="1"/>
          <c:showCatName val="0"/>
          <c:showSerName val="0"/>
          <c:showPercent val="0"/>
          <c:showBubbleSize val="0"/>
        </c:dLbls>
        <c:gapWidth val="150"/>
        <c:shape val="box"/>
        <c:axId val="15495263"/>
        <c:axId val="2061529071"/>
        <c:axId val="0"/>
      </c:bar3DChart>
      <c:catAx>
        <c:axId val="1549526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29071"/>
        <c:crosses val="autoZero"/>
        <c:auto val="1"/>
        <c:lblAlgn val="ctr"/>
        <c:lblOffset val="100"/>
        <c:noMultiLvlLbl val="0"/>
      </c:catAx>
      <c:valAx>
        <c:axId val="2061529071"/>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127000">
        <a:schemeClr val="accent1">
          <a:alpha val="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AMAZON.xlsx]Pivots!Review Analysis</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2400">
                <a:solidFill>
                  <a:schemeClr val="tx1"/>
                </a:solidFill>
              </a:rPr>
              <a:t>Review</a:t>
            </a:r>
            <a:r>
              <a:rPr lang="en-IN" sz="2400" baseline="0">
                <a:solidFill>
                  <a:schemeClr val="tx1"/>
                </a:solidFill>
              </a:rPr>
              <a:t> Analysis</a:t>
            </a:r>
            <a:endParaRPr lang="en-IN" sz="2400">
              <a:solidFill>
                <a:schemeClr val="tx1"/>
              </a:solidFill>
            </a:endParaRPr>
          </a:p>
        </c:rich>
      </c:tx>
      <c:layout>
        <c:manualLayout>
          <c:xMode val="edge"/>
          <c:yMode val="edge"/>
          <c:x val="0.28044267433654352"/>
          <c:y val="9.0220102328444712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Pivots!$I$35</c:f>
              <c:strCache>
                <c:ptCount val="1"/>
                <c:pt idx="0">
                  <c:v>Average of overall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Pivots!$H$36:$H$48</c:f>
              <c:strCache>
                <c:ptCount val="12"/>
                <c:pt idx="0">
                  <c:v>Amazon Customer</c:v>
                </c:pt>
                <c:pt idx="1">
                  <c:v>Chelsea</c:v>
                </c:pt>
                <c:pt idx="2">
                  <c:v>Elizabeth Gravesen</c:v>
                </c:pt>
                <c:pt idx="3">
                  <c:v>Heather</c:v>
                </c:pt>
                <c:pt idx="4">
                  <c:v>j.morris</c:v>
                </c:pt>
                <c:pt idx="5">
                  <c:v>J.T.</c:v>
                </c:pt>
                <c:pt idx="6">
                  <c:v>K</c:v>
                </c:pt>
                <c:pt idx="7">
                  <c:v>Kindle Customer</c:v>
                </c:pt>
                <c:pt idx="8">
                  <c:v>Mary</c:v>
                </c:pt>
                <c:pt idx="9">
                  <c:v>sporting road</c:v>
                </c:pt>
                <c:pt idx="10">
                  <c:v>Susan</c:v>
                </c:pt>
                <c:pt idx="11">
                  <c:v>vp22</c:v>
                </c:pt>
              </c:strCache>
            </c:strRef>
          </c:cat>
          <c:val>
            <c:numRef>
              <c:f>Pivots!$I$36:$I$48</c:f>
              <c:numCache>
                <c:formatCode>General</c:formatCode>
                <c:ptCount val="12"/>
                <c:pt idx="0">
                  <c:v>4.429590017825312</c:v>
                </c:pt>
                <c:pt idx="1">
                  <c:v>5</c:v>
                </c:pt>
                <c:pt idx="2">
                  <c:v>3</c:v>
                </c:pt>
                <c:pt idx="3">
                  <c:v>3.5</c:v>
                </c:pt>
                <c:pt idx="4">
                  <c:v>5</c:v>
                </c:pt>
                <c:pt idx="5">
                  <c:v>5</c:v>
                </c:pt>
                <c:pt idx="6">
                  <c:v>5</c:v>
                </c:pt>
                <c:pt idx="7">
                  <c:v>4.2</c:v>
                </c:pt>
                <c:pt idx="8">
                  <c:v>5</c:v>
                </c:pt>
                <c:pt idx="9">
                  <c:v>5</c:v>
                </c:pt>
                <c:pt idx="10">
                  <c:v>3.9333333333333331</c:v>
                </c:pt>
                <c:pt idx="11">
                  <c:v>5</c:v>
                </c:pt>
              </c:numCache>
            </c:numRef>
          </c:val>
          <c:extLst>
            <c:ext xmlns:c16="http://schemas.microsoft.com/office/drawing/2014/chart" uri="{C3380CC4-5D6E-409C-BE32-E72D297353CC}">
              <c16:uniqueId val="{00000000-E964-444E-A957-9A6896535A39}"/>
            </c:ext>
          </c:extLst>
        </c:ser>
        <c:ser>
          <c:idx val="1"/>
          <c:order val="1"/>
          <c:tx>
            <c:strRef>
              <c:f>Pivots!$J$35</c:f>
              <c:strCache>
                <c:ptCount val="1"/>
                <c:pt idx="0">
                  <c:v>Count of reviewerID</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Pivots!$H$36:$H$48</c:f>
              <c:strCache>
                <c:ptCount val="12"/>
                <c:pt idx="0">
                  <c:v>Amazon Customer</c:v>
                </c:pt>
                <c:pt idx="1">
                  <c:v>Chelsea</c:v>
                </c:pt>
                <c:pt idx="2">
                  <c:v>Elizabeth Gravesen</c:v>
                </c:pt>
                <c:pt idx="3">
                  <c:v>Heather</c:v>
                </c:pt>
                <c:pt idx="4">
                  <c:v>j.morris</c:v>
                </c:pt>
                <c:pt idx="5">
                  <c:v>J.T.</c:v>
                </c:pt>
                <c:pt idx="6">
                  <c:v>K</c:v>
                </c:pt>
                <c:pt idx="7">
                  <c:v>Kindle Customer</c:v>
                </c:pt>
                <c:pt idx="8">
                  <c:v>Mary</c:v>
                </c:pt>
                <c:pt idx="9">
                  <c:v>sporting road</c:v>
                </c:pt>
                <c:pt idx="10">
                  <c:v>Susan</c:v>
                </c:pt>
                <c:pt idx="11">
                  <c:v>vp22</c:v>
                </c:pt>
              </c:strCache>
            </c:strRef>
          </c:cat>
          <c:val>
            <c:numRef>
              <c:f>Pivots!$J$36:$J$48</c:f>
              <c:numCache>
                <c:formatCode>General</c:formatCode>
                <c:ptCount val="12"/>
                <c:pt idx="0">
                  <c:v>561</c:v>
                </c:pt>
                <c:pt idx="1">
                  <c:v>16</c:v>
                </c:pt>
                <c:pt idx="2">
                  <c:v>9</c:v>
                </c:pt>
                <c:pt idx="3">
                  <c:v>16</c:v>
                </c:pt>
                <c:pt idx="4">
                  <c:v>10</c:v>
                </c:pt>
                <c:pt idx="5">
                  <c:v>16</c:v>
                </c:pt>
                <c:pt idx="6">
                  <c:v>16</c:v>
                </c:pt>
                <c:pt idx="7">
                  <c:v>20</c:v>
                </c:pt>
                <c:pt idx="8">
                  <c:v>9</c:v>
                </c:pt>
                <c:pt idx="9">
                  <c:v>9</c:v>
                </c:pt>
                <c:pt idx="10">
                  <c:v>15</c:v>
                </c:pt>
                <c:pt idx="11">
                  <c:v>9</c:v>
                </c:pt>
              </c:numCache>
            </c:numRef>
          </c:val>
          <c:extLst>
            <c:ext xmlns:c16="http://schemas.microsoft.com/office/drawing/2014/chart" uri="{C3380CC4-5D6E-409C-BE32-E72D297353CC}">
              <c16:uniqueId val="{00000001-E964-444E-A957-9A6896535A39}"/>
            </c:ext>
          </c:extLst>
        </c:ser>
        <c:dLbls>
          <c:showLegendKey val="0"/>
          <c:showVal val="0"/>
          <c:showCatName val="0"/>
          <c:showSerName val="0"/>
          <c:showPercent val="0"/>
          <c:showBubbleSize val="0"/>
        </c:dLbls>
        <c:gapWidth val="150"/>
        <c:shape val="box"/>
        <c:axId val="117687055"/>
        <c:axId val="117687535"/>
        <c:axId val="0"/>
      </c:bar3DChart>
      <c:catAx>
        <c:axId val="117687055"/>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87535"/>
        <c:crosses val="autoZero"/>
        <c:auto val="1"/>
        <c:lblAlgn val="ctr"/>
        <c:lblOffset val="100"/>
        <c:noMultiLvlLbl val="0"/>
      </c:catAx>
      <c:valAx>
        <c:axId val="117687535"/>
        <c:scaling>
          <c:orientation val="minMax"/>
        </c:scaling>
        <c:delete val="0"/>
        <c:axPos val="b"/>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8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AMAZON.xlsx]Pivots!Product Performance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Product</a:t>
            </a:r>
            <a:r>
              <a:rPr lang="en-IN" sz="1600" b="1" baseline="0">
                <a:solidFill>
                  <a:schemeClr val="tx1"/>
                </a:solidFill>
              </a:rPr>
              <a:t> Performance</a:t>
            </a:r>
          </a:p>
        </c:rich>
      </c:tx>
      <c:layout>
        <c:manualLayout>
          <c:xMode val="edge"/>
          <c:yMode val="edge"/>
          <c:x val="0.18859625163879068"/>
          <c:y val="7.1686798666096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500373005069704"/>
          <c:y val="9.6884070489171609E-2"/>
          <c:w val="0.4295156971170086"/>
          <c:h val="0.64761213854050304"/>
        </c:manualLayout>
      </c:layout>
      <c:bar3DChart>
        <c:barDir val="col"/>
        <c:grouping val="percentStacked"/>
        <c:varyColors val="0"/>
        <c:ser>
          <c:idx val="0"/>
          <c:order val="0"/>
          <c:tx>
            <c:strRef>
              <c:f>Pivots!$I$3:$I$5</c:f>
              <c:strCache>
                <c:ptCount val="1"/>
                <c:pt idx="0">
                  <c:v>Negative - Count of asin</c:v>
                </c:pt>
              </c:strCache>
            </c:strRef>
          </c:tx>
          <c:spPr>
            <a:solidFill>
              <a:schemeClr val="accent1"/>
            </a:solidFill>
            <a:ln>
              <a:noFill/>
            </a:ln>
            <a:effectLst/>
            <a:sp3d/>
          </c:spPr>
          <c:invertIfNegative val="0"/>
          <c:cat>
            <c:strRef>
              <c:f>Pivots!$H$6:$H$9</c:f>
              <c:strCache>
                <c:ptCount val="3"/>
                <c:pt idx="0">
                  <c:v>Clothing</c:v>
                </c:pt>
                <c:pt idx="1">
                  <c:v>Other</c:v>
                </c:pt>
                <c:pt idx="2">
                  <c:v>Reading Glasses</c:v>
                </c:pt>
              </c:strCache>
            </c:strRef>
          </c:cat>
          <c:val>
            <c:numRef>
              <c:f>Pivots!$I$6:$I$9</c:f>
              <c:numCache>
                <c:formatCode>General</c:formatCode>
                <c:ptCount val="3"/>
                <c:pt idx="1">
                  <c:v>160</c:v>
                </c:pt>
                <c:pt idx="2">
                  <c:v>2</c:v>
                </c:pt>
              </c:numCache>
            </c:numRef>
          </c:val>
          <c:extLst>
            <c:ext xmlns:c16="http://schemas.microsoft.com/office/drawing/2014/chart" uri="{C3380CC4-5D6E-409C-BE32-E72D297353CC}">
              <c16:uniqueId val="{00000000-E18B-4D31-8152-64EA05AFA45C}"/>
            </c:ext>
          </c:extLst>
        </c:ser>
        <c:ser>
          <c:idx val="1"/>
          <c:order val="1"/>
          <c:tx>
            <c:strRef>
              <c:f>Pivots!$J$3:$J$5</c:f>
              <c:strCache>
                <c:ptCount val="1"/>
                <c:pt idx="0">
                  <c:v>Negative - Average of overall</c:v>
                </c:pt>
              </c:strCache>
            </c:strRef>
          </c:tx>
          <c:spPr>
            <a:solidFill>
              <a:schemeClr val="accent2"/>
            </a:solidFill>
            <a:ln>
              <a:noFill/>
            </a:ln>
            <a:effectLst/>
            <a:sp3d/>
          </c:spPr>
          <c:invertIfNegative val="0"/>
          <c:cat>
            <c:strRef>
              <c:f>Pivots!$H$6:$H$9</c:f>
              <c:strCache>
                <c:ptCount val="3"/>
                <c:pt idx="0">
                  <c:v>Clothing</c:v>
                </c:pt>
                <c:pt idx="1">
                  <c:v>Other</c:v>
                </c:pt>
                <c:pt idx="2">
                  <c:v>Reading Glasses</c:v>
                </c:pt>
              </c:strCache>
            </c:strRef>
          </c:cat>
          <c:val>
            <c:numRef>
              <c:f>Pivots!$J$6:$J$9</c:f>
              <c:numCache>
                <c:formatCode>General</c:formatCode>
                <c:ptCount val="3"/>
                <c:pt idx="1">
                  <c:v>1.425</c:v>
                </c:pt>
                <c:pt idx="2">
                  <c:v>2</c:v>
                </c:pt>
              </c:numCache>
            </c:numRef>
          </c:val>
          <c:extLst>
            <c:ext xmlns:c16="http://schemas.microsoft.com/office/drawing/2014/chart" uri="{C3380CC4-5D6E-409C-BE32-E72D297353CC}">
              <c16:uniqueId val="{00000001-E18B-4D31-8152-64EA05AFA45C}"/>
            </c:ext>
          </c:extLst>
        </c:ser>
        <c:ser>
          <c:idx val="2"/>
          <c:order val="2"/>
          <c:tx>
            <c:strRef>
              <c:f>Pivots!$K$3:$K$5</c:f>
              <c:strCache>
                <c:ptCount val="1"/>
                <c:pt idx="0">
                  <c:v>Neutral - Count of asin</c:v>
                </c:pt>
              </c:strCache>
            </c:strRef>
          </c:tx>
          <c:spPr>
            <a:solidFill>
              <a:schemeClr val="accent3"/>
            </a:solidFill>
            <a:ln>
              <a:noFill/>
            </a:ln>
            <a:effectLst/>
            <a:sp3d/>
          </c:spPr>
          <c:invertIfNegative val="0"/>
          <c:cat>
            <c:strRef>
              <c:f>Pivots!$H$6:$H$9</c:f>
              <c:strCache>
                <c:ptCount val="3"/>
                <c:pt idx="0">
                  <c:v>Clothing</c:v>
                </c:pt>
                <c:pt idx="1">
                  <c:v>Other</c:v>
                </c:pt>
                <c:pt idx="2">
                  <c:v>Reading Glasses</c:v>
                </c:pt>
              </c:strCache>
            </c:strRef>
          </c:cat>
          <c:val>
            <c:numRef>
              <c:f>Pivots!$K$6:$K$9</c:f>
              <c:numCache>
                <c:formatCode>General</c:formatCode>
                <c:ptCount val="3"/>
                <c:pt idx="0">
                  <c:v>2</c:v>
                </c:pt>
                <c:pt idx="1">
                  <c:v>273</c:v>
                </c:pt>
                <c:pt idx="2">
                  <c:v>4</c:v>
                </c:pt>
              </c:numCache>
            </c:numRef>
          </c:val>
          <c:extLst>
            <c:ext xmlns:c16="http://schemas.microsoft.com/office/drawing/2014/chart" uri="{C3380CC4-5D6E-409C-BE32-E72D297353CC}">
              <c16:uniqueId val="{00000001-D7A5-4D7E-9F73-5C25A7ACBE96}"/>
            </c:ext>
          </c:extLst>
        </c:ser>
        <c:ser>
          <c:idx val="3"/>
          <c:order val="3"/>
          <c:tx>
            <c:strRef>
              <c:f>Pivots!$L$3:$L$5</c:f>
              <c:strCache>
                <c:ptCount val="1"/>
                <c:pt idx="0">
                  <c:v>Neutral - Average of overall</c:v>
                </c:pt>
              </c:strCache>
            </c:strRef>
          </c:tx>
          <c:spPr>
            <a:solidFill>
              <a:schemeClr val="accent4"/>
            </a:solidFill>
            <a:ln>
              <a:noFill/>
            </a:ln>
            <a:effectLst/>
            <a:sp3d/>
          </c:spPr>
          <c:invertIfNegative val="0"/>
          <c:cat>
            <c:strRef>
              <c:f>Pivots!$H$6:$H$9</c:f>
              <c:strCache>
                <c:ptCount val="3"/>
                <c:pt idx="0">
                  <c:v>Clothing</c:v>
                </c:pt>
                <c:pt idx="1">
                  <c:v>Other</c:v>
                </c:pt>
                <c:pt idx="2">
                  <c:v>Reading Glasses</c:v>
                </c:pt>
              </c:strCache>
            </c:strRef>
          </c:cat>
          <c:val>
            <c:numRef>
              <c:f>Pivots!$L$6:$L$9</c:f>
              <c:numCache>
                <c:formatCode>General</c:formatCode>
                <c:ptCount val="3"/>
                <c:pt idx="0">
                  <c:v>3</c:v>
                </c:pt>
                <c:pt idx="1">
                  <c:v>3</c:v>
                </c:pt>
                <c:pt idx="2">
                  <c:v>3</c:v>
                </c:pt>
              </c:numCache>
            </c:numRef>
          </c:val>
          <c:extLst>
            <c:ext xmlns:c16="http://schemas.microsoft.com/office/drawing/2014/chart" uri="{C3380CC4-5D6E-409C-BE32-E72D297353CC}">
              <c16:uniqueId val="{00000002-D7A5-4D7E-9F73-5C25A7ACBE96}"/>
            </c:ext>
          </c:extLst>
        </c:ser>
        <c:ser>
          <c:idx val="4"/>
          <c:order val="4"/>
          <c:tx>
            <c:strRef>
              <c:f>Pivots!$M$3:$M$5</c:f>
              <c:strCache>
                <c:ptCount val="1"/>
                <c:pt idx="0">
                  <c:v>Positive - Count of asin</c:v>
                </c:pt>
              </c:strCache>
            </c:strRef>
          </c:tx>
          <c:spPr>
            <a:solidFill>
              <a:schemeClr val="accent5"/>
            </a:solidFill>
            <a:ln>
              <a:noFill/>
            </a:ln>
            <a:effectLst/>
            <a:sp3d/>
          </c:spPr>
          <c:invertIfNegative val="0"/>
          <c:cat>
            <c:strRef>
              <c:f>Pivots!$H$6:$H$9</c:f>
              <c:strCache>
                <c:ptCount val="3"/>
                <c:pt idx="0">
                  <c:v>Clothing</c:v>
                </c:pt>
                <c:pt idx="1">
                  <c:v>Other</c:v>
                </c:pt>
                <c:pt idx="2">
                  <c:v>Reading Glasses</c:v>
                </c:pt>
              </c:strCache>
            </c:strRef>
          </c:cat>
          <c:val>
            <c:numRef>
              <c:f>Pivots!$M$6:$M$9</c:f>
              <c:numCache>
                <c:formatCode>General</c:formatCode>
                <c:ptCount val="3"/>
                <c:pt idx="0">
                  <c:v>8</c:v>
                </c:pt>
                <c:pt idx="1">
                  <c:v>2243</c:v>
                </c:pt>
                <c:pt idx="2">
                  <c:v>4</c:v>
                </c:pt>
              </c:numCache>
            </c:numRef>
          </c:val>
          <c:extLst>
            <c:ext xmlns:c16="http://schemas.microsoft.com/office/drawing/2014/chart" uri="{C3380CC4-5D6E-409C-BE32-E72D297353CC}">
              <c16:uniqueId val="{00000005-D7A5-4D7E-9F73-5C25A7ACBE96}"/>
            </c:ext>
          </c:extLst>
        </c:ser>
        <c:ser>
          <c:idx val="5"/>
          <c:order val="5"/>
          <c:tx>
            <c:strRef>
              <c:f>Pivots!$N$3:$N$5</c:f>
              <c:strCache>
                <c:ptCount val="1"/>
                <c:pt idx="0">
                  <c:v>Positive - Average of overall</c:v>
                </c:pt>
              </c:strCache>
            </c:strRef>
          </c:tx>
          <c:spPr>
            <a:solidFill>
              <a:schemeClr val="accent6"/>
            </a:solidFill>
            <a:ln>
              <a:noFill/>
            </a:ln>
            <a:effectLst/>
            <a:sp3d/>
          </c:spPr>
          <c:invertIfNegative val="0"/>
          <c:cat>
            <c:strRef>
              <c:f>Pivots!$H$6:$H$9</c:f>
              <c:strCache>
                <c:ptCount val="3"/>
                <c:pt idx="0">
                  <c:v>Clothing</c:v>
                </c:pt>
                <c:pt idx="1">
                  <c:v>Other</c:v>
                </c:pt>
                <c:pt idx="2">
                  <c:v>Reading Glasses</c:v>
                </c:pt>
              </c:strCache>
            </c:strRef>
          </c:cat>
          <c:val>
            <c:numRef>
              <c:f>Pivots!$N$6:$N$9</c:f>
              <c:numCache>
                <c:formatCode>General</c:formatCode>
                <c:ptCount val="3"/>
                <c:pt idx="0">
                  <c:v>5</c:v>
                </c:pt>
                <c:pt idx="1">
                  <c:v>4.8247882300490419</c:v>
                </c:pt>
                <c:pt idx="2">
                  <c:v>4</c:v>
                </c:pt>
              </c:numCache>
            </c:numRef>
          </c:val>
          <c:extLst>
            <c:ext xmlns:c16="http://schemas.microsoft.com/office/drawing/2014/chart" uri="{C3380CC4-5D6E-409C-BE32-E72D297353CC}">
              <c16:uniqueId val="{00000006-D7A5-4D7E-9F73-5C25A7ACBE96}"/>
            </c:ext>
          </c:extLst>
        </c:ser>
        <c:dLbls>
          <c:showLegendKey val="0"/>
          <c:showVal val="0"/>
          <c:showCatName val="0"/>
          <c:showSerName val="0"/>
          <c:showPercent val="0"/>
          <c:showBubbleSize val="0"/>
        </c:dLbls>
        <c:gapWidth val="150"/>
        <c:shape val="box"/>
        <c:axId val="125566383"/>
        <c:axId val="127390735"/>
        <c:axId val="0"/>
      </c:bar3DChart>
      <c:catAx>
        <c:axId val="125566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90735"/>
        <c:crosses val="autoZero"/>
        <c:auto val="1"/>
        <c:lblAlgn val="ctr"/>
        <c:lblOffset val="100"/>
        <c:noMultiLvlLbl val="0"/>
      </c:catAx>
      <c:valAx>
        <c:axId val="127390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6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127000">
        <a:schemeClr val="accent1">
          <a:alpha val="0"/>
        </a:schemeClr>
      </a:glow>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AMAZON.xlsx]Pivots!Rating Distribution</c:name>
    <c:fmtId val="4"/>
  </c:pivotSource>
  <c:chart>
    <c:title>
      <c:tx>
        <c:rich>
          <a:bodyPr rot="0" spcFirstLastPara="1" vertOverflow="ellipsis" vert="horz" wrap="square" anchor="ctr" anchorCtr="1"/>
          <a:lstStyle/>
          <a:p>
            <a:pPr>
              <a:defRPr sz="2000" b="1" i="0" u="none" strike="noStrike" kern="1200" cap="all" spc="150" baseline="0">
                <a:solidFill>
                  <a:schemeClr val="tx1"/>
                </a:solidFill>
                <a:latin typeface="+mn-lt"/>
                <a:ea typeface="+mn-ea"/>
                <a:cs typeface="+mn-cs"/>
              </a:defRPr>
            </a:pPr>
            <a:r>
              <a:rPr lang="en-IN" sz="2400" b="1">
                <a:solidFill>
                  <a:schemeClr val="tx1"/>
                </a:solidFill>
                <a:latin typeface="+mn-lt"/>
              </a:rPr>
              <a:t>Rating</a:t>
            </a:r>
            <a:r>
              <a:rPr lang="en-IN" sz="2400" b="1" baseline="0">
                <a:solidFill>
                  <a:schemeClr val="tx1"/>
                </a:solidFill>
                <a:latin typeface="+mn-lt"/>
              </a:rPr>
              <a:t> distribution</a:t>
            </a:r>
            <a:endParaRPr lang="en-IN" sz="2400" b="1">
              <a:solidFill>
                <a:schemeClr val="tx1"/>
              </a:solidFill>
              <a:latin typeface="+mn-lt"/>
            </a:endParaRPr>
          </a:p>
        </c:rich>
      </c:tx>
      <c:layout>
        <c:manualLayout>
          <c:xMode val="edge"/>
          <c:yMode val="edge"/>
          <c:x val="0.18436047210670972"/>
          <c:y val="8.1985758850923948E-2"/>
        </c:manualLayout>
      </c:layout>
      <c:overlay val="0"/>
      <c:spPr>
        <a:noFill/>
        <a:ln>
          <a:noFill/>
        </a:ln>
        <a:effectLst/>
      </c:spPr>
      <c:txPr>
        <a:bodyPr rot="0" spcFirstLastPara="1" vertOverflow="ellipsis" vert="horz" wrap="square" anchor="ctr" anchorCtr="1"/>
        <a:lstStyle/>
        <a:p>
          <a:pPr>
            <a:defRPr sz="2000" b="1" i="0" u="none" strike="noStrike" kern="1200" cap="all" spc="15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Pivots!$A$4:$A$9</c:f>
              <c:strCache>
                <c:ptCount val="5"/>
                <c:pt idx="0">
                  <c:v>1</c:v>
                </c:pt>
                <c:pt idx="1">
                  <c:v>2</c:v>
                </c:pt>
                <c:pt idx="2">
                  <c:v>3</c:v>
                </c:pt>
                <c:pt idx="3">
                  <c:v>4</c:v>
                </c:pt>
                <c:pt idx="4">
                  <c:v>5</c:v>
                </c:pt>
              </c:strCache>
            </c:strRef>
          </c:cat>
          <c:val>
            <c:numRef>
              <c:f>Pivots!$B$4:$B$9</c:f>
              <c:numCache>
                <c:formatCode>General</c:formatCode>
                <c:ptCount val="5"/>
                <c:pt idx="0">
                  <c:v>117</c:v>
                </c:pt>
                <c:pt idx="1">
                  <c:v>186</c:v>
                </c:pt>
                <c:pt idx="2">
                  <c:v>1011</c:v>
                </c:pt>
                <c:pt idx="3">
                  <c:v>1884</c:v>
                </c:pt>
                <c:pt idx="4">
                  <c:v>10790</c:v>
                </c:pt>
              </c:numCache>
            </c:numRef>
          </c:val>
          <c:extLst>
            <c:ext xmlns:c16="http://schemas.microsoft.com/office/drawing/2014/chart" uri="{C3380CC4-5D6E-409C-BE32-E72D297353CC}">
              <c16:uniqueId val="{00000000-7F11-492B-969B-CB3C3E384609}"/>
            </c:ext>
          </c:extLst>
        </c:ser>
        <c:dLbls>
          <c:showLegendKey val="0"/>
          <c:showVal val="1"/>
          <c:showCatName val="0"/>
          <c:showSerName val="0"/>
          <c:showPercent val="0"/>
          <c:showBubbleSize val="0"/>
        </c:dLbls>
        <c:gapWidth val="160"/>
        <c:gapDepth val="0"/>
        <c:shape val="box"/>
        <c:axId val="56871023"/>
        <c:axId val="36546159"/>
        <c:axId val="0"/>
      </c:bar3DChart>
      <c:catAx>
        <c:axId val="568710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Overall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6159"/>
        <c:crosses val="autoZero"/>
        <c:auto val="1"/>
        <c:lblAlgn val="ctr"/>
        <c:lblOffset val="100"/>
        <c:noMultiLvlLbl val="0"/>
      </c:catAx>
      <c:valAx>
        <c:axId val="3654615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Sum of overall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7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3" Type="http://schemas.microsoft.com/office/2007/relationships/hdphoto" Target="../media/hdphoto1.wdp"/><Relationship Id="rId18" Type="http://schemas.openxmlformats.org/officeDocument/2006/relationships/chart" Target="../charts/chart9.xml"/><Relationship Id="rId26" Type="http://schemas.openxmlformats.org/officeDocument/2006/relationships/image" Target="../media/image16.png"/><Relationship Id="rId3" Type="http://schemas.openxmlformats.org/officeDocument/2006/relationships/image" Target="../media/image3.png"/><Relationship Id="rId21" Type="http://schemas.openxmlformats.org/officeDocument/2006/relationships/chart" Target="../charts/chart12.xml"/><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8.xml"/><Relationship Id="rId25" Type="http://schemas.microsoft.com/office/2007/relationships/hdphoto" Target="../media/hdphoto4.wdp"/><Relationship Id="rId33" Type="http://schemas.microsoft.com/office/2007/relationships/hdphoto" Target="../media/hdphoto8.wdp"/><Relationship Id="rId2" Type="http://schemas.openxmlformats.org/officeDocument/2006/relationships/image" Target="../media/image2.svg"/><Relationship Id="rId16" Type="http://schemas.openxmlformats.org/officeDocument/2006/relationships/chart" Target="../charts/chart7.xml"/><Relationship Id="rId20" Type="http://schemas.openxmlformats.org/officeDocument/2006/relationships/chart" Target="../charts/chart11.xml"/><Relationship Id="rId29" Type="http://schemas.microsoft.com/office/2007/relationships/hdphoto" Target="../media/hdphoto6.wdp"/><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5.png"/><Relationship Id="rId32" Type="http://schemas.openxmlformats.org/officeDocument/2006/relationships/image" Target="../media/image19.png"/><Relationship Id="rId5" Type="http://schemas.openxmlformats.org/officeDocument/2006/relationships/image" Target="../media/image5.png"/><Relationship Id="rId15" Type="http://schemas.microsoft.com/office/2007/relationships/hdphoto" Target="../media/hdphoto2.wdp"/><Relationship Id="rId23" Type="http://schemas.microsoft.com/office/2007/relationships/hdphoto" Target="../media/hdphoto3.wdp"/><Relationship Id="rId28" Type="http://schemas.openxmlformats.org/officeDocument/2006/relationships/image" Target="../media/image17.png"/><Relationship Id="rId10" Type="http://schemas.openxmlformats.org/officeDocument/2006/relationships/image" Target="../media/image10.svg"/><Relationship Id="rId19" Type="http://schemas.openxmlformats.org/officeDocument/2006/relationships/chart" Target="../charts/chart10.xml"/><Relationship Id="rId31" Type="http://schemas.microsoft.com/office/2007/relationships/hdphoto" Target="../media/hdphoto7.wdp"/><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3.png"/><Relationship Id="rId22" Type="http://schemas.openxmlformats.org/officeDocument/2006/relationships/image" Target="../media/image14.png"/><Relationship Id="rId27" Type="http://schemas.microsoft.com/office/2007/relationships/hdphoto" Target="../media/hdphoto5.wdp"/><Relationship Id="rId30" Type="http://schemas.openxmlformats.org/officeDocument/2006/relationships/image" Target="../media/image18.png"/><Relationship Id="rId8"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7</xdr:col>
      <xdr:colOff>10978</xdr:colOff>
      <xdr:row>49</xdr:row>
      <xdr:rowOff>27471</xdr:rowOff>
    </xdr:from>
    <xdr:to>
      <xdr:col>11</xdr:col>
      <xdr:colOff>317339</xdr:colOff>
      <xdr:row>63</xdr:row>
      <xdr:rowOff>106900</xdr:rowOff>
    </xdr:to>
    <xdr:graphicFrame macro="">
      <xdr:nvGraphicFramePr>
        <xdr:cNvPr id="2" name="Chart 1">
          <a:extLst>
            <a:ext uri="{FF2B5EF4-FFF2-40B4-BE49-F238E27FC236}">
              <a16:creationId xmlns:a16="http://schemas.microsoft.com/office/drawing/2014/main" id="{4AF10C49-3D96-206A-A44D-EEEBFA1CF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341135</xdr:colOff>
      <xdr:row>29</xdr:row>
      <xdr:rowOff>16423</xdr:rowOff>
    </xdr:from>
    <xdr:to>
      <xdr:col>19</xdr:col>
      <xdr:colOff>492672</xdr:colOff>
      <xdr:row>49</xdr:row>
      <xdr:rowOff>82030</xdr:rowOff>
    </xdr:to>
    <xdr:graphicFrame macro="">
      <xdr:nvGraphicFramePr>
        <xdr:cNvPr id="4" name="Chart 3">
          <a:extLst>
            <a:ext uri="{FF2B5EF4-FFF2-40B4-BE49-F238E27FC236}">
              <a16:creationId xmlns:a16="http://schemas.microsoft.com/office/drawing/2014/main" id="{E2F0E55A-7548-E4B2-E5E5-FE0CF2C29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61058</xdr:colOff>
      <xdr:row>87</xdr:row>
      <xdr:rowOff>44880</xdr:rowOff>
    </xdr:from>
    <xdr:to>
      <xdr:col>4</xdr:col>
      <xdr:colOff>682690</xdr:colOff>
      <xdr:row>101</xdr:row>
      <xdr:rowOff>121080</xdr:rowOff>
    </xdr:to>
    <xdr:graphicFrame macro="">
      <xdr:nvGraphicFramePr>
        <xdr:cNvPr id="5" name="Chart 4">
          <a:extLst>
            <a:ext uri="{FF2B5EF4-FFF2-40B4-BE49-F238E27FC236}">
              <a16:creationId xmlns:a16="http://schemas.microsoft.com/office/drawing/2014/main" id="{67083C4A-47FA-1FAD-A47C-11DB5880D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607691</xdr:colOff>
      <xdr:row>13</xdr:row>
      <xdr:rowOff>166945</xdr:rowOff>
    </xdr:from>
    <xdr:to>
      <xdr:col>11</xdr:col>
      <xdr:colOff>1142123</xdr:colOff>
      <xdr:row>29</xdr:row>
      <xdr:rowOff>41056</xdr:rowOff>
    </xdr:to>
    <xdr:graphicFrame macro="">
      <xdr:nvGraphicFramePr>
        <xdr:cNvPr id="6" name="Chart 5">
          <a:extLst>
            <a:ext uri="{FF2B5EF4-FFF2-40B4-BE49-F238E27FC236}">
              <a16:creationId xmlns:a16="http://schemas.microsoft.com/office/drawing/2014/main" id="{005F0A05-B824-626F-45F4-69E2D43A2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150321</xdr:colOff>
      <xdr:row>1</xdr:row>
      <xdr:rowOff>242394</xdr:rowOff>
    </xdr:from>
    <xdr:to>
      <xdr:col>18</xdr:col>
      <xdr:colOff>1659541</xdr:colOff>
      <xdr:row>16</xdr:row>
      <xdr:rowOff>51128</xdr:rowOff>
    </xdr:to>
    <xdr:graphicFrame macro="">
      <xdr:nvGraphicFramePr>
        <xdr:cNvPr id="7" name="Chart 6">
          <a:extLst>
            <a:ext uri="{FF2B5EF4-FFF2-40B4-BE49-F238E27FC236}">
              <a16:creationId xmlns:a16="http://schemas.microsoft.com/office/drawing/2014/main" id="{2A27B3B5-935C-2AB5-4D1F-6B4D89091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xdr:row>
      <xdr:rowOff>38100</xdr:rowOff>
    </xdr:from>
    <xdr:to>
      <xdr:col>4</xdr:col>
      <xdr:colOff>711200</xdr:colOff>
      <xdr:row>25</xdr:row>
      <xdr:rowOff>128058</xdr:rowOff>
    </xdr:to>
    <xdr:graphicFrame macro="">
      <xdr:nvGraphicFramePr>
        <xdr:cNvPr id="9" name="Chart 8">
          <a:extLst>
            <a:ext uri="{FF2B5EF4-FFF2-40B4-BE49-F238E27FC236}">
              <a16:creationId xmlns:a16="http://schemas.microsoft.com/office/drawing/2014/main" id="{D247C02D-25DE-0F8A-EC21-FE4CB2138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603703</xdr:colOff>
      <xdr:row>53</xdr:row>
      <xdr:rowOff>142421</xdr:rowOff>
    </xdr:from>
    <xdr:to>
      <xdr:col>15</xdr:col>
      <xdr:colOff>1255199</xdr:colOff>
      <xdr:row>67</xdr:row>
      <xdr:rowOff>126546</xdr:rowOff>
    </xdr:to>
    <mc:AlternateContent xmlns:mc="http://schemas.openxmlformats.org/markup-compatibility/2006" xmlns:a14="http://schemas.microsoft.com/office/drawing/2010/main">
      <mc:Choice Requires="a14">
        <xdr:graphicFrame macro="">
          <xdr:nvGraphicFramePr>
            <xdr:cNvPr id="14" name="ReviewYear">
              <a:extLst>
                <a:ext uri="{FF2B5EF4-FFF2-40B4-BE49-F238E27FC236}">
                  <a16:creationId xmlns:a16="http://schemas.microsoft.com/office/drawing/2014/main" id="{38FE98B9-323E-5210-61E5-D6B2ED6D87ED}"/>
                </a:ext>
              </a:extLst>
            </xdr:cNvPr>
            <xdr:cNvGraphicFramePr/>
          </xdr:nvGraphicFramePr>
          <xdr:xfrm>
            <a:off x="0" y="0"/>
            <a:ext cx="0" cy="0"/>
          </xdr:xfrm>
          <a:graphic>
            <a:graphicData uri="http://schemas.microsoft.com/office/drawing/2010/slicer">
              <sle:slicer xmlns:sle="http://schemas.microsoft.com/office/drawing/2010/slicer" name="ReviewYear"/>
            </a:graphicData>
          </a:graphic>
        </xdr:graphicFrame>
      </mc:Choice>
      <mc:Fallback xmlns="">
        <xdr:sp macro="" textlink="">
          <xdr:nvSpPr>
            <xdr:cNvPr id="0" name=""/>
            <xdr:cNvSpPr>
              <a:spLocks noTextEdit="1"/>
            </xdr:cNvSpPr>
          </xdr:nvSpPr>
          <xdr:spPr>
            <a:xfrm>
              <a:off x="15498832" y="11096171"/>
              <a:ext cx="1833909" cy="2743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222703</xdr:colOff>
      <xdr:row>53</xdr:row>
      <xdr:rowOff>149678</xdr:rowOff>
    </xdr:from>
    <xdr:to>
      <xdr:col>17</xdr:col>
      <xdr:colOff>1271606</xdr:colOff>
      <xdr:row>67</xdr:row>
      <xdr:rowOff>133803</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28CB4685-656C-0E63-AD0A-8D0B06037C4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794686" y="11103428"/>
              <a:ext cx="1837180" cy="2743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600685</xdr:colOff>
      <xdr:row>53</xdr:row>
      <xdr:rowOff>183790</xdr:rowOff>
    </xdr:from>
    <xdr:to>
      <xdr:col>14</xdr:col>
      <xdr:colOff>426256</xdr:colOff>
      <xdr:row>67</xdr:row>
      <xdr:rowOff>42632</xdr:rowOff>
    </xdr:to>
    <mc:AlternateContent xmlns:mc="http://schemas.openxmlformats.org/markup-compatibility/2006" xmlns:a14="http://schemas.microsoft.com/office/drawing/2010/main">
      <mc:Choice Requires="a14">
        <xdr:graphicFrame macro="">
          <xdr:nvGraphicFramePr>
            <xdr:cNvPr id="18" name="verified">
              <a:extLst>
                <a:ext uri="{FF2B5EF4-FFF2-40B4-BE49-F238E27FC236}">
                  <a16:creationId xmlns:a16="http://schemas.microsoft.com/office/drawing/2014/main" id="{AFF0DD4E-CE28-9A25-A487-0AA0D79F97F4}"/>
                </a:ext>
              </a:extLst>
            </xdr:cNvPr>
            <xdr:cNvGraphicFramePr/>
          </xdr:nvGraphicFramePr>
          <xdr:xfrm>
            <a:off x="0" y="0"/>
            <a:ext cx="0" cy="0"/>
          </xdr:xfrm>
          <a:graphic>
            <a:graphicData uri="http://schemas.microsoft.com/office/drawing/2010/slicer">
              <sle:slicer xmlns:sle="http://schemas.microsoft.com/office/drawing/2010/slicer" name="verified"/>
            </a:graphicData>
          </a:graphic>
        </xdr:graphicFrame>
      </mc:Choice>
      <mc:Fallback xmlns="">
        <xdr:sp macro="" textlink="">
          <xdr:nvSpPr>
            <xdr:cNvPr id="0" name=""/>
            <xdr:cNvSpPr>
              <a:spLocks noTextEdit="1"/>
            </xdr:cNvSpPr>
          </xdr:nvSpPr>
          <xdr:spPr>
            <a:xfrm>
              <a:off x="11327036" y="10729939"/>
              <a:ext cx="1824963" cy="2501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327095</xdr:colOff>
      <xdr:row>68</xdr:row>
      <xdr:rowOff>121773</xdr:rowOff>
    </xdr:from>
    <xdr:to>
      <xdr:col>15</xdr:col>
      <xdr:colOff>1285414</xdr:colOff>
      <xdr:row>75</xdr:row>
      <xdr:rowOff>158157</xdr:rowOff>
    </xdr:to>
    <mc:AlternateContent xmlns:mc="http://schemas.openxmlformats.org/markup-compatibility/2006" xmlns:tsle="http://schemas.microsoft.com/office/drawing/2012/timeslicer">
      <mc:Choice Requires="tsle">
        <xdr:graphicFrame macro="">
          <xdr:nvGraphicFramePr>
            <xdr:cNvPr id="19" name="reviewDate">
              <a:extLst>
                <a:ext uri="{FF2B5EF4-FFF2-40B4-BE49-F238E27FC236}">
                  <a16:creationId xmlns:a16="http://schemas.microsoft.com/office/drawing/2014/main" id="{3EAB8A45-59AE-4C38-A33D-9C8E81959C88}"/>
                </a:ext>
              </a:extLst>
            </xdr:cNvPr>
            <xdr:cNvGraphicFramePr/>
          </xdr:nvGraphicFramePr>
          <xdr:xfrm>
            <a:off x="0" y="0"/>
            <a:ext cx="0" cy="0"/>
          </xdr:xfrm>
          <a:graphic>
            <a:graphicData uri="http://schemas.microsoft.com/office/drawing/2012/timeslicer">
              <tsle:timeslicer name="reviewDate"/>
            </a:graphicData>
          </a:graphic>
        </xdr:graphicFrame>
      </mc:Choice>
      <mc:Fallback xmlns="">
        <xdr:sp macro="" textlink="">
          <xdr:nvSpPr>
            <xdr:cNvPr id="0" name=""/>
            <xdr:cNvSpPr>
              <a:spLocks noTextEdit="1"/>
            </xdr:cNvSpPr>
          </xdr:nvSpPr>
          <xdr:spPr>
            <a:xfrm>
              <a:off x="11894392" y="13499678"/>
              <a:ext cx="3300954" cy="13578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388587</xdr:colOff>
      <xdr:row>0</xdr:row>
      <xdr:rowOff>152136</xdr:rowOff>
    </xdr:from>
    <xdr:to>
      <xdr:col>27</xdr:col>
      <xdr:colOff>245713</xdr:colOff>
      <xdr:row>72</xdr:row>
      <xdr:rowOff>36024</xdr:rowOff>
    </xdr:to>
    <xdr:sp macro="" textlink="">
      <xdr:nvSpPr>
        <xdr:cNvPr id="2" name="Rectangle: Rounded Corners 1">
          <a:extLst>
            <a:ext uri="{FF2B5EF4-FFF2-40B4-BE49-F238E27FC236}">
              <a16:creationId xmlns:a16="http://schemas.microsoft.com/office/drawing/2014/main" id="{43A652F1-5F37-96CE-2C4A-40EFD98F955A}"/>
            </a:ext>
          </a:extLst>
        </xdr:cNvPr>
        <xdr:cNvSpPr/>
      </xdr:nvSpPr>
      <xdr:spPr>
        <a:xfrm>
          <a:off x="3456736" y="152136"/>
          <a:ext cx="13356982" cy="13731773"/>
        </a:xfrm>
        <a:prstGeom prst="roundRect">
          <a:avLst>
            <a:gd name="adj" fmla="val 3614"/>
          </a:avLst>
        </a:prstGeom>
        <a:solidFill>
          <a:schemeClr val="accent3">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5</xdr:col>
      <xdr:colOff>465169</xdr:colOff>
      <xdr:row>1</xdr:row>
      <xdr:rowOff>164309</xdr:rowOff>
    </xdr:from>
    <xdr:to>
      <xdr:col>10</xdr:col>
      <xdr:colOff>457201</xdr:colOff>
      <xdr:row>7</xdr:row>
      <xdr:rowOff>78711</xdr:rowOff>
    </xdr:to>
    <xdr:sp macro="" textlink="">
      <xdr:nvSpPr>
        <xdr:cNvPr id="3" name="Rectangle: Rounded Corners 2">
          <a:extLst>
            <a:ext uri="{FF2B5EF4-FFF2-40B4-BE49-F238E27FC236}">
              <a16:creationId xmlns:a16="http://schemas.microsoft.com/office/drawing/2014/main" id="{87F389EC-433B-A646-E046-4BAD3EA91D70}"/>
            </a:ext>
          </a:extLst>
        </xdr:cNvPr>
        <xdr:cNvSpPr/>
      </xdr:nvSpPr>
      <xdr:spPr>
        <a:xfrm>
          <a:off x="3467615" y="350668"/>
          <a:ext cx="2994477" cy="1032554"/>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l"/>
          <a:r>
            <a:rPr lang="en-IN" sz="2400" b="1" i="0" u="none" strike="noStrike" kern="1200">
              <a:solidFill>
                <a:schemeClr val="dk1"/>
              </a:solidFill>
              <a:effectLst/>
              <a:latin typeface="+mn-lt"/>
              <a:ea typeface="+mn-ea"/>
              <a:cs typeface="+mn-cs"/>
            </a:rPr>
            <a:t>  Total Reviews </a:t>
          </a:r>
          <a:endParaRPr lang="en-IN" sz="2400" b="1">
            <a:latin typeface="+mn-lt"/>
          </a:endParaRPr>
        </a:p>
      </xdr:txBody>
    </xdr:sp>
    <xdr:clientData/>
  </xdr:twoCellAnchor>
  <xdr:twoCellAnchor>
    <xdr:from>
      <xdr:col>10</xdr:col>
      <xdr:colOff>586468</xdr:colOff>
      <xdr:row>1</xdr:row>
      <xdr:rowOff>141176</xdr:rowOff>
    </xdr:from>
    <xdr:to>
      <xdr:col>23</xdr:col>
      <xdr:colOff>54429</xdr:colOff>
      <xdr:row>7</xdr:row>
      <xdr:rowOff>5443</xdr:rowOff>
    </xdr:to>
    <xdr:sp macro="" textlink="">
      <xdr:nvSpPr>
        <xdr:cNvPr id="4" name="Rectangle: Rounded Corners 3">
          <a:extLst>
            <a:ext uri="{FF2B5EF4-FFF2-40B4-BE49-F238E27FC236}">
              <a16:creationId xmlns:a16="http://schemas.microsoft.com/office/drawing/2014/main" id="{33CDD11F-682D-0C14-9E63-BEEEEC6B66FA}"/>
            </a:ext>
          </a:extLst>
        </xdr:cNvPr>
        <xdr:cNvSpPr/>
      </xdr:nvSpPr>
      <xdr:spPr>
        <a:xfrm>
          <a:off x="6709682" y="331676"/>
          <a:ext cx="7428140" cy="1007267"/>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l"/>
          <a:r>
            <a:rPr lang="en-IN" sz="3600" b="1">
              <a:solidFill>
                <a:srgbClr val="002060"/>
              </a:solidFill>
              <a:latin typeface="+mn-lt"/>
            </a:rPr>
            <a:t>  Amazon Fashion Review Insights</a:t>
          </a:r>
        </a:p>
        <a:p>
          <a:pPr algn="l"/>
          <a:r>
            <a:rPr lang="en-IN" sz="1400" b="1">
              <a:solidFill>
                <a:srgbClr val="002060"/>
              </a:solidFill>
              <a:latin typeface="+mn-lt"/>
            </a:rPr>
            <a:t>	</a:t>
          </a:r>
          <a:r>
            <a:rPr lang="en-IN" sz="1400" b="1" baseline="0">
              <a:solidFill>
                <a:srgbClr val="002060"/>
              </a:solidFill>
              <a:latin typeface="+mn-lt"/>
            </a:rPr>
            <a:t>          	           </a:t>
          </a:r>
          <a:r>
            <a:rPr lang="en-IN" sz="1400" b="1">
              <a:solidFill>
                <a:srgbClr val="002060"/>
              </a:solidFill>
              <a:latin typeface="+mn-lt"/>
            </a:rPr>
            <a:t>Customer Feedback</a:t>
          </a:r>
          <a:r>
            <a:rPr lang="en-IN" sz="1400" b="1" baseline="0">
              <a:solidFill>
                <a:srgbClr val="002060"/>
              </a:solidFill>
              <a:latin typeface="+mn-lt"/>
            </a:rPr>
            <a:t> Dashboard</a:t>
          </a:r>
        </a:p>
        <a:p>
          <a:pPr algn="l"/>
          <a:endParaRPr lang="en-IN" sz="1400" b="1">
            <a:solidFill>
              <a:srgbClr val="002060"/>
            </a:solidFill>
            <a:latin typeface="+mn-lt"/>
          </a:endParaRPr>
        </a:p>
      </xdr:txBody>
    </xdr:sp>
    <xdr:clientData/>
  </xdr:twoCellAnchor>
  <xdr:twoCellAnchor>
    <xdr:from>
      <xdr:col>5</xdr:col>
      <xdr:colOff>474692</xdr:colOff>
      <xdr:row>8</xdr:row>
      <xdr:rowOff>21560</xdr:rowOff>
    </xdr:from>
    <xdr:to>
      <xdr:col>9</xdr:col>
      <xdr:colOff>456678</xdr:colOff>
      <xdr:row>14</xdr:row>
      <xdr:rowOff>48244</xdr:rowOff>
    </xdr:to>
    <xdr:sp macro="" textlink="">
      <xdr:nvSpPr>
        <xdr:cNvPr id="5" name="Rectangle: Rounded Corners 4">
          <a:extLst>
            <a:ext uri="{FF2B5EF4-FFF2-40B4-BE49-F238E27FC236}">
              <a16:creationId xmlns:a16="http://schemas.microsoft.com/office/drawing/2014/main" id="{55D4BE2B-4720-0934-40BC-7E554EB07E37}"/>
            </a:ext>
          </a:extLst>
        </xdr:cNvPr>
        <xdr:cNvSpPr/>
      </xdr:nvSpPr>
      <xdr:spPr>
        <a:xfrm>
          <a:off x="3540959" y="1587313"/>
          <a:ext cx="2435000" cy="1200999"/>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l"/>
          <a:r>
            <a:rPr lang="en-IN" sz="2800" b="1" baseline="0"/>
            <a:t> </a:t>
          </a:r>
          <a:r>
            <a:rPr lang="en-IN" sz="2800" b="1"/>
            <a:t>% Positive</a:t>
          </a:r>
        </a:p>
      </xdr:txBody>
    </xdr:sp>
    <xdr:clientData/>
  </xdr:twoCellAnchor>
  <xdr:twoCellAnchor>
    <xdr:from>
      <xdr:col>23</xdr:col>
      <xdr:colOff>230712</xdr:colOff>
      <xdr:row>1</xdr:row>
      <xdr:rowOff>97971</xdr:rowOff>
    </xdr:from>
    <xdr:to>
      <xdr:col>27</xdr:col>
      <xdr:colOff>21162</xdr:colOff>
      <xdr:row>6</xdr:row>
      <xdr:rowOff>122488</xdr:rowOff>
    </xdr:to>
    <xdr:sp macro="" textlink="">
      <xdr:nvSpPr>
        <xdr:cNvPr id="8" name="Rectangle: Rounded Corners 7">
          <a:extLst>
            <a:ext uri="{FF2B5EF4-FFF2-40B4-BE49-F238E27FC236}">
              <a16:creationId xmlns:a16="http://schemas.microsoft.com/office/drawing/2014/main" id="{C9E22F09-8D8C-27AF-AB94-14318138F114}"/>
            </a:ext>
          </a:extLst>
        </xdr:cNvPr>
        <xdr:cNvSpPr/>
      </xdr:nvSpPr>
      <xdr:spPr>
        <a:xfrm>
          <a:off x="14314105" y="288471"/>
          <a:ext cx="2239736" cy="977017"/>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l"/>
          <a:r>
            <a:rPr lang="en-IN" sz="2000" b="1">
              <a:latin typeface="+mn-lt"/>
            </a:rPr>
            <a:t>   Average</a:t>
          </a:r>
          <a:r>
            <a:rPr lang="en-IN" sz="2000" b="1" baseline="0">
              <a:latin typeface="+mn-lt"/>
            </a:rPr>
            <a:t> Rating</a:t>
          </a:r>
          <a:endParaRPr lang="en-IN" sz="2000" b="1">
            <a:latin typeface="+mn-lt"/>
          </a:endParaRPr>
        </a:p>
      </xdr:txBody>
    </xdr:sp>
    <xdr:clientData/>
  </xdr:twoCellAnchor>
  <xdr:twoCellAnchor>
    <xdr:from>
      <xdr:col>5</xdr:col>
      <xdr:colOff>455641</xdr:colOff>
      <xdr:row>14</xdr:row>
      <xdr:rowOff>150329</xdr:rowOff>
    </xdr:from>
    <xdr:to>
      <xdr:col>9</xdr:col>
      <xdr:colOff>456678</xdr:colOff>
      <xdr:row>29</xdr:row>
      <xdr:rowOff>136070</xdr:rowOff>
    </xdr:to>
    <xdr:sp macro="" textlink="">
      <xdr:nvSpPr>
        <xdr:cNvPr id="9" name="Rectangle: Rounded Corners 8">
          <a:extLst>
            <a:ext uri="{FF2B5EF4-FFF2-40B4-BE49-F238E27FC236}">
              <a16:creationId xmlns:a16="http://schemas.microsoft.com/office/drawing/2014/main" id="{0EAB653C-E285-45D4-23D4-F57ADFCEDD08}"/>
            </a:ext>
          </a:extLst>
        </xdr:cNvPr>
        <xdr:cNvSpPr/>
      </xdr:nvSpPr>
      <xdr:spPr>
        <a:xfrm>
          <a:off x="3517248" y="2817329"/>
          <a:ext cx="2450323" cy="2843241"/>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5</xdr:col>
      <xdr:colOff>331185</xdr:colOff>
      <xdr:row>50</xdr:row>
      <xdr:rowOff>111245</xdr:rowOff>
    </xdr:from>
    <xdr:to>
      <xdr:col>18</xdr:col>
      <xdr:colOff>354379</xdr:colOff>
      <xdr:row>63</xdr:row>
      <xdr:rowOff>158018</xdr:rowOff>
    </xdr:to>
    <xdr:sp macro="" textlink="">
      <xdr:nvSpPr>
        <xdr:cNvPr id="10" name="Rectangle: Rounded Corners 9">
          <a:extLst>
            <a:ext uri="{FF2B5EF4-FFF2-40B4-BE49-F238E27FC236}">
              <a16:creationId xmlns:a16="http://schemas.microsoft.com/office/drawing/2014/main" id="{26E5D9F9-4606-DE0B-A570-60D17E497B85}"/>
            </a:ext>
          </a:extLst>
        </xdr:cNvPr>
        <xdr:cNvSpPr/>
      </xdr:nvSpPr>
      <xdr:spPr>
        <a:xfrm>
          <a:off x="3399334" y="9727832"/>
          <a:ext cx="8000382" cy="2547085"/>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9</xdr:col>
      <xdr:colOff>557173</xdr:colOff>
      <xdr:row>7</xdr:row>
      <xdr:rowOff>153486</xdr:rowOff>
    </xdr:from>
    <xdr:to>
      <xdr:col>18</xdr:col>
      <xdr:colOff>414246</xdr:colOff>
      <xdr:row>29</xdr:row>
      <xdr:rowOff>159336</xdr:rowOff>
    </xdr:to>
    <xdr:sp macro="" textlink="">
      <xdr:nvSpPr>
        <xdr:cNvPr id="11" name="Rectangle: Rounded Corners 10">
          <a:extLst>
            <a:ext uri="{FF2B5EF4-FFF2-40B4-BE49-F238E27FC236}">
              <a16:creationId xmlns:a16="http://schemas.microsoft.com/office/drawing/2014/main" id="{4C946E5B-1FB0-CC45-D96E-D2610A41E3BA}"/>
            </a:ext>
          </a:extLst>
        </xdr:cNvPr>
        <xdr:cNvSpPr/>
      </xdr:nvSpPr>
      <xdr:spPr>
        <a:xfrm>
          <a:off x="6079841" y="1499808"/>
          <a:ext cx="5379742" cy="4237148"/>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latin typeface="+mn-lt"/>
          </a:endParaRPr>
        </a:p>
      </xdr:txBody>
    </xdr:sp>
    <xdr:clientData/>
  </xdr:twoCellAnchor>
  <xdr:twoCellAnchor>
    <xdr:from>
      <xdr:col>18</xdr:col>
      <xdr:colOff>505341</xdr:colOff>
      <xdr:row>7</xdr:row>
      <xdr:rowOff>87586</xdr:rowOff>
    </xdr:from>
    <xdr:to>
      <xdr:col>23</xdr:col>
      <xdr:colOff>158750</xdr:colOff>
      <xdr:row>29</xdr:row>
      <xdr:rowOff>122464</xdr:rowOff>
    </xdr:to>
    <xdr:sp macro="" textlink="">
      <xdr:nvSpPr>
        <xdr:cNvPr id="12" name="Rectangle: Rounded Corners 11">
          <a:extLst>
            <a:ext uri="{FF2B5EF4-FFF2-40B4-BE49-F238E27FC236}">
              <a16:creationId xmlns:a16="http://schemas.microsoft.com/office/drawing/2014/main" id="{FDDE435C-A241-B091-D5D7-662C7AFC3171}"/>
            </a:ext>
          </a:extLst>
        </xdr:cNvPr>
        <xdr:cNvSpPr/>
      </xdr:nvSpPr>
      <xdr:spPr>
        <a:xfrm>
          <a:off x="11415796" y="1400881"/>
          <a:ext cx="2684090" cy="4162378"/>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23</xdr:col>
      <xdr:colOff>285750</xdr:colOff>
      <xdr:row>7</xdr:row>
      <xdr:rowOff>38765</xdr:rowOff>
    </xdr:from>
    <xdr:to>
      <xdr:col>27</xdr:col>
      <xdr:colOff>45231</xdr:colOff>
      <xdr:row>13</xdr:row>
      <xdr:rowOff>69209</xdr:rowOff>
    </xdr:to>
    <xdr:sp macro="" textlink="">
      <xdr:nvSpPr>
        <xdr:cNvPr id="13" name="Rectangle: Rounded Corners 12">
          <a:extLst>
            <a:ext uri="{FF2B5EF4-FFF2-40B4-BE49-F238E27FC236}">
              <a16:creationId xmlns:a16="http://schemas.microsoft.com/office/drawing/2014/main" id="{53CA2E39-89FC-856A-72E2-7C2277E64B13}"/>
            </a:ext>
          </a:extLst>
        </xdr:cNvPr>
        <xdr:cNvSpPr/>
      </xdr:nvSpPr>
      <xdr:spPr>
        <a:xfrm>
          <a:off x="14369143" y="1372265"/>
          <a:ext cx="2208767" cy="1173444"/>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l"/>
          <a:r>
            <a:rPr lang="en-IN" sz="2400" b="1"/>
            <a:t>% Verified</a:t>
          </a:r>
        </a:p>
      </xdr:txBody>
    </xdr:sp>
    <xdr:clientData/>
  </xdr:twoCellAnchor>
  <xdr:twoCellAnchor>
    <xdr:from>
      <xdr:col>15</xdr:col>
      <xdr:colOff>364252</xdr:colOff>
      <xdr:row>30</xdr:row>
      <xdr:rowOff>56457</xdr:rowOff>
    </xdr:from>
    <xdr:to>
      <xdr:col>23</xdr:col>
      <xdr:colOff>27214</xdr:colOff>
      <xdr:row>49</xdr:row>
      <xdr:rowOff>129888</xdr:rowOff>
    </xdr:to>
    <xdr:sp macro="" textlink="">
      <xdr:nvSpPr>
        <xdr:cNvPr id="14" name="Rectangle: Rounded Corners 13">
          <a:extLst>
            <a:ext uri="{FF2B5EF4-FFF2-40B4-BE49-F238E27FC236}">
              <a16:creationId xmlns:a16="http://schemas.microsoft.com/office/drawing/2014/main" id="{45807EEB-76D3-4A2B-A51F-3770772AD817}"/>
            </a:ext>
          </a:extLst>
        </xdr:cNvPr>
        <xdr:cNvSpPr/>
      </xdr:nvSpPr>
      <xdr:spPr>
        <a:xfrm>
          <a:off x="9456297" y="5684866"/>
          <a:ext cx="4512053" cy="3638090"/>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23</xdr:col>
      <xdr:colOff>232259</xdr:colOff>
      <xdr:row>13</xdr:row>
      <xdr:rowOff>153935</xdr:rowOff>
    </xdr:from>
    <xdr:to>
      <xdr:col>27</xdr:col>
      <xdr:colOff>101023</xdr:colOff>
      <xdr:row>23</xdr:row>
      <xdr:rowOff>14432</xdr:rowOff>
    </xdr:to>
    <xdr:sp macro="" textlink="">
      <xdr:nvSpPr>
        <xdr:cNvPr id="15" name="Rectangle: Rounded Corners 14">
          <a:extLst>
            <a:ext uri="{FF2B5EF4-FFF2-40B4-BE49-F238E27FC236}">
              <a16:creationId xmlns:a16="http://schemas.microsoft.com/office/drawing/2014/main" id="{D5F9649F-6A68-6A38-5AFC-95AED6EF823F}"/>
            </a:ext>
          </a:extLst>
        </xdr:cNvPr>
        <xdr:cNvSpPr/>
      </xdr:nvSpPr>
      <xdr:spPr>
        <a:xfrm>
          <a:off x="14345745" y="2654248"/>
          <a:ext cx="2323283" cy="1783814"/>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5</xdr:col>
      <xdr:colOff>460298</xdr:colOff>
      <xdr:row>64</xdr:row>
      <xdr:rowOff>54275</xdr:rowOff>
    </xdr:from>
    <xdr:to>
      <xdr:col>18</xdr:col>
      <xdr:colOff>483709</xdr:colOff>
      <xdr:row>71</xdr:row>
      <xdr:rowOff>119746</xdr:rowOff>
    </xdr:to>
    <xdr:sp macro="" textlink="">
      <xdr:nvSpPr>
        <xdr:cNvPr id="16" name="Rectangle: Rounded Corners 15">
          <a:extLst>
            <a:ext uri="{FF2B5EF4-FFF2-40B4-BE49-F238E27FC236}">
              <a16:creationId xmlns:a16="http://schemas.microsoft.com/office/drawing/2014/main" id="{77FF51F0-5FFC-2BFC-CF89-1B02EF453546}"/>
            </a:ext>
          </a:extLst>
        </xdr:cNvPr>
        <xdr:cNvSpPr/>
      </xdr:nvSpPr>
      <xdr:spPr>
        <a:xfrm>
          <a:off x="3511997" y="12483013"/>
          <a:ext cx="7957829" cy="1424864"/>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23</xdr:col>
      <xdr:colOff>146089</xdr:colOff>
      <xdr:row>34</xdr:row>
      <xdr:rowOff>72159</xdr:rowOff>
    </xdr:from>
    <xdr:to>
      <xdr:col>27</xdr:col>
      <xdr:colOff>43295</xdr:colOff>
      <xdr:row>49</xdr:row>
      <xdr:rowOff>101023</xdr:rowOff>
    </xdr:to>
    <xdr:sp macro="" textlink="">
      <xdr:nvSpPr>
        <xdr:cNvPr id="17" name="Rectangle: Rounded Corners 16">
          <a:extLst>
            <a:ext uri="{FF2B5EF4-FFF2-40B4-BE49-F238E27FC236}">
              <a16:creationId xmlns:a16="http://schemas.microsoft.com/office/drawing/2014/main" id="{6E712C5B-D387-721B-772E-5E88B266F5E0}"/>
            </a:ext>
          </a:extLst>
        </xdr:cNvPr>
        <xdr:cNvSpPr/>
      </xdr:nvSpPr>
      <xdr:spPr>
        <a:xfrm>
          <a:off x="14087225" y="6451023"/>
          <a:ext cx="2321752" cy="2843068"/>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editAs="oneCell">
    <xdr:from>
      <xdr:col>21</xdr:col>
      <xdr:colOff>460862</xdr:colOff>
      <xdr:row>1</xdr:row>
      <xdr:rowOff>155120</xdr:rowOff>
    </xdr:from>
    <xdr:to>
      <xdr:col>22</xdr:col>
      <xdr:colOff>555171</xdr:colOff>
      <xdr:row>5</xdr:row>
      <xdr:rowOff>97029</xdr:rowOff>
    </xdr:to>
    <xdr:pic>
      <xdr:nvPicPr>
        <xdr:cNvPr id="19" name="Graphic 4" descr="Shopping cart with solid fill">
          <a:extLst>
            <a:ext uri="{FF2B5EF4-FFF2-40B4-BE49-F238E27FC236}">
              <a16:creationId xmlns:a16="http://schemas.microsoft.com/office/drawing/2014/main" id="{137F10D6-B154-0C92-E26B-D3DC3E12D5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19612" y="345620"/>
          <a:ext cx="706630" cy="703909"/>
        </a:xfrm>
        <a:prstGeom prst="rect">
          <a:avLst/>
        </a:prstGeom>
      </xdr:spPr>
    </xdr:pic>
    <xdr:clientData/>
  </xdr:twoCellAnchor>
  <xdr:twoCellAnchor editAs="oneCell">
    <xdr:from>
      <xdr:col>16</xdr:col>
      <xdr:colOff>476252</xdr:colOff>
      <xdr:row>9</xdr:row>
      <xdr:rowOff>9611</xdr:rowOff>
    </xdr:from>
    <xdr:to>
      <xdr:col>17</xdr:col>
      <xdr:colOff>393824</xdr:colOff>
      <xdr:row>11</xdr:row>
      <xdr:rowOff>124174</xdr:rowOff>
    </xdr:to>
    <xdr:pic>
      <xdr:nvPicPr>
        <xdr:cNvPr id="22" name="Graphic 10" descr="Chat with solid fill">
          <a:extLst>
            <a:ext uri="{FF2B5EF4-FFF2-40B4-BE49-F238E27FC236}">
              <a16:creationId xmlns:a16="http://schemas.microsoft.com/office/drawing/2014/main" id="{BB41CE69-CD44-9502-CFF2-EAF9F5EA28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94329" y="1740597"/>
          <a:ext cx="531202" cy="499226"/>
        </a:xfrm>
        <a:prstGeom prst="rect">
          <a:avLst/>
        </a:prstGeom>
      </xdr:spPr>
    </xdr:pic>
    <xdr:clientData/>
  </xdr:twoCellAnchor>
  <xdr:twoCellAnchor editAs="oneCell">
    <xdr:from>
      <xdr:col>21</xdr:col>
      <xdr:colOff>490433</xdr:colOff>
      <xdr:row>33</xdr:row>
      <xdr:rowOff>6334</xdr:rowOff>
    </xdr:from>
    <xdr:to>
      <xdr:col>22</xdr:col>
      <xdr:colOff>366345</xdr:colOff>
      <xdr:row>35</xdr:row>
      <xdr:rowOff>106039</xdr:rowOff>
    </xdr:to>
    <xdr:pic>
      <xdr:nvPicPr>
        <xdr:cNvPr id="26" name="Graphic 18" descr="Hourglass Finished with solid fill">
          <a:extLst>
            <a:ext uri="{FF2B5EF4-FFF2-40B4-BE49-F238E27FC236}">
              <a16:creationId xmlns:a16="http://schemas.microsoft.com/office/drawing/2014/main" id="{520CE034-C533-C658-9F10-D4DB8D777A4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76659" y="6353281"/>
          <a:ext cx="489542" cy="484369"/>
        </a:xfrm>
        <a:prstGeom prst="rect">
          <a:avLst/>
        </a:prstGeom>
      </xdr:spPr>
    </xdr:pic>
    <xdr:clientData/>
  </xdr:twoCellAnchor>
  <xdr:twoCellAnchor editAs="oneCell">
    <xdr:from>
      <xdr:col>17</xdr:col>
      <xdr:colOff>414809</xdr:colOff>
      <xdr:row>64</xdr:row>
      <xdr:rowOff>45792</xdr:rowOff>
    </xdr:from>
    <xdr:to>
      <xdr:col>18</xdr:col>
      <xdr:colOff>154740</xdr:colOff>
      <xdr:row>66</xdr:row>
      <xdr:rowOff>27476</xdr:rowOff>
    </xdr:to>
    <xdr:pic>
      <xdr:nvPicPr>
        <xdr:cNvPr id="30" name="Graphic 26" descr="Clock with solid fill">
          <a:extLst>
            <a:ext uri="{FF2B5EF4-FFF2-40B4-BE49-F238E27FC236}">
              <a16:creationId xmlns:a16="http://schemas.microsoft.com/office/drawing/2014/main" id="{83DDB650-FF6A-5CCE-A948-0F72CBBA520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846516" y="12355023"/>
          <a:ext cx="353561" cy="366347"/>
        </a:xfrm>
        <a:prstGeom prst="rect">
          <a:avLst/>
        </a:prstGeom>
      </xdr:spPr>
    </xdr:pic>
    <xdr:clientData/>
  </xdr:twoCellAnchor>
  <xdr:twoCellAnchor>
    <xdr:from>
      <xdr:col>6</xdr:col>
      <xdr:colOff>123825</xdr:colOff>
      <xdr:row>4</xdr:row>
      <xdr:rowOff>28576</xdr:rowOff>
    </xdr:from>
    <xdr:to>
      <xdr:col>8</xdr:col>
      <xdr:colOff>571501</xdr:colOff>
      <xdr:row>6</xdr:row>
      <xdr:rowOff>66676</xdr:rowOff>
    </xdr:to>
    <xdr:sp macro="" textlink="">
      <xdr:nvSpPr>
        <xdr:cNvPr id="35" name="TextBox 34">
          <a:extLst>
            <a:ext uri="{FF2B5EF4-FFF2-40B4-BE49-F238E27FC236}">
              <a16:creationId xmlns:a16="http://schemas.microsoft.com/office/drawing/2014/main" id="{9B2F8B13-226C-A90F-03B5-563834BC5E5A}"/>
            </a:ext>
          </a:extLst>
        </xdr:cNvPr>
        <xdr:cNvSpPr txBox="1"/>
      </xdr:nvSpPr>
      <xdr:spPr>
        <a:xfrm>
          <a:off x="3726760" y="774011"/>
          <a:ext cx="1648654" cy="41081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dk1"/>
              </a:solidFill>
              <a:effectLst/>
              <a:latin typeface="+mn-lt"/>
              <a:ea typeface="+mn-ea"/>
              <a:cs typeface="+mn-cs"/>
            </a:rPr>
            <a:t>3176</a:t>
          </a:r>
          <a:r>
            <a:rPr lang="en-IN" sz="2800">
              <a:latin typeface="+mn-lt"/>
            </a:rPr>
            <a:t> </a:t>
          </a:r>
        </a:p>
      </xdr:txBody>
    </xdr:sp>
    <xdr:clientData/>
  </xdr:twoCellAnchor>
  <xdr:twoCellAnchor editAs="oneCell">
    <xdr:from>
      <xdr:col>9</xdr:col>
      <xdr:colOff>19050</xdr:colOff>
      <xdr:row>1</xdr:row>
      <xdr:rowOff>180975</xdr:rowOff>
    </xdr:from>
    <xdr:to>
      <xdr:col>10</xdr:col>
      <xdr:colOff>285750</xdr:colOff>
      <xdr:row>6</xdr:row>
      <xdr:rowOff>104775</xdr:rowOff>
    </xdr:to>
    <xdr:pic>
      <xdr:nvPicPr>
        <xdr:cNvPr id="38" name="Graphic 2" descr="Customer review with solid fill">
          <a:extLst>
            <a:ext uri="{FF2B5EF4-FFF2-40B4-BE49-F238E27FC236}">
              <a16:creationId xmlns:a16="http://schemas.microsoft.com/office/drawing/2014/main" id="{A5821831-E550-00B1-8EA2-D5697891C1E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23452" y="367334"/>
          <a:ext cx="867189" cy="855593"/>
        </a:xfrm>
        <a:prstGeom prst="rect">
          <a:avLst/>
        </a:prstGeom>
      </xdr:spPr>
    </xdr:pic>
    <xdr:clientData/>
  </xdr:twoCellAnchor>
  <xdr:twoCellAnchor>
    <xdr:from>
      <xdr:col>23</xdr:col>
      <xdr:colOff>580351</xdr:colOff>
      <xdr:row>4</xdr:row>
      <xdr:rowOff>130479</xdr:rowOff>
    </xdr:from>
    <xdr:to>
      <xdr:col>26</xdr:col>
      <xdr:colOff>234471</xdr:colOff>
      <xdr:row>6</xdr:row>
      <xdr:rowOff>123825</xdr:rowOff>
    </xdr:to>
    <xdr:sp macro="" textlink="">
      <xdr:nvSpPr>
        <xdr:cNvPr id="39" name="TextBox 38">
          <a:extLst>
            <a:ext uri="{FF2B5EF4-FFF2-40B4-BE49-F238E27FC236}">
              <a16:creationId xmlns:a16="http://schemas.microsoft.com/office/drawing/2014/main" id="{8F493B0A-40CC-EADA-82BE-603C535B0ECC}"/>
            </a:ext>
          </a:extLst>
        </xdr:cNvPr>
        <xdr:cNvSpPr txBox="1"/>
      </xdr:nvSpPr>
      <xdr:spPr>
        <a:xfrm>
          <a:off x="14663744" y="892479"/>
          <a:ext cx="1491084" cy="3743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dk1"/>
              </a:solidFill>
              <a:effectLst/>
              <a:latin typeface="+mn-lt"/>
              <a:ea typeface="+mn-ea"/>
              <a:cs typeface="+mn-cs"/>
            </a:rPr>
            <a:t>4.404282116</a:t>
          </a:r>
          <a:r>
            <a:rPr lang="en-IN" sz="1800" b="1"/>
            <a:t> </a:t>
          </a:r>
        </a:p>
        <a:p>
          <a:endParaRPr lang="en-IN" sz="1800" b="1"/>
        </a:p>
      </xdr:txBody>
    </xdr:sp>
    <xdr:clientData/>
  </xdr:twoCellAnchor>
  <xdr:twoCellAnchor editAs="oneCell">
    <xdr:from>
      <xdr:col>24</xdr:col>
      <xdr:colOff>117710</xdr:colOff>
      <xdr:row>2</xdr:row>
      <xdr:rowOff>167752</xdr:rowOff>
    </xdr:from>
    <xdr:to>
      <xdr:col>26</xdr:col>
      <xdr:colOff>122326</xdr:colOff>
      <xdr:row>5</xdr:row>
      <xdr:rowOff>80408</xdr:rowOff>
    </xdr:to>
    <xdr:pic>
      <xdr:nvPicPr>
        <xdr:cNvPr id="41" name="Picture 40" descr="Rating Stars Clipart Transparent Background, Five Star Rating Icon, Five,  Of, Customer PNG Image For Free Download">
          <a:extLst>
            <a:ext uri="{FF2B5EF4-FFF2-40B4-BE49-F238E27FC236}">
              <a16:creationId xmlns:a16="http://schemas.microsoft.com/office/drawing/2014/main" id="{01B5908A-FED1-B85A-0608-08C274D2B552}"/>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4813424" y="548752"/>
          <a:ext cx="1229259" cy="4841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287447</xdr:colOff>
      <xdr:row>11</xdr:row>
      <xdr:rowOff>26096</xdr:rowOff>
    </xdr:from>
    <xdr:to>
      <xdr:col>9</xdr:col>
      <xdr:colOff>78287</xdr:colOff>
      <xdr:row>13</xdr:row>
      <xdr:rowOff>65240</xdr:rowOff>
    </xdr:to>
    <xdr:sp macro="" textlink="">
      <xdr:nvSpPr>
        <xdr:cNvPr id="42" name="TextBox 41">
          <a:extLst>
            <a:ext uri="{FF2B5EF4-FFF2-40B4-BE49-F238E27FC236}">
              <a16:creationId xmlns:a16="http://schemas.microsoft.com/office/drawing/2014/main" id="{5AF95EBF-A759-3DDC-BB61-18061EFC4A3D}"/>
            </a:ext>
          </a:extLst>
        </xdr:cNvPr>
        <xdr:cNvSpPr txBox="1"/>
      </xdr:nvSpPr>
      <xdr:spPr>
        <a:xfrm>
          <a:off x="3966968" y="2179007"/>
          <a:ext cx="1630600" cy="43058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tx1"/>
              </a:solidFill>
              <a:effectLst/>
              <a:latin typeface="+mn-lt"/>
              <a:ea typeface="+mn-ea"/>
              <a:cs typeface="+mn-cs"/>
            </a:rPr>
            <a:t>0.82751023</a:t>
          </a:r>
          <a:r>
            <a:rPr lang="en-IN" sz="1600" b="1">
              <a:solidFill>
                <a:schemeClr val="tx1"/>
              </a:solidFill>
            </a:rPr>
            <a:t> </a:t>
          </a:r>
        </a:p>
      </xdr:txBody>
    </xdr:sp>
    <xdr:clientData/>
  </xdr:twoCellAnchor>
  <xdr:twoCellAnchor editAs="oneCell">
    <xdr:from>
      <xdr:col>8</xdr:col>
      <xdr:colOff>333122</xdr:colOff>
      <xdr:row>8</xdr:row>
      <xdr:rowOff>114331</xdr:rowOff>
    </xdr:from>
    <xdr:to>
      <xdr:col>9</xdr:col>
      <xdr:colOff>421113</xdr:colOff>
      <xdr:row>11</xdr:row>
      <xdr:rowOff>1827</xdr:rowOff>
    </xdr:to>
    <xdr:pic>
      <xdr:nvPicPr>
        <xdr:cNvPr id="43" name="Picture 42" descr="Thumb up icon. Green like symbol ...">
          <a:extLst>
            <a:ext uri="{FF2B5EF4-FFF2-40B4-BE49-F238E27FC236}">
              <a16:creationId xmlns:a16="http://schemas.microsoft.com/office/drawing/2014/main" id="{D16ED0B1-C3BD-1729-0C20-A0F0C22945C6}"/>
            </a:ext>
          </a:extLst>
        </xdr:cNvPr>
        <xdr:cNvPicPr>
          <a:picLocks noChangeAspect="1" noChangeArrowheads="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5239149" y="1680084"/>
          <a:ext cx="701245" cy="474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29029</xdr:colOff>
      <xdr:row>10</xdr:row>
      <xdr:rowOff>1111</xdr:rowOff>
    </xdr:from>
    <xdr:to>
      <xdr:col>26</xdr:col>
      <xdr:colOff>113973</xdr:colOff>
      <xdr:row>12</xdr:row>
      <xdr:rowOff>25307</xdr:rowOff>
    </xdr:to>
    <xdr:sp macro="" textlink="">
      <xdr:nvSpPr>
        <xdr:cNvPr id="44" name="TextBox 43">
          <a:extLst>
            <a:ext uri="{FF2B5EF4-FFF2-40B4-BE49-F238E27FC236}">
              <a16:creationId xmlns:a16="http://schemas.microsoft.com/office/drawing/2014/main" id="{16341DE3-798C-6028-FA27-2742B162E894}"/>
            </a:ext>
          </a:extLst>
        </xdr:cNvPr>
        <xdr:cNvSpPr txBox="1"/>
      </xdr:nvSpPr>
      <xdr:spPr>
        <a:xfrm>
          <a:off x="14724743" y="1906111"/>
          <a:ext cx="1309587" cy="40519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0.969153289</a:t>
          </a:r>
          <a:r>
            <a:rPr lang="en-IN"/>
            <a:t> </a:t>
          </a:r>
          <a:endParaRPr lang="en-IN" sz="1100"/>
        </a:p>
      </xdr:txBody>
    </xdr:sp>
    <xdr:clientData/>
  </xdr:twoCellAnchor>
  <xdr:twoCellAnchor editAs="oneCell">
    <xdr:from>
      <xdr:col>26</xdr:col>
      <xdr:colOff>17830</xdr:colOff>
      <xdr:row>7</xdr:row>
      <xdr:rowOff>74652</xdr:rowOff>
    </xdr:from>
    <xdr:to>
      <xdr:col>26</xdr:col>
      <xdr:colOff>582527</xdr:colOff>
      <xdr:row>10</xdr:row>
      <xdr:rowOff>65127</xdr:rowOff>
    </xdr:to>
    <xdr:pic>
      <xdr:nvPicPr>
        <xdr:cNvPr id="45" name="Picture 44" descr="Verified - Free ui icons">
          <a:extLst>
            <a:ext uri="{FF2B5EF4-FFF2-40B4-BE49-F238E27FC236}">
              <a16:creationId xmlns:a16="http://schemas.microsoft.com/office/drawing/2014/main" id="{1E4B7030-A812-4A10-155A-8A30322B09D6}"/>
            </a:ext>
          </a:extLst>
        </xdr:cNvPr>
        <xdr:cNvPicPr>
          <a:picLocks noChangeAspect="1" noChangeArrowheads="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15938187" y="1408152"/>
          <a:ext cx="564697"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571500</xdr:colOff>
      <xdr:row>50</xdr:row>
      <xdr:rowOff>101601</xdr:rowOff>
    </xdr:from>
    <xdr:to>
      <xdr:col>27</xdr:col>
      <xdr:colOff>92495</xdr:colOff>
      <xdr:row>71</xdr:row>
      <xdr:rowOff>165101</xdr:rowOff>
    </xdr:to>
    <xdr:sp macro="" textlink="">
      <xdr:nvSpPr>
        <xdr:cNvPr id="46" name="Rectangle: Rounded Corners 45">
          <a:extLst>
            <a:ext uri="{FF2B5EF4-FFF2-40B4-BE49-F238E27FC236}">
              <a16:creationId xmlns:a16="http://schemas.microsoft.com/office/drawing/2014/main" id="{66046D76-E25B-4871-8101-65AF6FC4E30F}"/>
            </a:ext>
          </a:extLst>
        </xdr:cNvPr>
        <xdr:cNvSpPr/>
      </xdr:nvSpPr>
      <xdr:spPr>
        <a:xfrm>
          <a:off x="11544300" y="9626601"/>
          <a:ext cx="5007395" cy="4064000"/>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5</xdr:col>
      <xdr:colOff>476900</xdr:colOff>
      <xdr:row>30</xdr:row>
      <xdr:rowOff>57149</xdr:rowOff>
    </xdr:from>
    <xdr:to>
      <xdr:col>15</xdr:col>
      <xdr:colOff>169623</xdr:colOff>
      <xdr:row>49</xdr:row>
      <xdr:rowOff>72159</xdr:rowOff>
    </xdr:to>
    <xdr:sp macro="" textlink="">
      <xdr:nvSpPr>
        <xdr:cNvPr id="47" name="Rectangle: Rounded Corners 46">
          <a:extLst>
            <a:ext uri="{FF2B5EF4-FFF2-40B4-BE49-F238E27FC236}">
              <a16:creationId xmlns:a16="http://schemas.microsoft.com/office/drawing/2014/main" id="{14D80E35-4020-453F-BACF-BAECF89BBAC2}"/>
            </a:ext>
          </a:extLst>
        </xdr:cNvPr>
        <xdr:cNvSpPr/>
      </xdr:nvSpPr>
      <xdr:spPr>
        <a:xfrm>
          <a:off x="3507582" y="5685558"/>
          <a:ext cx="5754086" cy="3579669"/>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10</xdr:col>
      <xdr:colOff>13406</xdr:colOff>
      <xdr:row>9</xdr:row>
      <xdr:rowOff>12822</xdr:rowOff>
    </xdr:from>
    <xdr:to>
      <xdr:col>18</xdr:col>
      <xdr:colOff>275805</xdr:colOff>
      <xdr:row>27</xdr:row>
      <xdr:rowOff>153695</xdr:rowOff>
    </xdr:to>
    <xdr:graphicFrame macro="">
      <xdr:nvGraphicFramePr>
        <xdr:cNvPr id="48" name="Chart 47">
          <a:extLst>
            <a:ext uri="{FF2B5EF4-FFF2-40B4-BE49-F238E27FC236}">
              <a16:creationId xmlns:a16="http://schemas.microsoft.com/office/drawing/2014/main" id="{D0548398-84FC-46AC-87E7-2BCD929F5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6</xdr:col>
      <xdr:colOff>65269</xdr:colOff>
      <xdr:row>18</xdr:row>
      <xdr:rowOff>100745</xdr:rowOff>
    </xdr:from>
    <xdr:to>
      <xdr:col>9</xdr:col>
      <xdr:colOff>183174</xdr:colOff>
      <xdr:row>29</xdr:row>
      <xdr:rowOff>45794</xdr:rowOff>
    </xdr:to>
    <mc:AlternateContent xmlns:mc="http://schemas.openxmlformats.org/markup-compatibility/2006" xmlns:a14="http://schemas.microsoft.com/office/drawing/2010/main">
      <mc:Choice Requires="a14">
        <xdr:graphicFrame macro="">
          <xdr:nvGraphicFramePr>
            <xdr:cNvPr id="50" name="Category 1">
              <a:extLst>
                <a:ext uri="{FF2B5EF4-FFF2-40B4-BE49-F238E27FC236}">
                  <a16:creationId xmlns:a16="http://schemas.microsoft.com/office/drawing/2014/main" id="{FF74F5F9-B2A2-4F2E-A4CA-66190728482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727308" y="3596328"/>
              <a:ext cx="1948924" cy="2081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387547</xdr:colOff>
      <xdr:row>37</xdr:row>
      <xdr:rowOff>45793</xdr:rowOff>
    </xdr:from>
    <xdr:to>
      <xdr:col>26</xdr:col>
      <xdr:colOff>439616</xdr:colOff>
      <xdr:row>48</xdr:row>
      <xdr:rowOff>155697</xdr:rowOff>
    </xdr:to>
    <mc:AlternateContent xmlns:mc="http://schemas.openxmlformats.org/markup-compatibility/2006" xmlns:a14="http://schemas.microsoft.com/office/drawing/2010/main">
      <mc:Choice Requires="a14">
        <xdr:graphicFrame macro="">
          <xdr:nvGraphicFramePr>
            <xdr:cNvPr id="51" name="ReviewYear 1">
              <a:extLst>
                <a:ext uri="{FF2B5EF4-FFF2-40B4-BE49-F238E27FC236}">
                  <a16:creationId xmlns:a16="http://schemas.microsoft.com/office/drawing/2014/main" id="{CF0109A8-BB6E-48E1-8EA1-CB0B1F82822C}"/>
                </a:ext>
              </a:extLst>
            </xdr:cNvPr>
            <xdr:cNvGraphicFramePr/>
          </xdr:nvGraphicFramePr>
          <xdr:xfrm>
            <a:off x="0" y="0"/>
            <a:ext cx="0" cy="0"/>
          </xdr:xfrm>
          <a:graphic>
            <a:graphicData uri="http://schemas.microsoft.com/office/drawing/2010/slicer">
              <sle:slicer xmlns:sle="http://schemas.microsoft.com/office/drawing/2010/slicer" name="ReviewYear 1"/>
            </a:graphicData>
          </a:graphic>
        </xdr:graphicFrame>
      </mc:Choice>
      <mc:Fallback xmlns="">
        <xdr:sp macro="" textlink="">
          <xdr:nvSpPr>
            <xdr:cNvPr id="0" name=""/>
            <xdr:cNvSpPr>
              <a:spLocks noTextEdit="1"/>
            </xdr:cNvSpPr>
          </xdr:nvSpPr>
          <xdr:spPr>
            <a:xfrm>
              <a:off x="14425363" y="7231157"/>
              <a:ext cx="1883088" cy="2246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285860</xdr:colOff>
      <xdr:row>23</xdr:row>
      <xdr:rowOff>51164</xdr:rowOff>
    </xdr:from>
    <xdr:to>
      <xdr:col>27</xdr:col>
      <xdr:colOff>83815</xdr:colOff>
      <xdr:row>34</xdr:row>
      <xdr:rowOff>0</xdr:rowOff>
    </xdr:to>
    <xdr:sp macro="" textlink="">
      <xdr:nvSpPr>
        <xdr:cNvPr id="52" name="Rectangle: Rounded Corners 51">
          <a:extLst>
            <a:ext uri="{FF2B5EF4-FFF2-40B4-BE49-F238E27FC236}">
              <a16:creationId xmlns:a16="http://schemas.microsoft.com/office/drawing/2014/main" id="{93A9DACC-CF8D-4D3F-9735-94EFCE0443EC}"/>
            </a:ext>
          </a:extLst>
        </xdr:cNvPr>
        <xdr:cNvSpPr/>
      </xdr:nvSpPr>
      <xdr:spPr>
        <a:xfrm>
          <a:off x="14399346" y="4474794"/>
          <a:ext cx="2252474" cy="2064485"/>
        </a:xfrm>
        <a:prstGeom prst="roundRect">
          <a:avLst/>
        </a:prstGeom>
        <a:gradFill>
          <a:gsLst>
            <a:gs pos="63000">
              <a:schemeClr val="bg1">
                <a:lumMod val="95000"/>
              </a:schemeClr>
            </a:gs>
            <a:gs pos="100000">
              <a:schemeClr val="accent5">
                <a:lumMod val="105000"/>
                <a:satMod val="103000"/>
                <a:tint val="73000"/>
              </a:schemeClr>
            </a:gs>
            <a:gs pos="100000">
              <a:schemeClr val="accent5">
                <a:lumMod val="105000"/>
                <a:satMod val="109000"/>
                <a:tint val="81000"/>
              </a:schemeClr>
            </a:gs>
          </a:gsLst>
          <a:lin ang="5400000" scaled="0"/>
        </a:gra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editAs="oneCell">
    <xdr:from>
      <xdr:col>23</xdr:col>
      <xdr:colOff>437688</xdr:colOff>
      <xdr:row>16</xdr:row>
      <xdr:rowOff>186685</xdr:rowOff>
    </xdr:from>
    <xdr:to>
      <xdr:col>26</xdr:col>
      <xdr:colOff>522044</xdr:colOff>
      <xdr:row>22</xdr:row>
      <xdr:rowOff>128220</xdr:rowOff>
    </xdr:to>
    <mc:AlternateContent xmlns:mc="http://schemas.openxmlformats.org/markup-compatibility/2006" xmlns:a14="http://schemas.microsoft.com/office/drawing/2010/main">
      <mc:Choice Requires="a14">
        <xdr:graphicFrame macro="">
          <xdr:nvGraphicFramePr>
            <xdr:cNvPr id="53" name="verified 1">
              <a:extLst>
                <a:ext uri="{FF2B5EF4-FFF2-40B4-BE49-F238E27FC236}">
                  <a16:creationId xmlns:a16="http://schemas.microsoft.com/office/drawing/2014/main" id="{25D85CE4-E546-449D-8C00-5AECEC0142E0}"/>
                </a:ext>
              </a:extLst>
            </xdr:cNvPr>
            <xdr:cNvGraphicFramePr/>
          </xdr:nvGraphicFramePr>
          <xdr:xfrm>
            <a:off x="0" y="0"/>
            <a:ext cx="0" cy="0"/>
          </xdr:xfrm>
          <a:graphic>
            <a:graphicData uri="http://schemas.microsoft.com/office/drawing/2010/slicer">
              <sle:slicer xmlns:sle="http://schemas.microsoft.com/office/drawing/2010/slicer" name="verified 1"/>
            </a:graphicData>
          </a:graphic>
        </xdr:graphicFrame>
      </mc:Choice>
      <mc:Fallback xmlns="">
        <xdr:sp macro="" textlink="">
          <xdr:nvSpPr>
            <xdr:cNvPr id="0" name=""/>
            <xdr:cNvSpPr>
              <a:spLocks noTextEdit="1"/>
            </xdr:cNvSpPr>
          </xdr:nvSpPr>
          <xdr:spPr>
            <a:xfrm>
              <a:off x="14475504" y="3293869"/>
              <a:ext cx="1915375" cy="1106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571500</xdr:colOff>
      <xdr:row>66</xdr:row>
      <xdr:rowOff>0</xdr:rowOff>
    </xdr:from>
    <xdr:to>
      <xdr:col>18</xdr:col>
      <xdr:colOff>412139</xdr:colOff>
      <xdr:row>71</xdr:row>
      <xdr:rowOff>91586</xdr:rowOff>
    </xdr:to>
    <mc:AlternateContent xmlns:mc="http://schemas.openxmlformats.org/markup-compatibility/2006" xmlns:tsle="http://schemas.microsoft.com/office/drawing/2012/timeslicer">
      <mc:Choice Requires="tsle">
        <xdr:graphicFrame macro="">
          <xdr:nvGraphicFramePr>
            <xdr:cNvPr id="54" name="reviewDate 1">
              <a:extLst>
                <a:ext uri="{FF2B5EF4-FFF2-40B4-BE49-F238E27FC236}">
                  <a16:creationId xmlns:a16="http://schemas.microsoft.com/office/drawing/2014/main" id="{4EA75F26-260F-4166-A184-C6341907345B}"/>
                </a:ext>
              </a:extLst>
            </xdr:cNvPr>
            <xdr:cNvGraphicFramePr/>
          </xdr:nvGraphicFramePr>
          <xdr:xfrm>
            <a:off x="0" y="0"/>
            <a:ext cx="0" cy="0"/>
          </xdr:xfrm>
          <a:graphic>
            <a:graphicData uri="http://schemas.microsoft.com/office/drawing/2012/timeslicer">
              <tsle:timeslicer name="reviewDate 1"/>
            </a:graphicData>
          </a:graphic>
        </xdr:graphicFrame>
      </mc:Choice>
      <mc:Fallback xmlns="">
        <xdr:sp macro="" textlink="">
          <xdr:nvSpPr>
            <xdr:cNvPr id="0" name=""/>
            <xdr:cNvSpPr>
              <a:spLocks noTextEdit="1"/>
            </xdr:cNvSpPr>
          </xdr:nvSpPr>
          <xdr:spPr>
            <a:xfrm>
              <a:off x="3623199" y="12817136"/>
              <a:ext cx="7775057" cy="10625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596347</xdr:colOff>
      <xdr:row>31</xdr:row>
      <xdr:rowOff>99391</xdr:rowOff>
    </xdr:from>
    <xdr:to>
      <xdr:col>22</xdr:col>
      <xdr:colOff>414130</xdr:colOff>
      <xdr:row>48</xdr:row>
      <xdr:rowOff>149087</xdr:rowOff>
    </xdr:to>
    <xdr:graphicFrame macro="">
      <xdr:nvGraphicFramePr>
        <xdr:cNvPr id="55" name="Chart 54">
          <a:extLst>
            <a:ext uri="{FF2B5EF4-FFF2-40B4-BE49-F238E27FC236}">
              <a16:creationId xmlns:a16="http://schemas.microsoft.com/office/drawing/2014/main" id="{CC6F34DC-04AC-4DF3-ABBB-0C55DD614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100261</xdr:colOff>
      <xdr:row>31</xdr:row>
      <xdr:rowOff>83552</xdr:rowOff>
    </xdr:from>
    <xdr:to>
      <xdr:col>14</xdr:col>
      <xdr:colOff>568158</xdr:colOff>
      <xdr:row>48</xdr:row>
      <xdr:rowOff>114299</xdr:rowOff>
    </xdr:to>
    <xdr:graphicFrame macro="">
      <xdr:nvGraphicFramePr>
        <xdr:cNvPr id="18" name="Chart 55">
          <a:extLst>
            <a:ext uri="{FF2B5EF4-FFF2-40B4-BE49-F238E27FC236}">
              <a16:creationId xmlns:a16="http://schemas.microsoft.com/office/drawing/2014/main" id="{E4CF4F29-80CE-476D-9553-A65530772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123459</xdr:colOff>
      <xdr:row>52</xdr:row>
      <xdr:rowOff>63500</xdr:rowOff>
    </xdr:from>
    <xdr:to>
      <xdr:col>26</xdr:col>
      <xdr:colOff>593359</xdr:colOff>
      <xdr:row>71</xdr:row>
      <xdr:rowOff>38100</xdr:rowOff>
    </xdr:to>
    <xdr:graphicFrame macro="">
      <xdr:nvGraphicFramePr>
        <xdr:cNvPr id="31" name="Chart 30">
          <a:extLst>
            <a:ext uri="{FF2B5EF4-FFF2-40B4-BE49-F238E27FC236}">
              <a16:creationId xmlns:a16="http://schemas.microsoft.com/office/drawing/2014/main" id="{3A201BC8-276F-46ED-9743-6E2DD66DE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36597</xdr:colOff>
      <xdr:row>8</xdr:row>
      <xdr:rowOff>101600</xdr:rowOff>
    </xdr:from>
    <xdr:to>
      <xdr:col>23</xdr:col>
      <xdr:colOff>26096</xdr:colOff>
      <xdr:row>28</xdr:row>
      <xdr:rowOff>176147</xdr:rowOff>
    </xdr:to>
    <xdr:graphicFrame macro="">
      <xdr:nvGraphicFramePr>
        <xdr:cNvPr id="32" name="Chart 31">
          <a:extLst>
            <a:ext uri="{FF2B5EF4-FFF2-40B4-BE49-F238E27FC236}">
              <a16:creationId xmlns:a16="http://schemas.microsoft.com/office/drawing/2014/main" id="{1FBA8BB7-9B8D-4346-9814-269FB7ABE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546353</xdr:colOff>
      <xdr:row>51</xdr:row>
      <xdr:rowOff>68138</xdr:rowOff>
    </xdr:from>
    <xdr:to>
      <xdr:col>18</xdr:col>
      <xdr:colOff>121017</xdr:colOff>
      <xdr:row>63</xdr:row>
      <xdr:rowOff>49579</xdr:rowOff>
    </xdr:to>
    <xdr:graphicFrame macro="">
      <xdr:nvGraphicFramePr>
        <xdr:cNvPr id="34" name="Chart 33">
          <a:extLst>
            <a:ext uri="{FF2B5EF4-FFF2-40B4-BE49-F238E27FC236}">
              <a16:creationId xmlns:a16="http://schemas.microsoft.com/office/drawing/2014/main" id="{7D437353-C6DB-4ED7-A1A9-DCBD89155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xdr:col>
      <xdr:colOff>174014</xdr:colOff>
      <xdr:row>64</xdr:row>
      <xdr:rowOff>54952</xdr:rowOff>
    </xdr:from>
    <xdr:to>
      <xdr:col>18</xdr:col>
      <xdr:colOff>128221</xdr:colOff>
      <xdr:row>65</xdr:row>
      <xdr:rowOff>183173</xdr:rowOff>
    </xdr:to>
    <xdr:sp macro="" textlink="">
      <xdr:nvSpPr>
        <xdr:cNvPr id="36" name="TextBox 35">
          <a:extLst>
            <a:ext uri="{FF2B5EF4-FFF2-40B4-BE49-F238E27FC236}">
              <a16:creationId xmlns:a16="http://schemas.microsoft.com/office/drawing/2014/main" id="{B83A9242-0A88-5AE5-EB98-705EAE73D179}"/>
            </a:ext>
          </a:extLst>
        </xdr:cNvPr>
        <xdr:cNvSpPr txBox="1"/>
      </xdr:nvSpPr>
      <xdr:spPr>
        <a:xfrm>
          <a:off x="3855793" y="12364183"/>
          <a:ext cx="7317765" cy="32055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Timeline</a:t>
          </a:r>
        </a:p>
      </xdr:txBody>
    </xdr:sp>
    <xdr:clientData/>
  </xdr:twoCellAnchor>
  <xdr:twoCellAnchor editAs="oneCell">
    <xdr:from>
      <xdr:col>23</xdr:col>
      <xdr:colOff>512887</xdr:colOff>
      <xdr:row>23</xdr:row>
      <xdr:rowOff>91589</xdr:rowOff>
    </xdr:from>
    <xdr:to>
      <xdr:col>26</xdr:col>
      <xdr:colOff>412139</xdr:colOff>
      <xdr:row>26</xdr:row>
      <xdr:rowOff>95716</xdr:rowOff>
    </xdr:to>
    <xdr:pic>
      <xdr:nvPicPr>
        <xdr:cNvPr id="57" name="Picture 56" descr="Positive Negative Neutral Images – Browse 5,521 Stock Photos, Vectors, and  Video | Adobe Stock">
          <a:extLst>
            <a:ext uri="{FF2B5EF4-FFF2-40B4-BE49-F238E27FC236}">
              <a16:creationId xmlns:a16="http://schemas.microsoft.com/office/drawing/2014/main" id="{4F2E44A9-03D7-E6BD-66B3-4F5EEB41FFE9}"/>
            </a:ext>
          </a:extLst>
        </xdr:cNvPr>
        <xdr:cNvPicPr>
          <a:picLocks noChangeAspect="1" noChangeArrowheads="1"/>
        </xdr:cNvPicPr>
      </xdr:nvPicPr>
      <xdr:blipFill>
        <a:blip xmlns:r="http://schemas.openxmlformats.org/officeDocument/2006/relationships" r:embed="rId22" cstate="print">
          <a:extLst>
            <a:ext uri="{BEBA8EAE-BF5A-486C-A8C5-ECC9F3942E4B}">
              <a14:imgProps xmlns:a14="http://schemas.microsoft.com/office/drawing/2010/main">
                <a14:imgLayer r:embed="rId23">
                  <a14:imgEffect>
                    <a14:backgroundRemoval t="10000" b="90000" l="10000" r="90000">
                      <a14:foregroundMark x1="24954" y1="42222" x2="18367" y2="39167"/>
                      <a14:foregroundMark x1="18367" y1="39167" x2="22356" y2="56389"/>
                      <a14:foregroundMark x1="22356" y1="56389" x2="22171" y2="41111"/>
                      <a14:foregroundMark x1="22171" y1="41111" x2="16048" y2="38333"/>
                      <a14:foregroundMark x1="16048" y1="38333" x2="16048" y2="40000"/>
                      <a14:foregroundMark x1="82931" y1="46667" x2="77365" y2="55278"/>
                      <a14:foregroundMark x1="77365" y1="55278" x2="83210" y2="54722"/>
                      <a14:foregroundMark x1="83210" y1="54722" x2="79963" y2="41111"/>
                      <a14:foregroundMark x1="85622" y1="44444" x2="87291" y2="37500"/>
                      <a14:foregroundMark x1="14007" y1="60833" x2="14471" y2="57222"/>
                      <a14:foregroundMark x1="74583" y1="36389" x2="70501" y2="46944"/>
                    </a14:backgroundRemoval>
                  </a14:imgEffect>
                </a14:imgLayer>
              </a14:imgProps>
            </a:ext>
            <a:ext uri="{28A0092B-C50C-407E-A947-70E740481C1C}">
              <a14:useLocalDpi xmlns:a14="http://schemas.microsoft.com/office/drawing/2010/main" val="0"/>
            </a:ext>
          </a:extLst>
        </a:blip>
        <a:srcRect/>
        <a:stretch>
          <a:fillRect/>
        </a:stretch>
      </xdr:blipFill>
      <xdr:spPr bwMode="auto">
        <a:xfrm>
          <a:off x="14626373" y="4515219"/>
          <a:ext cx="1740141" cy="581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183175</xdr:colOff>
      <xdr:row>13</xdr:row>
      <xdr:rowOff>100746</xdr:rowOff>
    </xdr:from>
    <xdr:to>
      <xdr:col>26</xdr:col>
      <xdr:colOff>2</xdr:colOff>
      <xdr:row>17</xdr:row>
      <xdr:rowOff>26213</xdr:rowOff>
    </xdr:to>
    <xdr:pic>
      <xdr:nvPicPr>
        <xdr:cNvPr id="58" name="Picture 57" descr="True And False PNG, Vector, PSD, and ...">
          <a:extLst>
            <a:ext uri="{FF2B5EF4-FFF2-40B4-BE49-F238E27FC236}">
              <a16:creationId xmlns:a16="http://schemas.microsoft.com/office/drawing/2014/main" id="{86111187-C98B-323B-56D8-C6FA304FFD1D}"/>
            </a:ext>
          </a:extLst>
        </xdr:cNvPr>
        <xdr:cNvPicPr>
          <a:picLocks noChangeAspect="1" noChangeArrowheads="1"/>
        </xdr:cNvPicPr>
      </xdr:nvPicPr>
      <xdr:blipFill>
        <a:blip xmlns:r="http://schemas.openxmlformats.org/officeDocument/2006/relationships" r:embed="rId24" cstate="print">
          <a:extLst>
            <a:ext uri="{BEBA8EAE-BF5A-486C-A8C5-ECC9F3942E4B}">
              <a14:imgProps xmlns:a14="http://schemas.microsoft.com/office/drawing/2010/main">
                <a14:imgLayer r:embed="rId25">
                  <a14:imgEffect>
                    <a14:backgroundRemoval t="9290" b="89071" l="7273" r="93818">
                      <a14:foregroundMark x1="28727" y1="31148" x2="23636" y2="31148"/>
                      <a14:foregroundMark x1="32000" y1="30601" x2="46545" y2="61202"/>
                      <a14:foregroundMark x1="46545" y1="61202" x2="30909" y2="76503"/>
                      <a14:foregroundMark x1="30909" y1="76503" x2="11273" y2="63388"/>
                      <a14:foregroundMark x1="11273" y1="63388" x2="19273" y2="31148"/>
                      <a14:foregroundMark x1="9818" y1="33333" x2="7636" y2="62295"/>
                      <a14:foregroundMark x1="7636" y1="62295" x2="8364" y2="63388"/>
                      <a14:foregroundMark x1="73818" y1="43716" x2="80000" y2="75410"/>
                      <a14:foregroundMark x1="80000" y1="75410" x2="60000" y2="65027"/>
                      <a14:foregroundMark x1="60000" y1="65027" x2="68727" y2="32240"/>
                      <a14:foregroundMark x1="68727" y1="32240" x2="76000" y2="31694"/>
                      <a14:foregroundMark x1="60727" y1="28415" x2="82909" y2="25683"/>
                      <a14:foregroundMark x1="82909" y1="25683" x2="87273" y2="60656"/>
                      <a14:foregroundMark x1="87273" y1="60656" x2="86182" y2="65574"/>
                      <a14:foregroundMark x1="89818" y1="32787" x2="88727" y2="69399"/>
                      <a14:foregroundMark x1="88727" y1="69399" x2="64364" y2="77049"/>
                      <a14:foregroundMark x1="64364" y1="77049" x2="87636" y2="69945"/>
                      <a14:foregroundMark x1="87636" y1="69945" x2="93818" y2="55191"/>
                      <a14:foregroundMark x1="70182" y1="53552" x2="67636" y2="57377"/>
                      <a14:foregroundMark x1="64727" y1="55738" x2="75273" y2="52459"/>
                      <a14:foregroundMark x1="78182" y1="50820" x2="80364" y2="48087"/>
                      <a14:foregroundMark x1="79273" y1="41530" x2="79273" y2="36066"/>
                      <a14:foregroundMark x1="80000" y1="39891" x2="80000" y2="39891"/>
                      <a14:foregroundMark x1="79636" y1="47541" x2="81455" y2="52459"/>
                      <a14:foregroundMark x1="19273" y1="62295" x2="36364" y2="44262"/>
                      <a14:foregroundMark x1="36364" y1="44262" x2="24364" y2="53552"/>
                      <a14:foregroundMark x1="18182" y1="39344" x2="34182" y2="62842"/>
                      <a14:foregroundMark x1="33091" y1="38251" x2="24727" y2="51366"/>
                    </a14:backgroundRemoval>
                  </a14:imgEffect>
                </a14:imgLayer>
              </a14:imgProps>
            </a:ext>
            <a:ext uri="{28A0092B-C50C-407E-A947-70E740481C1C}">
              <a14:useLocalDpi xmlns:a14="http://schemas.microsoft.com/office/drawing/2010/main" val="0"/>
            </a:ext>
          </a:extLst>
        </a:blip>
        <a:srcRect/>
        <a:stretch>
          <a:fillRect/>
        </a:stretch>
      </xdr:blipFill>
      <xdr:spPr bwMode="auto">
        <a:xfrm>
          <a:off x="14910290" y="2601059"/>
          <a:ext cx="1044087" cy="694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432399</xdr:colOff>
      <xdr:row>26</xdr:row>
      <xdr:rowOff>151910</xdr:rowOff>
    </xdr:from>
    <xdr:to>
      <xdr:col>26</xdr:col>
      <xdr:colOff>562997</xdr:colOff>
      <xdr:row>33</xdr:row>
      <xdr:rowOff>13464</xdr:rowOff>
    </xdr:to>
    <mc:AlternateContent xmlns:mc="http://schemas.openxmlformats.org/markup-compatibility/2006" xmlns:a14="http://schemas.microsoft.com/office/drawing/2010/main">
      <mc:Choice Requires="a14">
        <xdr:graphicFrame macro="">
          <xdr:nvGraphicFramePr>
            <xdr:cNvPr id="59" name="Sentiment 1">
              <a:extLst>
                <a:ext uri="{FF2B5EF4-FFF2-40B4-BE49-F238E27FC236}">
                  <a16:creationId xmlns:a16="http://schemas.microsoft.com/office/drawing/2014/main" id="{B7B7980A-E128-42BB-BAE0-868AE8BE6E6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entiment 1"/>
            </a:graphicData>
          </a:graphic>
        </xdr:graphicFrame>
      </mc:Choice>
      <mc:Fallback xmlns="">
        <xdr:sp macro="" textlink="">
          <xdr:nvSpPr>
            <xdr:cNvPr id="0" name=""/>
            <xdr:cNvSpPr>
              <a:spLocks noTextEdit="1"/>
            </xdr:cNvSpPr>
          </xdr:nvSpPr>
          <xdr:spPr>
            <a:xfrm>
              <a:off x="14470215" y="5201085"/>
              <a:ext cx="1961617" cy="1220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247285</xdr:colOff>
      <xdr:row>14</xdr:row>
      <xdr:rowOff>137380</xdr:rowOff>
    </xdr:from>
    <xdr:to>
      <xdr:col>8</xdr:col>
      <xdr:colOff>567837</xdr:colOff>
      <xdr:row>18</xdr:row>
      <xdr:rowOff>109904</xdr:rowOff>
    </xdr:to>
    <xdr:pic>
      <xdr:nvPicPr>
        <xdr:cNvPr id="60" name="Picture 59" descr="Fashion 1 icons by Vectors Market">
          <a:extLst>
            <a:ext uri="{FF2B5EF4-FFF2-40B4-BE49-F238E27FC236}">
              <a16:creationId xmlns:a16="http://schemas.microsoft.com/office/drawing/2014/main" id="{2289DECE-8A87-1CB7-70F6-801DCE36D895}"/>
            </a:ext>
          </a:extLst>
        </xdr:cNvPr>
        <xdr:cNvPicPr>
          <a:picLocks noChangeAspect="1" noChangeArrowheads="1"/>
        </xdr:cNvPicPr>
      </xdr:nvPicPr>
      <xdr:blipFill>
        <a:blip xmlns:r="http://schemas.openxmlformats.org/officeDocument/2006/relationships" r:embed="rId26">
          <a:extLst>
            <a:ext uri="{BEBA8EAE-BF5A-486C-A8C5-ECC9F3942E4B}">
              <a14:imgProps xmlns:a14="http://schemas.microsoft.com/office/drawing/2010/main">
                <a14:imgLayer r:embed="rId27">
                  <a14:imgEffect>
                    <a14:backgroundRemoval t="9140" b="89785" l="6667" r="93704">
                      <a14:foregroundMark x1="24074" y1="35484" x2="20370" y2="38710"/>
                      <a14:foregroundMark x1="18519" y1="33871" x2="25185" y2="18817"/>
                      <a14:foregroundMark x1="19630" y1="20968" x2="13704" y2="20968"/>
                      <a14:foregroundMark x1="6667" y1="19355" x2="11852" y2="39785"/>
                      <a14:foregroundMark x1="22963" y1="24194" x2="24815" y2="32796"/>
                      <a14:foregroundMark x1="17407" y1="26344" x2="17407" y2="24194"/>
                      <a14:foregroundMark x1="13704" y1="29570" x2="17037" y2="31720"/>
                      <a14:foregroundMark x1="14074" y1="26344" x2="10370" y2="25269"/>
                      <a14:foregroundMark x1="52593" y1="20968" x2="47778" y2="28495"/>
                      <a14:foregroundMark x1="51481" y1="32258" x2="51481" y2="31183"/>
                      <a14:foregroundMark x1="47407" y1="26882" x2="46667" y2="17742"/>
                      <a14:foregroundMark x1="46667" y1="9677" x2="55185" y2="9677"/>
                      <a14:foregroundMark x1="52222" y1="9140" x2="57037" y2="13441"/>
                      <a14:foregroundMark x1="75185" y1="21505" x2="78889" y2="23118"/>
                      <a14:foregroundMark x1="50000" y1="32258" x2="45926" y2="31720"/>
                      <a14:foregroundMark x1="75556" y1="11290" x2="93704" y2="20968"/>
                      <a14:foregroundMark x1="93704" y1="20968" x2="82963" y2="43011"/>
                      <a14:foregroundMark x1="82963" y1="43011" x2="70000" y2="23118"/>
                      <a14:foregroundMark x1="70000" y1="23118" x2="87778" y2="33871"/>
                      <a14:foregroundMark x1="87778" y1="33871" x2="87407" y2="20430"/>
                      <a14:foregroundMark x1="21111" y1="63441" x2="16296" y2="80108"/>
                      <a14:foregroundMark x1="47037" y1="74194" x2="54444" y2="65591"/>
                      <a14:foregroundMark x1="80741" y1="67204" x2="75556" y2="82258"/>
                      <a14:foregroundMark x1="81852" y1="78495" x2="85926" y2="80108"/>
                      <a14:foregroundMark x1="55556" y1="10753" x2="52963" y2="9677"/>
                    </a14:backgroundRemoval>
                  </a14:imgEffect>
                </a14:imgLayer>
              </a14:imgProps>
            </a:ext>
            <a:ext uri="{28A0092B-C50C-407E-A947-70E740481C1C}">
              <a14:useLocalDpi xmlns:a14="http://schemas.microsoft.com/office/drawing/2010/main" val="0"/>
            </a:ext>
          </a:extLst>
        </a:blip>
        <a:srcRect/>
        <a:stretch>
          <a:fillRect/>
        </a:stretch>
      </xdr:blipFill>
      <xdr:spPr bwMode="auto">
        <a:xfrm>
          <a:off x="3929064" y="2830024"/>
          <a:ext cx="1547811" cy="741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357187</xdr:colOff>
      <xdr:row>51</xdr:row>
      <xdr:rowOff>27475</xdr:rowOff>
    </xdr:from>
    <xdr:to>
      <xdr:col>17</xdr:col>
      <xdr:colOff>70521</xdr:colOff>
      <xdr:row>55</xdr:row>
      <xdr:rowOff>125289</xdr:rowOff>
    </xdr:to>
    <xdr:pic>
      <xdr:nvPicPr>
        <xdr:cNvPr id="61" name="Picture 60" descr="rating scale with smiley icon set ...">
          <a:extLst>
            <a:ext uri="{FF2B5EF4-FFF2-40B4-BE49-F238E27FC236}">
              <a16:creationId xmlns:a16="http://schemas.microsoft.com/office/drawing/2014/main" id="{A03783DB-19DA-7830-2536-ACFB436B91FE}"/>
            </a:ext>
          </a:extLst>
        </xdr:cNvPr>
        <xdr:cNvPicPr>
          <a:picLocks noChangeAspect="1" noChangeArrowheads="1"/>
        </xdr:cNvPicPr>
      </xdr:nvPicPr>
      <xdr:blipFill>
        <a:blip xmlns:r="http://schemas.openxmlformats.org/officeDocument/2006/relationships" r:embed="rId28">
          <a:extLst>
            <a:ext uri="{BEBA8EAE-BF5A-486C-A8C5-ECC9F3942E4B}">
              <a14:imgProps xmlns:a14="http://schemas.microsoft.com/office/drawing/2010/main">
                <a14:imgLayer r:embed="rId29">
                  <a14:imgEffect>
                    <a14:backgroundRemoval t="9155" b="89437" l="4789" r="94930">
                      <a14:foregroundMark x1="7606" y1="75352" x2="7606" y2="78873"/>
                      <a14:foregroundMark x1="4789" y1="76761" x2="4789" y2="78169"/>
                      <a14:foregroundMark x1="12958" y1="37324" x2="12676" y2="53521"/>
                      <a14:foregroundMark x1="34366" y1="37324" x2="29014" y2="51408"/>
                      <a14:foregroundMark x1="50704" y1="40845" x2="50423" y2="47183"/>
                      <a14:foregroundMark x1="70704" y1="33099" x2="72394" y2="45070"/>
                      <a14:foregroundMark x1="89014" y1="28873" x2="85915" y2="50000"/>
                      <a14:foregroundMark x1="93239" y1="39437" x2="93239" y2="35915"/>
                      <a14:foregroundMark x1="94930" y1="77465" x2="93521" y2="76056"/>
                    </a14:backgroundRemoval>
                  </a14:imgEffect>
                </a14:imgLayer>
              </a14:imgProps>
            </a:ext>
            <a:ext uri="{28A0092B-C50C-407E-A947-70E740481C1C}">
              <a14:useLocalDpi xmlns:a14="http://schemas.microsoft.com/office/drawing/2010/main" val="0"/>
            </a:ext>
          </a:extLst>
        </a:blip>
        <a:srcRect/>
        <a:stretch>
          <a:fillRect/>
        </a:stretch>
      </xdr:blipFill>
      <xdr:spPr bwMode="auto">
        <a:xfrm>
          <a:off x="8334375" y="9836393"/>
          <a:ext cx="2167853" cy="867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468874</xdr:colOff>
      <xdr:row>34</xdr:row>
      <xdr:rowOff>103727</xdr:rowOff>
    </xdr:from>
    <xdr:to>
      <xdr:col>25</xdr:col>
      <xdr:colOff>338871</xdr:colOff>
      <xdr:row>37</xdr:row>
      <xdr:rowOff>10359</xdr:rowOff>
    </xdr:to>
    <xdr:pic>
      <xdr:nvPicPr>
        <xdr:cNvPr id="62" name="Picture 61" descr="Years - Free time and date icons">
          <a:extLst>
            <a:ext uri="{FF2B5EF4-FFF2-40B4-BE49-F238E27FC236}">
              <a16:creationId xmlns:a16="http://schemas.microsoft.com/office/drawing/2014/main" id="{ED6822DF-F286-903E-327C-B0A51A2AAFF3}"/>
            </a:ext>
          </a:extLst>
        </xdr:cNvPr>
        <xdr:cNvPicPr>
          <a:picLocks noChangeAspect="1" noChangeArrowheads="1"/>
        </xdr:cNvPicPr>
      </xdr:nvPicPr>
      <xdr:blipFill>
        <a:blip xmlns:r="http://schemas.openxmlformats.org/officeDocument/2006/relationships" r:embed="rId30" cstate="print">
          <a:extLst>
            <a:ext uri="{BEBA8EAE-BF5A-486C-A8C5-ECC9F3942E4B}">
              <a14:imgProps xmlns:a14="http://schemas.microsoft.com/office/drawing/2010/main">
                <a14:imgLayer r:embed="rId31">
                  <a14:imgEffect>
                    <a14:backgroundRemoval t="4889" b="96000" l="889" r="96889">
                      <a14:foregroundMark x1="9778" y1="36000" x2="11111" y2="59556"/>
                      <a14:foregroundMark x1="11111" y1="59556" x2="6222" y2="53778"/>
                      <a14:foregroundMark x1="4444" y1="53333" x2="2222" y2="60444"/>
                      <a14:foregroundMark x1="1778" y1="31111" x2="1333" y2="31556"/>
                      <a14:foregroundMark x1="28000" y1="10222" x2="49778" y2="4889"/>
                      <a14:foregroundMark x1="49778" y1="4889" x2="68444" y2="10222"/>
                      <a14:foregroundMark x1="87556" y1="30222" x2="96889" y2="54222"/>
                      <a14:foregroundMark x1="96889" y1="54222" x2="87556" y2="60444"/>
                      <a14:foregroundMark x1="96000" y1="28889" x2="96000" y2="39111"/>
                      <a14:foregroundMark x1="35556" y1="85778" x2="60444" y2="95111"/>
                      <a14:foregroundMark x1="60444" y1="95111" x2="61778" y2="88000"/>
                      <a14:foregroundMark x1="35556" y1="96000" x2="41778" y2="94667"/>
                    </a14:backgroundRemoval>
                  </a14:imgEffect>
                </a14:imgLayer>
              </a14:imgProps>
            </a:ext>
            <a:ext uri="{28A0092B-C50C-407E-A947-70E740481C1C}">
              <a14:useLocalDpi xmlns:a14="http://schemas.microsoft.com/office/drawing/2010/main" val="0"/>
            </a:ext>
          </a:extLst>
        </a:blip>
        <a:srcRect/>
        <a:stretch>
          <a:fillRect/>
        </a:stretch>
      </xdr:blipFill>
      <xdr:spPr bwMode="auto">
        <a:xfrm>
          <a:off x="15195989" y="6643006"/>
          <a:ext cx="483627" cy="483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527113</xdr:colOff>
      <xdr:row>54</xdr:row>
      <xdr:rowOff>9249</xdr:rowOff>
    </xdr:from>
    <xdr:to>
      <xdr:col>26</xdr:col>
      <xdr:colOff>337581</xdr:colOff>
      <xdr:row>56</xdr:row>
      <xdr:rowOff>36990</xdr:rowOff>
    </xdr:to>
    <xdr:pic>
      <xdr:nvPicPr>
        <xdr:cNvPr id="66" name="Picture 65" descr="Performance review - Free business and ...">
          <a:extLst>
            <a:ext uri="{FF2B5EF4-FFF2-40B4-BE49-F238E27FC236}">
              <a16:creationId xmlns:a16="http://schemas.microsoft.com/office/drawing/2014/main" id="{A070E526-E170-FE6A-71B8-FFC1E33DC5D8}"/>
            </a:ext>
          </a:extLst>
        </xdr:cNvPr>
        <xdr:cNvPicPr>
          <a:picLocks noChangeAspect="1" noChangeArrowheads="1"/>
        </xdr:cNvPicPr>
      </xdr:nvPicPr>
      <xdr:blipFill>
        <a:blip xmlns:r="http://schemas.openxmlformats.org/officeDocument/2006/relationships" r:embed="rId32" cstate="print">
          <a:extLst>
            <a:ext uri="{BEBA8EAE-BF5A-486C-A8C5-ECC9F3942E4B}">
              <a14:imgProps xmlns:a14="http://schemas.microsoft.com/office/drawing/2010/main">
                <a14:imgLayer r:embed="rId33">
                  <a14:imgEffect>
                    <a14:backgroundRemoval t="8889" b="94667" l="3556" r="94667">
                      <a14:foregroundMark x1="12000" y1="8000" x2="3556" y2="28889"/>
                      <a14:foregroundMark x1="3556" y1="28889" x2="6667" y2="86667"/>
                      <a14:foregroundMark x1="6667" y1="86667" x2="55556" y2="84889"/>
                      <a14:foregroundMark x1="55556" y1="84889" x2="64444" y2="57333"/>
                      <a14:foregroundMark x1="64444" y1="57333" x2="64444" y2="50222"/>
                      <a14:foregroundMark x1="73778" y1="51111" x2="74222" y2="80444"/>
                      <a14:foregroundMark x1="74222" y1="80444" x2="60000" y2="95111"/>
                      <a14:foregroundMark x1="70667" y1="82222" x2="63111" y2="74667"/>
                      <a14:foregroundMark x1="63111" y1="74667" x2="32444" y2="81778"/>
                      <a14:foregroundMark x1="32444" y1="81778" x2="8000" y2="69778"/>
                      <a14:foregroundMark x1="8000" y1="69778" x2="7111" y2="34667"/>
                      <a14:foregroundMark x1="7111" y1="34667" x2="18222" y2="8889"/>
                      <a14:foregroundMark x1="18222" y1="8889" x2="58667" y2="26222"/>
                      <a14:foregroundMark x1="58667" y1="26222" x2="59556" y2="66222"/>
                      <a14:foregroundMark x1="37333" y1="32444" x2="34222" y2="60444"/>
                      <a14:foregroundMark x1="34222" y1="60444" x2="53333" y2="80000"/>
                      <a14:foregroundMark x1="19556" y1="54667" x2="41778" y2="35556"/>
                      <a14:foregroundMark x1="16889" y1="28000" x2="27556" y2="43556"/>
                      <a14:foregroundMark x1="50222" y1="26667" x2="22667" y2="35111"/>
                      <a14:foregroundMark x1="22667" y1="35111" x2="22667" y2="35111"/>
                      <a14:foregroundMark x1="47111" y1="36444" x2="43556" y2="57778"/>
                      <a14:foregroundMark x1="24444" y1="49778" x2="30667" y2="72889"/>
                      <a14:foregroundMark x1="21778" y1="69333" x2="23111" y2="76444"/>
                      <a14:foregroundMark x1="50667" y1="67556" x2="51111" y2="73333"/>
                      <a14:foregroundMark x1="39556" y1="13778" x2="53333" y2="16000"/>
                      <a14:foregroundMark x1="63556" y1="12444" x2="51556" y2="13778"/>
                      <a14:foregroundMark x1="90667" y1="59111" x2="94667" y2="68889"/>
                      <a14:foregroundMark x1="58222" y1="60444" x2="50222" y2="62222"/>
                      <a14:foregroundMark x1="50222" y1="62222" x2="51556" y2="77778"/>
                    </a14:backgroundRemoval>
                  </a14:imgEffect>
                </a14:imgLayer>
              </a14:imgProps>
            </a:ext>
            <a:ext uri="{28A0092B-C50C-407E-A947-70E740481C1C}">
              <a14:useLocalDpi xmlns:a14="http://schemas.microsoft.com/office/drawing/2010/main" val="0"/>
            </a:ext>
          </a:extLst>
        </a:blip>
        <a:srcRect/>
        <a:stretch>
          <a:fillRect/>
        </a:stretch>
      </xdr:blipFill>
      <xdr:spPr bwMode="auto">
        <a:xfrm>
          <a:off x="15785608" y="10495997"/>
          <a:ext cx="420808" cy="4161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chi Dhiman" refreshedDate="45757.873881481479" createdVersion="8" refreshedVersion="8" minRefreshableVersion="3" recordCount="3176" xr:uid="{93E1EA3F-A02B-4169-A27B-FDB41528A02C}">
  <cacheSource type="worksheet">
    <worksheetSource name="AMAZON_FASHION_5__2"/>
  </cacheSource>
  <cacheFields count="19">
    <cacheField name="overall" numFmtId="0">
      <sharedItems containsSemiMixedTypes="0" containsString="0" containsNumber="1" containsInteger="1" minValue="1" maxValue="5" count="5">
        <n v="5"/>
        <n v="3"/>
        <n v="2"/>
        <n v="1"/>
        <n v="4"/>
      </sharedItems>
    </cacheField>
    <cacheField name="verified" numFmtId="0">
      <sharedItems count="2">
        <b v="1"/>
        <b v="0"/>
      </sharedItems>
    </cacheField>
    <cacheField name="reviewDate" numFmtId="14">
      <sharedItems containsSemiMixedTypes="0" containsNonDate="0" containsDate="1" containsString="0" minDate="2009-12-25T00:00:00" maxDate="2018-07-06T00:00:00" count="344">
        <d v="2015-09-04T00:00:00"/>
        <d v="2015-05-06T00:00:00"/>
        <d v="2018-01-25T00:00:00"/>
        <d v="2017-01-05T00:00:00"/>
        <d v="2016-10-17T00:00:00"/>
        <d v="2016-08-22T00:00:00"/>
        <d v="2016-03-23T00:00:00"/>
        <d v="2015-06-24T00:00:00"/>
        <d v="2014-11-17T00:00:00"/>
        <d v="2018-03-12T00:00:00"/>
        <d v="2018-02-08T00:00:00"/>
        <d v="2010-07-01T00:00:00"/>
        <d v="2017-10-25T00:00:00"/>
        <d v="2017-10-14T00:00:00"/>
        <d v="2017-07-30T00:00:00"/>
        <d v="2017-06-16T00:00:00"/>
        <d v="2017-04-18T00:00:00"/>
        <d v="2017-04-13T00:00:00"/>
        <d v="2017-04-05T00:00:00"/>
        <d v="2017-03-24T00:00:00"/>
        <d v="2017-03-11T00:00:00"/>
        <d v="2017-02-21T00:00:00"/>
        <d v="2017-02-08T00:00:00"/>
        <d v="2017-02-01T00:00:00"/>
        <d v="2017-01-23T00:00:00"/>
        <d v="2016-03-08T00:00:00"/>
        <d v="2015-10-26T00:00:00"/>
        <d v="2015-06-11T00:00:00"/>
        <d v="2015-05-24T00:00:00"/>
        <d v="2015-02-04T00:00:00"/>
        <d v="2015-07-22T00:00:00"/>
        <d v="2014-08-06T00:00:00"/>
        <d v="2018-02-19T00:00:00"/>
        <d v="2017-09-26T00:00:00"/>
        <d v="2015-10-31T00:00:00"/>
        <d v="2016-01-29T00:00:00"/>
        <d v="2016-01-22T00:00:00"/>
        <d v="2015-07-12T00:00:00"/>
        <d v="2015-05-21T00:00:00"/>
        <d v="2014-12-29T00:00:00"/>
        <d v="2012-12-14T00:00:00"/>
        <d v="2009-12-25T00:00:00"/>
        <d v="2016-04-19T00:00:00"/>
        <d v="2016-04-18T00:00:00"/>
        <d v="2016-04-04T00:00:00"/>
        <d v="2016-03-31T00:00:00"/>
        <d v="2016-03-28T00:00:00"/>
        <d v="2016-03-24T00:00:00"/>
        <d v="2016-03-20T00:00:00"/>
        <d v="2016-03-18T00:00:00"/>
        <d v="2018-04-22T00:00:00"/>
        <d v="2018-04-19T00:00:00"/>
        <d v="2018-04-18T00:00:00"/>
        <d v="2018-04-16T00:00:00"/>
        <d v="2018-04-15T00:00:00"/>
        <d v="2018-04-13T00:00:00"/>
        <d v="2018-04-09T00:00:00"/>
        <d v="2018-04-08T00:00:00"/>
        <d v="2018-04-07T00:00:00"/>
        <d v="2018-04-04T00:00:00"/>
        <d v="2018-04-03T00:00:00"/>
        <d v="2018-03-31T00:00:00"/>
        <d v="2018-03-28T00:00:00"/>
        <d v="2018-03-27T00:00:00"/>
        <d v="2018-03-22T00:00:00"/>
        <d v="2018-03-21T00:00:00"/>
        <d v="2018-03-20T00:00:00"/>
        <d v="2018-03-19T00:00:00"/>
        <d v="2018-03-17T00:00:00"/>
        <d v="2018-03-13T00:00:00"/>
        <d v="2018-03-11T00:00:00"/>
        <d v="2018-03-05T00:00:00"/>
        <d v="2018-03-02T00:00:00"/>
        <d v="2018-02-28T00:00:00"/>
        <d v="2018-02-27T00:00:00"/>
        <d v="2018-02-25T00:00:00"/>
        <d v="2018-02-21T00:00:00"/>
        <d v="2018-02-20T00:00:00"/>
        <d v="2018-02-14T00:00:00"/>
        <d v="2018-02-12T00:00:00"/>
        <d v="2018-02-01T00:00:00"/>
        <d v="2018-01-29T00:00:00"/>
        <d v="2018-01-18T00:00:00"/>
        <d v="2018-01-11T00:00:00"/>
        <d v="2018-01-10T00:00:00"/>
        <d v="2018-01-09T00:00:00"/>
        <d v="2018-01-08T00:00:00"/>
        <d v="2018-01-07T00:00:00"/>
        <d v="2017-12-29T00:00:00"/>
        <d v="2017-12-28T00:00:00"/>
        <d v="2017-12-17T00:00:00"/>
        <d v="2017-12-05T00:00:00"/>
        <d v="2017-12-04T00:00:00"/>
        <d v="2017-11-30T00:00:00"/>
        <d v="2017-11-28T00:00:00"/>
        <d v="2017-11-27T00:00:00"/>
        <d v="2017-11-19T00:00:00"/>
        <d v="2017-11-14T00:00:00"/>
        <d v="2017-11-11T00:00:00"/>
        <d v="2017-11-10T00:00:00"/>
        <d v="2017-11-09T00:00:00"/>
        <d v="2017-11-07T00:00:00"/>
        <d v="2017-11-05T00:00:00"/>
        <d v="2017-11-04T00:00:00"/>
        <d v="2017-11-03T00:00:00"/>
        <d v="2017-11-02T00:00:00"/>
        <d v="2017-10-31T00:00:00"/>
        <d v="2017-10-29T00:00:00"/>
        <d v="2017-10-26T00:00:00"/>
        <d v="2017-10-24T00:00:00"/>
        <d v="2017-10-22T00:00:00"/>
        <d v="2017-10-18T00:00:00"/>
        <d v="2017-10-13T00:00:00"/>
        <d v="2017-10-10T00:00:00"/>
        <d v="2017-10-03T00:00:00"/>
        <d v="2017-10-02T00:00:00"/>
        <d v="2017-09-27T00:00:00"/>
        <d v="2017-09-25T00:00:00"/>
        <d v="2017-09-20T00:00:00"/>
        <d v="2017-09-18T00:00:00"/>
        <d v="2017-09-16T00:00:00"/>
        <d v="2017-09-14T00:00:00"/>
        <d v="2017-09-13T00:00:00"/>
        <d v="2017-09-10T00:00:00"/>
        <d v="2017-09-07T00:00:00"/>
        <d v="2017-09-05T00:00:00"/>
        <d v="2017-09-04T00:00:00"/>
        <d v="2017-08-29T00:00:00"/>
        <d v="2017-08-27T00:00:00"/>
        <d v="2017-08-24T00:00:00"/>
        <d v="2017-08-21T00:00:00"/>
        <d v="2017-08-20T00:00:00"/>
        <d v="2017-08-17T00:00:00"/>
        <d v="2017-08-15T00:00:00"/>
        <d v="2017-08-14T00:00:00"/>
        <d v="2017-08-12T00:00:00"/>
        <d v="2017-08-11T00:00:00"/>
        <d v="2017-08-08T00:00:00"/>
        <d v="2017-08-07T00:00:00"/>
        <d v="2017-08-04T00:00:00"/>
        <d v="2017-08-02T00:00:00"/>
        <d v="2017-07-20T00:00:00"/>
        <d v="2017-07-18T00:00:00"/>
        <d v="2017-07-15T00:00:00"/>
        <d v="2017-07-09T00:00:00"/>
        <d v="2017-07-08T00:00:00"/>
        <d v="2017-07-07T00:00:00"/>
        <d v="2017-07-01T00:00:00"/>
        <d v="2017-06-30T00:00:00"/>
        <d v="2017-06-28T00:00:00"/>
        <d v="2017-06-26T00:00:00"/>
        <d v="2017-06-21T00:00:00"/>
        <d v="2017-06-20T00:00:00"/>
        <d v="2017-06-19T00:00:00"/>
        <d v="2017-06-15T00:00:00"/>
        <d v="2017-06-14T00:00:00"/>
        <d v="2017-06-13T00:00:00"/>
        <d v="2017-06-08T00:00:00"/>
        <d v="2017-06-05T00:00:00"/>
        <d v="2017-06-02T00:00:00"/>
        <d v="2017-05-30T00:00:00"/>
        <d v="2017-05-29T00:00:00"/>
        <d v="2017-05-25T00:00:00"/>
        <d v="2017-05-22T00:00:00"/>
        <d v="2017-05-19T00:00:00"/>
        <d v="2017-05-18T00:00:00"/>
        <d v="2017-05-15T00:00:00"/>
        <d v="2017-05-10T00:00:00"/>
        <d v="2017-05-07T00:00:00"/>
        <d v="2017-05-06T00:00:00"/>
        <d v="2017-05-05T00:00:00"/>
        <d v="2017-05-03T00:00:00"/>
        <d v="2017-05-02T00:00:00"/>
        <d v="2017-05-01T00:00:00"/>
        <d v="2017-04-28T00:00:00"/>
        <d v="2017-04-27T00:00:00"/>
        <d v="2017-04-26T00:00:00"/>
        <d v="2017-04-25T00:00:00"/>
        <d v="2017-04-24T00:00:00"/>
        <d v="2017-04-20T00:00:00"/>
        <d v="2017-04-19T00:00:00"/>
        <d v="2017-04-17T00:00:00"/>
        <d v="2017-04-15T00:00:00"/>
        <d v="2017-04-14T00:00:00"/>
        <d v="2017-04-11T00:00:00"/>
        <d v="2017-04-10T00:00:00"/>
        <d v="2017-04-08T00:00:00"/>
        <d v="2017-04-04T00:00:00"/>
        <d v="2017-04-02T00:00:00"/>
        <d v="2017-03-30T00:00:00"/>
        <d v="2017-03-29T00:00:00"/>
        <d v="2017-03-26T00:00:00"/>
        <d v="2017-03-25T00:00:00"/>
        <d v="2017-03-23T00:00:00"/>
        <d v="2017-03-21T00:00:00"/>
        <d v="2017-03-20T00:00:00"/>
        <d v="2017-03-18T00:00:00"/>
        <d v="2017-03-17T00:00:00"/>
        <d v="2017-03-15T00:00:00"/>
        <d v="2017-03-14T00:00:00"/>
        <d v="2017-03-13T00:00:00"/>
        <d v="2017-03-12T00:00:00"/>
        <d v="2017-03-08T00:00:00"/>
        <d v="2017-03-06T00:00:00"/>
        <d v="2017-02-26T00:00:00"/>
        <d v="2017-02-24T00:00:00"/>
        <d v="2017-02-16T00:00:00"/>
        <d v="2017-02-15T00:00:00"/>
        <d v="2017-02-13T00:00:00"/>
        <d v="2017-02-12T00:00:00"/>
        <d v="2017-02-11T00:00:00"/>
        <d v="2017-02-06T00:00:00"/>
        <d v="2017-02-02T00:00:00"/>
        <d v="2017-01-31T00:00:00"/>
        <d v="2017-01-25T00:00:00"/>
        <d v="2017-01-22T00:00:00"/>
        <d v="2017-01-20T00:00:00"/>
        <d v="2017-01-18T00:00:00"/>
        <d v="2017-01-15T00:00:00"/>
        <d v="2017-01-13T00:00:00"/>
        <d v="2017-01-12T00:00:00"/>
        <d v="2017-01-10T00:00:00"/>
        <d v="2017-01-07T00:00:00"/>
        <d v="2017-01-06T00:00:00"/>
        <d v="2017-01-04T00:00:00"/>
        <d v="2017-01-01T00:00:00"/>
        <d v="2016-12-31T00:00:00"/>
        <d v="2016-12-29T00:00:00"/>
        <d v="2016-12-28T00:00:00"/>
        <d v="2016-12-27T00:00:00"/>
        <d v="2016-12-25T00:00:00"/>
        <d v="2016-12-23T00:00:00"/>
        <d v="2016-12-22T00:00:00"/>
        <d v="2016-12-16T00:00:00"/>
        <d v="2016-12-15T00:00:00"/>
        <d v="2016-12-12T00:00:00"/>
        <d v="2016-12-08T00:00:00"/>
        <d v="2016-12-04T00:00:00"/>
        <d v="2016-12-02T00:00:00"/>
        <d v="2016-12-01T00:00:00"/>
        <d v="2016-11-28T00:00:00"/>
        <d v="2016-11-27T00:00:00"/>
        <d v="2016-11-23T00:00:00"/>
        <d v="2016-11-21T00:00:00"/>
        <d v="2016-11-16T00:00:00"/>
        <d v="2016-11-14T00:00:00"/>
        <d v="2016-11-11T00:00:00"/>
        <d v="2016-11-09T00:00:00"/>
        <d v="2016-11-08T00:00:00"/>
        <d v="2016-11-07T00:00:00"/>
        <d v="2016-11-06T00:00:00"/>
        <d v="2016-10-30T00:00:00"/>
        <d v="2016-10-29T00:00:00"/>
        <d v="2016-10-26T00:00:00"/>
        <d v="2016-10-25T00:00:00"/>
        <d v="2016-10-24T00:00:00"/>
        <d v="2016-10-19T00:00:00"/>
        <d v="2016-10-15T00:00:00"/>
        <d v="2016-10-11T00:00:00"/>
        <d v="2016-10-09T00:00:00"/>
        <d v="2016-10-05T00:00:00"/>
        <d v="2016-10-01T00:00:00"/>
        <d v="2016-09-26T00:00:00"/>
        <d v="2016-09-23T00:00:00"/>
        <d v="2016-09-18T00:00:00"/>
        <d v="2016-09-12T00:00:00"/>
        <d v="2016-09-11T00:00:00"/>
        <d v="2016-09-09T00:00:00"/>
        <d v="2016-09-06T00:00:00"/>
        <d v="2016-09-02T00:00:00"/>
        <d v="2016-08-29T00:00:00"/>
        <d v="2016-08-27T00:00:00"/>
        <d v="2016-08-26T00:00:00"/>
        <d v="2016-08-23T00:00:00"/>
        <d v="2016-08-20T00:00:00"/>
        <d v="2016-08-15T00:00:00"/>
        <d v="2016-08-14T00:00:00"/>
        <d v="2016-08-08T00:00:00"/>
        <d v="2016-08-05T00:00:00"/>
        <d v="2016-07-27T00:00:00"/>
        <d v="2016-07-22T00:00:00"/>
        <d v="2016-07-21T00:00:00"/>
        <d v="2016-07-19T00:00:00"/>
        <d v="2016-07-18T00:00:00"/>
        <d v="2016-07-13T00:00:00"/>
        <d v="2016-07-01T00:00:00"/>
        <d v="2016-06-28T00:00:00"/>
        <d v="2016-06-25T00:00:00"/>
        <d v="2016-06-21T00:00:00"/>
        <d v="2016-06-19T00:00:00"/>
        <d v="2016-06-16T00:00:00"/>
        <d v="2016-06-10T00:00:00"/>
        <d v="2016-06-05T00:00:00"/>
        <d v="2016-06-02T00:00:00"/>
        <d v="2016-05-29T00:00:00"/>
        <d v="2016-05-28T00:00:00"/>
        <d v="2016-05-24T00:00:00"/>
        <d v="2016-05-20T00:00:00"/>
        <d v="2016-05-18T00:00:00"/>
        <d v="2016-05-16T00:00:00"/>
        <d v="2016-05-15T00:00:00"/>
        <d v="2016-05-11T00:00:00"/>
        <d v="2016-05-10T00:00:00"/>
        <d v="2016-05-09T00:00:00"/>
        <d v="2016-05-08T00:00:00"/>
        <d v="2016-05-07T00:00:00"/>
        <d v="2016-05-04T00:00:00"/>
        <d v="2016-04-23T00:00:00"/>
        <d v="2016-04-21T00:00:00"/>
        <d v="2016-04-20T00:00:00"/>
        <d v="2018-04-30T00:00:00"/>
        <d v="2018-04-26T00:00:00"/>
        <d v="2018-04-24T00:00:00"/>
        <d v="2016-03-16T00:00:00"/>
        <d v="2016-03-13T00:00:00"/>
        <d v="2016-03-06T00:00:00"/>
        <d v="2016-03-02T00:00:00"/>
        <d v="2018-05-05T00:00:00"/>
        <d v="2018-05-03T00:00:00"/>
        <d v="2018-05-16T00:00:00"/>
        <d v="2018-05-15T00:00:00"/>
        <d v="2018-05-22T00:00:00"/>
        <d v="2018-06-03T00:00:00"/>
        <d v="2018-02-10T00:00:00"/>
        <d v="2018-02-05T00:00:00"/>
        <d v="2017-05-21T00:00:00"/>
        <d v="2014-12-14T00:00:00"/>
        <d v="2017-07-25T00:00:00"/>
        <d v="2016-02-14T00:00:00"/>
        <d v="2015-06-26T00:00:00"/>
        <d v="2018-05-07T00:00:00"/>
        <d v="2014-12-31T00:00:00"/>
        <d v="2017-06-25T00:00:00"/>
        <d v="2015-02-13T00:00:00"/>
        <d v="2016-08-28T00:00:00"/>
        <d v="2018-07-05T00:00:00"/>
        <d v="2018-07-04T00:00:00"/>
        <d v="2018-07-02T00:00:00"/>
        <d v="2018-06-28T00:00:00"/>
        <d v="2018-06-25T00:00:00"/>
        <d v="2018-06-20T00:00:00"/>
        <d v="2018-06-16T00:00:00"/>
        <d v="2017-07-19T00:00:00"/>
        <d v="2017-12-18T00:00:00"/>
      </sharedItems>
    </cacheField>
    <cacheField name="ReviewYear" numFmtId="0">
      <sharedItems containsSemiMixedTypes="0" containsString="0" containsNumber="1" containsInteger="1" minValue="2009" maxValue="2018" count="8">
        <n v="2015"/>
        <n v="2018"/>
        <n v="2017"/>
        <n v="2016"/>
        <n v="2014"/>
        <n v="2010"/>
        <n v="2012"/>
        <n v="2009"/>
      </sharedItems>
    </cacheField>
    <cacheField name="ReviewMonth" numFmtId="14">
      <sharedItems count="12">
        <s v="September"/>
        <s v="May"/>
        <s v="January"/>
        <s v="October"/>
        <s v="August"/>
        <s v="March"/>
        <s v="June"/>
        <s v="November"/>
        <s v="February"/>
        <s v="July"/>
        <s v="April"/>
        <s v="December"/>
      </sharedItems>
    </cacheField>
    <cacheField name="reviewerID" numFmtId="0">
      <sharedItems count="406">
        <s v="ALJ66O1Y6SLHA"/>
        <s v="A3W11493KS6Z2L"/>
        <s v="A3HX4X3TIABWOV"/>
        <s v="AW8UBYMNJ894V"/>
        <s v="A265UZVOZWTTXQ"/>
        <s v="A3QY3THQ42WSCQ"/>
        <s v="AGZ5OOZVDO194"/>
        <s v="A3GJ3DJU1RXOHN"/>
        <s v="A232J1FHOQI5YN"/>
        <s v="A2ON4RYI9Z4SQ"/>
        <s v="A1EZN3E9R322YJ"/>
        <s v="A3T8NHQYBQSV1X"/>
        <s v="A2NEJIX5NIH2ZZ"/>
        <s v="A1G0HYMR02WM2W"/>
        <s v="A2BFZUQ2XV535H"/>
        <s v="ABX2R8Q6GBTJ8"/>
        <s v="A1Y01U6OZLZE7I"/>
        <s v="A21HH0VIBKK80J"/>
        <s v="A3E30OLSMGJEVK"/>
        <s v="A26TEJJ6YOGWMZ"/>
        <s v="A2J9WEIRNVTX61"/>
        <s v="A2UUEV4MYOJY66"/>
        <s v="A36GNVEQP92OPA"/>
        <s v="A3CNRM11BHAR1A"/>
        <s v="A276HQXYS553QW"/>
        <s v="A3BN0MRGRDKM0J"/>
        <s v="A1Z8U8IPBLBEU5"/>
        <s v="A33GD4H5O1MK6S"/>
        <s v="A12DWXDNZQTKXQ"/>
        <s v="A2VR6SWVSF6K4"/>
        <s v="A3UMNRR89DIZRM"/>
        <s v="AZRZ2FB7CFNOE"/>
        <s v="A4M7JTCBXRAT3"/>
        <s v="A2TRI54C8EMCX"/>
        <s v="A1WVSBL8J4ZESK"/>
        <s v="A2GJUMX0CRHLIN"/>
        <s v="A3KAX5RZ4XH9L7"/>
        <s v="A2YI41MCJB2QCV"/>
        <s v="A3ONF0JD2UBP54"/>
        <s v="A3R09ZAUTB2PUU"/>
        <s v="A1VH37JYIIHE3F"/>
        <s v="AOZHQ15OKY2ZT"/>
        <s v="A2YZERYQTLB8NG"/>
        <s v="A2EGVPBTNJI3HB"/>
        <s v="A1B3W4RSJ1CJEO"/>
        <s v="A3P9DECTULU1B3"/>
        <s v="A353OJ19SEMPT4"/>
        <s v="A1CIQ2ULKB933A"/>
        <s v="A1TFZVGT6J5NYZ"/>
        <s v="A2IJJUO99LXIXG"/>
        <s v="A1CKPC88NHMYGR"/>
        <s v="A1S4O68F0UG4GA"/>
        <s v="A8C8Q1GQPYPR3"/>
        <s v="A3RHNGQAZWUX01"/>
        <s v="A2ILUTAAPPZY79"/>
        <s v="A21PLUMLST80EK"/>
        <s v="A1R9CFF27RIALC"/>
        <s v="A3KKVVAINMZF9D"/>
        <s v="AHQZL3LSIR57E"/>
        <s v="A36UF843501J4Y"/>
        <s v="AJ74ZOS1UKOBA"/>
        <s v="A3UTTXFSBNV2V7"/>
        <s v="A2QPBIA0HKEL96"/>
        <s v="AHXQ0PAMEKC0P"/>
        <s v="A2P6I9PGAVEW6E"/>
        <s v="A6CXK8NXD50R2"/>
        <s v="A39943Z2419XIU"/>
        <s v="A2RZ3T3ECENTMO"/>
        <s v="A16BGUHQH20CIP"/>
        <s v="A3O3KF45YVTOGY"/>
        <s v="A3TLWN2BRF1QH5"/>
        <s v="A2ZGEESHHGFZKL"/>
        <s v="AUE82PKEUMKZB"/>
        <s v="A2UVALXRJ35D1A"/>
        <s v="A3E05IUHHCTRJC"/>
        <s v="A3RNGBSBRJ3YAQ"/>
        <s v="A13W5DGU9QF721"/>
        <s v="A2QRWCN5YR05G9"/>
        <s v="A2UALK0MY7S3C2"/>
        <s v="A5JF4EQ9MQC78"/>
        <s v="A3VGHF7VNFBMCQ"/>
        <s v="A13JGYKUU10QKH"/>
        <s v="ATHL3S7ZD436V"/>
        <s v="A36T5MSMYI9F3C"/>
        <s v="ACZAPPQ95QM86"/>
        <s v="A23TE15JI8Q2YQ"/>
        <s v="AC5PPX3XLCZN1"/>
        <s v="A3U0BBRU2Q85LE"/>
        <s v="A174EEWMHB3J8N"/>
        <s v="A1VXFXHDY4SRI5"/>
        <s v="A1FQAVH5JBSV6A"/>
        <s v="A2GBBOXDACUA6"/>
        <s v="A2LZMWZ1CM4PF3"/>
        <s v="A1UVWOQTPDSYGY"/>
        <s v="A18530DRJJ0QAF"/>
        <s v="A2LSGH30A8AN2Y"/>
        <s v="A1LKTJ6HKH077C"/>
        <s v="A1DX2WRQ2ZHAEK"/>
        <s v="A2PWOO618R3IKJ"/>
        <s v="AERFS3FMQJJ9L"/>
        <s v="A22FYN2DKXSWS0"/>
        <s v="A22WH1BPQH7XJD"/>
        <s v="A3OP70LPLALBKN"/>
        <s v="A1BN6I0B2OF7WB"/>
        <s v="A2PYQN4T4LV0NP"/>
        <s v="A14LN0R1PQA5WI"/>
        <s v="A35U6TP5276HMD"/>
        <s v="AKZNLII88A0KO"/>
        <s v="A3PZ1TJ71WPLXV"/>
        <s v="A3M69Q5SNV7U0X"/>
        <s v="A2GOOFFNUI20XI"/>
        <s v="A10Z8PKPUJ7YHO"/>
        <s v="AHFAVT1MUB29W"/>
        <s v="A10X6EMVZGVX9E"/>
        <s v="A3JPU96NVWGUF5"/>
        <s v="A2620Z0QR2OFYC"/>
        <s v="A312BTXKFHK927"/>
        <s v="A30HFZ2FW8CQBI"/>
        <s v="AF70T61UO8MCD"/>
        <s v="AJX8JEGB4Z8AI"/>
        <s v="A2HMEEX4K9UX81"/>
        <s v="AKG96VVJ8XANP"/>
        <s v="A34LYR4FWZ77CA"/>
        <s v="A2M3ZNLCYPZ5A1"/>
        <s v="AQAY0P6DQAWDL"/>
        <s v="A246RG8KSPK5XS"/>
        <s v="A2JCYVQLKWULGM"/>
        <s v="A1EF7YWCNN7E9K"/>
        <s v="AQWZQKD0N851T"/>
        <s v="A3V6I3EA3X3SCE"/>
        <s v="AGT48Z76ZQSQU"/>
        <s v="A2W3B4YHP3HZ9R"/>
        <s v="AGVYFU0PR5IWV"/>
        <s v="A2SU06VTWMFP7C"/>
        <s v="AVZB7UFLT6VD"/>
        <s v="ANPPQ1G3RP88H"/>
        <s v="ABONZZSS8YG3K"/>
        <s v="A2T8BWOO7BFBWY"/>
        <s v="A1NTI9B7VY30JM"/>
        <s v="AM9TTLTT6DR1W"/>
        <s v="AP8CWOZ30P4GH"/>
        <s v="A2ORP5RT8NQ0Q7"/>
        <s v="A5Z3UGOPDBJPW"/>
        <s v="A2GWLCDWM7V59I"/>
        <s v="A2XUQXG9J9SRTG"/>
        <s v="A2R0RL0TF6E9VC"/>
        <s v="AB29N6EMOFEVW"/>
        <s v="A2Y2IKO63FNHQE"/>
        <s v="A1OK7HI3YI9682"/>
        <s v="A39U1R8S96YIR4"/>
        <s v="A1Z37N7XE7FRD2"/>
        <s v="A3LGYYLGO2KJOE"/>
        <s v="A1J3XYI0M1D0LW"/>
        <s v="A9KR8PT0Z47CL"/>
        <s v="A1AUEUD7NP1LUC"/>
        <s v="A177WB7O660HS8"/>
        <s v="A38BS1VCQ4XSGV"/>
        <s v="A38X15IJFAPHZP"/>
        <s v="A1OFFB5DLIHH41"/>
        <s v="A1PFKS00R93MRZ"/>
        <s v="A23H50RT6SLXY9"/>
        <s v="APWLFTPOXQCCG"/>
        <s v="AN5PL4KUZS35E"/>
        <s v="A37EEIAK5YJGTS"/>
        <s v="A87LWEOT3ZJU7"/>
        <s v="A1LCV2UNXGHB0W"/>
        <s v="A3O0UBMD8CSF1V"/>
        <s v="A184AKBVD3WI86"/>
        <s v="A3I0ZDRING4F8W"/>
        <s v="AXZ02W7FMBC35"/>
        <s v="A29K85C92Z8HGR"/>
        <s v="AE6W48FPMKO4L"/>
        <s v="AKY3EYDEZVW6C"/>
        <s v="A1GQ2TRY8J631M"/>
        <s v="A21M1G84SE8SOO"/>
        <s v="AU2OMN6TEN4GA"/>
        <s v="A2PJ5F6BY1TZNK"/>
        <s v="A3B23RZXRXYT9Q"/>
        <s v="A3JTZ664IGZIOK"/>
        <s v="A2JOUOASELY1XR"/>
        <s v="ADTQ22MUSQFIR"/>
        <s v="A1OM5S4Z9J2JQQ"/>
        <s v="AXJZFD1IUBAE7"/>
        <s v="A3UO0DDWXIJ8DW"/>
        <s v="A4GR8SDFRBSDV"/>
        <s v="A29ACU3O9IMICZ"/>
        <s v="A9C9408H23DRM"/>
        <s v="A3T9CL6JYWAP40"/>
        <s v="A3W0GO31B8Y2KE"/>
        <s v="A3GQXGVAIH5EU4"/>
        <s v="A14LVJDMDABMML"/>
        <s v="AJWKZNI5VHW86"/>
        <s v="A3J4XAGMLTHFHZ"/>
        <s v="A12FBA7DCFE5W7"/>
        <s v="A2ZE58RF22658T"/>
        <s v="AT7UEQ7UJB0RU"/>
        <s v="A10WPKF2VH1JWY"/>
        <s v="A2ABEGA0S52R5E"/>
        <s v="ADD8OMIBXZ89G"/>
        <s v="A1P2JWDZ4SFW78"/>
        <s v="AI4KO5XDRKDFR"/>
        <s v="A24DSR6Y3A08QM"/>
        <s v="A1E4Y7BABMEA03"/>
        <s v="AJDX5KE665V0K"/>
        <s v="A1SR58S4CXKU5G"/>
        <s v="A3D71DQPAAI6O4"/>
        <s v="AASAT3YLO3WTB"/>
        <s v="A1RNS06YMZXM0K"/>
        <s v="A21SV1XYXF2GK"/>
        <s v="A17DW041T4X7TJ"/>
        <s v="A14TS9PCRLLWEG"/>
        <s v="A2ZMHBMNYFXOX7"/>
        <s v="A1K0VEMIB5QF7I"/>
        <s v="A135KOM855ZA5"/>
        <s v="A2IAB9QOQH3IA6"/>
        <s v="A3S1CGGMXE41RR"/>
        <s v="A3B4FM5VE99X4P"/>
        <s v="AKJVCU7H1KDWI"/>
        <s v="AFD4WKNPLPS3I"/>
        <s v="A36GUL3Z65YSIP"/>
        <s v="AT72GRKOXVE25"/>
        <s v="A2AEJ9NTLWD61V"/>
        <s v="AWEIW3G1E0MKO"/>
        <s v="A2IFCGU2IQ6KAV"/>
        <s v="A2AGT9INDKDK6B"/>
        <s v="A2Q6OH5LUQXPFV"/>
        <s v="ADLAYE3PNYFJM"/>
        <s v="AZ7LUSY20ZFSC"/>
        <s v="A1L7TD1CZQDK6R"/>
        <s v="A3T1O294HJJTUH"/>
        <s v="A3EOYFVP68048C"/>
        <s v="A2JX7ESVMGXMJY"/>
        <s v="A2K5ZBX75J80TX"/>
        <s v="AY9TXNLYCD9L5"/>
        <s v="A9MOCNHJD03PI"/>
        <s v="AEUUYBIO73RLA"/>
        <s v="A3A2DRPMDCRFBC"/>
        <s v="A140XVPLRQYKYY"/>
        <s v="A2KMWD77XBGZ8K"/>
        <s v="A25SOIZ0IZE1YY"/>
        <s v="A1ZR8LQHUOUFJP"/>
        <s v="A2AAABWQUYH26V"/>
        <s v="A3LBTMJ453T4W6"/>
        <s v="A2NBGWZH3VC2EW"/>
        <s v="A3B5TYITM5FKRO"/>
        <s v="A2O3GSYI4B5Z9H"/>
        <s v="AG1CF6PFNBOQH"/>
        <s v="A1LLDHUO4OLXYI"/>
        <s v="A37K0VP2H8FKOU"/>
        <s v="AZYHPRWLMSY9O"/>
        <s v="A1GZ9Z5M3Q4FDK"/>
        <s v="A3F5015D4BBJM9"/>
        <s v="ABKS5CX4GI72B"/>
        <s v="A2A1WECA7Y5UPN"/>
        <s v="A3PRZ9ESGB2KPU"/>
        <s v="A3JGWZXFBDENRB"/>
        <s v="A6BHQ6FNIRI1K"/>
        <s v="A1EE1EP2G0HKQ"/>
        <s v="A2DDYH2QTGQ6FZ"/>
        <s v="A2T47RI1J0I7JM"/>
        <s v="ABWHIDHK8JSRD"/>
        <s v="ADUWEIS0CHJV8"/>
        <s v="A2JD3RN8JCO62Z"/>
        <s v="AODFGQL9CC7G7"/>
        <s v="A13P82MG3XFWV1"/>
        <s v="A8I41EKH4UI1Y"/>
        <s v="ADJRDVMENHF0J"/>
        <s v="A3QKKFB26AZSMG"/>
        <s v="A1IE5BGNY2JTF4"/>
        <s v="A1F6LKEC43RSZM"/>
        <s v="A3BZKR332FQEP8"/>
        <s v="ARY4E7Y947T9P"/>
        <s v="A8DR2Z71DERN0"/>
        <s v="A3RP2S6J4VUA7D"/>
        <s v="A34NDY5V71MVJ6"/>
        <s v="A2AXI9WHORKU6X"/>
        <s v="AOYR5V85UYA8O"/>
        <s v="A38Z4KJHHVY0AU"/>
        <s v="A1WK3VVSUB1FY7"/>
        <s v="A3KWGJH9EBRLE8"/>
        <s v="A199ICSPL9EXJ5"/>
        <s v="A11D8CLU9H24YK"/>
        <s v="A3A90ECS7ALV4T"/>
        <s v="A1LLX8PMQSAUHT"/>
        <s v="A62VUJ6MUZU6M"/>
        <s v="A37RTXMIC21YOH"/>
        <s v="A2JMHGCCBZPYP4"/>
        <s v="A29KOO6WMPLGOQ"/>
        <s v="A3LWEZO2OWFJX5"/>
        <s v="A1IR4GED6BXNSR"/>
        <s v="A9MNC403IAKFS"/>
        <s v="ASEXDKPTYY14D"/>
        <s v="AEHOCC2S72M38"/>
        <s v="A1R7S4XNZLSLBH"/>
        <s v="A3PTZ7IHGU9BA8"/>
        <s v="AZ7P3NH09B66S"/>
        <s v="A37OEAOYVLKYC"/>
        <s v="A1QGX3IWOHIZYA"/>
        <s v="A1DF4MM3K93J0W"/>
        <s v="A2VMKNYTJ973O3"/>
        <s v="A1OZMZ4FLR5UPW"/>
        <s v="A3G2IEH99QRNYP"/>
        <s v="A9E07GS8ZV3ON"/>
        <s v="ACDIEMICS7XGC"/>
        <s v="A1223JGQ0GRSPT"/>
        <s v="AUDAQGK21DH1Z"/>
        <s v="ATSUXY7ASCGPY"/>
        <s v="AY6GA8WZR3JKV"/>
        <s v="A1NBH6OGAD3BSK"/>
        <s v="A3DIMXA53RL7P"/>
        <s v="A2RI4IA5982B8I"/>
        <s v="A1EWNWTJPKEO4Z"/>
        <s v="AXKDU1CHG7Y4"/>
        <s v="A2FCRNY9C46Q4H"/>
        <s v="AJWSFNS4F87M6"/>
        <s v="A2KGKIJ528667I"/>
        <s v="A2CP5A30XO5JUO"/>
        <s v="A6IYTCB1PQ6NR"/>
        <s v="A3CXL2P49AQQRH"/>
        <s v="A1TEBP1FCCJW5V"/>
        <s v="AD7ZF3D5JH9HL"/>
        <s v="A2HL6AXS8GU07F"/>
        <s v="A3GJ2XW7W3VC5L"/>
        <s v="A1X1ZJUOWLSFPG"/>
        <s v="A2QVLSH9P0BFA6"/>
        <s v="A17SQ5GHL7FCTZ"/>
        <s v="A2JYB3OMH5QEBV"/>
        <s v="A717DJ1DZRTC5"/>
        <s v="A2NKNE9SV2KIN2"/>
        <s v="AZ3KLARHNWMNZ"/>
        <s v="A218T4MO2D9DF3"/>
        <s v="A39XW67H6XEUOJ"/>
        <s v="A3SM5XENOINDNH"/>
        <s v="AMDBCZOTA9PVG"/>
        <s v="AIIPH3GX5LWS0"/>
        <s v="ASOSP4VAUDB7I"/>
        <s v="A11JLWK8H96AU"/>
        <s v="AC5WLG32YTU5K"/>
        <s v="A2MIBT81MX859C"/>
        <s v="A2YPMEQ0QQ2I50"/>
        <s v="A12LDKOWDBPQTC"/>
        <s v="A2S1234WV0NH27"/>
        <s v="A3R2PQ01UGPDOX"/>
        <s v="AV2MXVWMTERBK"/>
        <s v="A2UE1H1A7NH56P"/>
        <s v="A36XF6818PQ4DJ"/>
        <s v="A2SF88GW3AWEFK"/>
        <s v="AIM9MWMG87AWG"/>
        <s v="AK1X6JAJ2L389"/>
        <s v="A3IO5BLF4EPZDR"/>
        <s v="A26TU9F2BSPSGT"/>
        <s v="ABRX0RQNRXX85"/>
        <s v="A2GXUQFUWMZ2FH"/>
        <s v="AS378UOMHULXO"/>
        <s v="A3QX1A6IPFQTN9"/>
        <s v="A3LJ4LLR2UX4CB"/>
        <s v="A34WSGSH5OBAM2"/>
        <s v="A2QJWHL4HY9FMF"/>
        <s v="AXVYVUK058AM3"/>
        <s v="A1AS1520CGYJ79"/>
        <s v="AIP4C9MG13COB"/>
        <s v="A1X1DXP9HGXG27"/>
        <s v="AIO1XEP0AIDQJ"/>
        <s v="AYNXCABS73RDW"/>
        <s v="A2X2KP4XXM06OU"/>
        <s v="A15DWAOMHKY7F2"/>
        <s v="A2P87PVYP2KLT6"/>
        <s v="A1OOBIVO3APP7E"/>
        <s v="A2G9JO5SZ3GUXH"/>
        <s v="A14NH559TEDFQL"/>
        <s v="A2KCFRMKVHYSU7"/>
        <s v="A10RXRZE0TAKPU"/>
        <s v="A22WG2NE4D47UM"/>
        <s v="A1SC6HVU28ND3D"/>
        <s v="AJDH2WVLX79KA"/>
        <s v="AVHVZJ5HB6FSK"/>
        <s v="AG8MPE8CQAPM7"/>
        <s v="A1AWX0M8R6A2I1"/>
        <s v="AT5OQFDS6PEE1"/>
        <s v="AOFQAZVA6Q6E7"/>
        <s v="A2C6XHB0AEBNEG"/>
        <s v="A3NAUSUOBMW1XH"/>
        <s v="AHZ8GGXF4BCNP"/>
        <s v="A1OWUKMLTHKYG"/>
        <s v="A3P1MRTMU7EH0D"/>
        <s v="ATS6HOUGOVX0D"/>
        <s v="A12AWD9L3DD93E"/>
        <s v="A1D6THAJG4XGSP"/>
        <s v="A2N97FVE233YZ4"/>
        <s v="A2YIR9LKJO8W37"/>
        <s v="A39LISAY8SNHM"/>
        <s v="A1A8RABZPTD7HL"/>
        <s v="A2BM6XH033ZQ3I"/>
        <s v="A1T708NWV60HSO"/>
        <s v="ASECGGNQIT2RN"/>
        <s v="A3H6A9RH9LN2LJ"/>
        <s v="A3LJRA2I5F34W5"/>
        <s v="A1NCY0KWVFW829"/>
        <s v="A1QL6WZ4EJAUTD"/>
        <s v="A3331XPWE0QR9O"/>
        <s v="A1DHIMM5SZGIIL"/>
        <s v="A2077NII5H62R2"/>
        <s v="A2IBS6PIPAGAB5"/>
        <s v="A1GTC5EVSJNCQ8"/>
        <s v="A311XHHLM12MUT"/>
        <s v="A135SGOQMVWABQ"/>
      </sharedItems>
    </cacheField>
    <cacheField name="asin" numFmtId="0">
      <sharedItems count="31">
        <s v="B000K2PJ4K"/>
        <s v="B000KPIHQ4"/>
        <s v="B000V0IBDM"/>
        <s v="B000YFSR5G"/>
        <s v="B000YFSR4W"/>
        <s v="B0012DR1LU"/>
        <s v="B0014F8TIU"/>
        <s v="B0014HA6VG"/>
        <s v="B0017LD0BM"/>
        <s v="B0017LGD34"/>
        <s v="B001IKJOLW"/>
        <s v="B001LNSY2Q"/>
        <s v="B0058YEJ5K"/>
        <s v="B0014F7B98"/>
        <s v="B009MA34NY"/>
        <s v="B0092UF54A"/>
        <s v="B005AGO4LU"/>
        <s v="B00G8Q7JZ4"/>
        <s v="B00GKF5BAS"/>
        <s v="B00I0VHS10"/>
        <s v="B00LKWYX2I"/>
        <s v="B00MLYE8PQ"/>
        <s v="B00ND9047Y"/>
        <s v="B00RLSCLJM"/>
        <s v="B00ZUA6AJK"/>
        <s v="B010RRWKT4"/>
        <s v="B014IBJKNO"/>
        <s v="B01595OS62"/>
        <s v="B016XAJLVO"/>
        <s v="B01H7KY678"/>
        <s v="B003M6060S"/>
      </sharedItems>
    </cacheField>
    <cacheField name="StyleSize" numFmtId="0">
      <sharedItems count="72">
        <s v=" Big Boys"/>
        <s v=" Little Boys"/>
        <s v="Not Specified"/>
        <s v=" X-Large"/>
        <s v=" XX-Large"/>
        <s v=" Medium"/>
        <s v=" XXX-Large"/>
        <s v=" Large"/>
        <s v=" One Size"/>
        <s v=" 1.50"/>
        <s v=" 2.50"/>
        <s v=" 3.25"/>
        <s v=" 2.75"/>
        <s v=" 2.25"/>
        <s v=" 7 B(M) US"/>
        <s v=" 8 B(M) US"/>
        <s v=" 9.5 B(M) US"/>
        <s v=" 9 B(M) US"/>
        <s v=" 7.5 D(M) US"/>
        <s v=" 13 D(M) US"/>
        <s v=" 9 D(M) US"/>
        <s v=" 8.5 B(M) US"/>
        <s v=" 7.5 B(M) US"/>
        <s v=" 10.5 D(M) US"/>
        <s v=" 6 B(M) US"/>
        <s v=" 11 B(M) US"/>
        <s v=" 6.5 B(M) US"/>
        <s v=" 8 D - Wide"/>
        <s v=" 9 D - Wide"/>
        <s v=" 8.5 D - Wide"/>
        <s v=" 10 B(M) US"/>
        <s v=" 10.5 B(M) US"/>
        <s v=" 11.5 B(M) US"/>
        <s v=" 5 B(M) US"/>
        <s v=" 9.5 D Wide"/>
        <s v=" 7.5 D - Wide"/>
        <s v=" 7 D - Wide"/>
        <s v=" 10 D - Wide"/>
        <s v=" 12 B(M) US"/>
        <s v=" 11 D(M) US"/>
        <s v=" 10 D(M) US"/>
        <s v=" 12 D(M) US"/>
        <s v=" 8.5 W US"/>
        <s v=" 7 W US"/>
        <s v=" 9 W US"/>
        <s v=" 7.5 W US"/>
        <s v=" 8 W US"/>
        <s v=" 10 W US"/>
        <s v=" 6"/>
        <s v=" 10"/>
        <s v=" 6.5"/>
        <s v=" 9.5"/>
        <s v=" 9"/>
        <s v=" 11"/>
        <s v=" 9 M US"/>
        <s v=" 7.5 M US"/>
        <s v=" 13 M US"/>
        <s v=" 8.5 M US"/>
        <s v=" 10.5 M US"/>
        <s v=" 7 M US"/>
        <s v=" 8 M US"/>
        <s v=" 5 M US"/>
        <s v=" 6 M US"/>
        <s v=" 10 M US"/>
        <s v=" 12 M US"/>
        <s v=" 9.5 M US"/>
        <s v=" 6.5 M US"/>
        <s v=" 11 M US"/>
        <s v=" 9.5 W US"/>
        <s v=" X-Large (16-18)"/>
        <s v=" Medium (15-15.5 Neck) Sleeve 34/35"/>
        <s v=" Large / 14/16"/>
      </sharedItems>
    </cacheField>
    <cacheField name="StyleColor" numFmtId="0">
      <sharedItems count="63">
        <s v=" Blue/Orange"/>
        <s v=" Black (37467610) / Red/White"/>
        <s v=" Blue/Gray Logo"/>
        <s v=" Blue (37867638-99) / Yellow"/>
        <s v=" Blue/Pink"/>
        <s v=" White/Black"/>
        <s v=" Light Blue/Red"/>
        <s v="Not Specified"/>
        <s v=" Charcoal Heather"/>
        <s v=" Deep Royal"/>
        <s v=" Navy"/>
        <s v=" Light Steel"/>
        <s v=" Black"/>
        <s v=" Black/White"/>
        <s v=" Red/White/Blue"/>
        <s v=" Fireman (Red)"/>
        <s v=" Space Hero (Blue)"/>
        <s v=" Black/White/Anthracite/Stealth"/>
        <s v=" Black/Wolf Grey/White/Pink"/>
        <s v=" Cool Grey/Team Orange/White/Platinum"/>
        <s v=" Bright Mango/Crimson/White/Blue"/>
        <s v=" Blue Tint/Green Glow/Hasta/White"/>
        <s v=" Black/White-anthracite-stealth"/>
        <s v=" Wolf Grey/Black-pink Blast/White"/>
        <s v=" Hyper Jade/Mtlc Silver/Hyper Turq"/>
        <s v=" Cool Grey / Volt - Wolf Grey - Pure Platinum"/>
        <s v=" Wolf Grey/Platinum/White/Crimson"/>
        <s v=" Energy/Mtlc Silver/Black"/>
        <s v=" Cool Grey/Pure Platinum/White/Volt"/>
        <s v=" Cool Grey/Volt/Pure Platinum"/>
        <s v=" Racer Blue/Obsidian/Blue Tint"/>
        <s v=" Pure Platinum/Blue Glow/Wolf Grey"/>
        <s v=" Ocean Fog/Blue Grey/Mango"/>
        <s v=" Black/Green Glow-blue Glow-white"/>
        <s v=" Grey"/>
        <s v=" White/Metallic Silver/Black"/>
        <s v=" Green Glow/Seaweed - Hasta - White"/>
        <s v=" Cool Grey/Rage Green/Hyper Turquoise"/>
        <s v=" Plure Platinum/Blue Glow/Wolf Grey"/>
        <s v=" Black/Hyper Violet/Total Crimson/White"/>
        <s v=" White/Hyper Pink/Pure Platinum/Wolf Grey"/>
        <s v=" Pink Blast/Stealth/Hyper Pink/White"/>
        <s v=" Black/Red Bronze/White"/>
        <s v=" Grey/Orange"/>
        <s v=" Cool Grey/Volt-pure Platinum"/>
        <s v=" 5mm"/>
        <s v=" 3mm"/>
        <s v=" 6mm"/>
        <s v=" 10mm"/>
        <s v=" Multi"/>
        <s v=" Black 2 Pack"/>
        <s v=" Heather Charcoal"/>
        <s v=" Deep Teal Space Dye"/>
        <s v=" E05-8pack"/>
        <s v=" Dark Red-EGC1B01C"/>
        <s v=" Blue-EGC1B03C"/>
        <s v=" 7mm"/>
        <s v=" 8 Pack-art"/>
        <s v=" Cool Grey/Team Orange/White/Metallic Platinum"/>
        <s v=" Bluestone Wash"/>
        <s v=" Matte"/>
        <s v=" Red"/>
        <s v=" Immergruen Black"/>
      </sharedItems>
    </cacheField>
    <cacheField name="reviewerName" numFmtId="0">
      <sharedItems count="336">
        <s v="Tonya B."/>
        <s v="NaeNae"/>
        <s v="Denise A. Conte"/>
        <s v="Cognizant Consumer"/>
        <s v="William_Jasper"/>
        <s v="Amazon Customer"/>
        <s v="JCW"/>
        <s v="Louis Robbio"/>
        <s v="Fhteacher"/>
        <s v="wayne ereira"/>
        <s v="Mark"/>
        <s v="jami"/>
        <s v="Cici Ciconia"/>
        <s v="Sammy C."/>
        <s v="Heather Devine"/>
        <s v="Sondra McDonald"/>
        <s v="ladybug"/>
        <s v="Henry A."/>
        <s v="Wildcat"/>
        <s v="Fix-it Man"/>
        <s v="Peter B. Thorp"/>
        <s v="DD"/>
        <s v="AvidShopper"/>
        <s v="j.morris"/>
        <s v="Seth Hanson"/>
        <s v="phil bensinger"/>
        <s v="TDL Chicago"/>
        <s v="C. Schmitt"/>
        <s v="Catherine Uribe"/>
        <s v="Micki from FL"/>
        <s v="Andrea Seo B."/>
        <s v="Magu"/>
        <s v="initialkl"/>
        <s v="Elizabeth Gravesen"/>
        <s v="Denise L Woodruff"/>
        <s v="ely concepcion"/>
        <s v="Margaret"/>
        <s v="Fixalot"/>
        <s v="Lenci"/>
        <s v="Kteel717"/>
        <s v="JP"/>
        <s v="Annette t."/>
        <s v="Pablo Mateo"/>
        <s v="Sandra calleros"/>
        <s v="Aline J Cone"/>
        <s v="Cynthia Foyer"/>
        <s v="JAXJAG"/>
        <s v="Natasha Henry"/>
        <s v="Masher41"/>
        <s v="Proud dad"/>
        <s v="The Lucky One"/>
        <s v="Danielle"/>
        <s v="Nadege Marcellus"/>
        <s v="Donna Rische"/>
        <s v="Alisha K. Casey"/>
        <s v="keith jones"/>
        <s v="Mary"/>
        <s v="kristin"/>
        <s v="ALH"/>
        <s v="kathleen Malcomb"/>
        <s v="MMB"/>
        <s v="Jo"/>
        <s v="Van G"/>
        <s v="Brittany C."/>
        <s v="Janelle Drenowatz"/>
        <s v="NAME_NOT_RETURNED"/>
        <s v="Sahar Mahboob"/>
        <s v="Andrea L Hogan"/>
        <s v="Marjorie J. Moore"/>
        <s v="salina"/>
        <s v="Rosalyn Russell"/>
        <s v="sporting road"/>
        <s v="jled"/>
        <s v="Joanna D"/>
        <s v="Lee Berrey"/>
        <s v="Shannon Youngblood"/>
        <s v="sonia"/>
        <s v="G.K. Hyder"/>
        <s v="Alix gray"/>
        <s v="sneakerlover"/>
        <s v="Trl"/>
        <s v="Renata"/>
        <s v="Kitten"/>
        <s v="Heather"/>
        <s v="Phyllis Cecilia McCray"/>
        <s v="Karen Andrews"/>
        <s v="m.e"/>
        <s v="Faith Harrison"/>
        <s v="APrime Tower"/>
        <s v="Priscilla Wallace "/>
        <s v="Chelsea"/>
        <s v="goldenhikergirl"/>
        <s v="Brittany"/>
        <s v="Robin"/>
        <s v="LORNA DOUGLAS"/>
        <s v="Mellany Upshaw"/>
        <s v="Jerry Holley"/>
        <s v="Pen Name"/>
        <s v="Diego"/>
        <s v="vanessa nix"/>
        <s v="AnonymousBeaver"/>
        <s v="matt"/>
        <s v="D. Bonnet"/>
        <s v="Mecala Fitzpatrick"/>
        <s v="Deb Lyon"/>
        <s v="Charla McDaniel"/>
        <s v="Kerry"/>
        <s v="Sonia Dietrich"/>
        <s v="Luba Capps"/>
        <s v="Ashley Files"/>
        <s v="Manda Lynn"/>
        <s v="Kelly M"/>
        <s v="Birger B."/>
        <s v="M Corrie"/>
        <s v="judy laurel"/>
        <s v="ange edmounds harrison"/>
        <s v="Robbin"/>
        <s v="Delores Williams"/>
        <s v="vera alster"/>
        <s v="lezanaz"/>
        <s v="Karen VanFossen"/>
        <s v="Marie"/>
        <s v="Jackie Carola"/>
        <s v="Carol"/>
        <s v="Carol G"/>
        <s v="JMH515"/>
        <s v="SadDad"/>
        <s v="dan h."/>
        <s v="Sandie"/>
        <s v="Mel B"/>
        <s v="gi"/>
        <s v="Bree"/>
        <s v="ellen"/>
        <s v="Chandler F"/>
        <s v="Flip Flop Life"/>
        <s v="shannon Donaldson"/>
        <s v="ptovar"/>
        <s v="Anonymous"/>
        <s v="Rakesh Duneja"/>
        <s v="Edle Liljeblad"/>
        <s v="Andrea T."/>
        <s v="Dilly Anderson"/>
        <s v="myrtlyn Allen Skeeling"/>
        <s v="luvtoshop"/>
        <s v="Jennifer S. Flack"/>
        <s v="Elke"/>
        <s v="S"/>
        <s v="Bill Ellenwood II"/>
        <s v="MET"/>
        <s v="PineTree"/>
        <s v="AmazonAbuser"/>
        <s v="K"/>
        <s v="Pat Chavez"/>
        <s v="Jennifer"/>
        <s v="Babsly "/>
        <s v="Aprildiver"/>
        <s v="R. Petersen"/>
        <s v="Hassnaa"/>
        <s v="Joanna Lyn"/>
        <s v="Dawn Houston"/>
        <s v="SWS"/>
        <s v="Nena"/>
        <s v="Stacie"/>
        <s v="Kristin Swearengen"/>
        <s v="Hailey Lapp"/>
        <s v="Chris"/>
        <s v="Carol-Anne Quinn"/>
        <s v="Susan"/>
        <s v="Julia"/>
        <s v="Dcf42"/>
        <s v="J.T."/>
        <s v="J. Mitchell"/>
        <s v="Katie Yockey"/>
        <s v="Gwen F."/>
        <s v="ND"/>
        <s v="Ms. Trainer"/>
        <s v="Luiza A."/>
        <s v="KV"/>
        <s v="Msmatt"/>
        <s v="Leslie Marks"/>
        <s v="Deanna S. Beres"/>
        <s v="Rerch"/>
        <s v="Morgan Slimskey"/>
        <s v="Anne M. Guss"/>
        <s v="Lynda J. Ottey"/>
        <s v="Juliana"/>
        <s v="AA - Amazon Addicted!!"/>
        <s v="Candace"/>
        <s v="madison"/>
        <s v="J. washington"/>
        <s v="Cristian Sosa"/>
        <s v="Karen Mary Rowe"/>
        <s v="Janie M"/>
        <s v="JCSurf"/>
        <s v="Rosi B."/>
        <s v="Maria Morales"/>
        <s v="corinnehoffman"/>
        <s v="SmartMonkey"/>
        <s v="Judy"/>
        <s v="Marlex"/>
        <s v="Marjorie A. Dunbar"/>
        <s v="Anna Smith"/>
        <s v="L. Jones"/>
        <s v="Michael Carpenter"/>
        <s v="Deambrea"/>
        <s v="Bonnie White"/>
        <s v="vp22"/>
        <s v="Mammot"/>
        <s v="Beth C"/>
        <s v="MSM"/>
        <s v="Kathy"/>
        <s v="Jonika R."/>
        <s v="Letitia C"/>
        <s v="anat"/>
        <s v="mommyof2"/>
        <s v="Dj Tab"/>
        <s v="Holly S."/>
        <s v="Hedy"/>
        <s v="Blue"/>
        <s v="Derek"/>
        <s v="kwa"/>
        <s v="Donna Omar"/>
        <s v="Deborah Bodiford"/>
        <s v="gmathil"/>
        <s v="Brooke R"/>
        <s v="ddsmith8"/>
        <s v="Julie W."/>
        <s v="ZS87"/>
        <s v="SLM"/>
        <s v="Skiman"/>
        <s v="Susana Ibarra"/>
        <s v="Debra A."/>
        <s v="Tara S."/>
        <s v="Kindle Customer"/>
        <s v="Dawn Rosa"/>
        <s v="Bpiq"/>
        <s v="J. Spatsie"/>
        <s v="STACEY"/>
        <s v="KaDecha Richardson"/>
        <s v="Wendy L. Brady"/>
        <s v="marysaw"/>
        <s v="teco"/>
        <s v="sultari"/>
        <s v="R Hyden"/>
        <s v="B.G. - Iliinois"/>
        <s v="M. Ridgell"/>
        <s v="caridad Hidalgo"/>
        <s v="Tomoe"/>
        <s v="Wollstonecraft"/>
        <s v="Cotton"/>
        <s v="Lisa (Hartford CT)"/>
        <s v="Jenny Jones"/>
        <s v="Andrea Valdez"/>
        <s v="Deborah M. Klein"/>
        <s v="Shopping Queen"/>
        <s v="CStaples"/>
        <s v="Yusra"/>
        <s v="Lara Miller"/>
        <s v="Khs"/>
        <s v="B Savage"/>
        <s v="Wejdan Turkistani"/>
        <s v="Lauren Nielsen"/>
        <s v="Darlene Christ"/>
        <s v="Yraida V."/>
        <s v="EdTheTalkingHorse"/>
        <s v="Aaron O."/>
        <s v="TAL"/>
        <s v="Sofiya kantor"/>
        <s v="Vickie Hairston"/>
        <s v="Meredith P"/>
        <s v="Gayla F. Frazier"/>
        <s v="KayH"/>
        <s v="Beverly Neal"/>
        <s v="Noreen A. Murray"/>
        <s v="JMcQ"/>
        <s v="Reka"/>
        <s v="PomeLo"/>
        <s v="Kris L. Brown"/>
        <s v="Marielys Rodrguez"/>
        <s v="Megan"/>
        <s v="Sophie G"/>
        <s v="Marci"/>
        <s v="Sonj"/>
        <s v="Michelle"/>
        <s v="Katherine M."/>
        <s v="K. Towler"/>
        <s v="Sydney S."/>
        <s v="Amazon Junkie"/>
        <s v="Dennae"/>
        <s v="S. Vanhoose"/>
        <s v="Wendita"/>
        <s v="Christy"/>
        <s v="Ivan P."/>
        <s v="carlcalico"/>
        <s v="Campsandalwood"/>
        <s v="C.L."/>
        <s v="Darci Claude"/>
        <s v="HP"/>
        <s v="Cheryl A Stoneham"/>
        <s v="Andrea Beatriz Spinelli"/>
        <s v="my3sons+3"/>
        <s v="DEBRA GRANT"/>
        <s v="N. Barker"/>
        <s v="J Monk"/>
        <s v="Rosana Maita"/>
        <s v="TJ Amber"/>
        <s v="Saving star"/>
        <s v="Mark S"/>
        <s v="Sarah"/>
        <s v="brookelynne"/>
        <s v="calacas"/>
        <s v="MerryM"/>
        <s v="CBP"/>
        <s v="H. Heckstall"/>
        <s v="D. Resendes"/>
        <s v="Melissa Williams"/>
        <s v="Alison"/>
        <s v="Amy S."/>
        <s v="Shoppermom"/>
        <s v="GadgetDiva"/>
        <s v="Hair_bear_xo"/>
        <s v="amazonuser"/>
        <s v="Beatrice Garcia"/>
        <s v="Debra DeGrand"/>
        <s v="Lea M"/>
        <s v="Foxymoma82"/>
        <s v="Candy H"/>
        <s v="Renee"/>
        <s v="Ang"/>
        <s v="J. Avila"/>
        <s v="Peter"/>
        <s v="Greg &amp;amp; Kristin Hyder"/>
        <s v="angemomma"/>
        <s v="schholly"/>
        <s v="Meal Prep Chick"/>
        <s v="J Linsell"/>
      </sharedItems>
    </cacheField>
    <cacheField name="reviewText" numFmtId="0">
      <sharedItems count="435" longText="1">
        <s v="Great product and price!"/>
        <s v="Waaay too small. Will use for futur children!"/>
        <s v="Stays vibrant after many washes"/>
        <s v="My son really likes the pink. Ones which I was nervous about"/>
        <s v="Waaay too small. Will use for future child."/>
        <s v="Relieved my Plantar Fascitis for 3 Days. Then the unbearable pain returned in full force. These were recommended by my Podiatrist."/>
        <s v="This is my 6th pair and they are the best thing ever for my plantar fasciitis and resultant neuromas. Unfortunately, the ones I ordered from SmartDestination must be seconds as they kill my feet. The hard plastic insert rubs on the outside edges of my feet. I am unable to exchange them as I waited one day too late to use them in my walking shoes."/>
        <s v="We have used these inserts for years.  They provide great support."/>
        <s v="Pinnacle seems to have more cushioning so my husband likes them better. He's tried all the other Powerstep inserts as well as other brands. This is his must have insert. He is 6'3&quot; and weighs 257lbs with bone spurs (plantar fasciitis) and a high instep. He is very active and wears these in all his shoes. His bone spurs rarely bother him any more. Remember to replace them every 3 months if you wear them every day, especially if you weigh more than average and/or run."/>
        <s v="Excellent insole with good support."/>
        <s v="A little more cushion than the Powerstep Protech but the arch is maybe just a little lower. We love both styles. Excellent for plantar fasciitis and neuromas."/>
        <s v="These insoles help my heels feel much better.  I would never wear a pair of athletic shoes with the original insoles."/>
        <s v="Waaaay too BIG"/>
        <s v="Comfortable"/>
        <s v="great price for the product, though the sizes tend to be bigger (based on mens size i think).  there wasn't a size chart to refer to when i was ordering, so i ended up buying two, each at a difference size."/>
        <s v="Good product for the price.  Used very day and no problem."/>
        <s v="Good fit even after washing in hot water to force shrinking. I have a 30 inch inseam and 34 waist and got a medium size. Note that these sweatpants are very thick so not good for warm climates. Good quality and great price."/>
        <s v="Excellent value.  Comfortable."/>
        <s v="Typical Hanes quality. Good weight, sized just right, made pretty well"/>
        <s v="The waist string broke first time trying them on. Luckily I don't really need the wast string but it would be nice if it did not break._x000d__x000a__x000d__x000a_That being said the pants fit as expected and are comfortable. Probably shop around next time I make a sweatpant purchase."/>
        <s v="Fit perfectly. I bought dark grey, and they didn't fade"/>
        <s v="They fit great. But they fade bad"/>
        <s v="I only give four stars because the pants have no pockets."/>
        <s v="Average product.  As described."/>
        <s v="comfy fit"/>
        <s v="Nice pants but too small for a medium. Return it."/>
        <s v="Nice pants but too small for a medium. Returned it."/>
        <s v="Very comfy. If they had pockets, theyd be awesome! I bought these for me to lounge around in and my husband has stolen them. I might have to buy another pair!"/>
        <s v="Was terribly disappointed, the pants were way too large in the legs, my husband looked like he was wearing blown up clown pants."/>
        <s v="As described."/>
        <s v="Very comfy for wearing at home."/>
        <s v="So comfortable and soft."/>
        <s v="Did not fit well. Was not comfortable. Switched to &quot;Fruit of the loom&quot;. Fruit of the loom are somewhat oversized but fit well and are very comfortable."/>
        <s v="No pockets and huge, the bottom of the pants go over shoes"/>
        <s v="Not much for wearing anything other than jeans. These fit OK for my size. Nice for lounging in around the house."/>
        <s v="Love 'em, just the plain no frills no pockets not too heavy good ol sweatpants."/>
        <s v="Havaiana's are THE BEST!!!"/>
        <s v="Perfect color!"/>
        <s v="Should have listened to other reviews. The elastics does not hold up."/>
        <s v="Constantly rolls down"/>
        <s v="Superrrr thigh high. Im 54 and it easily reaches 3/4 up my thigh!!"/>
        <s v="I just wish they would not roll down."/>
        <s v="Sadly, not a true red. It's definitely orange"/>
        <s v="Well made, soft, thick &amp; so very colorful. Bought the just as gorgeous rich, red Fireman's scarf, too. My little fella is quite the fashion plate! And toasty, too!"/>
        <s v="Not pretty for fashion but great around the house and work."/>
        <s v="I'm not sure I was shipped the correct style.  The ones I received are a lot clunkier than I expected, although the quality is fine."/>
        <s v="Excellent value"/>
        <s v="they are fine for the value, particularly since I lose so many_x000d__x000a_reading glasses.  some of the screws do require constant_x000d__x000a_tightening."/>
        <s v="It is so handy to have this many reading glasses at such a reasonable price.  I like this style reading glasses instead of the ones with nose pieces, I find this style more comfortable.  These glasses are very nice...cheaper than Walmart!"/>
        <s v="Good light weight shoe...had to add insole for more support."/>
        <s v="I love my tennis shoes"/>
        <s v="This is a shoe I will wear with black dress pants or jeans when I need comfort and a little style, but I am not impressed.  This is a very flimsy shoe with little support at all.  Not like any Nike I've ever purchased in the past.  It looks nice, but it's not comfortable."/>
        <s v="Love it!! Super comfortable and nice!! Got more than I expected, super flexible great for training. Definetly recommend it."/>
        <s v="Excelente"/>
        <s v="These shoes are poorly constructed and I don't expect them to last more that one summer.  Would not recommend, and will not order another Nike downshifter series again"/>
        <s v="For the price I spent on the pair of shoes, I'd say it's as good as expected._x000d__x000a_It's comfortable and doesn't hurt my feet when I run."/>
        <s v="I always get a half size up in my tennis shoes. For some reason these feel to big in the heel area and wide."/>
        <s v="Put them on and walked 3 hours with no problem! Love them! So light feeling"/>
        <s v="Love these shoes!_x000d__x000a_So stylish and comfortable. Just got back from a trip to NYC, Black and white Nikes and yoga pants are in high fashion right now!"/>
        <s v="This shoe is JUST OK. Its not as comfortable as I was expecting, compared to my last pair of NIKE shoes. I hope they hold up."/>
        <s v="Best tennis shoes I've had all my life. Very comfortable out the box. I would buy 10 pairs of these shoes if had the money."/>
        <s v="The color pattern and fit is what I liked the most what I liked the least is that they are not easy to clean and stains do not come out very easy or at all"/>
        <s v="love these shoes. Workout in them 3-4 times a week at the gym. I do treadmill, stairmaster, cardio classes and weight lifting. lightweight and versatile shoe."/>
        <s v="Great shoe. I've had Nike's before and have always been pleased with the comfort, performance, and quality. Though I will say this was the first time I ordered a pair online without trying them on first, so I was nervous. But this turned out to be a great choice. Breathable, lightweight but sturdy, and comfortable during all my workouts. The built-in arch support is great and I've had no discomfort after 2 weeks of use. As far as the sole thickness and cushioning goes, I would consider these a 'medium' build (not thin, not overly thick) so if you're into heavy running outdoors then take that into consideration. Everyone is different in their preference for cushioning, but I think for light runs on a treadmill they would be sufficient. Love these, highly recommend!"/>
        <s v="The material is real then hope they don't fall apart . to expensive for what you get."/>
        <s v="Nice"/>
        <s v="Gracias"/>
        <s v="Love these shoes!! They are true to size and very comfortable!! This is my second pair - I wore out the first pair!! Good arch support - I have a high arch!!"/>
        <s v=""/>
        <s v="Great arch support and comfortable."/>
        <s v="It looks a bit nicer on the picture. Its very light in such a way that when I held the box I wondered if there was just paper filling inside. They are comfortable for the most. Good looking training shoes overall."/>
        <s v="second pair. Comfortable and great for people with bunion issues or previous surgeries.  Sole wears great"/>
        <s v="My daughter loves these shoes. Fit true to size."/>
        <s v="Purchased for my daughter for gym class.  She loves them.  Very cute and very comfortable."/>
        <s v="Great look but zero support inside the shoe. Had to buy expensive inserts to be wearable. Expected more from a nike shoe."/>
        <s v="Straight out of the box, these shoes are great! Very lightweight and fits comfortably on my feet like a glove! I love most especially that the sole is not bulky like my previous running shoes  I hated those things lol! I would give them a shot and they are great for the price!"/>
        <s v="Great shoes. Fit perfectly. Comfortable right from the start. Light weight and perfect for a 12 hour work shift. Good price also."/>
        <s v="I love them! They fit perfect and are very comfortable!!"/>
        <s v="Love these lightweight shoes! Absolute favorite. Always order half a size bigger with nike shoes than with every other shoe in my closet."/>
        <s v="My knees were bothering me during HIIT workouts so i  purchased these shoes after researching many styles.  Fit true to size and are lightweight.  My knees feel better so so hard so good.  They are cute in too!!"/>
        <s v="Love the color!"/>
        <s v="Comfortable athletic shoe,  good for the gym (ellipical, tredmill, etc.) Fit is good, and shoe is really lightweight and comfy."/>
        <s v="The shoes fit perfectly and came within the time frame i was given.  Very comfortable, which is needed since my job requires a lot if standing abd walking throughout the day."/>
        <s v="They looked very cheap"/>
        <s v="The fit is as expected"/>
        <s v="Very comfortable shoes. This is my second pair of this style of shoe because I loved them that much."/>
        <s v="Comfortable, consistent each time I order and good looking"/>
        <s v="I love the shoe and it fit as expected the photos and description are accurate if you're looking for a shoe that has more cushion or support try a different style but as far as wanting a lightweight and breathable shoe this is it. I am very satisfied with this purchase"/>
        <s v="These are so cute and comfortable and very light. I just received them today and the fit is perfect. I normally wear an 8 1/2 and they are true to size!"/>
        <s v="I always order a 1/2 size up in workout shoes."/>
        <s v="I wore these shoe one time, from the airport in Omaha, NE to the airport in Phoenix, AZ. When I arrived in Phoenix, the left shoe/sole started squeaking and won't stop. I want to return for a refund. Need instructions for returning as no paperwork was in my package when it arrived."/>
        <s v="They run big and are super uncomfortable and the soles squeak. They don't breathe at all."/>
        <s v="Exactly what I expected! Comfortable and chic"/>
        <s v="They were a gift  to my daughter she loved them"/>
        <s v="Love these comfy shoes. they fit like a glove."/>
        <s v="Very confortable."/>
        <s v="i love these shoes."/>
        <s v="Lightweight, decent arch support and comfortably to wear all day doing regular activity and sprinting."/>
        <s v="daughter loves them"/>
        <s v="I ordered a 1/2 size smaller than my usual size, and they are perfect. These shoes are hard to find. Great customer service as well."/>
        <s v="Very good overall._x000d__x000a_Now Ive been a huge Sketchers Go Walk fan for some time and the only reason I tried these instead of the latest number 4 of those is because the tread looked too slippery to me._x000d__x000a_These shoes are very sturdy and the grip of the soles has been very solid so far. I use them for basic workout cardio and cross training, as well as work as a massage therapist (I go through shoes fast enough that Ive recently consolidated)._x000d__x000a_If you're a Go Walk fan, these do not offer the same level of cushion-comfort as those, HOWEVER, they offer the kind of long-term comfort to make them a durable option._x000d__x000a_The material of the shoes seem very durable and the breathable. My feet do not feel hot in them._x000d__x000a_Now these shoes are ideal for a basic workout or cross training, I would not get them to do 25,000 steps in Walt Disney World._x000d__x000a_Solid choice, overall."/>
        <s v="Wife loves them!"/>
        <s v="These shoes are extremely comfortable, and fit as expected.  Will purchase again."/>
        <s v="Artculo equivocado en color"/>
        <s v="Glad I read the reviews and ordered a half size too big. These are light weight. I worked out in them last night and had a great work out. They are very comfortable. I would recommend these to anyone. I am a Beach Body Coach and these are now my new favorite shoes to work out in. I feel like I am walking in slippers when I wear these shoes. They are so comfortable. I LOVE them so much. I never buy myself anything nice and for Christmas got an Amazon gift card and used it to buy myself these sneakers and they are so awesome. I really do love them and have been telling all my friends about them. GET THESE SHOES!"/>
        <s v="On the left shoe, there were two stained yellow spots."/>
        <s v="I love these, I had the previous iteration (or maybe two earlier?) and finally wore them out after several years. They are definitely a light-weight training shoe so I wouldn't get them if you are going to be doing a lot of running. But this also makes them extremely comfortable, I hadn't realized how hot running shoes made my feet until I switched to these. Good support and my feet stay cool all day, also noticeably light but well-made and long lasting._x000d__x000a__x000d__x000a_I have worn them hiking in a pinch but don't really recommend it because the material is mesh-like and will let a lot of dirt in. But if you mainly take cardio classes and/or do weight training or just need something to wear around town look no further."/>
        <s v="Super light-weight, decent arch support (mine is higher than average).  I was pleasantly surprised by the sole/tread on these for my circuit training classes, as I couldn't really tell by online pics.  Also pleasantly surprised that these ran ever so slightly bigger than Nike running shoes I use to wear 15+years ago - I always wore one to 1.5 sizes larger in their &quot;Hurache's&quot;/running shoes, so I was really worried my size 6 would be too small - there is actually more toe room in these shoes than any other size 6 shoe I own (athletic, heel, boot).  But it is the correct amount of room from big toe to edge of shoe for me (an inch or less, I don't want my big toe being jammed into edge of shoe when lunging, jumping, etc.).  Shoes arrived with an odd yellowish color on side of one shoe, but no damage to box, paper lining etc - I was happy that a clorox wipe easily cleaned the shoe and did not discolor any further.  I am very happy and highly recommend, although I have only worked out it once!"/>
        <s v="I Love it. It is very light and the color is great."/>
        <s v="My wife loves these shoes. We have both been wearing sketchers and new balance for several years and recently we have both purchased Nike. There is a reason why Nike is still number 1 after all these years, you just cant beat their comfort."/>
        <s v="Absolutly love these shoes!! Beautiful color, comfy, and lightweight"/>
        <s v="I **loved** these shoes when I got them. I've noticed that the foam inside tends to compress during a workout, though. I'll lace them tightly enough that they're nearly cutting off my circulation. 20 minutes later, I'm sliding out of them while doing sled pushes."/>
        <s v="She loves them"/>
        <s v="These are a bit longer than they should be. I usually wear a 9 but could have easily ordered a 8.5. The width is accurate._x000d__x000a__x000d__x000a_The pink is even pinker than shown and the light gray is over the very bright pink so it isn't as gray as shown in the picture. It makes the shoe a bit overwhelming. Also two grommets on each shoe is dark. I'm not referring to the dark grommets closer to the toe as shown in the photo, I'm talking about two grommets up at the top of of the laces (opposite side of side shown in photo). I thought it was faulty at first until I noticed they were on the same side of each shoe. Kind of odd and not pictured._x000d__x000a__x000d__x000a_Overall, they are very comfortable shoes which is why I am keeping them...even if you can see me coming from a mile away."/>
        <s v="great"/>
        <s v="c"/>
        <s v="Love them!"/>
        <s v="Very nice shoe, just a bit to snug/small for my foot. The Flex wire really makes it the shoe fit tight to your foot. I need more &quot;wiggle&quot; room in my footwear, otherwise I would have kept them."/>
        <s v="Not sure why, but my mid section of my foot starts to hurt using these shoes for a long day or a tough workout at the gym. I've owned other nike shoes of this line but that never happened to me."/>
        <s v="My New Gym shoes! Love them"/>
        <s v="Perfect!"/>
        <s v="I usually wear a size 8 and they fit fine. These are way too narrow. Thought they might stretch out but they didnt. Had to give away."/>
        <s v="Great shoe! Outside arch is kind of high, but I'm still breaking them in. So I'm sure that will work it's way out. I originally ordered a 9, my regular size, and it was a tad too big. Returned and ordered an 8.5 and it fits perfect!"/>
        <s v="I had to return the first pair and buy a 1/2 size smaller.  First time I've had to buy smaller for Nike."/>
        <s v="Fit comfortable"/>
        <s v="My favorite running shoes!  The wall of the shoe is very thin, which makes them very comfortable to wear if your feet swell as you run.  I would not recommend for use on concrete or a treadmill, as there isn't very much impact absorption, but they are perfect for trail running!"/>
        <s v="Nice fit"/>
        <s v="I bought these for gym training - weight class and dance class (body jam, Zumba) - and really wanted to like them, since I loved the color and the light weight feel. But when I worked out high impact, my toes tingled, went numb and cramped because the toe bed is very narrow. Also, there wasn't enough cushion for me. When doing lunges, the ball of my feet hurt. Can't return them because I wore them several times. These might be fine for someone with a narrow foot."/>
        <s v="They fit perfect, extremely comfortable"/>
        <s v="No arch support but l love the colors!"/>
        <s v="Shoe was somewhat large"/>
        <s v="This is a great shoe for in gym workouts. I did take a 10 mile hike and had a blister on my pinky, but other than that these are very comfortable shoes!"/>
        <s v="Comfortable and light"/>
        <s v="Purchased these for my wife as she has a similar pair that is wearing out.  She has feet are difficult to fit and these fit perfectly without pressure on sensitive portions of her feet."/>
        <s v="I have pretty high arches and my calves always hurt at the gym with other shoes. I have been on the hunt for a good cross trainer that I can use to lift, take gym classes, and lightly jog/run on the treadmill. These have been wonderful! I don't ever have any pain in my calves or my feet when wearing these and they fit like a glove. Highly recommend!"/>
        <s v="Great shoes"/>
        <s v="These were exactly what I expected."/>
        <s v="Love love love"/>
        <s v="I always wear a womans 9 in Nikes but these are bigger than usual. The right one almost slips off my foot a bit.  They are really light and not as sturdy as what I was looking for but over all not bad."/>
        <s v="These shoes are awesome!!"/>
        <s v="l always buy Nike shoes and been happy so far, but this time my left shoe fit perfectly while the right shoe was too loose on my heal and when I tighten it more it was hurting side of my foot."/>
        <s v="Bought these as my back up shoes but they have turned into my daily ones I go to! So comfortable and my feet don't hurt after long hours on my feet. I own a cleaning business so I need my feet not to hurt in the middle of the day."/>
        <s v="Absolutely love these shoes and color!! They are perfect for running! I run roughly 4 miles 3x per week. This is my second or 3rd pair of this exact style. Fit is perfect!"/>
        <s v="Super comfy!"/>
        <s v="Ordered half a size larger than my usual shoe size and fits perfectly."/>
        <s v="Fit well."/>
        <s v="The fit was perfect! I Highly recommend this shoe."/>
        <s v="Obsessed with these shoes! I was looking for good all around sneakers (running, walking, tennis, etc.) and these more than fit the bill. I was looking specifically for black nikes (I love the fit) with white soles (good for court sports); I was a little reluctant to purchase because I wasn't sure whether the black on the soles would contact the ground, but it doesn't!"/>
        <s v="Cute shoe, fit as expected, and very comfortable."/>
        <s v="On time, nice sneakers. Fit as expected."/>
        <s v="Perfect fit, as always."/>
        <s v="Great shoe, very comfortable"/>
        <s v="Love these sneakers! Perfect fit and super light"/>
        <s v="These shoes fit like a glove! Light but very supportive! I have worn them several times and feel very light on my feet."/>
        <s v="Fit true to size"/>
        <s v="Love the fit"/>
        <s v="Nike always makes a good shoe ..abit rough breaking them in but after 9 hours on my feet anyone's feet would hurt abit"/>
        <s v="Oops! I returned these because I ordered wrong size!"/>
        <s v="Extremely comfortable sneaker!"/>
        <s v="Good looking shoe"/>
        <s v="I have had this style before in a different color and have received many compliments on the shoes.  They are great walking shoes!  I wear orthotics and these shoes are one of the best I have found to accommodate them for fit."/>
        <s v="I loved these shoes...that is until after about an hour of wear, the green inserts on the sole of the right show began falling off. The wear was in my home, on smooth floors. I can only assume they were defective."/>
        <s v="Great! Super comfy and cute! No issues and fit perfect!"/>
        <s v="Good shoes"/>
        <s v="I returned them...found a Ryka pair I liked better"/>
        <s v="BEST sneakers I've ever purchased!!!!"/>
        <s v="Excellent ...!!!"/>
        <s v="the best sneakers by far! I had never owned a pair of Nike sneakers, and I went solely on the reviews by others..._x000d__x000a_And I absolutely loved them!!"/>
        <s v="Love these shoes. I've been buying Nikes for years now. I bought this pair for work and everyday wear and another pair for working out and active wear. They also last a long time in my opinion, especially if you take care of them."/>
        <s v="Right one is slightly tight.. hope it will stretch out.. !!"/>
        <s v="They're ugly: the toe is rounded and the material is weird. the Nike Womens Flex Trainer 6 is way better looking and costs about the same."/>
        <s v="So lightweight and awesome!"/>
        <s v="Luv them!!"/>
        <s v="Love the color and fit. I use them to work on at the gym on the treadmill and they are very light and comfortable."/>
        <s v="Bought these shoes with HIIT in mind, but not too sure how I like the fit on my foot. First time to wear them, not great for running. Maybe after they're broken in a little they'll get better. If you just need a comfortable pair of shoes for walking, they're fine."/>
        <s v="My daughter loves them. Great fit!"/>
        <s v="This is a very attractive shoe. It is true to size and fits as expected. Very satisfied with the seller - delivered on time."/>
        <s v="Fits good, very lightweight."/>
        <s v="Comfortable shoe for both workout sessions and walking.  Neither too bulky nor too light.  This is my second pair because they fit and have no neon or pink colors, just nice basic B&amp;W."/>
        <s v="These are the best shoes I have ever use for my workouts!!! I love them and buy them in bulk!!! LOL"/>
        <s v="I love these shoes.  They fit as expected and they look really nice on.  These shoes have a narrow base which I really like.  I don't like the ones that make your foot look wide."/>
        <s v="Love this product.  Great fit."/>
        <s v="Very low cut heel so if you training and pushing sleds - I ran right out of shoes! Although the traction on toe and heel are great"/>
        <s v="Just what I needed for Group Fight class. Quick movements and footwork are so easy in these sneakers. Love them."/>
        <s v="Love! Great price too."/>
        <s v="It's been a long time since I've worked a cross training shoe. This shoe is very light and minimally passed compared to running shoes. That's not meant to be a knock, just a fact._x000d__x000a__x000d__x000a_I ordered the shoes half a size up because as a former runner, I'm used to my feet needing room to spread and swell. I wish I hadn't because they feel a little roomy. I have orthotics, so I think I can remedy the issue once I swap those in._x000d__x000a__x000d__x000a_Otherwise, very good shoes"/>
        <s v="Good indoor training shoes for running on treadmill, doing lunges and regular exercises at the gym. These are very flexible, light weight and comfortable. Grip is okay - sticky rubber is used only at the edges of heel and toe areas so I slipped a little when I worked on cable machines, resistance band, etc. on un-carpeted floor.  I would emphasize that if you do lifting as a part of your everyday routine workout I would not recommend them because mine (cushion) lasted only for six months and this is the reason I gave three stars. Other than that, I liked them!"/>
        <s v="Perf."/>
        <s v="Best shoes ever!!!"/>
        <s v="Fit good"/>
        <s v="I use these for my Cardio Dance class and they are perfect and very cute. I would definitely recommend. They also cam earlier than expected!!"/>
        <s v="I love these shoes so much that  I reordered another pair online. It's hard to find shoes that fit my really wide feet! The heel back is my favorite part on them, they're thin and feel like another layer of skin, not bulky or tight at all.  I walked all over Europe in these!"/>
        <s v="Love these sneakers. Light weight and comfortable even without socks."/>
        <s v="Nice product"/>
        <s v="I feel like this pair of shoes was made for my feet. Great fit and comfort! Very pleased with this purchase."/>
        <s v="Quick tranasaction!!!  Loved the shoes!!!  Would purchase from them again!!!"/>
        <s v="I got the impression it's cushiony and comfy by reading the reviews on this product, when i tried it on it was a much firmer than my other work shoes, i'm standing all day and need enough support and comfort, this isn't the right product for that._x000d__x000a_So i had to return it, but i would assume it would work fine for training._x000d__x000a__x000d__x000a_It looks decent and clean. and seems sturdy.  just not the right thing for me._x000d__x000a_I was refunded instantly upon returning so.. credit for that."/>
        <s v="So comfortable, I don't even feel like I have a sneaker on. Based on the other reviews I got a half a size up and glad I did."/>
        <s v="they are very comfortable feel like you have nothing on."/>
        <s v="My favorite nike shoe"/>
        <s v="Super comfortable and extremely lightweight. Great for crossfit!"/>
        <s v="Beautiful I love them comfy"/>
        <s v="I've not even had them a month and the bottom is coming off. I'm not happy!"/>
        <s v="Love them! Fit exactly as expected in length and width! I would definitely buy these again."/>
        <s v="My second pair, love the fit, light weight and great support."/>
        <s v="I have wide feet and these were too narrow but very nice looking."/>
        <s v="Ugh... way to large - is this for a man?"/>
        <s v="The shoe fit has expected. It is comfortable."/>
        <s v="They fit great, look great, are quite comfortable and are just what I was looking for!"/>
        <s v="Super comfy, true Size , I use them for boot Camp,  cross fit and they are great , absolutely recommended it."/>
        <s v="Love them absolutely comfortable. I'm very picky with sneakers and this ones for the price are great I use them for cross fit , boot camp &amp; they work great . The sole is very flexible , true size . I have a wide feet and they fit perfectly. Very nice looking Great sneakers."/>
        <s v="Wife happy with fit."/>
        <s v="They run big. Order a full size smaller."/>
        <s v="Super light and very comfortable. I'm a runner and they lack a bit in arch support, so the soles of my feet are a sore. I'm going to add an insert to try fix the problem."/>
        <s v="Just because they are white, they do need a washing regularly but I have received many compliments on how pretty these white and pink shoes are. Extremely good Nike quality. Highly recommended."/>
        <s v="Arrived in time. Fit as exoected. They take some breaking in but I wore them 2 days in a row for more than five hours per day."/>
        <s v="I've been using these to exercise and they are nice a roomy and allow my feet to breath. Also love the colors."/>
        <s v="Comfortable from the start and very light."/>
        <s v="As expected."/>
        <s v="Lightweight, comfortable, supportive. Very happy I bought these shoes for working out."/>
        <s v="I love these and have them in a light blue too. Very light weight, airy, and comfortable."/>
        <s v="good quality"/>
        <s v="Very comfortable sneakers and I also like the way it fits."/>
        <s v="Purchased to wear for weightlifting and Zumba. Zumba trial was last night, and they were great! Super comfortable, good ventilation! Not too much padding, very minimalist, which is just what I wanted"/>
        <s v="Comfortable and lightweight."/>
        <s v="I love these shoes my second pair of 40 plus $ shoes and they both have certainly out done the $100 K-swiss that I'm looking to return . The shoes are extremely comfortable, all my clients love them, just wish they came in more colors."/>
        <s v="They fit as expected and perfect for training, the shoelaces are a little bit too long. Other than that these shoes are as I expected them !"/>
        <s v="Extremely well fitting and light weight"/>
        <s v="Perfect"/>
        <s v="Love them"/>
        <s v="I love these shoes and have worn them for a long time. That are comfy, thinner on the top &amp; sole and are very cute!"/>
        <s v="Fast shipping and turned out as expected. Couldn't be happier."/>
        <s v="I have been wearing for a solid week during my work outs &amp; they are great for comfort and they are light weight."/>
        <s v="Love these shoes for circuit training."/>
        <s v="Super comfortable. I joined Cross Fit and this is the perfect shoe."/>
        <s v="just do it :)"/>
        <s v="Love these, comfortable, light weight, great fit."/>
        <s v="I love this show."/>
        <s v="The shoes are true to size. I am used to wearing running shoes so these have been an adjustment. Overall, the shoe is nice and provides well for my HIIT and Grit classes I take."/>
        <s v="Love them!  I ordered an 8.5 because I usually wear that size but these are a bit big. I wish I ordered an 8. They are really comfortable and I enjoy wearing them."/>
        <s v="Very comfortable."/>
        <s v="Very nice shoes.  Comfortable."/>
        <s v="Very comfortable. I love wearing them."/>
        <s v="Great fit so comfortable love them!!!!!"/>
        <s v="A nice lightweight shoe. Not a lot of cushion so I wouldn't run long distances in them."/>
        <s v="I really love these shoes.  They are attractive and very comfortable.  They work well for my daily workout and fit well."/>
        <s v="Comfortable shoe.  First time I've ever bought nikes that feel so large.  It feels about 1/2 size too big.  I bought 7.5.  I normally wear exactly that size and on occasion an 8."/>
        <s v="Ordered 9(m) received 9 Wide for the second time. Returned them for the second time."/>
        <s v="Nice shoes"/>
        <s v="This is my second pair of these shoes.  I love the fit and they provide support for walking.  I like the way the shoes fit around my ankle, as many shoes are uncomfortable because they come up too high in the back.  Try them!"/>
        <s v="There is about a 1/2 inch of extra space from the tip of my big toe to the front of the shoe. That's okay, though. I usually wear socks, so it doesn't feel too big, even if it does make your foot look a bit long._x000d__x000a__x000d__x000a_The colors are vibrant, and the sole has plenty of grip, even on a slippery floor. I wore them for most of the day and they are comfortable._x000d__x000a__x000d__x000a_Overall, I'm very pleased with this shoe."/>
        <s v="Got them for my girlfriend. She loves them. Says it's like wearing slippers because they are incredibly light."/>
        <s v="Serves intended purpose"/>
        <s v="They are super comfortable. Loving them."/>
        <s v="I have gotten so many compliments on the blue color and look of this shoe.  It is super comfortable.  The grip is wonderful for my indoor gym cross training classes.  I always order a half size larger in Nike brand shoes and thy fit perfectly as I did with this shoe."/>
        <s v="Fit is fine, but not much cushioning in the footbed. The first time wearing them on a long walk I developed a blister on the bottom of my foot."/>
        <s v="Perfect for the gym, could use a little more support in the toe area but very comfortable and light. Fit true to size."/>
        <s v="Meh, felt very comfortable but provided no support. Seem like a good option for walking around in the summer but not for aerobics or lateral movements"/>
        <s v="Love these! Super light and comfortable!"/>
        <s v="Loved the products and services!!"/>
        <s v="It's hard to find a lightweight athletic shoe with a wide toe box. This shoe has that. I am happy with the support for walking and everyday wear. I wouldn't run in them. Now I just have to stock up on as many pair as I can afford before Nike discontinues them :). Don't you hate when that happens?"/>
        <s v="The shoes are amazing,very comfortable and fit as expected highly recommended. :)"/>
        <s v="Super comfy!!"/>
        <s v="I needed a wide size, that option was not available. So I went up a half size bigger hoping that would work. It's not quite comfortable but I am  able to wear them. I like the shoes."/>
        <s v="Look great"/>
        <s v="I love these shoes. I am rather basic when it comes to Nikes, I don't need all the cool colors, so these look amazing and feel amazing, like they were made for my feet. I definitely suggest purchasing them."/>
        <s v="Cute and comfy. Sleek design. My only complaint is the fly wire loosens up and my shoe sometimes slips off my heels during heavy sled runs. I have two pairs of this style."/>
        <s v="I love them!"/>
        <s v="normally Nike fits small so we go up a half size. These actually fit to my wife's appropriate size. So be ware when you order."/>
        <s v="love these shoes. use them to workout inside and to work"/>
        <s v="I was shocked at how small these shoes were, not true at all to size, and I own multiple shoes in this brand. The quality could have been better, in my opinion -- very little support from the upper."/>
        <s v="Great shoes - was looking for something to replace my barefeet so I can wear orthotics while kickboxing. These are light weight, hug my feet comfortably and have a thinner upper so I can still feel the bag when I kick AND they have good lateral stability. My feet are on the narrow side so it's hard to find shoes that are snug enough. These are perfect. Oh, and they are really cute too."/>
        <s v="They fit perfectly. These shoes are great for walking - so very comfortable. Love them."/>
        <s v="Good fit and comfy.  Not so cushiony so definetly better for training and not for running or aerobics. Bought size 8 which is my usual size."/>
        <s v="Light weight and comfortable"/>
        <s v="I was wearing running shoes for cardio dance classes at the gym because I thought they would be sufficient. After getting 2 blood blisters I did some research and found out cross trainers would be more appropriate which is how I ended up buying this pair. They are slightly longer in look then I  would like but I think that is typical of cross trainers. Also, the lacing is done in a way that allows you to tie too tightly if you're not careful (my toes were tingling during one particular work out when I had done this). Other then that I am very happy with the shoes."/>
        <s v="Nikes usually run small and I'm a 7.5, so I ordered these in an 8 and they were actually very roomy.  I love them but they are definitely bright orange/coral and not bright crimson like the description said.  I thought they'd be more red in hue to wear with my Ohio State clothes, but instead I use them for running."/>
        <s v="Color was not at all what i expected.  It was more orange then red.  Not sure that I am going to keep them."/>
        <s v="Perfect fit! Brand new in new box completely perfect condition and on sale!!! Awesome! Highly reccomend! Super cute shoes."/>
        <s v="Squeaky"/>
        <s v="If you wear Nike on the regular, then you should pretty much know your size. I wear only 7's in Nike, and it fit just as expected. I have many of the trail runner generations, and love them all. they're my go to sneakers for the gym use, or casual wear. I have a pair I used mostly for casual wear that have lasted about 5 years. Another pair that I used for cross fit/outdoor runs that lasted a little over a year (very vigorous daily use). All in all, these shoes are great for me. They're lightweight, and comfortable."/>
        <s v="Great arch support and cushion both for the heel and ball of the foot. Great aerobic shoe!"/>
        <s v="Good quality, perfect fit.  It's a Nike!"/>
        <s v="Size 8, but purchased 8.5 for a more comfortable feel, considering shrinkage as a result of perspiration."/>
        <s v="I've always gotten this size in Nike shoes with similar description, but these are too long- at least an inch and 1/2."/>
        <s v="Very lightweight. Normal Nike quality. Pink is very bright , colors look great together."/>
        <s v="Love them!!"/>
        <s v="Arrived on time. I probably should have gone with a 7.5 instead of an 8 because they do seem a little big, but if I wear thick socks they are fine. Also, they can sometimes make a very annoying squeaky noise when I run on certain surfaces so I'm trying to get them worn in. Over-all, I am satisfied with my purchase!"/>
        <s v="After less than a week the sole ripped off on the outside of the shoe"/>
        <s v="The lines don't really show up unless there is a bright light on them. But other than that they are perfect. They are very true to size and are comfortable the first time you put them on."/>
        <s v="I love these!  I ordered an 8.5 which is my normal shoe size and they fit great.  I used them for my strength training class and they performed well, and they are sooooo pretty!  Comfortable, low profile and stylish!"/>
        <s v="Cute and comfortable"/>
        <s v="Sizing was perfect as ordered. Quality appears good, still new, not too much more to report."/>
        <s v="Size really depends on the brand.  I wear a 6.5 in Nike and they fit me perfectly.  These shoes are comfortable, they wrap around my feet like a bandage but do not restrict movement."/>
        <s v="I was really excited when I opened the box to see the color is exactly like the image shows! I have the Nike flex tr 5 and used the same size to order these. They are a little bigger than expected but still comfortable."/>
        <s v="Returning these. the pictures on here make the shoe appear all black with a touch of pink in the check. however, the whole shoe has pink coming through. I was looking for an all black shoe. I ordered the Nike Women's Flex Supreme TR3 instead and love them!!!"/>
        <s v="wow these are the most comfortable, light weight shoes. I love them!!"/>
        <s v="love the lightweight and the fit"/>
        <s v="fits perfect, my daughter loves them"/>
        <s v="Finally, after trying about 10 pairs of Nike's, these were a perfect fit.  They are light and very comfortable, I really just forget about my feet when I'm wearing them."/>
        <s v="Came quick and my daughter LOVES them"/>
        <s v="Great Gift - she loved it!  It's a nice shoe!"/>
        <s v="Bought these for my daughter and she loves them.  She tried them on at a retail store a couple months prior, so I knew her exact size."/>
        <s v="Great product and fast shipping!"/>
        <s v="Tried one in the store and bought it online but it was a different  kind of shoe . Too big , different fit !"/>
        <s v="I had the older generation of this shoe that survived 2 or 3 mud runs and of all my aches and pains, my feet was not one of them. This is because of this shoe. Nike really dropped the mic with this."/>
        <s v="This pair fits perfect.....the first pair was wrong size in the right box.....definitely order again!!!!!"/>
        <s v="I returned these as they were not true to size. They ran large."/>
        <s v="wrong shoes"/>
        <s v="There very nice"/>
        <s v="I actually have 3 pairs of these trainers.  They are very comfortable, there is a neoprene sleeve that goes around your ankle that makes them the most comfortable for me compared to normal athletic shoes.  They run a little narrow - for me this is perfect, but you may want to round up on the size or try on in the store first if your feet are on the wider side."/>
        <s v="Just too big otherwise I liked them!"/>
        <s v="Comfortable shoe.  I would buy again"/>
        <s v="Light weight and comfortable."/>
        <s v="Fit my size perfectly and very comfortable!"/>
        <s v="Love these shoes! Needed new running shoes and these are perfect. Light weight and fit great!"/>
        <s v="Purchased these for our teenage daughter. She loves them. For both casual wear and sports."/>
        <s v="Love these shoes, I have worn them all day and found them really comfortable with no aching feet at the end of the day. Fantastic colour and true to size. I also bought  Nike Women's Flex Supreme Tr 3 Pnk Pw/Mtllc Slvr/Cl Gry/White Training Shoe and these shoes are slightly more comfortable than those even though they look very similar."/>
        <s v="Super light weight comfortable! Kick box in these and run too. Good support!"/>
        <s v="i bought a pair from DSW for 50$ and they are very comfortable but i bought a size 6.5 when I normally where a size 7.  and even the 6.5 feels a little roomy.  I have wide flat feet btw.  im not sure if I will keep them even though i love their look and comfort.  I've been having feet problems while taking a gym class and I think they won't give me enough support when running.  they're great for wearing at home or gym and doing exercises in one place- extremely light weight and flexible, but i don't know if they'll last long if you use them everywhere else.  :(  i really like them but i cant just buy 2 different shoes._x000d__x000a_also, i really like the strings inside the lining on the side of the shoes to adjust and make the shoe fit snug. it makes me feel secure :D"/>
        <s v="Not a lot of arch support but really lightweight."/>
        <s v="EXCELLENT"/>
        <s v="Good for non-aerobic workout. Mesh was very comfortable but no support for lateral movrment."/>
        <s v="Favorite Nikes ever. I already owned this style and was ready for a new pair so I went with these. Love the color and they fit great."/>
        <s v="Light-weight comfy shoes."/>
        <s v="Tried a lot of shoes for cross training and these were the best!"/>
        <s v="Wish they had a little more support/cushion, but I love everything else about them!"/>
        <s v="These are as far as comfort goes the most comfortable pair of sneakers I have I suffer from sciatica pain that goes into my feet I have difficulty finding the proper support and comfort in shoes I would recommend these most definitely."/>
        <s v="After my purchased I found out they are overpriced. They feel good but I will not recommended if you need Wide fit."/>
        <s v="I bought a pair of these in my size, but they are too small. I can get my feet in them but not comfortably. It's too bad because I can tell the soles are comfortable. Of course, now I've work them to work so I can't return them."/>
        <s v="Love them!  Very comfortable and great for weight training!"/>
        <s v="Took other reviewers advice and went up half size and it was too large. I thought this was a more sock-like fit but it had a tongue that came up high on my ankle not at all sock like. Nice looking and very light weight with a rounded square toe that left plenty of room front foot and toes. These just weren't what I was looking for."/>
        <s v="Really comfortable and very cute."/>
        <s v="These shoes are great.  This is the second pair that I have purchased and I love them."/>
        <s v="Fit to size. Comfortable"/>
        <s v="Picky daughter actually loves them."/>
        <s v="Fit like a dream! Great for cross-training/HITT videos I do everyday. Great for walking too. Look amazing!"/>
        <s v="Most comfortable training shoes I've worn in a long time."/>
        <s v="I bought these sneakers for boot camp class.  They are very light weight and different than other sneakers that I have owned.  Have only used them a few times, but like them so far."/>
        <s v="I got a hot spot on the bottom of my foot the first day I wore them."/>
        <s v="Still breaking them in for use at the gym.  I think once I get used to them, they'll work great!  :)"/>
        <s v="Not a fan. Shoes looked great but too narrow for most feet."/>
        <s v="I love these shoes. I exercise in them as well as just take them on longer walks. Feels good, looks GREAT!!"/>
        <s v="fits perfect"/>
        <s v="Very comfortable shoes. I have wide feet with falling arches. These help both and are comfortable enough that I can be in them all day long."/>
        <s v="Unfortunately, this Flex Supreme does NOT have enough support over the toe and ankle are for my requirements._x000d__x000a_Returning for credit.  Thanks anyway."/>
        <s v="After using this shoes seven times for regular activities like walking or dancing the sole came out. I am very disappointed. I don't recommend this product at all. The worse part is that I can not return this item because the return window closed 4 days ago."/>
        <s v="Fit like gloves to my feet! Perfect for workouts."/>
        <s v="I've worn these to work out for 5 days in a row now. Initially, my arches ached but over time the discomfort subsided entirely. I've done everything from bootcamps, resistance training, running and Zumba. So yeah.., they are truly crosstrainers ;-)"/>
        <s v="I liked these shoes a lot. Very light weight. I didn't give a 5 because the color was a little lighter than I thought it was going to be but still a great shoe. Very comfortable"/>
        <s v="Love them !!!"/>
        <s v="I love these shoes! Great arch support and perfect for cardio."/>
        <s v="I workout at the local crossfit and find that these shoes help give me good support  with my endurance workouts."/>
        <s v="These shoes look really great. However, slightly loose. The problems with lack of support arose when I exercised. It feels like there is little to no support in them. Possibly this is a shoe more geared for an office environment or short walking distances."/>
        <s v="These are my favorite walk around shoes! I can wear them all day and not be in pain! Love em!"/>
        <s v="Favorite training and walking-around sneakers._x000d__x000a_They look good with just about anything, and are comfortable for most situations._x000d__x000a_With the exception of running (for which I use proper Mizuno running sneakers with an arch-support insole), these sneakers are my go-to._x000d__x000a_If I could, I'd take away a 1/2 star for arch support - I have a slightly wider front of the foot and arches that are a little on the high side, so I do look for a good under the foot fit. I could probably tie the laces differently or put in an insole(they're pretty expensive), but as is, when I did a zumba class in these, my arch began to twinge :(_x000d__x000a_However, this is overall an awesome shoe that I will continue to stick with for going out, day to day walking, and for training and gym use (with the exception of running and zumba (although hip-hop was fine). The shoes have a great flexibility to them and don't look &quot;dirty&quot; easily. My previous pair of flex supreme TR 3s have lasted for a good 2 years and are just now on the verge of being worn out. This is the optimal sneaker that is flexible in more ways than one: from pointing you toes to leg-pressing, from gym use to shopping to adding a sporty edge to a dressy night out, the flex has it all."/>
        <s v="Love these! I have 3 pairs...they're so comfortable - I'm on my feet all day &amp; my feet actually don't hurt at the end of the day when I wear these :)_x000d__x000a_I've learned to get these 1/2 size smaller....I'm normally a size 7 and the 6 1/2 fit perfectly"/>
        <s v="Great shoes. Lightweight and comfortable"/>
        <s v="BEST. SHOES. EVER.  I bought two pairs in different colors- black n' white and the pink and white...  They have AWESOME support for whatever you use them for.. I have one for work and the other for training/running/etc in..."/>
        <s v="These sneakers give me the motivation to workout because they feel so good and are great for any training"/>
        <s v="I LOVE the look and comfort of these shoes for style and lifting weights. Super cute and flezable. BUT for running, absolutely not!! It might just be my pronation/supnation and these shoes just do not work for my personal stride. I run about 2-4 miles every few days. Average of 8 miles a week and then sprints twice a week on a treadmill. Just after running with these 3 times, I am having major back issues that I have never had before._x000d__x000a__x000d__x000a_MY STATS and other shoes:_x000d__x000a_I road and trail run. I run on my tip toes on the treadmill and a lot of heal on the road. I am 5'6 169lbs with more muscle than an average runner. Built more like a sprinter than a marathon runner._x000d__x000a_I LOVE Nike FLEX bottoms. They really give me support and flex needed. I have also used Asics and Puma."/>
        <s v="Size 5. Very comfortable shoes. Love!"/>
        <s v="I bought a wide size of these at a local store and they are amazing!  Soft, comfy, with moderate support.  Not a cloud to walk on, but not minimalist.  The wide size is perfect for my wide feet with high arches.  The shoe tends to run about a half size long though, especially for Nike.  I am working on getting in shape, and these shoes feel good all day... No rubbing on my big toe joint or pinkie toe or heel.  Very pleased."/>
        <s v="I always buy the same size this ones came to large"/>
        <s v="Nice shoes, fit good"/>
        <s v="I bought these for my wife. She saw them in the store but did not have their size so i ordered on amazon. She loves them . She already had for a couple of months and no complains at all. One of her favorites shoes for running or for her job since she walks a lot in the warehouse. Now she loves me more. :)"/>
        <s v="Love these shoes. My feet have been weird since I was pregnant and my old shoes were uncomfortable. These are very comfy and help me get active. They are also stylish and go with anything."/>
        <s v="Look better than the picture, very comfortable, great support."/>
        <s v="Love my new Nike's.  It's been years since I've been able to wear them (sizing changed years ago and I just couldn't wear them any more) but now the new styles and sizing are perfect.  Lightweight shoe with tons of style.  The Fog color is just what I was looking for...not black and not neon!  I wore them to participate in Relay for Life (24 hour walk) and they held up great!"/>
        <s v="I am so happy with this purchase. I feel like I'm barely wearing a sneaker when working out. Another plus is that when I take off my sneaker, my sock is barely sweaty! I have never had that experience with a shoe. The shoe is also very attractive and flattering and looks nice on my feet."/>
        <s v="Absolutely love them. Can even wear them without my insoles."/>
        <s v="Super cute shoe however runs wide and big, I'm a size 10 however this size 10 is too big. I went to a sporting goods store and tried the same shoe on  turns out with this particular shoe I'm a 9.5, so order half the size u normally are."/>
        <s v="Wore these for the first time hiking the bluffs. Not the best traction on well worn rocks, but super comfy. No blisters, no achilles pain like with other shoes. Will continue to purchase Nike shoes, because my feet love them for all activities! ( except my home workouts, they drag pretty hard on the carpet)"/>
        <s v="A-MA-ZING!  I needed a good jogging shoe and these make me feel like &quot;Forest Gump&quot;.  I felt like I was running on a cloud.  I have narrow feet and these fit perfectly.  I am so happy that I am going to purchase another two pair as back-ups for once it's time to replace them.  Highly recommend to women who like to walk or run and light a light weight, comfortable shoe."/>
        <s v="Comfortable and lightweight. Need a good training shoe that's also supportive and flexible.  I really like the fit, but had to get 1/2 size larger as this style in my size is too perfect from heel to toe."/>
        <s v="These shoes are awesome!  They are nearly weightless and feel great on my feet.  The first day I wore them I wore them ALL day on vacation.  I put them on the next day and did the same.  Besides the comfort, they are really a cool color!"/>
        <s v="Super cute!"/>
        <s v="This is the most comfortable shoe I've ever had. No other shoe can compare to how the individual nubs on the bottom allow your foot to be cushioned, yet work like it's suppose to. My feet feel cradled in this shoe and hard surfaces don't make my feet ache anymore._x000d__x000a__x000d__x000a_These shoes have a small amount of support, but not much, which I like as I'm coming from vibram five fingers. (Sorry vffs, I'm bailing after 2 years of shin splints, no matter what I did)._x000d__x000a__x000d__x000a_Highly recommended for walking/running on concrete or tracks. As long as nike continues to make the flex supreme, they will get my money. Please don't change this shoe!"/>
        <s v="I wear them for Zumba and my heel slips on turns. A little annoying because I have to pay attention but they are so cute and comfy, it balances out."/>
        <s v="These run large. I wear a 9.5 exactly in every shoe, but these I bought a 9, and the toe area is pretty wide plus plenty long even with socks. Very comfy and very nice looking shoe. I love them but glad I was able to try them on before purchasing."/>
        <s v="Perfect fit, very comfortable, and a great color. They also fit as expected."/>
        <s v="Really comfy and nice color"/>
        <s v="The picture makes the shoe look like it has a &quot;boxier&quot; toe rather than the &quot;pointier&quot; toe that it actually has. I have wider feet and generally need to buy a size or half size longer to get a comfortable width (in any brand of shoe). I was shooting for a rounder, broader toe design which is more comfortable for me, and I feel that the pictures of this shoe didn't accurately depict what I received, in that one detail. Otherwise, &quot;the shoe fits.&quot; So I am wearing it."/>
        <s v="These are the most comfortable shoes I've used for working out. Extremely light weight and flexible. Loved them so much I purchased two more pair in different colors."/>
        <s v="Very comfortable and looks great!"/>
        <s v="Love this shoes so comfy and great very everyday use. Runs big"/>
        <s v="Nice looking and fit nice"/>
        <s v="I am a recess aide and on my feet all day long. I tried these shoes on in the store before purchasing them on Amazon. They are very lightweight and comfortable. I was surprised how great they felt. I haven't had a pair of Nikes since Nike shoxs came out. They are so much more lightweight than those. I wore them an entire day the first day and had no problems. The second day; however, I got a pain in my hip to the point where I started limping. As soon as I got home and took them off, the pain was gone the rest of the evening. I'm only 30 by the way. Nothing else in my daily routine changed except wearing these shoes two days in a row. I don't understand why it would make my hip hurt since they are comfortable on my feet, but I'm sure that was the problem. I wore different shoes today and had no pain. I don't think as much as I am on my feet I will be able to wear them an extended amount of time. I will have to rotate wearing them every other day. For normal wear, I believe, people will be fine. I am literally walking or standing six hours a day straight._x000d__x000a__x000d__x000a_**UPDATE: So, initially after wearing them, I had hip pain after wearing them. I don't know if they just needed to be broken in, but I wear them all the time now and have not experienced any pain since the first couple times of wearing them. They are comfortable, and I love them even more now."/>
        <s v="Perfict fit for me. Great looking shoes at a great price."/>
        <s v="The sneakers are very comfortable and fit to size."/>
        <s v="I've had these shoes for about a week now and have so far enjoyed using them. Considering the fact that I have wide feet, the shoes are slightly tight. However, it doesn't feel uncomfortable nor does it bothers me as I use them throughout my workouts. I know some people personally like when the shoes are a bit tighter or a bit looser so it's all in personal preference."/>
        <s v="I really like them!"/>
        <s v="ok but too big"/>
        <s v="Love these shoes.. they are so comfortable."/>
        <s v="In really like these. I wear between a 9-9.5 womens, I got the 9.5 and they fit perfectly. They are light weight but have good support. I will buy another pair."/>
        <s v="The shoes fit well in the arch area. They are a little wider in the toe area of the shoe, you feel like you have a lot of room. This does not make the shoe uncomfortable, just had to get used to it. Love the shoe."/>
        <s v="Tried them on in a store before buying online so I knew they'd fit good. Overall I was looking for a durable cross training shoe that would hold up to my rigorous training and these have been great so far. They are really light and comfortable. Most importantly for me they have grips on the bottoms so my feet don't slide out from under me while doing planks, push-ups, etc. Highly satisfied with this purchase."/>
        <s v="I recommend that!"/>
        <s v="My son likes these, and this is the 2nd pair he's worn."/>
        <s v="Really great for walking I'm very glad I got these and the color is fun"/>
        <s v="Love these shoes. My feet feel so much better. Lots of padding and light enough to run in."/>
        <s v="Fit fine...did not like color in person"/>
        <s v="The shoe is too large. When you do lunges it hurts the heel. The shoe size from a local store is the size I ordered from Amazon however the size or fitting seems to be large"/>
        <s v="Super comfortable and fit my small feet perfectly. I have flat feet so a lot of shoes are not comfortable for long periods of time. I can wear the shoe all day long and they are super comfortable. They are light colored so any dirt will be seen right away, but they are easy to clean compared to other shoes Ive had. Would definitely buy another pair in a different color."/>
        <s v="Love these shoes!"/>
        <s v="Love these shoes! Great fit, very light weight."/>
        <s v="Beautiful mirror finish-very comfortable. Looks great with my white gold engagement ring and you cant beat the price. I have another band like this in a different size that Ive had for 2 years and the finish is still beautiful with no scratches. If you want a beautiful ring at a great price I highly recommend the white tungsten carbide!!"/>
        <s v="Love the mirror finish - very comfortable - scratchproof. Pairs beautifully with my white gold engagement ring."/>
        <s v="very nice...quick shipment..."/>
        <s v="very nice...quick shipment"/>
        <s v="very nice ....high quality...."/>
        <s v="looks great"/>
        <s v="yes"/>
        <s v="Very nice"/>
        <s v="Would recomend"/>
        <s v="My favorite workout pants.  Have had them several months and use several times a week.  Keep me dry and stand up to a llt of washing!"/>
        <s v="I ended up having to throw them out. The inside seam and around the private area was unraveling which can't happen when working out. I have a black pair which are just find so I think I got a defective pair."/>
        <s v="WOW!  I love these capris!  I ordered the deep teal and they are a very dark blue/teal (a much deeper prettier color than shown).  I received many compliments the first time I wore them to the gym.  They are super soft and comfortable from the leg all the way to the waist...COMFORTABLE.  They never slip down at the waist and give me full coverage (not see through at all). I am 5' 4&quot; and 159 pounds and I ordered a medium.  The size fit perfectly although that being said they are longer on me than the photo (probably my short legs) but came 2 inches above my ankle so just below my calf.  Given that I have weight to loose these are very flattering on as well.  They are also a nice stretchy fabric (thus the comfort) and cool.  We are in the high 90's and 100 degree summer weather and I am cool!  Purchase these as you won't be disappointed especially at this price.  I like these better than my Lululemon and Athleta capris!!!  I am back to purchase more!"/>
        <s v="SO CUTE!!  Very good value. Cute style, pretty colors and soft material."/>
        <s v="I like it. I wasn't sure if I could pull off this kind of hat, but it looks good and fits nicely."/>
        <s v="I used this for a costume and it worked well."/>
        <s v="Husband was very happy. He now feels like he would fit in on the set of Downton Abbey."/>
        <s v="My ring shipped the same day that I placed the order and was received well before the estimated delivery date. It is absolutely beautiful!! It is a substantial ring without being overly heavy and is very comfortable to wear. I've cooked and cleaned with it on and it is still free of scratches and the finish is beautifully shiny. It also runs true to size. I highly recommend this ring and this seller!! Will definitely do business with them again."/>
        <s v="I am changing my review after a second washing._x000d__x000a_I am a male size 9 wide and after washing  they are a very tight fit. They are mid calf, wide enough at the toe, but snug from toe to heel. That said I think a male size 8 is about it. Larger size feet might have a problem. Quality is OK for the price. You will see these socks sold singly on other sites at $12.99 each!  I like the socks and ordered a second set to put in my daughters Christmas stocking."/>
        <s v="I love this shoes they are so comfortable"/>
        <s v="I absolutely LOVE these shoes. These are my absolute favorite. So light and comfortable. These are actually my 2nd pair. I am still wearing my 1st pair after 2 years and they look good still. I am just afraid they are going to disappear and I want a back up pair for when my 1st pair wears out. These have been the best shoes I've owned!"/>
        <s v="Perfect fit!"/>
        <s v="My favorite cross trainers!"/>
        <s v="Love them fit perfect"/>
        <s v="Favorite Nike shoe ever! The flex sole is excellent for someone like me who loves the free feeling of sandals or being barefoot. These move effortlessly with the bend of my foot. I've worn these for multiple activities and I've had no foot or ankle pain. The white/green/dark grey color goes with so many outfits and the mesh breathes perfectly on hot summer days. Highly recommend!"/>
        <s v="I wear these everyday to work, the gym, etc."/>
        <s v="Very comfortable and fits perfectly"/>
        <s v="Super."/>
        <s v="Largely my fault for not reading carefully, but the high synthetic fiber content made the shirt uncomfortable to the touch.  Not the manufacturer's fault, of course."/>
        <s v="Size, colour and print all above average but does not wash great."/>
      </sharedItems>
    </cacheField>
    <cacheField name="summary" numFmtId="0">
      <sharedItems/>
    </cacheField>
    <cacheField name="unixReviewTime" numFmtId="0">
      <sharedItems containsSemiMixedTypes="0" containsString="0" containsNumber="1" containsInteger="1" minValue="1261699200" maxValue="1530748800"/>
    </cacheField>
    <cacheField name="style/Size Name:" numFmtId="0">
      <sharedItems/>
    </cacheField>
    <cacheField name="style/Style:" numFmtId="0">
      <sharedItems/>
    </cacheField>
    <cacheField name="vote" numFmtId="0">
      <sharedItems containsMixedTypes="1" containsNumber="1" containsInteger="1" minValue="2" maxValue="35"/>
    </cacheField>
    <cacheField name="reviewLength" numFmtId="0">
      <sharedItems containsSemiMixedTypes="0" containsString="0" containsNumber="1" containsInteger="1" minValue="0" maxValue="1368"/>
    </cacheField>
    <cacheField name="Sentiment" numFmtId="0">
      <sharedItems count="3">
        <s v="Positive"/>
        <s v="Neutral"/>
        <s v="Negative"/>
      </sharedItems>
    </cacheField>
    <cacheField name="Category" numFmtId="0">
      <sharedItems count="9">
        <s v="Clothing"/>
        <s v="Shoe Inserts"/>
        <s v="Other"/>
        <s v="Sweatpants"/>
        <s v="Sandals"/>
        <s v="Socks"/>
        <s v="Scarves"/>
        <s v="Reading Glasses"/>
        <s v="Sneakers"/>
      </sharedItems>
    </cacheField>
  </cacheFields>
  <extLst>
    <ext xmlns:x14="http://schemas.microsoft.com/office/spreadsheetml/2009/9/main" uri="{725AE2AE-9491-48be-B2B4-4EB974FC3084}">
      <x14:pivotCacheDefinition pivotCacheId="539885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6">
  <r>
    <x v="0"/>
    <x v="0"/>
    <x v="0"/>
    <x v="0"/>
    <x v="0"/>
    <x v="0"/>
    <x v="0"/>
    <x v="0"/>
    <x v="0"/>
    <x v="0"/>
    <x v="0"/>
    <s v="Five Stars"/>
    <n v="1441324800"/>
    <s v="Not Specified"/>
    <s v="Not Specified"/>
    <s v="Not Specified"/>
    <n v="24"/>
    <x v="0"/>
    <x v="0"/>
  </r>
  <r>
    <x v="0"/>
    <x v="0"/>
    <x v="0"/>
    <x v="0"/>
    <x v="0"/>
    <x v="0"/>
    <x v="0"/>
    <x v="0"/>
    <x v="1"/>
    <x v="0"/>
    <x v="0"/>
    <s v="Five Stars"/>
    <n v="1441324800"/>
    <s v="Not Specified"/>
    <s v="Not Specified"/>
    <s v="Not Specified"/>
    <n v="24"/>
    <x v="0"/>
    <x v="0"/>
  </r>
  <r>
    <x v="0"/>
    <x v="0"/>
    <x v="0"/>
    <x v="0"/>
    <x v="0"/>
    <x v="0"/>
    <x v="0"/>
    <x v="0"/>
    <x v="2"/>
    <x v="0"/>
    <x v="0"/>
    <s v="Five Stars"/>
    <n v="1441324800"/>
    <s v="Not Specified"/>
    <s v="Not Specified"/>
    <s v="Not Specified"/>
    <n v="24"/>
    <x v="0"/>
    <x v="0"/>
  </r>
  <r>
    <x v="0"/>
    <x v="0"/>
    <x v="0"/>
    <x v="0"/>
    <x v="0"/>
    <x v="0"/>
    <x v="0"/>
    <x v="0"/>
    <x v="3"/>
    <x v="0"/>
    <x v="0"/>
    <s v="Five Stars"/>
    <n v="1441324800"/>
    <s v="Not Specified"/>
    <s v="Not Specified"/>
    <s v="Not Specified"/>
    <n v="24"/>
    <x v="0"/>
    <x v="0"/>
  </r>
  <r>
    <x v="0"/>
    <x v="0"/>
    <x v="0"/>
    <x v="0"/>
    <x v="0"/>
    <x v="0"/>
    <x v="0"/>
    <x v="0"/>
    <x v="4"/>
    <x v="0"/>
    <x v="0"/>
    <s v="Five Stars"/>
    <n v="1441324800"/>
    <s v="Not Specified"/>
    <s v="Not Specified"/>
    <s v="Not Specified"/>
    <n v="24"/>
    <x v="0"/>
    <x v="0"/>
  </r>
  <r>
    <x v="1"/>
    <x v="0"/>
    <x v="1"/>
    <x v="0"/>
    <x v="1"/>
    <x v="1"/>
    <x v="0"/>
    <x v="1"/>
    <x v="5"/>
    <x v="1"/>
    <x v="1"/>
    <s v="Oops!"/>
    <n v="1430870400"/>
    <s v="Not Specified"/>
    <s v="Not Specified"/>
    <s v="Not Specified"/>
    <n v="45"/>
    <x v="1"/>
    <x v="0"/>
  </r>
  <r>
    <x v="0"/>
    <x v="0"/>
    <x v="1"/>
    <x v="0"/>
    <x v="1"/>
    <x v="1"/>
    <x v="0"/>
    <x v="1"/>
    <x v="0"/>
    <x v="1"/>
    <x v="2"/>
    <s v="Great"/>
    <n v="1430870400"/>
    <s v="Not Specified"/>
    <s v="Not Specified"/>
    <s v="Not Specified"/>
    <n v="31"/>
    <x v="0"/>
    <x v="0"/>
  </r>
  <r>
    <x v="0"/>
    <x v="0"/>
    <x v="1"/>
    <x v="0"/>
    <x v="1"/>
    <x v="1"/>
    <x v="0"/>
    <x v="1"/>
    <x v="3"/>
    <x v="1"/>
    <x v="2"/>
    <s v="Good"/>
    <n v="1430870400"/>
    <s v="Not Specified"/>
    <s v="Not Specified"/>
    <s v="Not Specified"/>
    <n v="31"/>
    <x v="0"/>
    <x v="0"/>
  </r>
  <r>
    <x v="0"/>
    <x v="0"/>
    <x v="1"/>
    <x v="0"/>
    <x v="1"/>
    <x v="1"/>
    <x v="0"/>
    <x v="1"/>
    <x v="4"/>
    <x v="1"/>
    <x v="3"/>
    <s v="Great"/>
    <n v="1430870400"/>
    <s v="Not Specified"/>
    <s v="Not Specified"/>
    <s v="Not Specified"/>
    <n v="60"/>
    <x v="0"/>
    <x v="0"/>
  </r>
  <r>
    <x v="1"/>
    <x v="0"/>
    <x v="1"/>
    <x v="0"/>
    <x v="1"/>
    <x v="1"/>
    <x v="0"/>
    <x v="1"/>
    <x v="6"/>
    <x v="1"/>
    <x v="4"/>
    <s v="Oops!"/>
    <n v="1430870400"/>
    <s v="Not Specified"/>
    <s v="Not Specified"/>
    <s v="Not Specified"/>
    <n v="43"/>
    <x v="1"/>
    <x v="0"/>
  </r>
  <r>
    <x v="2"/>
    <x v="0"/>
    <x v="2"/>
    <x v="1"/>
    <x v="2"/>
    <x v="2"/>
    <x v="1"/>
    <x v="2"/>
    <x v="7"/>
    <x v="2"/>
    <x v="5"/>
    <s v="These were recommended by my Podiatrist"/>
    <n v="1516838400"/>
    <s v=" Men's 6-6.5, Women's 8-8.5"/>
    <s v=" Pinnacle"/>
    <s v="Not Specified"/>
    <n v="130"/>
    <x v="2"/>
    <x v="1"/>
  </r>
  <r>
    <x v="2"/>
    <x v="0"/>
    <x v="3"/>
    <x v="2"/>
    <x v="2"/>
    <x v="3"/>
    <x v="1"/>
    <x v="2"/>
    <x v="7"/>
    <x v="3"/>
    <x v="6"/>
    <s v="Not the same as all my other pairs."/>
    <n v="1483574400"/>
    <s v=" Men's 8-8.5, Women's 10-10.5"/>
    <s v=" Pinnacle"/>
    <s v="Not Specified"/>
    <n v="348"/>
    <x v="2"/>
    <x v="1"/>
  </r>
  <r>
    <x v="0"/>
    <x v="0"/>
    <x v="4"/>
    <x v="3"/>
    <x v="3"/>
    <x v="4"/>
    <x v="1"/>
    <x v="2"/>
    <x v="7"/>
    <x v="4"/>
    <x v="7"/>
    <s v="Great inserts"/>
    <n v="1476662400"/>
    <s v="Not Specified"/>
    <s v="Not Specified"/>
    <s v="Not Specified"/>
    <n v="66"/>
    <x v="0"/>
    <x v="1"/>
  </r>
  <r>
    <x v="0"/>
    <x v="0"/>
    <x v="5"/>
    <x v="3"/>
    <x v="4"/>
    <x v="3"/>
    <x v="1"/>
    <x v="2"/>
    <x v="7"/>
    <x v="3"/>
    <x v="8"/>
    <s v="Personal favorite"/>
    <n v="1471824000"/>
    <s v="Not Specified"/>
    <s v="Not Specified"/>
    <s v="Not Specified"/>
    <n v="470"/>
    <x v="0"/>
    <x v="1"/>
  </r>
  <r>
    <x v="0"/>
    <x v="0"/>
    <x v="6"/>
    <x v="3"/>
    <x v="5"/>
    <x v="4"/>
    <x v="1"/>
    <x v="2"/>
    <x v="7"/>
    <x v="4"/>
    <x v="9"/>
    <s v="Five Stars"/>
    <n v="1458691200"/>
    <s v="Not Specified"/>
    <s v="Not Specified"/>
    <s v="Not Specified"/>
    <n v="35"/>
    <x v="0"/>
    <x v="1"/>
  </r>
  <r>
    <x v="0"/>
    <x v="0"/>
    <x v="7"/>
    <x v="0"/>
    <x v="6"/>
    <x v="3"/>
    <x v="1"/>
    <x v="2"/>
    <x v="7"/>
    <x v="3"/>
    <x v="10"/>
    <s v="Great comfort!"/>
    <n v="1435104000"/>
    <s v="Not Specified"/>
    <s v="Not Specified"/>
    <s v="Not Specified"/>
    <n v="158"/>
    <x v="0"/>
    <x v="1"/>
  </r>
  <r>
    <x v="0"/>
    <x v="0"/>
    <x v="8"/>
    <x v="4"/>
    <x v="7"/>
    <x v="4"/>
    <x v="1"/>
    <x v="2"/>
    <x v="7"/>
    <x v="4"/>
    <x v="11"/>
    <s v="These insoles help my heel feels much better. I would never wear a pair of athletic ..."/>
    <n v="1416182400"/>
    <s v="Not Specified"/>
    <s v="Not Specified"/>
    <s v="Not Specified"/>
    <n v="117"/>
    <x v="0"/>
    <x v="1"/>
  </r>
  <r>
    <x v="2"/>
    <x v="0"/>
    <x v="2"/>
    <x v="1"/>
    <x v="2"/>
    <x v="2"/>
    <x v="2"/>
    <x v="2"/>
    <x v="7"/>
    <x v="2"/>
    <x v="5"/>
    <s v="These were recommended by my Podiatrist"/>
    <n v="1516838400"/>
    <s v="Not Specified"/>
    <s v="Not Specified"/>
    <s v="Not Specified"/>
    <n v="130"/>
    <x v="2"/>
    <x v="2"/>
  </r>
  <r>
    <x v="2"/>
    <x v="0"/>
    <x v="3"/>
    <x v="2"/>
    <x v="2"/>
    <x v="3"/>
    <x v="2"/>
    <x v="2"/>
    <x v="7"/>
    <x v="3"/>
    <x v="6"/>
    <s v="Not the same as all my other pairs."/>
    <n v="1483574400"/>
    <s v="Not Specified"/>
    <s v="Not Specified"/>
    <s v="Not Specified"/>
    <n v="348"/>
    <x v="2"/>
    <x v="2"/>
  </r>
  <r>
    <x v="0"/>
    <x v="0"/>
    <x v="4"/>
    <x v="3"/>
    <x v="3"/>
    <x v="4"/>
    <x v="2"/>
    <x v="2"/>
    <x v="7"/>
    <x v="4"/>
    <x v="7"/>
    <s v="Great inserts"/>
    <n v="1476662400"/>
    <s v="Not Specified"/>
    <s v="Not Specified"/>
    <s v="Not Specified"/>
    <n v="66"/>
    <x v="0"/>
    <x v="2"/>
  </r>
  <r>
    <x v="0"/>
    <x v="0"/>
    <x v="5"/>
    <x v="3"/>
    <x v="4"/>
    <x v="3"/>
    <x v="2"/>
    <x v="2"/>
    <x v="7"/>
    <x v="3"/>
    <x v="8"/>
    <s v="Personal favorite"/>
    <n v="1471824000"/>
    <s v="Not Specified"/>
    <s v="Not Specified"/>
    <s v="Not Specified"/>
    <n v="470"/>
    <x v="0"/>
    <x v="2"/>
  </r>
  <r>
    <x v="0"/>
    <x v="0"/>
    <x v="6"/>
    <x v="3"/>
    <x v="5"/>
    <x v="4"/>
    <x v="2"/>
    <x v="2"/>
    <x v="7"/>
    <x v="4"/>
    <x v="9"/>
    <s v="Five Stars"/>
    <n v="1458691200"/>
    <s v="Not Specified"/>
    <s v="Not Specified"/>
    <s v="Not Specified"/>
    <n v="35"/>
    <x v="0"/>
    <x v="2"/>
  </r>
  <r>
    <x v="0"/>
    <x v="0"/>
    <x v="7"/>
    <x v="0"/>
    <x v="6"/>
    <x v="3"/>
    <x v="2"/>
    <x v="2"/>
    <x v="7"/>
    <x v="3"/>
    <x v="10"/>
    <s v="Great comfort!"/>
    <n v="1435104000"/>
    <s v="Not Specified"/>
    <s v="Not Specified"/>
    <s v="Not Specified"/>
    <n v="158"/>
    <x v="0"/>
    <x v="2"/>
  </r>
  <r>
    <x v="0"/>
    <x v="0"/>
    <x v="8"/>
    <x v="4"/>
    <x v="7"/>
    <x v="4"/>
    <x v="2"/>
    <x v="2"/>
    <x v="7"/>
    <x v="4"/>
    <x v="11"/>
    <s v="These insoles help my heel feels much better. I would never wear a pair of athletic ..."/>
    <n v="1416182400"/>
    <s v="Not Specified"/>
    <s v="Not Specified"/>
    <s v="Not Specified"/>
    <n v="117"/>
    <x v="0"/>
    <x v="2"/>
  </r>
  <r>
    <x v="3"/>
    <x v="0"/>
    <x v="9"/>
    <x v="1"/>
    <x v="5"/>
    <x v="5"/>
    <x v="3"/>
    <x v="3"/>
    <x v="8"/>
    <x v="5"/>
    <x v="12"/>
    <s v="One Star"/>
    <n v="1520812800"/>
    <s v="Not Specified"/>
    <s v="Not Specified"/>
    <s v="Not Specified"/>
    <n v="14"/>
    <x v="2"/>
    <x v="3"/>
  </r>
  <r>
    <x v="0"/>
    <x v="0"/>
    <x v="10"/>
    <x v="1"/>
    <x v="8"/>
    <x v="6"/>
    <x v="3"/>
    <x v="4"/>
    <x v="9"/>
    <x v="5"/>
    <x v="13"/>
    <s v="Five Stars"/>
    <n v="1518048000"/>
    <s v="Not Specified"/>
    <s v="Not Specified"/>
    <s v="Not Specified"/>
    <n v="11"/>
    <x v="0"/>
    <x v="3"/>
  </r>
  <r>
    <x v="4"/>
    <x v="0"/>
    <x v="11"/>
    <x v="5"/>
    <x v="9"/>
    <x v="7"/>
    <x v="4"/>
    <x v="2"/>
    <x v="7"/>
    <x v="6"/>
    <x v="14"/>
    <s v="size runs big"/>
    <n v="1277942400"/>
    <s v="Not Specified"/>
    <s v="Not Specified"/>
    <n v="35"/>
    <n v="206"/>
    <x v="0"/>
    <x v="3"/>
  </r>
  <r>
    <x v="0"/>
    <x v="0"/>
    <x v="12"/>
    <x v="2"/>
    <x v="3"/>
    <x v="8"/>
    <x v="3"/>
    <x v="3"/>
    <x v="10"/>
    <x v="7"/>
    <x v="15"/>
    <s v="Five Stars"/>
    <n v="1508889600"/>
    <s v="Not Specified"/>
    <s v="Not Specified"/>
    <s v="Not Specified"/>
    <n v="58"/>
    <x v="0"/>
    <x v="3"/>
  </r>
  <r>
    <x v="0"/>
    <x v="0"/>
    <x v="13"/>
    <x v="2"/>
    <x v="3"/>
    <x v="9"/>
    <x v="3"/>
    <x v="5"/>
    <x v="11"/>
    <x v="8"/>
    <x v="16"/>
    <s v="Good fit"/>
    <n v="1507939200"/>
    <s v="Not Specified"/>
    <s v="Not Specified"/>
    <n v="3"/>
    <n v="223"/>
    <x v="0"/>
    <x v="3"/>
  </r>
  <r>
    <x v="3"/>
    <x v="0"/>
    <x v="9"/>
    <x v="1"/>
    <x v="5"/>
    <x v="5"/>
    <x v="4"/>
    <x v="3"/>
    <x v="8"/>
    <x v="5"/>
    <x v="12"/>
    <s v="One Star"/>
    <n v="1520812800"/>
    <s v="Not Specified"/>
    <s v="Not Specified"/>
    <s v="Not Specified"/>
    <n v="14"/>
    <x v="2"/>
    <x v="3"/>
  </r>
  <r>
    <x v="0"/>
    <x v="0"/>
    <x v="14"/>
    <x v="2"/>
    <x v="9"/>
    <x v="8"/>
    <x v="3"/>
    <x v="3"/>
    <x v="11"/>
    <x v="7"/>
    <x v="17"/>
    <s v="Excellent Product"/>
    <n v="1501372800"/>
    <s v="Not Specified"/>
    <s v="Not Specified"/>
    <s v="Not Specified"/>
    <n v="30"/>
    <x v="0"/>
    <x v="3"/>
  </r>
  <r>
    <x v="0"/>
    <x v="0"/>
    <x v="15"/>
    <x v="2"/>
    <x v="6"/>
    <x v="10"/>
    <x v="3"/>
    <x v="6"/>
    <x v="9"/>
    <x v="9"/>
    <x v="18"/>
    <s v="Typical Quality"/>
    <n v="1497571200"/>
    <s v="Not Specified"/>
    <s v="Not Specified"/>
    <s v="Not Specified"/>
    <n v="70"/>
    <x v="0"/>
    <x v="3"/>
  </r>
  <r>
    <x v="1"/>
    <x v="0"/>
    <x v="16"/>
    <x v="2"/>
    <x v="10"/>
    <x v="11"/>
    <x v="3"/>
    <x v="5"/>
    <x v="10"/>
    <x v="10"/>
    <x v="19"/>
    <s v="Don't sweat the pants"/>
    <n v="1492473600"/>
    <s v="Not Specified"/>
    <s v="Not Specified"/>
    <s v="Not Specified"/>
    <n v="261"/>
    <x v="1"/>
    <x v="3"/>
  </r>
  <r>
    <x v="0"/>
    <x v="0"/>
    <x v="17"/>
    <x v="2"/>
    <x v="10"/>
    <x v="12"/>
    <x v="3"/>
    <x v="5"/>
    <x v="8"/>
    <x v="11"/>
    <x v="20"/>
    <s v="Five Stars"/>
    <n v="1492041600"/>
    <s v="Not Specified"/>
    <s v="Not Specified"/>
    <s v="Not Specified"/>
    <n v="55"/>
    <x v="0"/>
    <x v="3"/>
  </r>
  <r>
    <x v="1"/>
    <x v="0"/>
    <x v="17"/>
    <x v="2"/>
    <x v="10"/>
    <x v="12"/>
    <x v="3"/>
    <x v="5"/>
    <x v="12"/>
    <x v="11"/>
    <x v="21"/>
    <s v="Three Stars"/>
    <n v="1492041600"/>
    <s v="Not Specified"/>
    <s v="Not Specified"/>
    <s v="Not Specified"/>
    <n v="33"/>
    <x v="1"/>
    <x v="3"/>
  </r>
  <r>
    <x v="4"/>
    <x v="0"/>
    <x v="18"/>
    <x v="2"/>
    <x v="10"/>
    <x v="11"/>
    <x v="3"/>
    <x v="5"/>
    <x v="12"/>
    <x v="10"/>
    <x v="22"/>
    <s v="Four Stars"/>
    <n v="1491350400"/>
    <s v="Not Specified"/>
    <s v="Not Specified"/>
    <s v="Not Specified"/>
    <n v="57"/>
    <x v="0"/>
    <x v="3"/>
  </r>
  <r>
    <x v="1"/>
    <x v="0"/>
    <x v="19"/>
    <x v="2"/>
    <x v="5"/>
    <x v="13"/>
    <x v="3"/>
    <x v="4"/>
    <x v="9"/>
    <x v="12"/>
    <x v="23"/>
    <s v="Three Stars"/>
    <n v="1490313600"/>
    <s v="Not Specified"/>
    <s v="Not Specified"/>
    <s v="Not Specified"/>
    <n v="31"/>
    <x v="1"/>
    <x v="3"/>
  </r>
  <r>
    <x v="0"/>
    <x v="0"/>
    <x v="10"/>
    <x v="1"/>
    <x v="8"/>
    <x v="6"/>
    <x v="4"/>
    <x v="4"/>
    <x v="9"/>
    <x v="5"/>
    <x v="13"/>
    <s v="Five Stars"/>
    <n v="1518048000"/>
    <s v="Not Specified"/>
    <s v="Not Specified"/>
    <s v="Not Specified"/>
    <n v="11"/>
    <x v="0"/>
    <x v="3"/>
  </r>
  <r>
    <x v="0"/>
    <x v="0"/>
    <x v="20"/>
    <x v="2"/>
    <x v="5"/>
    <x v="14"/>
    <x v="3"/>
    <x v="7"/>
    <x v="8"/>
    <x v="5"/>
    <x v="24"/>
    <s v="Five Stars"/>
    <n v="1489190400"/>
    <s v="Not Specified"/>
    <s v="Not Specified"/>
    <s v="Not Specified"/>
    <n v="9"/>
    <x v="0"/>
    <x v="3"/>
  </r>
  <r>
    <x v="2"/>
    <x v="0"/>
    <x v="21"/>
    <x v="2"/>
    <x v="8"/>
    <x v="15"/>
    <x v="3"/>
    <x v="5"/>
    <x v="12"/>
    <x v="13"/>
    <x v="25"/>
    <s v="Returned also"/>
    <n v="1487635200"/>
    <s v="Not Specified"/>
    <s v="Not Specified"/>
    <s v="Not Specified"/>
    <n v="49"/>
    <x v="2"/>
    <x v="3"/>
  </r>
  <r>
    <x v="2"/>
    <x v="0"/>
    <x v="21"/>
    <x v="2"/>
    <x v="8"/>
    <x v="15"/>
    <x v="3"/>
    <x v="5"/>
    <x v="10"/>
    <x v="13"/>
    <x v="26"/>
    <s v="Returned"/>
    <n v="1487635200"/>
    <s v="Not Specified"/>
    <s v="Not Specified"/>
    <s v="Not Specified"/>
    <n v="51"/>
    <x v="2"/>
    <x v="3"/>
  </r>
  <r>
    <x v="4"/>
    <x v="0"/>
    <x v="21"/>
    <x v="2"/>
    <x v="8"/>
    <x v="16"/>
    <x v="3"/>
    <x v="3"/>
    <x v="8"/>
    <x v="14"/>
    <x v="27"/>
    <s v="Comfy and warm."/>
    <n v="1487635200"/>
    <s v="Not Specified"/>
    <s v="Not Specified"/>
    <s v="Not Specified"/>
    <n v="158"/>
    <x v="0"/>
    <x v="3"/>
  </r>
  <r>
    <x v="3"/>
    <x v="0"/>
    <x v="22"/>
    <x v="2"/>
    <x v="8"/>
    <x v="17"/>
    <x v="3"/>
    <x v="2"/>
    <x v="7"/>
    <x v="15"/>
    <x v="28"/>
    <s v="Was terribly disappointed, the pants were way too large in ..."/>
    <n v="1486512000"/>
    <s v="Not Specified"/>
    <s v="Not Specified"/>
    <s v="Not Specified"/>
    <n v="128"/>
    <x v="2"/>
    <x v="3"/>
  </r>
  <r>
    <x v="1"/>
    <x v="0"/>
    <x v="23"/>
    <x v="2"/>
    <x v="8"/>
    <x v="13"/>
    <x v="3"/>
    <x v="6"/>
    <x v="11"/>
    <x v="12"/>
    <x v="29"/>
    <s v="Three Stars"/>
    <n v="1485907200"/>
    <s v="Not Specified"/>
    <s v="Not Specified"/>
    <s v="Not Specified"/>
    <n v="13"/>
    <x v="1"/>
    <x v="3"/>
  </r>
  <r>
    <x v="0"/>
    <x v="0"/>
    <x v="24"/>
    <x v="2"/>
    <x v="2"/>
    <x v="14"/>
    <x v="3"/>
    <x v="2"/>
    <x v="7"/>
    <x v="5"/>
    <x v="30"/>
    <s v="Five Stars"/>
    <n v="1485129600"/>
    <s v="Not Specified"/>
    <s v="Not Specified"/>
    <s v="Not Specified"/>
    <n v="31"/>
    <x v="0"/>
    <x v="3"/>
  </r>
  <r>
    <x v="0"/>
    <x v="0"/>
    <x v="25"/>
    <x v="3"/>
    <x v="5"/>
    <x v="18"/>
    <x v="3"/>
    <x v="2"/>
    <x v="7"/>
    <x v="16"/>
    <x v="31"/>
    <s v="Hanes pants"/>
    <n v="1457395200"/>
    <s v="Not Specified"/>
    <s v="Not Specified"/>
    <s v="Not Specified"/>
    <n v="24"/>
    <x v="0"/>
    <x v="3"/>
  </r>
  <r>
    <x v="2"/>
    <x v="0"/>
    <x v="26"/>
    <x v="0"/>
    <x v="3"/>
    <x v="19"/>
    <x v="3"/>
    <x v="2"/>
    <x v="7"/>
    <x v="17"/>
    <x v="32"/>
    <s v="Was not comfortable. Switched to &quot;Fruit of the loom&quot;"/>
    <n v="1445817600"/>
    <s v="Not Specified"/>
    <s v="Not Specified"/>
    <s v="Not Specified"/>
    <n v="151"/>
    <x v="2"/>
    <x v="3"/>
  </r>
  <r>
    <x v="1"/>
    <x v="0"/>
    <x v="27"/>
    <x v="0"/>
    <x v="6"/>
    <x v="20"/>
    <x v="3"/>
    <x v="2"/>
    <x v="7"/>
    <x v="18"/>
    <x v="33"/>
    <s v="large with no pockets"/>
    <n v="1433980800"/>
    <s v="Not Specified"/>
    <s v="Not Specified"/>
    <s v="Not Specified"/>
    <n v="58"/>
    <x v="1"/>
    <x v="3"/>
  </r>
  <r>
    <x v="4"/>
    <x v="0"/>
    <x v="28"/>
    <x v="0"/>
    <x v="1"/>
    <x v="21"/>
    <x v="3"/>
    <x v="2"/>
    <x v="7"/>
    <x v="19"/>
    <x v="34"/>
    <s v="Fleece Pants"/>
    <n v="1432425600"/>
    <s v="Not Specified"/>
    <s v="Not Specified"/>
    <s v="Not Specified"/>
    <n v="112"/>
    <x v="0"/>
    <x v="3"/>
  </r>
  <r>
    <x v="0"/>
    <x v="0"/>
    <x v="25"/>
    <x v="3"/>
    <x v="5"/>
    <x v="18"/>
    <x v="3"/>
    <x v="2"/>
    <x v="7"/>
    <x v="16"/>
    <x v="31"/>
    <s v="Hanes pants"/>
    <n v="1457395200"/>
    <s v="Not Specified"/>
    <s v="Not Specified"/>
    <s v="Not Specified"/>
    <n v="24"/>
    <x v="0"/>
    <x v="3"/>
  </r>
  <r>
    <x v="2"/>
    <x v="0"/>
    <x v="26"/>
    <x v="0"/>
    <x v="3"/>
    <x v="19"/>
    <x v="3"/>
    <x v="2"/>
    <x v="7"/>
    <x v="17"/>
    <x v="32"/>
    <s v="Was not comfortable. Switched to &quot;Fruit of the loom&quot;"/>
    <n v="1445817600"/>
    <s v="Not Specified"/>
    <s v="Not Specified"/>
    <s v="Not Specified"/>
    <n v="151"/>
    <x v="2"/>
    <x v="3"/>
  </r>
  <r>
    <x v="1"/>
    <x v="0"/>
    <x v="27"/>
    <x v="0"/>
    <x v="6"/>
    <x v="20"/>
    <x v="3"/>
    <x v="2"/>
    <x v="7"/>
    <x v="18"/>
    <x v="33"/>
    <s v="large with no pockets"/>
    <n v="1433980800"/>
    <s v="Not Specified"/>
    <s v="Not Specified"/>
    <s v="Not Specified"/>
    <n v="58"/>
    <x v="1"/>
    <x v="3"/>
  </r>
  <r>
    <x v="4"/>
    <x v="0"/>
    <x v="28"/>
    <x v="0"/>
    <x v="1"/>
    <x v="21"/>
    <x v="3"/>
    <x v="2"/>
    <x v="7"/>
    <x v="19"/>
    <x v="34"/>
    <s v="Fleece Pants"/>
    <n v="1432425600"/>
    <s v="Not Specified"/>
    <s v="Not Specified"/>
    <s v="Not Specified"/>
    <n v="112"/>
    <x v="0"/>
    <x v="3"/>
  </r>
  <r>
    <x v="0"/>
    <x v="0"/>
    <x v="29"/>
    <x v="0"/>
    <x v="8"/>
    <x v="22"/>
    <x v="3"/>
    <x v="5"/>
    <x v="10"/>
    <x v="20"/>
    <x v="35"/>
    <s v="Five Stars"/>
    <n v="1423008000"/>
    <s v="Not Specified"/>
    <s v="Not Specified"/>
    <s v="Not Specified"/>
    <n v="79"/>
    <x v="0"/>
    <x v="3"/>
  </r>
  <r>
    <x v="0"/>
    <x v="0"/>
    <x v="12"/>
    <x v="2"/>
    <x v="3"/>
    <x v="8"/>
    <x v="4"/>
    <x v="3"/>
    <x v="10"/>
    <x v="7"/>
    <x v="15"/>
    <s v="Five Stars"/>
    <n v="1508889600"/>
    <s v="Not Specified"/>
    <s v="Not Specified"/>
    <s v="Not Specified"/>
    <n v="58"/>
    <x v="0"/>
    <x v="3"/>
  </r>
  <r>
    <x v="0"/>
    <x v="0"/>
    <x v="13"/>
    <x v="2"/>
    <x v="3"/>
    <x v="9"/>
    <x v="4"/>
    <x v="5"/>
    <x v="11"/>
    <x v="8"/>
    <x v="16"/>
    <s v="Good fit"/>
    <n v="1507939200"/>
    <s v="Not Specified"/>
    <s v="Not Specified"/>
    <n v="3"/>
    <n v="223"/>
    <x v="0"/>
    <x v="3"/>
  </r>
  <r>
    <x v="4"/>
    <x v="0"/>
    <x v="11"/>
    <x v="5"/>
    <x v="9"/>
    <x v="7"/>
    <x v="3"/>
    <x v="2"/>
    <x v="7"/>
    <x v="6"/>
    <x v="14"/>
    <s v="size runs big"/>
    <n v="1277942400"/>
    <s v="Not Specified"/>
    <s v="Not Specified"/>
    <n v="35"/>
    <n v="206"/>
    <x v="0"/>
    <x v="3"/>
  </r>
  <r>
    <x v="0"/>
    <x v="0"/>
    <x v="14"/>
    <x v="2"/>
    <x v="9"/>
    <x v="8"/>
    <x v="4"/>
    <x v="3"/>
    <x v="11"/>
    <x v="7"/>
    <x v="17"/>
    <s v="Excellent Product"/>
    <n v="1501372800"/>
    <s v="Not Specified"/>
    <s v="Not Specified"/>
    <s v="Not Specified"/>
    <n v="30"/>
    <x v="0"/>
    <x v="3"/>
  </r>
  <r>
    <x v="0"/>
    <x v="0"/>
    <x v="15"/>
    <x v="2"/>
    <x v="6"/>
    <x v="10"/>
    <x v="4"/>
    <x v="6"/>
    <x v="9"/>
    <x v="9"/>
    <x v="18"/>
    <s v="Typical Quality"/>
    <n v="1497571200"/>
    <s v="Not Specified"/>
    <s v="Not Specified"/>
    <s v="Not Specified"/>
    <n v="70"/>
    <x v="0"/>
    <x v="3"/>
  </r>
  <r>
    <x v="1"/>
    <x v="0"/>
    <x v="16"/>
    <x v="2"/>
    <x v="10"/>
    <x v="11"/>
    <x v="4"/>
    <x v="5"/>
    <x v="10"/>
    <x v="10"/>
    <x v="19"/>
    <s v="Don't sweat the pants"/>
    <n v="1492473600"/>
    <s v="Not Specified"/>
    <s v="Not Specified"/>
    <s v="Not Specified"/>
    <n v="261"/>
    <x v="1"/>
    <x v="3"/>
  </r>
  <r>
    <x v="0"/>
    <x v="0"/>
    <x v="17"/>
    <x v="2"/>
    <x v="10"/>
    <x v="12"/>
    <x v="4"/>
    <x v="5"/>
    <x v="8"/>
    <x v="11"/>
    <x v="20"/>
    <s v="Five Stars"/>
    <n v="1492041600"/>
    <s v="Not Specified"/>
    <s v="Not Specified"/>
    <s v="Not Specified"/>
    <n v="55"/>
    <x v="0"/>
    <x v="3"/>
  </r>
  <r>
    <x v="1"/>
    <x v="0"/>
    <x v="17"/>
    <x v="2"/>
    <x v="10"/>
    <x v="12"/>
    <x v="4"/>
    <x v="5"/>
    <x v="12"/>
    <x v="11"/>
    <x v="21"/>
    <s v="Three Stars"/>
    <n v="1492041600"/>
    <s v="Not Specified"/>
    <s v="Not Specified"/>
    <s v="Not Specified"/>
    <n v="33"/>
    <x v="1"/>
    <x v="3"/>
  </r>
  <r>
    <x v="4"/>
    <x v="0"/>
    <x v="18"/>
    <x v="2"/>
    <x v="10"/>
    <x v="11"/>
    <x v="4"/>
    <x v="5"/>
    <x v="12"/>
    <x v="10"/>
    <x v="22"/>
    <s v="Four Stars"/>
    <n v="1491350400"/>
    <s v="Not Specified"/>
    <s v="Not Specified"/>
    <s v="Not Specified"/>
    <n v="57"/>
    <x v="0"/>
    <x v="3"/>
  </r>
  <r>
    <x v="1"/>
    <x v="0"/>
    <x v="19"/>
    <x v="2"/>
    <x v="5"/>
    <x v="13"/>
    <x v="4"/>
    <x v="4"/>
    <x v="9"/>
    <x v="12"/>
    <x v="23"/>
    <s v="Three Stars"/>
    <n v="1490313600"/>
    <s v="Not Specified"/>
    <s v="Not Specified"/>
    <s v="Not Specified"/>
    <n v="31"/>
    <x v="1"/>
    <x v="3"/>
  </r>
  <r>
    <x v="0"/>
    <x v="0"/>
    <x v="20"/>
    <x v="2"/>
    <x v="5"/>
    <x v="14"/>
    <x v="4"/>
    <x v="7"/>
    <x v="8"/>
    <x v="5"/>
    <x v="24"/>
    <s v="Five Stars"/>
    <n v="1489190400"/>
    <s v="Not Specified"/>
    <s v="Not Specified"/>
    <s v="Not Specified"/>
    <n v="9"/>
    <x v="0"/>
    <x v="3"/>
  </r>
  <r>
    <x v="2"/>
    <x v="0"/>
    <x v="21"/>
    <x v="2"/>
    <x v="8"/>
    <x v="15"/>
    <x v="4"/>
    <x v="5"/>
    <x v="12"/>
    <x v="13"/>
    <x v="25"/>
    <s v="Returned also"/>
    <n v="1487635200"/>
    <s v="Not Specified"/>
    <s v="Not Specified"/>
    <s v="Not Specified"/>
    <n v="49"/>
    <x v="2"/>
    <x v="3"/>
  </r>
  <r>
    <x v="2"/>
    <x v="0"/>
    <x v="21"/>
    <x v="2"/>
    <x v="8"/>
    <x v="15"/>
    <x v="4"/>
    <x v="5"/>
    <x v="10"/>
    <x v="13"/>
    <x v="26"/>
    <s v="Returned"/>
    <n v="1487635200"/>
    <s v="Not Specified"/>
    <s v="Not Specified"/>
    <s v="Not Specified"/>
    <n v="51"/>
    <x v="2"/>
    <x v="3"/>
  </r>
  <r>
    <x v="4"/>
    <x v="0"/>
    <x v="21"/>
    <x v="2"/>
    <x v="8"/>
    <x v="16"/>
    <x v="4"/>
    <x v="3"/>
    <x v="8"/>
    <x v="14"/>
    <x v="27"/>
    <s v="Comfy and warm."/>
    <n v="1487635200"/>
    <s v="Not Specified"/>
    <s v="Not Specified"/>
    <s v="Not Specified"/>
    <n v="158"/>
    <x v="0"/>
    <x v="3"/>
  </r>
  <r>
    <x v="3"/>
    <x v="0"/>
    <x v="22"/>
    <x v="2"/>
    <x v="8"/>
    <x v="17"/>
    <x v="4"/>
    <x v="2"/>
    <x v="7"/>
    <x v="15"/>
    <x v="28"/>
    <s v="Was terribly disappointed, the pants were way too large in ..."/>
    <n v="1486512000"/>
    <s v="Not Specified"/>
    <s v="Not Specified"/>
    <s v="Not Specified"/>
    <n v="128"/>
    <x v="2"/>
    <x v="3"/>
  </r>
  <r>
    <x v="1"/>
    <x v="0"/>
    <x v="23"/>
    <x v="2"/>
    <x v="8"/>
    <x v="13"/>
    <x v="4"/>
    <x v="6"/>
    <x v="11"/>
    <x v="12"/>
    <x v="29"/>
    <s v="Three Stars"/>
    <n v="1485907200"/>
    <s v="Not Specified"/>
    <s v="Not Specified"/>
    <s v="Not Specified"/>
    <n v="13"/>
    <x v="1"/>
    <x v="3"/>
  </r>
  <r>
    <x v="0"/>
    <x v="0"/>
    <x v="30"/>
    <x v="0"/>
    <x v="9"/>
    <x v="23"/>
    <x v="5"/>
    <x v="2"/>
    <x v="7"/>
    <x v="21"/>
    <x v="36"/>
    <s v="Five Stars"/>
    <n v="1437523200"/>
    <s v="Not Specified"/>
    <s v="Not Specified"/>
    <s v="Not Specified"/>
    <n v="26"/>
    <x v="0"/>
    <x v="4"/>
  </r>
  <r>
    <x v="0"/>
    <x v="0"/>
    <x v="31"/>
    <x v="4"/>
    <x v="4"/>
    <x v="23"/>
    <x v="5"/>
    <x v="2"/>
    <x v="7"/>
    <x v="21"/>
    <x v="37"/>
    <s v="I love Havaianas!"/>
    <n v="1407283200"/>
    <s v="Not Specified"/>
    <s v="Not Specified"/>
    <s v="Not Specified"/>
    <n v="14"/>
    <x v="0"/>
    <x v="4"/>
  </r>
  <r>
    <x v="3"/>
    <x v="0"/>
    <x v="32"/>
    <x v="1"/>
    <x v="8"/>
    <x v="24"/>
    <x v="6"/>
    <x v="8"/>
    <x v="13"/>
    <x v="22"/>
    <x v="38"/>
    <s v="One Star"/>
    <n v="1518998400"/>
    <s v="Not Specified"/>
    <s v="Not Specified"/>
    <s v="Not Specified"/>
    <n v="69"/>
    <x v="2"/>
    <x v="5"/>
  </r>
  <r>
    <x v="3"/>
    <x v="0"/>
    <x v="32"/>
    <x v="1"/>
    <x v="8"/>
    <x v="24"/>
    <x v="6"/>
    <x v="8"/>
    <x v="5"/>
    <x v="22"/>
    <x v="39"/>
    <s v="One Star"/>
    <n v="1518998400"/>
    <s v="Not Specified"/>
    <s v="Not Specified"/>
    <s v="Not Specified"/>
    <n v="21"/>
    <x v="2"/>
    <x v="5"/>
  </r>
  <r>
    <x v="0"/>
    <x v="0"/>
    <x v="33"/>
    <x v="2"/>
    <x v="0"/>
    <x v="25"/>
    <x v="6"/>
    <x v="8"/>
    <x v="14"/>
    <x v="23"/>
    <x v="40"/>
    <s v="Great!!! Very high!"/>
    <n v="1506384000"/>
    <s v="Not Specified"/>
    <s v="Not Specified"/>
    <s v="Not Specified"/>
    <n v="66"/>
    <x v="0"/>
    <x v="5"/>
  </r>
  <r>
    <x v="4"/>
    <x v="0"/>
    <x v="34"/>
    <x v="0"/>
    <x v="3"/>
    <x v="24"/>
    <x v="6"/>
    <x v="8"/>
    <x v="14"/>
    <x v="22"/>
    <x v="41"/>
    <s v="Cute but will roll"/>
    <n v="1446249600"/>
    <s v="Not Specified"/>
    <s v="Not Specified"/>
    <s v="Not Specified"/>
    <n v="37"/>
    <x v="0"/>
    <x v="5"/>
  </r>
  <r>
    <x v="4"/>
    <x v="0"/>
    <x v="35"/>
    <x v="3"/>
    <x v="2"/>
    <x v="2"/>
    <x v="7"/>
    <x v="8"/>
    <x v="15"/>
    <x v="2"/>
    <x v="42"/>
    <s v="Four Stars"/>
    <n v="1454025600"/>
    <s v="Not Specified"/>
    <s v="Not Specified"/>
    <s v="Not Specified"/>
    <n v="45"/>
    <x v="0"/>
    <x v="6"/>
  </r>
  <r>
    <x v="0"/>
    <x v="0"/>
    <x v="36"/>
    <x v="3"/>
    <x v="2"/>
    <x v="2"/>
    <x v="7"/>
    <x v="8"/>
    <x v="16"/>
    <x v="2"/>
    <x v="43"/>
    <s v="Well made, soft, thick &amp; so very colorful ..."/>
    <n v="1453420800"/>
    <s v="Not Specified"/>
    <s v="Not Specified"/>
    <s v="Not Specified"/>
    <n v="163"/>
    <x v="0"/>
    <x v="6"/>
  </r>
  <r>
    <x v="1"/>
    <x v="0"/>
    <x v="37"/>
    <x v="0"/>
    <x v="9"/>
    <x v="26"/>
    <x v="8"/>
    <x v="9"/>
    <x v="7"/>
    <x v="24"/>
    <x v="44"/>
    <s v="Three Stars"/>
    <n v="1436659200"/>
    <s v="Not Specified"/>
    <s v="Not Specified"/>
    <s v="Not Specified"/>
    <n v="59"/>
    <x v="1"/>
    <x v="7"/>
  </r>
  <r>
    <x v="2"/>
    <x v="0"/>
    <x v="38"/>
    <x v="0"/>
    <x v="1"/>
    <x v="22"/>
    <x v="8"/>
    <x v="10"/>
    <x v="7"/>
    <x v="20"/>
    <x v="45"/>
    <s v="Huh"/>
    <n v="1432166400"/>
    <s v="Not Specified"/>
    <s v="Not Specified"/>
    <s v="Not Specified"/>
    <n v="132"/>
    <x v="2"/>
    <x v="7"/>
  </r>
  <r>
    <x v="4"/>
    <x v="0"/>
    <x v="39"/>
    <x v="4"/>
    <x v="11"/>
    <x v="27"/>
    <x v="8"/>
    <x v="11"/>
    <x v="7"/>
    <x v="25"/>
    <x v="46"/>
    <s v="excellent value and quality"/>
    <n v="1419811200"/>
    <s v="Not Specified"/>
    <s v="Not Specified"/>
    <s v="Not Specified"/>
    <n v="15"/>
    <x v="0"/>
    <x v="7"/>
  </r>
  <r>
    <x v="1"/>
    <x v="0"/>
    <x v="40"/>
    <x v="6"/>
    <x v="11"/>
    <x v="28"/>
    <x v="8"/>
    <x v="12"/>
    <x v="7"/>
    <x v="26"/>
    <x v="47"/>
    <s v="loose screws"/>
    <n v="1355443200"/>
    <s v="Not Specified"/>
    <s v="Not Specified"/>
    <s v="Not Specified"/>
    <n v="133"/>
    <x v="1"/>
    <x v="7"/>
  </r>
  <r>
    <x v="4"/>
    <x v="0"/>
    <x v="41"/>
    <x v="7"/>
    <x v="11"/>
    <x v="29"/>
    <x v="8"/>
    <x v="13"/>
    <x v="7"/>
    <x v="27"/>
    <x v="48"/>
    <s v="Good Value"/>
    <n v="1261699200"/>
    <s v="Not Specified"/>
    <s v="Not Specified"/>
    <s v="Not Specified"/>
    <n v="238"/>
    <x v="0"/>
    <x v="7"/>
  </r>
  <r>
    <x v="1"/>
    <x v="0"/>
    <x v="37"/>
    <x v="0"/>
    <x v="9"/>
    <x v="26"/>
    <x v="9"/>
    <x v="2"/>
    <x v="7"/>
    <x v="24"/>
    <x v="44"/>
    <s v="Three Stars"/>
    <n v="1436659200"/>
    <s v="Not Specified"/>
    <s v="Not Specified"/>
    <s v="Not Specified"/>
    <n v="59"/>
    <x v="1"/>
    <x v="2"/>
  </r>
  <r>
    <x v="2"/>
    <x v="0"/>
    <x v="38"/>
    <x v="0"/>
    <x v="1"/>
    <x v="22"/>
    <x v="9"/>
    <x v="2"/>
    <x v="7"/>
    <x v="20"/>
    <x v="45"/>
    <s v="Huh"/>
    <n v="1432166400"/>
    <s v="Not Specified"/>
    <s v="Not Specified"/>
    <s v="Not Specified"/>
    <n v="132"/>
    <x v="2"/>
    <x v="2"/>
  </r>
  <r>
    <x v="4"/>
    <x v="0"/>
    <x v="39"/>
    <x v="4"/>
    <x v="11"/>
    <x v="27"/>
    <x v="9"/>
    <x v="2"/>
    <x v="7"/>
    <x v="25"/>
    <x v="46"/>
    <s v="excellent value and quality"/>
    <n v="1419811200"/>
    <s v="Not Specified"/>
    <s v="Not Specified"/>
    <s v="Not Specified"/>
    <n v="15"/>
    <x v="0"/>
    <x v="2"/>
  </r>
  <r>
    <x v="1"/>
    <x v="0"/>
    <x v="40"/>
    <x v="6"/>
    <x v="11"/>
    <x v="28"/>
    <x v="9"/>
    <x v="2"/>
    <x v="7"/>
    <x v="26"/>
    <x v="47"/>
    <s v="loose screws"/>
    <n v="1355443200"/>
    <s v="Not Specified"/>
    <s v="Not Specified"/>
    <s v="Not Specified"/>
    <n v="133"/>
    <x v="1"/>
    <x v="2"/>
  </r>
  <r>
    <x v="4"/>
    <x v="0"/>
    <x v="41"/>
    <x v="7"/>
    <x v="11"/>
    <x v="29"/>
    <x v="9"/>
    <x v="2"/>
    <x v="7"/>
    <x v="27"/>
    <x v="48"/>
    <s v="Good Value"/>
    <n v="1261699200"/>
    <s v="Not Specified"/>
    <s v="Not Specified"/>
    <s v="Not Specified"/>
    <n v="238"/>
    <x v="0"/>
    <x v="2"/>
  </r>
  <r>
    <x v="3"/>
    <x v="0"/>
    <x v="9"/>
    <x v="1"/>
    <x v="5"/>
    <x v="5"/>
    <x v="3"/>
    <x v="3"/>
    <x v="8"/>
    <x v="5"/>
    <x v="12"/>
    <s v="One Star"/>
    <n v="1520812800"/>
    <s v="Not Specified"/>
    <s v="Not Specified"/>
    <s v="Not Specified"/>
    <n v="14"/>
    <x v="2"/>
    <x v="3"/>
  </r>
  <r>
    <x v="0"/>
    <x v="0"/>
    <x v="10"/>
    <x v="1"/>
    <x v="8"/>
    <x v="6"/>
    <x v="3"/>
    <x v="4"/>
    <x v="9"/>
    <x v="5"/>
    <x v="13"/>
    <s v="Five Stars"/>
    <n v="1518048000"/>
    <s v="Not Specified"/>
    <s v="Not Specified"/>
    <s v="Not Specified"/>
    <n v="11"/>
    <x v="0"/>
    <x v="3"/>
  </r>
  <r>
    <x v="4"/>
    <x v="0"/>
    <x v="11"/>
    <x v="5"/>
    <x v="9"/>
    <x v="7"/>
    <x v="4"/>
    <x v="2"/>
    <x v="7"/>
    <x v="6"/>
    <x v="14"/>
    <s v="size runs big"/>
    <n v="1277942400"/>
    <s v="Not Specified"/>
    <s v="Not Specified"/>
    <n v="35"/>
    <n v="206"/>
    <x v="0"/>
    <x v="3"/>
  </r>
  <r>
    <x v="0"/>
    <x v="0"/>
    <x v="12"/>
    <x v="2"/>
    <x v="3"/>
    <x v="8"/>
    <x v="3"/>
    <x v="3"/>
    <x v="10"/>
    <x v="7"/>
    <x v="15"/>
    <s v="Five Stars"/>
    <n v="1508889600"/>
    <s v="Not Specified"/>
    <s v="Not Specified"/>
    <s v="Not Specified"/>
    <n v="58"/>
    <x v="0"/>
    <x v="3"/>
  </r>
  <r>
    <x v="0"/>
    <x v="0"/>
    <x v="13"/>
    <x v="2"/>
    <x v="3"/>
    <x v="9"/>
    <x v="3"/>
    <x v="5"/>
    <x v="11"/>
    <x v="8"/>
    <x v="16"/>
    <s v="Good fit"/>
    <n v="1507939200"/>
    <s v="Not Specified"/>
    <s v="Not Specified"/>
    <n v="3"/>
    <n v="223"/>
    <x v="0"/>
    <x v="3"/>
  </r>
  <r>
    <x v="3"/>
    <x v="0"/>
    <x v="9"/>
    <x v="1"/>
    <x v="5"/>
    <x v="5"/>
    <x v="4"/>
    <x v="3"/>
    <x v="8"/>
    <x v="5"/>
    <x v="12"/>
    <s v="One Star"/>
    <n v="1520812800"/>
    <s v="Not Specified"/>
    <s v="Not Specified"/>
    <s v="Not Specified"/>
    <n v="14"/>
    <x v="2"/>
    <x v="3"/>
  </r>
  <r>
    <x v="0"/>
    <x v="0"/>
    <x v="14"/>
    <x v="2"/>
    <x v="9"/>
    <x v="8"/>
    <x v="3"/>
    <x v="3"/>
    <x v="11"/>
    <x v="7"/>
    <x v="17"/>
    <s v="Excellent Product"/>
    <n v="1501372800"/>
    <s v="Not Specified"/>
    <s v="Not Specified"/>
    <s v="Not Specified"/>
    <n v="30"/>
    <x v="0"/>
    <x v="3"/>
  </r>
  <r>
    <x v="0"/>
    <x v="0"/>
    <x v="15"/>
    <x v="2"/>
    <x v="6"/>
    <x v="10"/>
    <x v="3"/>
    <x v="6"/>
    <x v="9"/>
    <x v="9"/>
    <x v="18"/>
    <s v="Typical Quality"/>
    <n v="1497571200"/>
    <s v="Not Specified"/>
    <s v="Not Specified"/>
    <s v="Not Specified"/>
    <n v="70"/>
    <x v="0"/>
    <x v="3"/>
  </r>
  <r>
    <x v="1"/>
    <x v="0"/>
    <x v="16"/>
    <x v="2"/>
    <x v="10"/>
    <x v="11"/>
    <x v="3"/>
    <x v="5"/>
    <x v="10"/>
    <x v="10"/>
    <x v="19"/>
    <s v="Don't sweat the pants"/>
    <n v="1492473600"/>
    <s v="Not Specified"/>
    <s v="Not Specified"/>
    <s v="Not Specified"/>
    <n v="261"/>
    <x v="1"/>
    <x v="3"/>
  </r>
  <r>
    <x v="0"/>
    <x v="0"/>
    <x v="17"/>
    <x v="2"/>
    <x v="10"/>
    <x v="12"/>
    <x v="3"/>
    <x v="5"/>
    <x v="8"/>
    <x v="11"/>
    <x v="20"/>
    <s v="Five Stars"/>
    <n v="1492041600"/>
    <s v="Not Specified"/>
    <s v="Not Specified"/>
    <s v="Not Specified"/>
    <n v="55"/>
    <x v="0"/>
    <x v="3"/>
  </r>
  <r>
    <x v="1"/>
    <x v="0"/>
    <x v="17"/>
    <x v="2"/>
    <x v="10"/>
    <x v="12"/>
    <x v="3"/>
    <x v="5"/>
    <x v="12"/>
    <x v="11"/>
    <x v="21"/>
    <s v="Three Stars"/>
    <n v="1492041600"/>
    <s v="Not Specified"/>
    <s v="Not Specified"/>
    <s v="Not Specified"/>
    <n v="33"/>
    <x v="1"/>
    <x v="3"/>
  </r>
  <r>
    <x v="4"/>
    <x v="0"/>
    <x v="18"/>
    <x v="2"/>
    <x v="10"/>
    <x v="11"/>
    <x v="3"/>
    <x v="5"/>
    <x v="12"/>
    <x v="10"/>
    <x v="22"/>
    <s v="Four Stars"/>
    <n v="1491350400"/>
    <s v="Not Specified"/>
    <s v="Not Specified"/>
    <s v="Not Specified"/>
    <n v="57"/>
    <x v="0"/>
    <x v="3"/>
  </r>
  <r>
    <x v="1"/>
    <x v="0"/>
    <x v="19"/>
    <x v="2"/>
    <x v="5"/>
    <x v="13"/>
    <x v="3"/>
    <x v="4"/>
    <x v="9"/>
    <x v="12"/>
    <x v="23"/>
    <s v="Three Stars"/>
    <n v="1490313600"/>
    <s v="Not Specified"/>
    <s v="Not Specified"/>
    <s v="Not Specified"/>
    <n v="31"/>
    <x v="1"/>
    <x v="3"/>
  </r>
  <r>
    <x v="0"/>
    <x v="0"/>
    <x v="10"/>
    <x v="1"/>
    <x v="8"/>
    <x v="6"/>
    <x v="4"/>
    <x v="4"/>
    <x v="9"/>
    <x v="5"/>
    <x v="13"/>
    <s v="Five Stars"/>
    <n v="1518048000"/>
    <s v="Not Specified"/>
    <s v="Not Specified"/>
    <s v="Not Specified"/>
    <n v="11"/>
    <x v="0"/>
    <x v="3"/>
  </r>
  <r>
    <x v="0"/>
    <x v="0"/>
    <x v="20"/>
    <x v="2"/>
    <x v="5"/>
    <x v="14"/>
    <x v="3"/>
    <x v="7"/>
    <x v="8"/>
    <x v="5"/>
    <x v="24"/>
    <s v="Five Stars"/>
    <n v="1489190400"/>
    <s v="Not Specified"/>
    <s v="Not Specified"/>
    <s v="Not Specified"/>
    <n v="9"/>
    <x v="0"/>
    <x v="3"/>
  </r>
  <r>
    <x v="2"/>
    <x v="0"/>
    <x v="21"/>
    <x v="2"/>
    <x v="8"/>
    <x v="15"/>
    <x v="3"/>
    <x v="5"/>
    <x v="12"/>
    <x v="13"/>
    <x v="25"/>
    <s v="Returned also"/>
    <n v="1487635200"/>
    <s v="Not Specified"/>
    <s v="Not Specified"/>
    <s v="Not Specified"/>
    <n v="49"/>
    <x v="2"/>
    <x v="3"/>
  </r>
  <r>
    <x v="2"/>
    <x v="0"/>
    <x v="21"/>
    <x v="2"/>
    <x v="8"/>
    <x v="15"/>
    <x v="3"/>
    <x v="5"/>
    <x v="10"/>
    <x v="13"/>
    <x v="26"/>
    <s v="Returned"/>
    <n v="1487635200"/>
    <s v="Not Specified"/>
    <s v="Not Specified"/>
    <s v="Not Specified"/>
    <n v="51"/>
    <x v="2"/>
    <x v="3"/>
  </r>
  <r>
    <x v="4"/>
    <x v="0"/>
    <x v="21"/>
    <x v="2"/>
    <x v="8"/>
    <x v="16"/>
    <x v="3"/>
    <x v="3"/>
    <x v="8"/>
    <x v="14"/>
    <x v="27"/>
    <s v="Comfy and warm."/>
    <n v="1487635200"/>
    <s v="Not Specified"/>
    <s v="Not Specified"/>
    <s v="Not Specified"/>
    <n v="158"/>
    <x v="0"/>
    <x v="3"/>
  </r>
  <r>
    <x v="3"/>
    <x v="0"/>
    <x v="22"/>
    <x v="2"/>
    <x v="8"/>
    <x v="17"/>
    <x v="3"/>
    <x v="2"/>
    <x v="7"/>
    <x v="15"/>
    <x v="28"/>
    <s v="Was terribly disappointed, the pants were way too large in ..."/>
    <n v="1486512000"/>
    <s v="Not Specified"/>
    <s v="Not Specified"/>
    <s v="Not Specified"/>
    <n v="128"/>
    <x v="2"/>
    <x v="3"/>
  </r>
  <r>
    <x v="1"/>
    <x v="0"/>
    <x v="23"/>
    <x v="2"/>
    <x v="8"/>
    <x v="13"/>
    <x v="3"/>
    <x v="6"/>
    <x v="11"/>
    <x v="12"/>
    <x v="29"/>
    <s v="Three Stars"/>
    <n v="1485907200"/>
    <s v="Not Specified"/>
    <s v="Not Specified"/>
    <s v="Not Specified"/>
    <n v="13"/>
    <x v="1"/>
    <x v="3"/>
  </r>
  <r>
    <x v="0"/>
    <x v="0"/>
    <x v="24"/>
    <x v="2"/>
    <x v="2"/>
    <x v="14"/>
    <x v="3"/>
    <x v="2"/>
    <x v="7"/>
    <x v="5"/>
    <x v="30"/>
    <s v="Five Stars"/>
    <n v="1485129600"/>
    <s v="Not Specified"/>
    <s v="Not Specified"/>
    <s v="Not Specified"/>
    <n v="31"/>
    <x v="0"/>
    <x v="3"/>
  </r>
  <r>
    <x v="0"/>
    <x v="0"/>
    <x v="25"/>
    <x v="3"/>
    <x v="5"/>
    <x v="18"/>
    <x v="3"/>
    <x v="2"/>
    <x v="7"/>
    <x v="16"/>
    <x v="31"/>
    <s v="Hanes pants"/>
    <n v="1457395200"/>
    <s v="Not Specified"/>
    <s v="Not Specified"/>
    <s v="Not Specified"/>
    <n v="24"/>
    <x v="0"/>
    <x v="3"/>
  </r>
  <r>
    <x v="2"/>
    <x v="0"/>
    <x v="26"/>
    <x v="0"/>
    <x v="3"/>
    <x v="19"/>
    <x v="3"/>
    <x v="2"/>
    <x v="7"/>
    <x v="17"/>
    <x v="32"/>
    <s v="Was not comfortable. Switched to &quot;Fruit of the loom&quot;"/>
    <n v="1445817600"/>
    <s v="Not Specified"/>
    <s v="Not Specified"/>
    <s v="Not Specified"/>
    <n v="151"/>
    <x v="2"/>
    <x v="3"/>
  </r>
  <r>
    <x v="1"/>
    <x v="0"/>
    <x v="27"/>
    <x v="0"/>
    <x v="6"/>
    <x v="20"/>
    <x v="3"/>
    <x v="2"/>
    <x v="7"/>
    <x v="18"/>
    <x v="33"/>
    <s v="large with no pockets"/>
    <n v="1433980800"/>
    <s v="Not Specified"/>
    <s v="Not Specified"/>
    <s v="Not Specified"/>
    <n v="58"/>
    <x v="1"/>
    <x v="3"/>
  </r>
  <r>
    <x v="4"/>
    <x v="0"/>
    <x v="28"/>
    <x v="0"/>
    <x v="1"/>
    <x v="21"/>
    <x v="3"/>
    <x v="2"/>
    <x v="7"/>
    <x v="19"/>
    <x v="34"/>
    <s v="Fleece Pants"/>
    <n v="1432425600"/>
    <s v="Not Specified"/>
    <s v="Not Specified"/>
    <s v="Not Specified"/>
    <n v="112"/>
    <x v="0"/>
    <x v="3"/>
  </r>
  <r>
    <x v="0"/>
    <x v="0"/>
    <x v="25"/>
    <x v="3"/>
    <x v="5"/>
    <x v="18"/>
    <x v="3"/>
    <x v="2"/>
    <x v="7"/>
    <x v="16"/>
    <x v="31"/>
    <s v="Hanes pants"/>
    <n v="1457395200"/>
    <s v="Not Specified"/>
    <s v="Not Specified"/>
    <s v="Not Specified"/>
    <n v="24"/>
    <x v="0"/>
    <x v="3"/>
  </r>
  <r>
    <x v="2"/>
    <x v="0"/>
    <x v="26"/>
    <x v="0"/>
    <x v="3"/>
    <x v="19"/>
    <x v="3"/>
    <x v="2"/>
    <x v="7"/>
    <x v="17"/>
    <x v="32"/>
    <s v="Was not comfortable. Switched to &quot;Fruit of the loom&quot;"/>
    <n v="1445817600"/>
    <s v="Not Specified"/>
    <s v="Not Specified"/>
    <s v="Not Specified"/>
    <n v="151"/>
    <x v="2"/>
    <x v="3"/>
  </r>
  <r>
    <x v="1"/>
    <x v="0"/>
    <x v="27"/>
    <x v="0"/>
    <x v="6"/>
    <x v="20"/>
    <x v="3"/>
    <x v="2"/>
    <x v="7"/>
    <x v="18"/>
    <x v="33"/>
    <s v="large with no pockets"/>
    <n v="1433980800"/>
    <s v="Not Specified"/>
    <s v="Not Specified"/>
    <s v="Not Specified"/>
    <n v="58"/>
    <x v="1"/>
    <x v="3"/>
  </r>
  <r>
    <x v="4"/>
    <x v="0"/>
    <x v="28"/>
    <x v="0"/>
    <x v="1"/>
    <x v="21"/>
    <x v="3"/>
    <x v="2"/>
    <x v="7"/>
    <x v="19"/>
    <x v="34"/>
    <s v="Fleece Pants"/>
    <n v="1432425600"/>
    <s v="Not Specified"/>
    <s v="Not Specified"/>
    <s v="Not Specified"/>
    <n v="112"/>
    <x v="0"/>
    <x v="3"/>
  </r>
  <r>
    <x v="0"/>
    <x v="0"/>
    <x v="29"/>
    <x v="0"/>
    <x v="8"/>
    <x v="22"/>
    <x v="3"/>
    <x v="5"/>
    <x v="10"/>
    <x v="20"/>
    <x v="35"/>
    <s v="Five Stars"/>
    <n v="1423008000"/>
    <s v="Not Specified"/>
    <s v="Not Specified"/>
    <s v="Not Specified"/>
    <n v="79"/>
    <x v="0"/>
    <x v="3"/>
  </r>
  <r>
    <x v="0"/>
    <x v="0"/>
    <x v="12"/>
    <x v="2"/>
    <x v="3"/>
    <x v="8"/>
    <x v="4"/>
    <x v="3"/>
    <x v="10"/>
    <x v="7"/>
    <x v="15"/>
    <s v="Five Stars"/>
    <n v="1508889600"/>
    <s v="Not Specified"/>
    <s v="Not Specified"/>
    <s v="Not Specified"/>
    <n v="58"/>
    <x v="0"/>
    <x v="3"/>
  </r>
  <r>
    <x v="0"/>
    <x v="0"/>
    <x v="13"/>
    <x v="2"/>
    <x v="3"/>
    <x v="9"/>
    <x v="4"/>
    <x v="5"/>
    <x v="11"/>
    <x v="8"/>
    <x v="16"/>
    <s v="Good fit"/>
    <n v="1507939200"/>
    <s v="Not Specified"/>
    <s v="Not Specified"/>
    <n v="3"/>
    <n v="223"/>
    <x v="0"/>
    <x v="3"/>
  </r>
  <r>
    <x v="4"/>
    <x v="0"/>
    <x v="11"/>
    <x v="5"/>
    <x v="9"/>
    <x v="7"/>
    <x v="3"/>
    <x v="2"/>
    <x v="7"/>
    <x v="6"/>
    <x v="14"/>
    <s v="size runs big"/>
    <n v="1277942400"/>
    <s v="Not Specified"/>
    <s v="Not Specified"/>
    <n v="35"/>
    <n v="206"/>
    <x v="0"/>
    <x v="3"/>
  </r>
  <r>
    <x v="0"/>
    <x v="0"/>
    <x v="14"/>
    <x v="2"/>
    <x v="9"/>
    <x v="8"/>
    <x v="4"/>
    <x v="3"/>
    <x v="11"/>
    <x v="7"/>
    <x v="17"/>
    <s v="Excellent Product"/>
    <n v="1501372800"/>
    <s v="Not Specified"/>
    <s v="Not Specified"/>
    <s v="Not Specified"/>
    <n v="30"/>
    <x v="0"/>
    <x v="3"/>
  </r>
  <r>
    <x v="0"/>
    <x v="0"/>
    <x v="15"/>
    <x v="2"/>
    <x v="6"/>
    <x v="10"/>
    <x v="4"/>
    <x v="6"/>
    <x v="9"/>
    <x v="9"/>
    <x v="18"/>
    <s v="Typical Quality"/>
    <n v="1497571200"/>
    <s v="Not Specified"/>
    <s v="Not Specified"/>
    <s v="Not Specified"/>
    <n v="70"/>
    <x v="0"/>
    <x v="3"/>
  </r>
  <r>
    <x v="1"/>
    <x v="0"/>
    <x v="16"/>
    <x v="2"/>
    <x v="10"/>
    <x v="11"/>
    <x v="4"/>
    <x v="5"/>
    <x v="10"/>
    <x v="10"/>
    <x v="19"/>
    <s v="Don't sweat the pants"/>
    <n v="1492473600"/>
    <s v="Not Specified"/>
    <s v="Not Specified"/>
    <s v="Not Specified"/>
    <n v="261"/>
    <x v="1"/>
    <x v="3"/>
  </r>
  <r>
    <x v="0"/>
    <x v="0"/>
    <x v="17"/>
    <x v="2"/>
    <x v="10"/>
    <x v="12"/>
    <x v="4"/>
    <x v="5"/>
    <x v="8"/>
    <x v="11"/>
    <x v="20"/>
    <s v="Five Stars"/>
    <n v="1492041600"/>
    <s v="Not Specified"/>
    <s v="Not Specified"/>
    <s v="Not Specified"/>
    <n v="55"/>
    <x v="0"/>
    <x v="3"/>
  </r>
  <r>
    <x v="1"/>
    <x v="0"/>
    <x v="17"/>
    <x v="2"/>
    <x v="10"/>
    <x v="12"/>
    <x v="4"/>
    <x v="5"/>
    <x v="12"/>
    <x v="11"/>
    <x v="21"/>
    <s v="Three Stars"/>
    <n v="1492041600"/>
    <s v="Not Specified"/>
    <s v="Not Specified"/>
    <s v="Not Specified"/>
    <n v="33"/>
    <x v="1"/>
    <x v="3"/>
  </r>
  <r>
    <x v="4"/>
    <x v="0"/>
    <x v="18"/>
    <x v="2"/>
    <x v="10"/>
    <x v="11"/>
    <x v="4"/>
    <x v="5"/>
    <x v="12"/>
    <x v="10"/>
    <x v="22"/>
    <s v="Four Stars"/>
    <n v="1491350400"/>
    <s v="Not Specified"/>
    <s v="Not Specified"/>
    <s v="Not Specified"/>
    <n v="57"/>
    <x v="0"/>
    <x v="3"/>
  </r>
  <r>
    <x v="1"/>
    <x v="0"/>
    <x v="19"/>
    <x v="2"/>
    <x v="5"/>
    <x v="13"/>
    <x v="4"/>
    <x v="4"/>
    <x v="9"/>
    <x v="12"/>
    <x v="23"/>
    <s v="Three Stars"/>
    <n v="1490313600"/>
    <s v="Not Specified"/>
    <s v="Not Specified"/>
    <s v="Not Specified"/>
    <n v="31"/>
    <x v="1"/>
    <x v="3"/>
  </r>
  <r>
    <x v="0"/>
    <x v="0"/>
    <x v="20"/>
    <x v="2"/>
    <x v="5"/>
    <x v="14"/>
    <x v="4"/>
    <x v="7"/>
    <x v="8"/>
    <x v="5"/>
    <x v="24"/>
    <s v="Five Stars"/>
    <n v="1489190400"/>
    <s v="Not Specified"/>
    <s v="Not Specified"/>
    <s v="Not Specified"/>
    <n v="9"/>
    <x v="0"/>
    <x v="3"/>
  </r>
  <r>
    <x v="2"/>
    <x v="0"/>
    <x v="21"/>
    <x v="2"/>
    <x v="8"/>
    <x v="15"/>
    <x v="4"/>
    <x v="5"/>
    <x v="12"/>
    <x v="13"/>
    <x v="25"/>
    <s v="Returned also"/>
    <n v="1487635200"/>
    <s v="Not Specified"/>
    <s v="Not Specified"/>
    <s v="Not Specified"/>
    <n v="49"/>
    <x v="2"/>
    <x v="3"/>
  </r>
  <r>
    <x v="2"/>
    <x v="0"/>
    <x v="21"/>
    <x v="2"/>
    <x v="8"/>
    <x v="15"/>
    <x v="4"/>
    <x v="5"/>
    <x v="10"/>
    <x v="13"/>
    <x v="26"/>
    <s v="Returned"/>
    <n v="1487635200"/>
    <s v="Not Specified"/>
    <s v="Not Specified"/>
    <s v="Not Specified"/>
    <n v="51"/>
    <x v="2"/>
    <x v="3"/>
  </r>
  <r>
    <x v="4"/>
    <x v="0"/>
    <x v="21"/>
    <x v="2"/>
    <x v="8"/>
    <x v="16"/>
    <x v="4"/>
    <x v="3"/>
    <x v="8"/>
    <x v="14"/>
    <x v="27"/>
    <s v="Comfy and warm."/>
    <n v="1487635200"/>
    <s v="Not Specified"/>
    <s v="Not Specified"/>
    <s v="Not Specified"/>
    <n v="158"/>
    <x v="0"/>
    <x v="3"/>
  </r>
  <r>
    <x v="3"/>
    <x v="0"/>
    <x v="22"/>
    <x v="2"/>
    <x v="8"/>
    <x v="17"/>
    <x v="4"/>
    <x v="2"/>
    <x v="7"/>
    <x v="15"/>
    <x v="28"/>
    <s v="Was terribly disappointed, the pants were way too large in ..."/>
    <n v="1486512000"/>
    <s v="Not Specified"/>
    <s v="Not Specified"/>
    <s v="Not Specified"/>
    <n v="128"/>
    <x v="2"/>
    <x v="3"/>
  </r>
  <r>
    <x v="1"/>
    <x v="0"/>
    <x v="23"/>
    <x v="2"/>
    <x v="8"/>
    <x v="13"/>
    <x v="4"/>
    <x v="6"/>
    <x v="11"/>
    <x v="12"/>
    <x v="29"/>
    <s v="Three Stars"/>
    <n v="1485907200"/>
    <s v="Not Specified"/>
    <s v="Not Specified"/>
    <s v="Not Specified"/>
    <n v="13"/>
    <x v="1"/>
    <x v="3"/>
  </r>
  <r>
    <x v="0"/>
    <x v="0"/>
    <x v="30"/>
    <x v="0"/>
    <x v="9"/>
    <x v="23"/>
    <x v="5"/>
    <x v="2"/>
    <x v="7"/>
    <x v="21"/>
    <x v="36"/>
    <s v="Five Stars"/>
    <n v="1437523200"/>
    <s v="Not Specified"/>
    <s v="Not Specified"/>
    <s v="Not Specified"/>
    <n v="26"/>
    <x v="0"/>
    <x v="4"/>
  </r>
  <r>
    <x v="0"/>
    <x v="0"/>
    <x v="31"/>
    <x v="4"/>
    <x v="4"/>
    <x v="23"/>
    <x v="5"/>
    <x v="2"/>
    <x v="7"/>
    <x v="21"/>
    <x v="37"/>
    <s v="I love Havaianas!"/>
    <n v="1407283200"/>
    <s v="Not Specified"/>
    <s v="Not Specified"/>
    <s v="Not Specified"/>
    <n v="14"/>
    <x v="0"/>
    <x v="4"/>
  </r>
  <r>
    <x v="3"/>
    <x v="0"/>
    <x v="32"/>
    <x v="1"/>
    <x v="8"/>
    <x v="24"/>
    <x v="6"/>
    <x v="8"/>
    <x v="13"/>
    <x v="22"/>
    <x v="38"/>
    <s v="One Star"/>
    <n v="1518998400"/>
    <s v="Not Specified"/>
    <s v="Not Specified"/>
    <s v="Not Specified"/>
    <n v="69"/>
    <x v="2"/>
    <x v="5"/>
  </r>
  <r>
    <x v="3"/>
    <x v="0"/>
    <x v="32"/>
    <x v="1"/>
    <x v="8"/>
    <x v="24"/>
    <x v="6"/>
    <x v="8"/>
    <x v="5"/>
    <x v="22"/>
    <x v="39"/>
    <s v="One Star"/>
    <n v="1518998400"/>
    <s v="Not Specified"/>
    <s v="Not Specified"/>
    <s v="Not Specified"/>
    <n v="21"/>
    <x v="2"/>
    <x v="5"/>
  </r>
  <r>
    <x v="0"/>
    <x v="0"/>
    <x v="33"/>
    <x v="2"/>
    <x v="0"/>
    <x v="25"/>
    <x v="6"/>
    <x v="8"/>
    <x v="14"/>
    <x v="23"/>
    <x v="40"/>
    <s v="Great!!! Very high!"/>
    <n v="1506384000"/>
    <s v="Not Specified"/>
    <s v="Not Specified"/>
    <s v="Not Specified"/>
    <n v="66"/>
    <x v="0"/>
    <x v="5"/>
  </r>
  <r>
    <x v="4"/>
    <x v="0"/>
    <x v="34"/>
    <x v="0"/>
    <x v="3"/>
    <x v="24"/>
    <x v="6"/>
    <x v="8"/>
    <x v="14"/>
    <x v="22"/>
    <x v="41"/>
    <s v="Cute but will roll"/>
    <n v="1446249600"/>
    <s v="Not Specified"/>
    <s v="Not Specified"/>
    <s v="Not Specified"/>
    <n v="37"/>
    <x v="0"/>
    <x v="5"/>
  </r>
  <r>
    <x v="4"/>
    <x v="0"/>
    <x v="35"/>
    <x v="3"/>
    <x v="2"/>
    <x v="2"/>
    <x v="7"/>
    <x v="8"/>
    <x v="15"/>
    <x v="2"/>
    <x v="42"/>
    <s v="Four Stars"/>
    <n v="1454025600"/>
    <s v="Not Specified"/>
    <s v="Not Specified"/>
    <s v="Not Specified"/>
    <n v="45"/>
    <x v="0"/>
    <x v="6"/>
  </r>
  <r>
    <x v="0"/>
    <x v="0"/>
    <x v="36"/>
    <x v="3"/>
    <x v="2"/>
    <x v="2"/>
    <x v="7"/>
    <x v="8"/>
    <x v="16"/>
    <x v="2"/>
    <x v="43"/>
    <s v="Well made, soft, thick &amp; so very colorful ..."/>
    <n v="1453420800"/>
    <s v="Not Specified"/>
    <s v="Not Specified"/>
    <s v="Not Specified"/>
    <n v="163"/>
    <x v="0"/>
    <x v="6"/>
  </r>
  <r>
    <x v="1"/>
    <x v="0"/>
    <x v="37"/>
    <x v="0"/>
    <x v="9"/>
    <x v="26"/>
    <x v="8"/>
    <x v="9"/>
    <x v="7"/>
    <x v="24"/>
    <x v="44"/>
    <s v="Three Stars"/>
    <n v="1436659200"/>
    <s v="Not Specified"/>
    <s v="Not Specified"/>
    <s v="Not Specified"/>
    <n v="59"/>
    <x v="1"/>
    <x v="7"/>
  </r>
  <r>
    <x v="2"/>
    <x v="0"/>
    <x v="38"/>
    <x v="0"/>
    <x v="1"/>
    <x v="22"/>
    <x v="8"/>
    <x v="10"/>
    <x v="7"/>
    <x v="20"/>
    <x v="45"/>
    <s v="Huh"/>
    <n v="1432166400"/>
    <s v="Not Specified"/>
    <s v="Not Specified"/>
    <s v="Not Specified"/>
    <n v="132"/>
    <x v="2"/>
    <x v="7"/>
  </r>
  <r>
    <x v="4"/>
    <x v="0"/>
    <x v="39"/>
    <x v="4"/>
    <x v="11"/>
    <x v="27"/>
    <x v="8"/>
    <x v="11"/>
    <x v="7"/>
    <x v="25"/>
    <x v="46"/>
    <s v="excellent value and quality"/>
    <n v="1419811200"/>
    <s v="Not Specified"/>
    <s v="Not Specified"/>
    <s v="Not Specified"/>
    <n v="15"/>
    <x v="0"/>
    <x v="7"/>
  </r>
  <r>
    <x v="1"/>
    <x v="0"/>
    <x v="40"/>
    <x v="6"/>
    <x v="11"/>
    <x v="28"/>
    <x v="8"/>
    <x v="12"/>
    <x v="7"/>
    <x v="26"/>
    <x v="47"/>
    <s v="loose screws"/>
    <n v="1355443200"/>
    <s v="Not Specified"/>
    <s v="Not Specified"/>
    <s v="Not Specified"/>
    <n v="133"/>
    <x v="1"/>
    <x v="7"/>
  </r>
  <r>
    <x v="4"/>
    <x v="0"/>
    <x v="41"/>
    <x v="7"/>
    <x v="11"/>
    <x v="29"/>
    <x v="8"/>
    <x v="13"/>
    <x v="7"/>
    <x v="27"/>
    <x v="48"/>
    <s v="Good Value"/>
    <n v="1261699200"/>
    <s v="Not Specified"/>
    <s v="Not Specified"/>
    <s v="Not Specified"/>
    <n v="238"/>
    <x v="0"/>
    <x v="7"/>
  </r>
  <r>
    <x v="1"/>
    <x v="0"/>
    <x v="37"/>
    <x v="0"/>
    <x v="9"/>
    <x v="26"/>
    <x v="9"/>
    <x v="2"/>
    <x v="7"/>
    <x v="24"/>
    <x v="44"/>
    <s v="Three Stars"/>
    <n v="1436659200"/>
    <s v="Not Specified"/>
    <s v="Not Specified"/>
    <s v="Not Specified"/>
    <n v="59"/>
    <x v="1"/>
    <x v="2"/>
  </r>
  <r>
    <x v="2"/>
    <x v="0"/>
    <x v="38"/>
    <x v="0"/>
    <x v="1"/>
    <x v="22"/>
    <x v="9"/>
    <x v="2"/>
    <x v="7"/>
    <x v="20"/>
    <x v="45"/>
    <s v="Huh"/>
    <n v="1432166400"/>
    <s v="Not Specified"/>
    <s v="Not Specified"/>
    <s v="Not Specified"/>
    <n v="132"/>
    <x v="2"/>
    <x v="2"/>
  </r>
  <r>
    <x v="4"/>
    <x v="0"/>
    <x v="39"/>
    <x v="4"/>
    <x v="11"/>
    <x v="27"/>
    <x v="9"/>
    <x v="2"/>
    <x v="7"/>
    <x v="25"/>
    <x v="46"/>
    <s v="excellent value and quality"/>
    <n v="1419811200"/>
    <s v="Not Specified"/>
    <s v="Not Specified"/>
    <s v="Not Specified"/>
    <n v="15"/>
    <x v="0"/>
    <x v="2"/>
  </r>
  <r>
    <x v="1"/>
    <x v="0"/>
    <x v="40"/>
    <x v="6"/>
    <x v="11"/>
    <x v="28"/>
    <x v="9"/>
    <x v="2"/>
    <x v="7"/>
    <x v="26"/>
    <x v="47"/>
    <s v="loose screws"/>
    <n v="1355443200"/>
    <s v="Not Specified"/>
    <s v="Not Specified"/>
    <s v="Not Specified"/>
    <n v="133"/>
    <x v="1"/>
    <x v="2"/>
  </r>
  <r>
    <x v="4"/>
    <x v="0"/>
    <x v="41"/>
    <x v="7"/>
    <x v="11"/>
    <x v="29"/>
    <x v="9"/>
    <x v="2"/>
    <x v="7"/>
    <x v="27"/>
    <x v="48"/>
    <s v="Good Value"/>
    <n v="1261699200"/>
    <s v="Not Specified"/>
    <s v="Not Specified"/>
    <s v="Not Specified"/>
    <n v="238"/>
    <x v="0"/>
    <x v="2"/>
  </r>
  <r>
    <x v="4"/>
    <x v="0"/>
    <x v="42"/>
    <x v="3"/>
    <x v="10"/>
    <x v="30"/>
    <x v="10"/>
    <x v="14"/>
    <x v="17"/>
    <x v="5"/>
    <x v="49"/>
    <s v="Four Stars"/>
    <n v="1461024000"/>
    <s v="Not Specified"/>
    <s v="Not Specified"/>
    <n v="2"/>
    <n v="60"/>
    <x v="0"/>
    <x v="8"/>
  </r>
  <r>
    <x v="0"/>
    <x v="0"/>
    <x v="43"/>
    <x v="3"/>
    <x v="10"/>
    <x v="31"/>
    <x v="10"/>
    <x v="15"/>
    <x v="17"/>
    <x v="28"/>
    <x v="50"/>
    <s v="Five Stars"/>
    <n v="1460937600"/>
    <s v="Not Specified"/>
    <s v="Not Specified"/>
    <s v="Not Specified"/>
    <n v="22"/>
    <x v="0"/>
    <x v="8"/>
  </r>
  <r>
    <x v="1"/>
    <x v="0"/>
    <x v="44"/>
    <x v="3"/>
    <x v="10"/>
    <x v="32"/>
    <x v="10"/>
    <x v="16"/>
    <x v="17"/>
    <x v="29"/>
    <x v="51"/>
    <s v="LOOKS GOOD, FEELS ICKY!"/>
    <n v="1459728000"/>
    <s v="Not Specified"/>
    <s v="Not Specified"/>
    <n v="2"/>
    <n v="272"/>
    <x v="1"/>
    <x v="8"/>
  </r>
  <r>
    <x v="0"/>
    <x v="0"/>
    <x v="45"/>
    <x v="3"/>
    <x v="5"/>
    <x v="33"/>
    <x v="10"/>
    <x v="17"/>
    <x v="18"/>
    <x v="30"/>
    <x v="52"/>
    <s v="Love it!! Definetly recommend it"/>
    <n v="1459382400"/>
    <s v="Not Specified"/>
    <s v="Not Specified"/>
    <s v="Not Specified"/>
    <n v="123"/>
    <x v="0"/>
    <x v="8"/>
  </r>
  <r>
    <x v="0"/>
    <x v="0"/>
    <x v="46"/>
    <x v="3"/>
    <x v="5"/>
    <x v="34"/>
    <x v="10"/>
    <x v="18"/>
    <x v="19"/>
    <x v="31"/>
    <x v="53"/>
    <s v="Five Stars"/>
    <n v="1459123200"/>
    <s v="Not Specified"/>
    <s v="Not Specified"/>
    <s v="Not Specified"/>
    <n v="9"/>
    <x v="0"/>
    <x v="8"/>
  </r>
  <r>
    <x v="2"/>
    <x v="0"/>
    <x v="46"/>
    <x v="3"/>
    <x v="5"/>
    <x v="35"/>
    <x v="10"/>
    <x v="19"/>
    <x v="19"/>
    <x v="5"/>
    <x v="54"/>
    <s v="Cheap"/>
    <n v="1459123200"/>
    <s v="Not Specified"/>
    <s v="Not Specified"/>
    <s v="Not Specified"/>
    <n v="167"/>
    <x v="2"/>
    <x v="8"/>
  </r>
  <r>
    <x v="4"/>
    <x v="0"/>
    <x v="47"/>
    <x v="3"/>
    <x v="5"/>
    <x v="36"/>
    <x v="10"/>
    <x v="20"/>
    <x v="19"/>
    <x v="32"/>
    <x v="55"/>
    <s v="Pretty comfortable pair of running shoes"/>
    <n v="1458777600"/>
    <s v="Not Specified"/>
    <s v="Not Specified"/>
    <s v="Not Specified"/>
    <n v="132"/>
    <x v="0"/>
    <x v="8"/>
  </r>
  <r>
    <x v="1"/>
    <x v="0"/>
    <x v="6"/>
    <x v="3"/>
    <x v="5"/>
    <x v="37"/>
    <x v="10"/>
    <x v="21"/>
    <x v="17"/>
    <x v="33"/>
    <x v="56"/>
    <s v="I always get a half size up in my tennis ..."/>
    <n v="1458691200"/>
    <s v="Not Specified"/>
    <s v="Not Specified"/>
    <n v="7"/>
    <n v="108"/>
    <x v="1"/>
    <x v="8"/>
  </r>
  <r>
    <x v="0"/>
    <x v="0"/>
    <x v="48"/>
    <x v="3"/>
    <x v="5"/>
    <x v="38"/>
    <x v="10"/>
    <x v="22"/>
    <x v="20"/>
    <x v="34"/>
    <x v="57"/>
    <s v="Love them! So light feeling"/>
    <n v="1458432000"/>
    <s v="Not Specified"/>
    <s v="Not Specified"/>
    <s v="Not Specified"/>
    <n v="75"/>
    <x v="0"/>
    <x v="8"/>
  </r>
  <r>
    <x v="0"/>
    <x v="0"/>
    <x v="49"/>
    <x v="3"/>
    <x v="5"/>
    <x v="39"/>
    <x v="10"/>
    <x v="23"/>
    <x v="19"/>
    <x v="35"/>
    <x v="53"/>
    <s v="Five Stars"/>
    <n v="1458259200"/>
    <s v="Not Specified"/>
    <s v="Not Specified"/>
    <s v="Not Specified"/>
    <n v="9"/>
    <x v="0"/>
    <x v="8"/>
  </r>
  <r>
    <x v="0"/>
    <x v="0"/>
    <x v="50"/>
    <x v="1"/>
    <x v="10"/>
    <x v="40"/>
    <x v="10"/>
    <x v="14"/>
    <x v="17"/>
    <x v="36"/>
    <x v="58"/>
    <s v="Love these shoes"/>
    <n v="1524355200"/>
    <s v="Not Specified"/>
    <s v="Not Specified"/>
    <s v="Not Specified"/>
    <n v="148"/>
    <x v="0"/>
    <x v="8"/>
  </r>
  <r>
    <x v="1"/>
    <x v="0"/>
    <x v="51"/>
    <x v="1"/>
    <x v="10"/>
    <x v="41"/>
    <x v="10"/>
    <x v="17"/>
    <x v="21"/>
    <x v="37"/>
    <x v="59"/>
    <s v="Its not as comfortable as I was expecting"/>
    <n v="1524096000"/>
    <s v="Not Specified"/>
    <s v="Not Specified"/>
    <s v="Not Specified"/>
    <n v="125"/>
    <x v="1"/>
    <x v="8"/>
  </r>
  <r>
    <x v="0"/>
    <x v="0"/>
    <x v="52"/>
    <x v="1"/>
    <x v="10"/>
    <x v="42"/>
    <x v="10"/>
    <x v="16"/>
    <x v="17"/>
    <x v="38"/>
    <x v="60"/>
    <s v="Very Comfortable"/>
    <n v="1524009600"/>
    <s v="Not Specified"/>
    <s v="Not Specified"/>
    <s v="Not Specified"/>
    <n v="123"/>
    <x v="0"/>
    <x v="8"/>
  </r>
  <r>
    <x v="0"/>
    <x v="0"/>
    <x v="52"/>
    <x v="1"/>
    <x v="10"/>
    <x v="43"/>
    <x v="10"/>
    <x v="14"/>
    <x v="21"/>
    <x v="5"/>
    <x v="61"/>
    <s v="The color pattern and fit is what I liked the most what I liked the least is that ..."/>
    <n v="1524009600"/>
    <s v="Not Specified"/>
    <s v="Not Specified"/>
    <s v="Not Specified"/>
    <n v="155"/>
    <x v="0"/>
    <x v="8"/>
  </r>
  <r>
    <x v="0"/>
    <x v="0"/>
    <x v="53"/>
    <x v="1"/>
    <x v="10"/>
    <x v="44"/>
    <x v="10"/>
    <x v="24"/>
    <x v="22"/>
    <x v="39"/>
    <x v="62"/>
    <s v="Great shoe for the price!"/>
    <n v="1523836800"/>
    <s v="Not Specified"/>
    <s v="Not Specified"/>
    <s v="Not Specified"/>
    <n v="158"/>
    <x v="0"/>
    <x v="8"/>
  </r>
  <r>
    <x v="0"/>
    <x v="0"/>
    <x v="54"/>
    <x v="1"/>
    <x v="10"/>
    <x v="45"/>
    <x v="10"/>
    <x v="17"/>
    <x v="17"/>
    <x v="40"/>
    <x v="63"/>
    <s v="Great shoe!"/>
    <n v="1523750400"/>
    <s v="Not Specified"/>
    <s v="Not Specified"/>
    <s v="Not Specified"/>
    <n v="774"/>
    <x v="0"/>
    <x v="8"/>
  </r>
  <r>
    <x v="1"/>
    <x v="0"/>
    <x v="55"/>
    <x v="1"/>
    <x v="10"/>
    <x v="46"/>
    <x v="10"/>
    <x v="15"/>
    <x v="21"/>
    <x v="41"/>
    <x v="64"/>
    <s v="Three Stars"/>
    <n v="1523577600"/>
    <s v="Not Specified"/>
    <s v="Not Specified"/>
    <s v="Not Specified"/>
    <n v="85"/>
    <x v="1"/>
    <x v="8"/>
  </r>
  <r>
    <x v="1"/>
    <x v="0"/>
    <x v="56"/>
    <x v="1"/>
    <x v="10"/>
    <x v="47"/>
    <x v="10"/>
    <x v="14"/>
    <x v="23"/>
    <x v="42"/>
    <x v="65"/>
    <s v="Three Stars"/>
    <n v="1523232000"/>
    <s v="Not Specified"/>
    <s v="Not Specified"/>
    <s v="Not Specified"/>
    <n v="4"/>
    <x v="1"/>
    <x v="8"/>
  </r>
  <r>
    <x v="0"/>
    <x v="0"/>
    <x v="56"/>
    <x v="1"/>
    <x v="10"/>
    <x v="48"/>
    <x v="10"/>
    <x v="14"/>
    <x v="17"/>
    <x v="43"/>
    <x v="66"/>
    <s v="Five Stars"/>
    <n v="1523232000"/>
    <s v="Not Specified"/>
    <s v="Not Specified"/>
    <s v="Not Specified"/>
    <n v="7"/>
    <x v="0"/>
    <x v="8"/>
  </r>
  <r>
    <x v="0"/>
    <x v="0"/>
    <x v="57"/>
    <x v="1"/>
    <x v="10"/>
    <x v="49"/>
    <x v="10"/>
    <x v="15"/>
    <x v="17"/>
    <x v="44"/>
    <x v="67"/>
    <s v="Love these shoes"/>
    <n v="1523145600"/>
    <s v="Not Specified"/>
    <s v="Not Specified"/>
    <s v="Not Specified"/>
    <n v="157"/>
    <x v="0"/>
    <x v="8"/>
  </r>
  <r>
    <x v="0"/>
    <x v="0"/>
    <x v="58"/>
    <x v="1"/>
    <x v="10"/>
    <x v="50"/>
    <x v="10"/>
    <x v="25"/>
    <x v="23"/>
    <x v="45"/>
    <x v="68"/>
    <s v="Five Stars"/>
    <n v="1523059200"/>
    <s v="Not Specified"/>
    <s v="Not Specified"/>
    <s v="Not Specified"/>
    <n v="0"/>
    <x v="0"/>
    <x v="8"/>
  </r>
  <r>
    <x v="0"/>
    <x v="0"/>
    <x v="59"/>
    <x v="1"/>
    <x v="10"/>
    <x v="51"/>
    <x v="10"/>
    <x v="17"/>
    <x v="17"/>
    <x v="46"/>
    <x v="69"/>
    <s v="Great cross trainer"/>
    <n v="1522800000"/>
    <s v="Not Specified"/>
    <s v="Not Specified"/>
    <s v="Not Specified"/>
    <n v="35"/>
    <x v="0"/>
    <x v="8"/>
  </r>
  <r>
    <x v="4"/>
    <x v="0"/>
    <x v="60"/>
    <x v="1"/>
    <x v="10"/>
    <x v="52"/>
    <x v="10"/>
    <x v="21"/>
    <x v="23"/>
    <x v="47"/>
    <x v="70"/>
    <s v="They are comfortable for the most but just a bit narrow"/>
    <n v="1522713600"/>
    <s v="Not Specified"/>
    <s v="Not Specified"/>
    <s v="Not Specified"/>
    <n v="213"/>
    <x v="0"/>
    <x v="8"/>
  </r>
  <r>
    <x v="0"/>
    <x v="0"/>
    <x v="60"/>
    <x v="1"/>
    <x v="10"/>
    <x v="53"/>
    <x v="10"/>
    <x v="17"/>
    <x v="17"/>
    <x v="48"/>
    <x v="71"/>
    <s v="staple sneakers"/>
    <n v="1522713600"/>
    <s v="Not Specified"/>
    <s v="Not Specified"/>
    <s v="Not Specified"/>
    <n v="105"/>
    <x v="0"/>
    <x v="8"/>
  </r>
  <r>
    <x v="0"/>
    <x v="0"/>
    <x v="61"/>
    <x v="1"/>
    <x v="5"/>
    <x v="54"/>
    <x v="10"/>
    <x v="21"/>
    <x v="17"/>
    <x v="49"/>
    <x v="72"/>
    <s v="Great looking shoe"/>
    <n v="1522454400"/>
    <s v="Not Specified"/>
    <s v="Not Specified"/>
    <s v="Not Specified"/>
    <n v="48"/>
    <x v="0"/>
    <x v="8"/>
  </r>
  <r>
    <x v="0"/>
    <x v="0"/>
    <x v="62"/>
    <x v="1"/>
    <x v="5"/>
    <x v="55"/>
    <x v="10"/>
    <x v="14"/>
    <x v="24"/>
    <x v="50"/>
    <x v="73"/>
    <s v="Great shoes."/>
    <n v="1522195200"/>
    <s v="Not Specified"/>
    <s v="Not Specified"/>
    <s v="Not Specified"/>
    <n v="90"/>
    <x v="0"/>
    <x v="8"/>
  </r>
  <r>
    <x v="1"/>
    <x v="0"/>
    <x v="63"/>
    <x v="1"/>
    <x v="5"/>
    <x v="56"/>
    <x v="10"/>
    <x v="21"/>
    <x v="23"/>
    <x v="51"/>
    <x v="74"/>
    <s v="Style 10/10, Comfort 3/10"/>
    <n v="1522108800"/>
    <s v="Not Specified"/>
    <s v="Not Specified"/>
    <s v="Not Specified"/>
    <n v="121"/>
    <x v="1"/>
    <x v="8"/>
  </r>
  <r>
    <x v="0"/>
    <x v="0"/>
    <x v="64"/>
    <x v="1"/>
    <x v="5"/>
    <x v="57"/>
    <x v="10"/>
    <x v="17"/>
    <x v="21"/>
    <x v="52"/>
    <x v="75"/>
    <s v="these shoes are great! Very lightweight and fits comfortably on my feet ..."/>
    <n v="1521676800"/>
    <s v="Not Specified"/>
    <s v="Not Specified"/>
    <s v="Not Specified"/>
    <n v="277"/>
    <x v="0"/>
    <x v="8"/>
  </r>
  <r>
    <x v="0"/>
    <x v="0"/>
    <x v="64"/>
    <x v="1"/>
    <x v="5"/>
    <x v="58"/>
    <x v="10"/>
    <x v="16"/>
    <x v="17"/>
    <x v="53"/>
    <x v="76"/>
    <s v="Great shoes. Fit perfectly"/>
    <n v="1521676800"/>
    <s v="Not Specified"/>
    <s v="Not Specified"/>
    <s v="Not Specified"/>
    <n v="129"/>
    <x v="0"/>
    <x v="8"/>
  </r>
  <r>
    <x v="0"/>
    <x v="0"/>
    <x v="65"/>
    <x v="1"/>
    <x v="5"/>
    <x v="59"/>
    <x v="10"/>
    <x v="26"/>
    <x v="23"/>
    <x v="54"/>
    <x v="77"/>
    <s v="Five Stars"/>
    <n v="1521590400"/>
    <s v="Not Specified"/>
    <s v="Not Specified"/>
    <s v="Not Specified"/>
    <n v="56"/>
    <x v="0"/>
    <x v="8"/>
  </r>
  <r>
    <x v="0"/>
    <x v="0"/>
    <x v="66"/>
    <x v="1"/>
    <x v="5"/>
    <x v="60"/>
    <x v="10"/>
    <x v="15"/>
    <x v="17"/>
    <x v="55"/>
    <x v="78"/>
    <s v="Perfect. Lightweight and comfortable all day"/>
    <n v="1521504000"/>
    <s v="Not Specified"/>
    <s v="Not Specified"/>
    <s v="Not Specified"/>
    <n v="137"/>
    <x v="0"/>
    <x v="8"/>
  </r>
  <r>
    <x v="0"/>
    <x v="0"/>
    <x v="67"/>
    <x v="1"/>
    <x v="5"/>
    <x v="61"/>
    <x v="10"/>
    <x v="21"/>
    <x v="17"/>
    <x v="56"/>
    <x v="79"/>
    <s v="My knees feel better so so hard so good"/>
    <n v="1521417600"/>
    <s v="Not Specified"/>
    <s v="Not Specified"/>
    <s v="Not Specified"/>
    <n v="211"/>
    <x v="0"/>
    <x v="8"/>
  </r>
  <r>
    <x v="0"/>
    <x v="0"/>
    <x v="67"/>
    <x v="1"/>
    <x v="5"/>
    <x v="62"/>
    <x v="10"/>
    <x v="21"/>
    <x v="24"/>
    <x v="57"/>
    <x v="80"/>
    <s v="Five Stars"/>
    <n v="1521417600"/>
    <s v="Not Specified"/>
    <s v="Not Specified"/>
    <s v="Not Specified"/>
    <n v="15"/>
    <x v="0"/>
    <x v="8"/>
  </r>
  <r>
    <x v="4"/>
    <x v="0"/>
    <x v="68"/>
    <x v="1"/>
    <x v="5"/>
    <x v="63"/>
    <x v="10"/>
    <x v="27"/>
    <x v="25"/>
    <x v="58"/>
    <x v="81"/>
    <s v="Comfortable, lightweight Xtrainer"/>
    <n v="1521244800"/>
    <s v="Not Specified"/>
    <s v="Not Specified"/>
    <s v="Not Specified"/>
    <n v="127"/>
    <x v="0"/>
    <x v="8"/>
  </r>
  <r>
    <x v="0"/>
    <x v="0"/>
    <x v="69"/>
    <x v="1"/>
    <x v="5"/>
    <x v="64"/>
    <x v="10"/>
    <x v="22"/>
    <x v="17"/>
    <x v="59"/>
    <x v="82"/>
    <s v="Great shoe!"/>
    <n v="1520899200"/>
    <s v="Not Specified"/>
    <s v="Not Specified"/>
    <s v="Not Specified"/>
    <n v="174"/>
    <x v="0"/>
    <x v="8"/>
  </r>
  <r>
    <x v="3"/>
    <x v="0"/>
    <x v="70"/>
    <x v="1"/>
    <x v="5"/>
    <x v="65"/>
    <x v="10"/>
    <x v="16"/>
    <x v="26"/>
    <x v="60"/>
    <x v="83"/>
    <s v="Returned...looked cheap"/>
    <n v="1520726400"/>
    <s v="Not Specified"/>
    <s v="Not Specified"/>
    <s v="Not Specified"/>
    <n v="22"/>
    <x v="2"/>
    <x v="8"/>
  </r>
  <r>
    <x v="0"/>
    <x v="0"/>
    <x v="71"/>
    <x v="1"/>
    <x v="5"/>
    <x v="66"/>
    <x v="10"/>
    <x v="17"/>
    <x v="17"/>
    <x v="5"/>
    <x v="84"/>
    <s v="Fits to size"/>
    <n v="1520208000"/>
    <s v="Not Specified"/>
    <s v="Not Specified"/>
    <s v="Not Specified"/>
    <n v="22"/>
    <x v="0"/>
    <x v="8"/>
  </r>
  <r>
    <x v="0"/>
    <x v="0"/>
    <x v="72"/>
    <x v="1"/>
    <x v="5"/>
    <x v="67"/>
    <x v="10"/>
    <x v="25"/>
    <x v="17"/>
    <x v="61"/>
    <x v="85"/>
    <s v="Very comfortable shoes. This is my second pair of this ..."/>
    <n v="1519948800"/>
    <s v="Not Specified"/>
    <s v="Not Specified"/>
    <s v="Not Specified"/>
    <n v="100"/>
    <x v="0"/>
    <x v="8"/>
  </r>
  <r>
    <x v="0"/>
    <x v="0"/>
    <x v="73"/>
    <x v="1"/>
    <x v="8"/>
    <x v="68"/>
    <x v="10"/>
    <x v="22"/>
    <x v="17"/>
    <x v="62"/>
    <x v="86"/>
    <s v="Sleek and sporty"/>
    <n v="1519776000"/>
    <s v="Not Specified"/>
    <s v="Not Specified"/>
    <s v="Not Specified"/>
    <n v="58"/>
    <x v="0"/>
    <x v="8"/>
  </r>
  <r>
    <x v="0"/>
    <x v="0"/>
    <x v="74"/>
    <x v="1"/>
    <x v="8"/>
    <x v="69"/>
    <x v="10"/>
    <x v="21"/>
    <x v="17"/>
    <x v="5"/>
    <x v="87"/>
    <s v="I love the shoes and the description and photos were accurate"/>
    <n v="1519689600"/>
    <s v="Not Specified"/>
    <s v="Not Specified"/>
    <s v="Not Specified"/>
    <n v="269"/>
    <x v="0"/>
    <x v="8"/>
  </r>
  <r>
    <x v="0"/>
    <x v="0"/>
    <x v="74"/>
    <x v="1"/>
    <x v="8"/>
    <x v="70"/>
    <x v="10"/>
    <x v="21"/>
    <x v="21"/>
    <x v="63"/>
    <x v="88"/>
    <s v="Great fit!"/>
    <n v="1519689600"/>
    <s v="Not Specified"/>
    <s v="Not Specified"/>
    <s v="Not Specified"/>
    <n v="152"/>
    <x v="0"/>
    <x v="8"/>
  </r>
  <r>
    <x v="0"/>
    <x v="0"/>
    <x v="74"/>
    <x v="1"/>
    <x v="8"/>
    <x v="71"/>
    <x v="10"/>
    <x v="16"/>
    <x v="17"/>
    <x v="64"/>
    <x v="89"/>
    <s v="Lightweight"/>
    <n v="1519689600"/>
    <s v="Not Specified"/>
    <s v="Not Specified"/>
    <s v="Not Specified"/>
    <n v="46"/>
    <x v="0"/>
    <x v="8"/>
  </r>
  <r>
    <x v="3"/>
    <x v="0"/>
    <x v="75"/>
    <x v="1"/>
    <x v="8"/>
    <x v="72"/>
    <x v="10"/>
    <x v="21"/>
    <x v="17"/>
    <x v="65"/>
    <x v="90"/>
    <s v="Squeaky soles"/>
    <n v="1519516800"/>
    <s v="Not Specified"/>
    <s v="Not Specified"/>
    <s v="Not Specified"/>
    <n v="282"/>
    <x v="2"/>
    <x v="8"/>
  </r>
  <r>
    <x v="2"/>
    <x v="0"/>
    <x v="75"/>
    <x v="1"/>
    <x v="8"/>
    <x v="73"/>
    <x v="10"/>
    <x v="17"/>
    <x v="17"/>
    <x v="5"/>
    <x v="91"/>
    <s v="Two Stars"/>
    <n v="1519516800"/>
    <s v="Not Specified"/>
    <s v="Not Specified"/>
    <s v="Not Specified"/>
    <n v="89"/>
    <x v="2"/>
    <x v="8"/>
  </r>
  <r>
    <x v="0"/>
    <x v="0"/>
    <x v="76"/>
    <x v="1"/>
    <x v="8"/>
    <x v="74"/>
    <x v="10"/>
    <x v="15"/>
    <x v="17"/>
    <x v="66"/>
    <x v="92"/>
    <s v="Comfortable and"/>
    <n v="1519171200"/>
    <s v="Not Specified"/>
    <s v="Not Specified"/>
    <s v="Not Specified"/>
    <n v="45"/>
    <x v="0"/>
    <x v="8"/>
  </r>
  <r>
    <x v="0"/>
    <x v="0"/>
    <x v="77"/>
    <x v="1"/>
    <x v="8"/>
    <x v="75"/>
    <x v="10"/>
    <x v="22"/>
    <x v="23"/>
    <x v="67"/>
    <x v="93"/>
    <s v="Their Cute and Pink"/>
    <n v="1519084800"/>
    <s v="Not Specified"/>
    <s v="Not Specified"/>
    <s v="Not Specified"/>
    <n v="47"/>
    <x v="0"/>
    <x v="8"/>
  </r>
  <r>
    <x v="0"/>
    <x v="0"/>
    <x v="78"/>
    <x v="1"/>
    <x v="8"/>
    <x v="76"/>
    <x v="10"/>
    <x v="21"/>
    <x v="21"/>
    <x v="68"/>
    <x v="94"/>
    <s v="Five Stars"/>
    <n v="1518566400"/>
    <s v="Not Specified"/>
    <s v="Not Specified"/>
    <s v="Not Specified"/>
    <n v="46"/>
    <x v="0"/>
    <x v="8"/>
  </r>
  <r>
    <x v="0"/>
    <x v="0"/>
    <x v="78"/>
    <x v="1"/>
    <x v="8"/>
    <x v="77"/>
    <x v="10"/>
    <x v="14"/>
    <x v="17"/>
    <x v="5"/>
    <x v="95"/>
    <s v="Smooth and confortable."/>
    <n v="1518566400"/>
    <s v="Not Specified"/>
    <s v="Not Specified"/>
    <s v="Not Specified"/>
    <n v="17"/>
    <x v="0"/>
    <x v="8"/>
  </r>
  <r>
    <x v="0"/>
    <x v="0"/>
    <x v="79"/>
    <x v="1"/>
    <x v="8"/>
    <x v="78"/>
    <x v="10"/>
    <x v="15"/>
    <x v="27"/>
    <x v="69"/>
    <x v="96"/>
    <s v="Five Stars"/>
    <n v="1518393600"/>
    <s v="Not Specified"/>
    <s v="Not Specified"/>
    <s v="Not Specified"/>
    <n v="19"/>
    <x v="0"/>
    <x v="8"/>
  </r>
  <r>
    <x v="0"/>
    <x v="0"/>
    <x v="80"/>
    <x v="1"/>
    <x v="8"/>
    <x v="79"/>
    <x v="10"/>
    <x v="21"/>
    <x v="28"/>
    <x v="70"/>
    <x v="97"/>
    <s v="decent arch support and comfortably to wear all day doing regular activity and sprinting"/>
    <n v="1517443200"/>
    <s v="Not Specified"/>
    <s v="Not Specified"/>
    <s v="Not Specified"/>
    <n v="102"/>
    <x v="0"/>
    <x v="8"/>
  </r>
  <r>
    <x v="0"/>
    <x v="0"/>
    <x v="80"/>
    <x v="1"/>
    <x v="8"/>
    <x v="80"/>
    <x v="10"/>
    <x v="14"/>
    <x v="17"/>
    <x v="71"/>
    <x v="98"/>
    <s v="Five Stars"/>
    <n v="1517443200"/>
    <s v="Not Specified"/>
    <s v="Not Specified"/>
    <s v="Not Specified"/>
    <n v="19"/>
    <x v="0"/>
    <x v="8"/>
  </r>
  <r>
    <x v="0"/>
    <x v="0"/>
    <x v="81"/>
    <x v="1"/>
    <x v="2"/>
    <x v="81"/>
    <x v="10"/>
    <x v="26"/>
    <x v="28"/>
    <x v="72"/>
    <x v="99"/>
    <s v="Good shoes"/>
    <n v="1517184000"/>
    <s v="Not Specified"/>
    <s v="Not Specified"/>
    <s v="Not Specified"/>
    <n v="132"/>
    <x v="0"/>
    <x v="8"/>
  </r>
  <r>
    <x v="4"/>
    <x v="0"/>
    <x v="2"/>
    <x v="1"/>
    <x v="2"/>
    <x v="82"/>
    <x v="10"/>
    <x v="16"/>
    <x v="17"/>
    <x v="73"/>
    <x v="100"/>
    <s v="Good shoes"/>
    <n v="1516838400"/>
    <s v="Not Specified"/>
    <s v="Not Specified"/>
    <s v="Not Specified"/>
    <n v="860"/>
    <x v="0"/>
    <x v="8"/>
  </r>
  <r>
    <x v="0"/>
    <x v="0"/>
    <x v="82"/>
    <x v="1"/>
    <x v="2"/>
    <x v="83"/>
    <x v="10"/>
    <x v="22"/>
    <x v="29"/>
    <x v="74"/>
    <x v="101"/>
    <s v="Five Stars"/>
    <n v="1516233600"/>
    <s v="Not Specified"/>
    <s v="Not Specified"/>
    <s v="Not Specified"/>
    <n v="16"/>
    <x v="0"/>
    <x v="8"/>
  </r>
  <r>
    <x v="0"/>
    <x v="0"/>
    <x v="83"/>
    <x v="1"/>
    <x v="2"/>
    <x v="84"/>
    <x v="10"/>
    <x v="28"/>
    <x v="25"/>
    <x v="75"/>
    <x v="102"/>
    <s v="Five Stars"/>
    <n v="1515628800"/>
    <s v="Not Specified"/>
    <s v="Not Specified"/>
    <s v="Not Specified"/>
    <n v="81"/>
    <x v="0"/>
    <x v="8"/>
  </r>
  <r>
    <x v="3"/>
    <x v="0"/>
    <x v="84"/>
    <x v="1"/>
    <x v="2"/>
    <x v="85"/>
    <x v="10"/>
    <x v="24"/>
    <x v="30"/>
    <x v="76"/>
    <x v="103"/>
    <s v="One Star"/>
    <n v="1515542400"/>
    <s v="Not Specified"/>
    <s v="Not Specified"/>
    <s v="Not Specified"/>
    <n v="27"/>
    <x v="2"/>
    <x v="8"/>
  </r>
  <r>
    <x v="0"/>
    <x v="0"/>
    <x v="84"/>
    <x v="1"/>
    <x v="2"/>
    <x v="86"/>
    <x v="10"/>
    <x v="16"/>
    <x v="17"/>
    <x v="77"/>
    <x v="104"/>
    <s v="Glad I read the reviews and ordered a half size ..."/>
    <n v="1515542400"/>
    <s v="Not Specified"/>
    <s v="Not Specified"/>
    <n v="2"/>
    <n v="617"/>
    <x v="0"/>
    <x v="8"/>
  </r>
  <r>
    <x v="1"/>
    <x v="0"/>
    <x v="85"/>
    <x v="1"/>
    <x v="2"/>
    <x v="87"/>
    <x v="10"/>
    <x v="16"/>
    <x v="21"/>
    <x v="78"/>
    <x v="105"/>
    <s v="Not in perfect condition"/>
    <n v="1515456000"/>
    <s v="Not Specified"/>
    <s v="Not Specified"/>
    <s v="Not Specified"/>
    <n v="54"/>
    <x v="1"/>
    <x v="8"/>
  </r>
  <r>
    <x v="0"/>
    <x v="0"/>
    <x v="86"/>
    <x v="1"/>
    <x v="2"/>
    <x v="88"/>
    <x v="10"/>
    <x v="17"/>
    <x v="17"/>
    <x v="79"/>
    <x v="106"/>
    <s v="Very comfortable, cute, and long-lasting"/>
    <n v="1515369600"/>
    <s v="Not Specified"/>
    <s v="Not Specified"/>
    <s v="Not Specified"/>
    <n v="715"/>
    <x v="0"/>
    <x v="8"/>
  </r>
  <r>
    <x v="0"/>
    <x v="0"/>
    <x v="86"/>
    <x v="1"/>
    <x v="2"/>
    <x v="89"/>
    <x v="10"/>
    <x v="24"/>
    <x v="31"/>
    <x v="80"/>
    <x v="107"/>
    <s v="Super light-weight, nice tread and arch support - love them so far!"/>
    <n v="1515369600"/>
    <s v="Not Specified"/>
    <s v="Not Specified"/>
    <s v="Not Specified"/>
    <n v="1003"/>
    <x v="0"/>
    <x v="8"/>
  </r>
  <r>
    <x v="0"/>
    <x v="0"/>
    <x v="87"/>
    <x v="1"/>
    <x v="2"/>
    <x v="90"/>
    <x v="10"/>
    <x v="21"/>
    <x v="23"/>
    <x v="81"/>
    <x v="108"/>
    <s v="Five Stars"/>
    <n v="1515283200"/>
    <s v="Not Specified"/>
    <s v="Not Specified"/>
    <s v="Not Specified"/>
    <n v="51"/>
    <x v="0"/>
    <x v="8"/>
  </r>
  <r>
    <x v="0"/>
    <x v="0"/>
    <x v="88"/>
    <x v="2"/>
    <x v="11"/>
    <x v="91"/>
    <x v="10"/>
    <x v="29"/>
    <x v="25"/>
    <x v="5"/>
    <x v="109"/>
    <s v="My wife loves these shoes. We have both been ..."/>
    <n v="1514505600"/>
    <s v="Not Specified"/>
    <s v="Not Specified"/>
    <s v="Not Specified"/>
    <n v="240"/>
    <x v="0"/>
    <x v="8"/>
  </r>
  <r>
    <x v="0"/>
    <x v="0"/>
    <x v="89"/>
    <x v="2"/>
    <x v="11"/>
    <x v="92"/>
    <x v="10"/>
    <x v="15"/>
    <x v="27"/>
    <x v="82"/>
    <x v="110"/>
    <s v="New Favorite Shoes"/>
    <n v="1514419200"/>
    <s v="Not Specified"/>
    <s v="Not Specified"/>
    <s v="Not Specified"/>
    <n v="68"/>
    <x v="0"/>
    <x v="8"/>
  </r>
  <r>
    <x v="2"/>
    <x v="0"/>
    <x v="90"/>
    <x v="2"/>
    <x v="11"/>
    <x v="93"/>
    <x v="10"/>
    <x v="25"/>
    <x v="29"/>
    <x v="83"/>
    <x v="111"/>
    <s v="Foam compresses"/>
    <n v="1513468800"/>
    <s v="Not Specified"/>
    <s v="Not Specified"/>
    <s v="Not Specified"/>
    <n v="263"/>
    <x v="2"/>
    <x v="8"/>
  </r>
  <r>
    <x v="0"/>
    <x v="0"/>
    <x v="90"/>
    <x v="2"/>
    <x v="11"/>
    <x v="94"/>
    <x v="10"/>
    <x v="21"/>
    <x v="17"/>
    <x v="84"/>
    <x v="112"/>
    <s v="Five Stars"/>
    <n v="1513468800"/>
    <s v="Not Specified"/>
    <s v="Not Specified"/>
    <s v="Not Specified"/>
    <n v="14"/>
    <x v="0"/>
    <x v="8"/>
  </r>
  <r>
    <x v="1"/>
    <x v="0"/>
    <x v="91"/>
    <x v="2"/>
    <x v="11"/>
    <x v="95"/>
    <x v="10"/>
    <x v="17"/>
    <x v="23"/>
    <x v="85"/>
    <x v="113"/>
    <s v="I usually wear a 9 but could have easily ordered a 8"/>
    <n v="1512432000"/>
    <s v="Not Specified"/>
    <s v="Not Specified"/>
    <s v="Not Specified"/>
    <n v="757"/>
    <x v="1"/>
    <x v="8"/>
  </r>
  <r>
    <x v="0"/>
    <x v="0"/>
    <x v="91"/>
    <x v="2"/>
    <x v="11"/>
    <x v="96"/>
    <x v="10"/>
    <x v="21"/>
    <x v="24"/>
    <x v="86"/>
    <x v="114"/>
    <s v="Five Stars"/>
    <n v="1512432000"/>
    <s v="Not Specified"/>
    <s v="Not Specified"/>
    <s v="Not Specified"/>
    <n v="5"/>
    <x v="0"/>
    <x v="8"/>
  </r>
  <r>
    <x v="0"/>
    <x v="0"/>
    <x v="92"/>
    <x v="2"/>
    <x v="11"/>
    <x v="97"/>
    <x v="10"/>
    <x v="26"/>
    <x v="24"/>
    <x v="5"/>
    <x v="115"/>
    <s v="Five Stars"/>
    <n v="1512345600"/>
    <s v="Not Specified"/>
    <s v="Not Specified"/>
    <s v="Not Specified"/>
    <n v="1"/>
    <x v="0"/>
    <x v="8"/>
  </r>
  <r>
    <x v="0"/>
    <x v="0"/>
    <x v="93"/>
    <x v="2"/>
    <x v="7"/>
    <x v="98"/>
    <x v="10"/>
    <x v="17"/>
    <x v="23"/>
    <x v="87"/>
    <x v="116"/>
    <s v="Five Stars"/>
    <n v="1512000000"/>
    <s v="Not Specified"/>
    <s v="Not Specified"/>
    <s v="Not Specified"/>
    <n v="10"/>
    <x v="0"/>
    <x v="8"/>
  </r>
  <r>
    <x v="1"/>
    <x v="0"/>
    <x v="93"/>
    <x v="2"/>
    <x v="7"/>
    <x v="99"/>
    <x v="10"/>
    <x v="17"/>
    <x v="17"/>
    <x v="5"/>
    <x v="117"/>
    <s v="Fits snug"/>
    <n v="1512000000"/>
    <s v="Not Specified"/>
    <s v="Not Specified"/>
    <s v="Not Specified"/>
    <n v="192"/>
    <x v="1"/>
    <x v="8"/>
  </r>
  <r>
    <x v="1"/>
    <x v="0"/>
    <x v="94"/>
    <x v="2"/>
    <x v="7"/>
    <x v="100"/>
    <x v="10"/>
    <x v="24"/>
    <x v="22"/>
    <x v="88"/>
    <x v="118"/>
    <s v="Not sure why, but my mid section of my ..."/>
    <n v="1511827200"/>
    <s v="Not Specified"/>
    <s v="Not Specified"/>
    <s v="Not Specified"/>
    <n v="194"/>
    <x v="1"/>
    <x v="8"/>
  </r>
  <r>
    <x v="4"/>
    <x v="0"/>
    <x v="94"/>
    <x v="2"/>
    <x v="7"/>
    <x v="101"/>
    <x v="10"/>
    <x v="30"/>
    <x v="28"/>
    <x v="89"/>
    <x v="119"/>
    <s v="Love"/>
    <n v="1511827200"/>
    <s v="Not Specified"/>
    <s v="Not Specified"/>
    <s v="Not Specified"/>
    <n v="27"/>
    <x v="0"/>
    <x v="8"/>
  </r>
  <r>
    <x v="0"/>
    <x v="0"/>
    <x v="95"/>
    <x v="2"/>
    <x v="7"/>
    <x v="102"/>
    <x v="10"/>
    <x v="17"/>
    <x v="24"/>
    <x v="90"/>
    <x v="120"/>
    <s v="Five Stars"/>
    <n v="1511740800"/>
    <s v="Not Specified"/>
    <s v="Not Specified"/>
    <s v="Not Specified"/>
    <n v="8"/>
    <x v="0"/>
    <x v="8"/>
  </r>
  <r>
    <x v="0"/>
    <x v="0"/>
    <x v="95"/>
    <x v="2"/>
    <x v="7"/>
    <x v="102"/>
    <x v="10"/>
    <x v="17"/>
    <x v="27"/>
    <x v="90"/>
    <x v="120"/>
    <s v="Five Stars"/>
    <n v="1511740800"/>
    <s v="Not Specified"/>
    <s v="Not Specified"/>
    <s v="Not Specified"/>
    <n v="8"/>
    <x v="0"/>
    <x v="8"/>
  </r>
  <r>
    <x v="3"/>
    <x v="0"/>
    <x v="96"/>
    <x v="2"/>
    <x v="7"/>
    <x v="103"/>
    <x v="10"/>
    <x v="15"/>
    <x v="17"/>
    <x v="91"/>
    <x v="121"/>
    <s v="TOO NARROW!"/>
    <n v="1511049600"/>
    <s v="Not Specified"/>
    <s v="Not Specified"/>
    <s v="Not Specified"/>
    <n v="133"/>
    <x v="2"/>
    <x v="8"/>
  </r>
  <r>
    <x v="0"/>
    <x v="0"/>
    <x v="97"/>
    <x v="2"/>
    <x v="7"/>
    <x v="104"/>
    <x v="10"/>
    <x v="17"/>
    <x v="24"/>
    <x v="92"/>
    <x v="122"/>
    <s v="Consider sizing down 1 size"/>
    <n v="1510617600"/>
    <s v="Not Specified"/>
    <s v="Not Specified"/>
    <s v="Not Specified"/>
    <n v="232"/>
    <x v="0"/>
    <x v="8"/>
  </r>
  <r>
    <x v="4"/>
    <x v="0"/>
    <x v="98"/>
    <x v="2"/>
    <x v="7"/>
    <x v="105"/>
    <x v="10"/>
    <x v="21"/>
    <x v="32"/>
    <x v="93"/>
    <x v="123"/>
    <s v="Seem to Run Big"/>
    <n v="1510358400"/>
    <s v="Not Specified"/>
    <s v="Not Specified"/>
    <s v="Not Specified"/>
    <n v="104"/>
    <x v="0"/>
    <x v="8"/>
  </r>
  <r>
    <x v="0"/>
    <x v="0"/>
    <x v="99"/>
    <x v="2"/>
    <x v="7"/>
    <x v="106"/>
    <x v="10"/>
    <x v="30"/>
    <x v="28"/>
    <x v="94"/>
    <x v="124"/>
    <s v="Five Stars"/>
    <n v="1510272000"/>
    <s v="Not Specified"/>
    <s v="Not Specified"/>
    <s v="Not Specified"/>
    <n v="15"/>
    <x v="0"/>
    <x v="8"/>
  </r>
  <r>
    <x v="0"/>
    <x v="0"/>
    <x v="100"/>
    <x v="2"/>
    <x v="7"/>
    <x v="107"/>
    <x v="10"/>
    <x v="14"/>
    <x v="17"/>
    <x v="5"/>
    <x v="125"/>
    <s v="Perfect for trails"/>
    <n v="1510185600"/>
    <s v="Not Specified"/>
    <s v="Not Specified"/>
    <s v="Not Specified"/>
    <n v="278"/>
    <x v="0"/>
    <x v="8"/>
  </r>
  <r>
    <x v="4"/>
    <x v="0"/>
    <x v="101"/>
    <x v="2"/>
    <x v="7"/>
    <x v="108"/>
    <x v="10"/>
    <x v="17"/>
    <x v="23"/>
    <x v="95"/>
    <x v="126"/>
    <s v="Four Stars"/>
    <n v="1510012800"/>
    <s v="Not Specified"/>
    <s v="Not Specified"/>
    <s v="Not Specified"/>
    <n v="8"/>
    <x v="0"/>
    <x v="8"/>
  </r>
  <r>
    <x v="2"/>
    <x v="0"/>
    <x v="102"/>
    <x v="2"/>
    <x v="7"/>
    <x v="109"/>
    <x v="10"/>
    <x v="14"/>
    <x v="33"/>
    <x v="5"/>
    <x v="127"/>
    <s v="Zumba) - and really wanted to like them, since I loved the color and the ..."/>
    <n v="1509840000"/>
    <s v="Not Specified"/>
    <s v="Not Specified"/>
    <n v="6"/>
    <n v="467"/>
    <x v="2"/>
    <x v="8"/>
  </r>
  <r>
    <x v="0"/>
    <x v="0"/>
    <x v="103"/>
    <x v="2"/>
    <x v="7"/>
    <x v="110"/>
    <x v="10"/>
    <x v="22"/>
    <x v="23"/>
    <x v="96"/>
    <x v="128"/>
    <s v="Five Stars"/>
    <n v="1509753600"/>
    <s v="Not Specified"/>
    <s v="Not Specified"/>
    <s v="Not Specified"/>
    <n v="39"/>
    <x v="0"/>
    <x v="8"/>
  </r>
  <r>
    <x v="1"/>
    <x v="0"/>
    <x v="103"/>
    <x v="2"/>
    <x v="7"/>
    <x v="111"/>
    <x v="10"/>
    <x v="16"/>
    <x v="33"/>
    <x v="97"/>
    <x v="129"/>
    <s v="Three Stars"/>
    <n v="1509753600"/>
    <s v="Not Specified"/>
    <s v="Not Specified"/>
    <s v="Not Specified"/>
    <n v="38"/>
    <x v="1"/>
    <x v="8"/>
  </r>
  <r>
    <x v="4"/>
    <x v="0"/>
    <x v="104"/>
    <x v="2"/>
    <x v="7"/>
    <x v="112"/>
    <x v="10"/>
    <x v="21"/>
    <x v="23"/>
    <x v="98"/>
    <x v="130"/>
    <s v="Size problem"/>
    <n v="1509667200"/>
    <s v="Not Specified"/>
    <s v="Not Specified"/>
    <s v="Not Specified"/>
    <n v="23"/>
    <x v="0"/>
    <x v="8"/>
  </r>
  <r>
    <x v="0"/>
    <x v="0"/>
    <x v="105"/>
    <x v="2"/>
    <x v="7"/>
    <x v="113"/>
    <x v="10"/>
    <x v="21"/>
    <x v="24"/>
    <x v="99"/>
    <x v="116"/>
    <s v="Five Stars"/>
    <n v="1509580800"/>
    <s v="Not Specified"/>
    <s v="Not Specified"/>
    <s v="Not Specified"/>
    <n v="10"/>
    <x v="0"/>
    <x v="8"/>
  </r>
  <r>
    <x v="4"/>
    <x v="0"/>
    <x v="106"/>
    <x v="2"/>
    <x v="3"/>
    <x v="114"/>
    <x v="10"/>
    <x v="15"/>
    <x v="34"/>
    <x v="100"/>
    <x v="131"/>
    <s v="True to size, would recommend"/>
    <n v="1509408000"/>
    <s v="Not Specified"/>
    <s v="Not Specified"/>
    <s v="Not Specified"/>
    <n v="152"/>
    <x v="0"/>
    <x v="8"/>
  </r>
  <r>
    <x v="0"/>
    <x v="0"/>
    <x v="107"/>
    <x v="2"/>
    <x v="3"/>
    <x v="115"/>
    <x v="10"/>
    <x v="22"/>
    <x v="23"/>
    <x v="101"/>
    <x v="132"/>
    <s v="Best birthday present"/>
    <n v="1509235200"/>
    <s v="Not Specified"/>
    <s v="Not Specified"/>
    <s v="Not Specified"/>
    <n v="21"/>
    <x v="0"/>
    <x v="8"/>
  </r>
  <r>
    <x v="0"/>
    <x v="0"/>
    <x v="108"/>
    <x v="2"/>
    <x v="3"/>
    <x v="116"/>
    <x v="10"/>
    <x v="30"/>
    <x v="17"/>
    <x v="102"/>
    <x v="133"/>
    <s v="Purchased these for my wife as she has a similar ..."/>
    <n v="1508976000"/>
    <s v="Not Specified"/>
    <s v="Not Specified"/>
    <s v="Not Specified"/>
    <n v="185"/>
    <x v="0"/>
    <x v="8"/>
  </r>
  <r>
    <x v="0"/>
    <x v="0"/>
    <x v="108"/>
    <x v="2"/>
    <x v="3"/>
    <x v="117"/>
    <x v="10"/>
    <x v="14"/>
    <x v="24"/>
    <x v="103"/>
    <x v="134"/>
    <s v="I have pretty high arches and my calves always hurt at the ..."/>
    <n v="1508976000"/>
    <s v="Not Specified"/>
    <s v="Not Specified"/>
    <s v="Not Specified"/>
    <n v="351"/>
    <x v="0"/>
    <x v="8"/>
  </r>
  <r>
    <x v="0"/>
    <x v="0"/>
    <x v="12"/>
    <x v="2"/>
    <x v="3"/>
    <x v="118"/>
    <x v="10"/>
    <x v="21"/>
    <x v="35"/>
    <x v="104"/>
    <x v="135"/>
    <s v="Five Stars"/>
    <n v="1508889600"/>
    <s v="Not Specified"/>
    <s v="Not Specified"/>
    <s v="Not Specified"/>
    <n v="11"/>
    <x v="0"/>
    <x v="8"/>
  </r>
  <r>
    <x v="0"/>
    <x v="0"/>
    <x v="109"/>
    <x v="2"/>
    <x v="3"/>
    <x v="119"/>
    <x v="10"/>
    <x v="15"/>
    <x v="33"/>
    <x v="105"/>
    <x v="136"/>
    <s v="Five Stars"/>
    <n v="1508803200"/>
    <s v="Not Specified"/>
    <s v="Not Specified"/>
    <s v="Not Specified"/>
    <n v="35"/>
    <x v="0"/>
    <x v="8"/>
  </r>
  <r>
    <x v="0"/>
    <x v="0"/>
    <x v="110"/>
    <x v="2"/>
    <x v="3"/>
    <x v="120"/>
    <x v="10"/>
    <x v="21"/>
    <x v="36"/>
    <x v="106"/>
    <x v="137"/>
    <s v="Five Stars"/>
    <n v="1508630400"/>
    <s v="Not Specified"/>
    <s v="Not Specified"/>
    <s v="Not Specified"/>
    <n v="14"/>
    <x v="0"/>
    <x v="8"/>
  </r>
  <r>
    <x v="1"/>
    <x v="0"/>
    <x v="111"/>
    <x v="2"/>
    <x v="3"/>
    <x v="121"/>
    <x v="10"/>
    <x v="17"/>
    <x v="23"/>
    <x v="107"/>
    <x v="138"/>
    <s v="They are really light and not as sturdy as what I was looking for but over all ..."/>
    <n v="1508284800"/>
    <s v="Not Specified"/>
    <s v="Not Specified"/>
    <s v="Not Specified"/>
    <n v="201"/>
    <x v="1"/>
    <x v="8"/>
  </r>
  <r>
    <x v="0"/>
    <x v="0"/>
    <x v="112"/>
    <x v="2"/>
    <x v="3"/>
    <x v="122"/>
    <x v="10"/>
    <x v="15"/>
    <x v="24"/>
    <x v="5"/>
    <x v="139"/>
    <s v="Five Stars"/>
    <n v="1507852800"/>
    <s v="Not Specified"/>
    <s v="Not Specified"/>
    <s v="Not Specified"/>
    <n v="25"/>
    <x v="0"/>
    <x v="8"/>
  </r>
  <r>
    <x v="1"/>
    <x v="0"/>
    <x v="113"/>
    <x v="2"/>
    <x v="3"/>
    <x v="123"/>
    <x v="10"/>
    <x v="31"/>
    <x v="17"/>
    <x v="108"/>
    <x v="140"/>
    <s v="l always buy Nike shoes and been happy so far"/>
    <n v="1507593600"/>
    <s v="Not Specified"/>
    <s v="Not Specified"/>
    <s v="Not Specified"/>
    <n v="192"/>
    <x v="1"/>
    <x v="8"/>
  </r>
  <r>
    <x v="0"/>
    <x v="0"/>
    <x v="114"/>
    <x v="2"/>
    <x v="3"/>
    <x v="124"/>
    <x v="10"/>
    <x v="24"/>
    <x v="12"/>
    <x v="109"/>
    <x v="141"/>
    <s v="Honestly Fantastic Shoes"/>
    <n v="1506988800"/>
    <s v="Not Specified"/>
    <s v="Not Specified"/>
    <s v="Not Specified"/>
    <n v="230"/>
    <x v="0"/>
    <x v="8"/>
  </r>
  <r>
    <x v="0"/>
    <x v="0"/>
    <x v="115"/>
    <x v="2"/>
    <x v="3"/>
    <x v="125"/>
    <x v="10"/>
    <x v="15"/>
    <x v="24"/>
    <x v="5"/>
    <x v="142"/>
    <s v="Absolutely love these shoes and color"/>
    <n v="1506902400"/>
    <s v="Not Specified"/>
    <s v="Not Specified"/>
    <s v="Not Specified"/>
    <n v="171"/>
    <x v="0"/>
    <x v="8"/>
  </r>
  <r>
    <x v="0"/>
    <x v="0"/>
    <x v="116"/>
    <x v="2"/>
    <x v="0"/>
    <x v="126"/>
    <x v="10"/>
    <x v="17"/>
    <x v="12"/>
    <x v="110"/>
    <x v="143"/>
    <s v="Five Stars"/>
    <n v="1506470400"/>
    <s v="Not Specified"/>
    <s v="Not Specified"/>
    <s v="Not Specified"/>
    <n v="12"/>
    <x v="0"/>
    <x v="8"/>
  </r>
  <r>
    <x v="0"/>
    <x v="0"/>
    <x v="116"/>
    <x v="2"/>
    <x v="0"/>
    <x v="127"/>
    <x v="10"/>
    <x v="32"/>
    <x v="37"/>
    <x v="111"/>
    <x v="144"/>
    <s v="Nike runs small"/>
    <n v="1506470400"/>
    <s v="Not Specified"/>
    <s v="Not Specified"/>
    <s v="Not Specified"/>
    <n v="70"/>
    <x v="0"/>
    <x v="8"/>
  </r>
  <r>
    <x v="0"/>
    <x v="0"/>
    <x v="33"/>
    <x v="2"/>
    <x v="0"/>
    <x v="128"/>
    <x v="10"/>
    <x v="16"/>
    <x v="17"/>
    <x v="112"/>
    <x v="145"/>
    <s v="Five Stars"/>
    <n v="1506384000"/>
    <s v="Not Specified"/>
    <s v="Not Specified"/>
    <s v="Not Specified"/>
    <n v="9"/>
    <x v="0"/>
    <x v="8"/>
  </r>
  <r>
    <x v="0"/>
    <x v="0"/>
    <x v="117"/>
    <x v="2"/>
    <x v="0"/>
    <x v="129"/>
    <x v="10"/>
    <x v="22"/>
    <x v="17"/>
    <x v="113"/>
    <x v="146"/>
    <s v="Five Stars"/>
    <n v="1506297600"/>
    <s v="Not Specified"/>
    <s v="Not Specified"/>
    <s v="Not Specified"/>
    <n v="50"/>
    <x v="0"/>
    <x v="8"/>
  </r>
  <r>
    <x v="0"/>
    <x v="0"/>
    <x v="118"/>
    <x v="2"/>
    <x v="0"/>
    <x v="130"/>
    <x v="10"/>
    <x v="22"/>
    <x v="12"/>
    <x v="5"/>
    <x v="147"/>
    <s v="Very Happy Customer"/>
    <n v="1505865600"/>
    <s v="Not Specified"/>
    <s v="Not Specified"/>
    <s v="Not Specified"/>
    <n v="370"/>
    <x v="0"/>
    <x v="8"/>
  </r>
  <r>
    <x v="0"/>
    <x v="0"/>
    <x v="119"/>
    <x v="2"/>
    <x v="0"/>
    <x v="131"/>
    <x v="10"/>
    <x v="21"/>
    <x v="17"/>
    <x v="114"/>
    <x v="148"/>
    <s v="and very comfortable."/>
    <n v="1505692800"/>
    <s v="Not Specified"/>
    <s v="Not Specified"/>
    <s v="Not Specified"/>
    <n v="49"/>
    <x v="0"/>
    <x v="8"/>
  </r>
  <r>
    <x v="0"/>
    <x v="0"/>
    <x v="120"/>
    <x v="2"/>
    <x v="0"/>
    <x v="132"/>
    <x v="10"/>
    <x v="22"/>
    <x v="33"/>
    <x v="5"/>
    <x v="149"/>
    <s v="nice sneakers. Fit as expected"/>
    <n v="1505520000"/>
    <s v="Not Specified"/>
    <s v="Not Specified"/>
    <s v="Not Specified"/>
    <n v="40"/>
    <x v="0"/>
    <x v="8"/>
  </r>
  <r>
    <x v="0"/>
    <x v="0"/>
    <x v="121"/>
    <x v="2"/>
    <x v="0"/>
    <x v="133"/>
    <x v="10"/>
    <x v="15"/>
    <x v="34"/>
    <x v="115"/>
    <x v="150"/>
    <s v="5 stars"/>
    <n v="1505347200"/>
    <s v="Not Specified"/>
    <s v="Not Specified"/>
    <s v="Not Specified"/>
    <n v="23"/>
    <x v="0"/>
    <x v="8"/>
  </r>
  <r>
    <x v="0"/>
    <x v="0"/>
    <x v="122"/>
    <x v="2"/>
    <x v="0"/>
    <x v="134"/>
    <x v="10"/>
    <x v="21"/>
    <x v="38"/>
    <x v="116"/>
    <x v="151"/>
    <s v="Five Stars"/>
    <n v="1505260800"/>
    <s v="Not Specified"/>
    <s v="Not Specified"/>
    <s v="Not Specified"/>
    <n v="28"/>
    <x v="0"/>
    <x v="8"/>
  </r>
  <r>
    <x v="0"/>
    <x v="0"/>
    <x v="123"/>
    <x v="2"/>
    <x v="0"/>
    <x v="135"/>
    <x v="10"/>
    <x v="17"/>
    <x v="23"/>
    <x v="5"/>
    <x v="152"/>
    <s v="Five Stars"/>
    <n v="1505001600"/>
    <s v="Not Specified"/>
    <s v="Not Specified"/>
    <s v="Not Specified"/>
    <n v="48"/>
    <x v="0"/>
    <x v="8"/>
  </r>
  <r>
    <x v="0"/>
    <x v="0"/>
    <x v="124"/>
    <x v="2"/>
    <x v="0"/>
    <x v="136"/>
    <x v="10"/>
    <x v="21"/>
    <x v="33"/>
    <x v="117"/>
    <x v="153"/>
    <s v="These shoes fit like a glove"/>
    <n v="1504742400"/>
    <s v="Not Specified"/>
    <s v="Not Specified"/>
    <s v="Not Specified"/>
    <n v="119"/>
    <x v="0"/>
    <x v="8"/>
  </r>
  <r>
    <x v="0"/>
    <x v="0"/>
    <x v="125"/>
    <x v="2"/>
    <x v="0"/>
    <x v="137"/>
    <x v="10"/>
    <x v="22"/>
    <x v="23"/>
    <x v="118"/>
    <x v="154"/>
    <s v="Five Stars"/>
    <n v="1504569600"/>
    <s v="Not Specified"/>
    <s v="Not Specified"/>
    <s v="Not Specified"/>
    <n v="16"/>
    <x v="0"/>
    <x v="8"/>
  </r>
  <r>
    <x v="0"/>
    <x v="0"/>
    <x v="126"/>
    <x v="2"/>
    <x v="0"/>
    <x v="138"/>
    <x v="10"/>
    <x v="22"/>
    <x v="17"/>
    <x v="119"/>
    <x v="155"/>
    <s v="Five Stars"/>
    <n v="1504483200"/>
    <s v="Not Specified"/>
    <s v="Not Specified"/>
    <s v="Not Specified"/>
    <n v="12"/>
    <x v="0"/>
    <x v="8"/>
  </r>
  <r>
    <x v="4"/>
    <x v="0"/>
    <x v="127"/>
    <x v="2"/>
    <x v="4"/>
    <x v="139"/>
    <x v="10"/>
    <x v="21"/>
    <x v="33"/>
    <x v="120"/>
    <x v="156"/>
    <s v="Nike always makes a good shoe."/>
    <n v="1503964800"/>
    <s v="Not Specified"/>
    <s v="Not Specified"/>
    <s v="Not Specified"/>
    <n v="118"/>
    <x v="0"/>
    <x v="8"/>
  </r>
  <r>
    <x v="3"/>
    <x v="0"/>
    <x v="127"/>
    <x v="2"/>
    <x v="4"/>
    <x v="140"/>
    <x v="10"/>
    <x v="31"/>
    <x v="17"/>
    <x v="121"/>
    <x v="157"/>
    <s v="One Star"/>
    <n v="1503964800"/>
    <s v="Not Specified"/>
    <s v="Not Specified"/>
    <s v="Not Specified"/>
    <n v="52"/>
    <x v="2"/>
    <x v="8"/>
  </r>
  <r>
    <x v="0"/>
    <x v="0"/>
    <x v="127"/>
    <x v="2"/>
    <x v="4"/>
    <x v="141"/>
    <x v="10"/>
    <x v="17"/>
    <x v="17"/>
    <x v="122"/>
    <x v="158"/>
    <s v="Five Stars"/>
    <n v="1503964800"/>
    <s v="Not Specified"/>
    <s v="Not Specified"/>
    <s v="Not Specified"/>
    <n v="30"/>
    <x v="0"/>
    <x v="8"/>
  </r>
  <r>
    <x v="0"/>
    <x v="0"/>
    <x v="128"/>
    <x v="2"/>
    <x v="4"/>
    <x v="142"/>
    <x v="10"/>
    <x v="15"/>
    <x v="12"/>
    <x v="123"/>
    <x v="159"/>
    <s v=" Shoes"/>
    <n v="1503792000"/>
    <s v="Not Specified"/>
    <s v="Not Specified"/>
    <s v="Not Specified"/>
    <n v="17"/>
    <x v="0"/>
    <x v="8"/>
  </r>
  <r>
    <x v="4"/>
    <x v="0"/>
    <x v="129"/>
    <x v="2"/>
    <x v="4"/>
    <x v="143"/>
    <x v="10"/>
    <x v="17"/>
    <x v="31"/>
    <x v="124"/>
    <x v="160"/>
    <s v="Love these shoes"/>
    <n v="1503532800"/>
    <s v="Not Specified"/>
    <s v="Not Specified"/>
    <s v="Not Specified"/>
    <n v="225"/>
    <x v="0"/>
    <x v="8"/>
  </r>
  <r>
    <x v="3"/>
    <x v="0"/>
    <x v="129"/>
    <x v="2"/>
    <x v="4"/>
    <x v="144"/>
    <x v="10"/>
    <x v="22"/>
    <x v="29"/>
    <x v="125"/>
    <x v="161"/>
    <s v="I loved these shoes"/>
    <n v="1503532800"/>
    <s v="Not Specified"/>
    <s v="Not Specified"/>
    <s v="Not Specified"/>
    <n v="213"/>
    <x v="2"/>
    <x v="8"/>
  </r>
  <r>
    <x v="0"/>
    <x v="0"/>
    <x v="130"/>
    <x v="2"/>
    <x v="4"/>
    <x v="145"/>
    <x v="10"/>
    <x v="30"/>
    <x v="24"/>
    <x v="126"/>
    <x v="162"/>
    <s v="perfect"/>
    <n v="1503273600"/>
    <s v="Not Specified"/>
    <s v="Not Specified"/>
    <s v="Not Specified"/>
    <n v="55"/>
    <x v="0"/>
    <x v="8"/>
  </r>
  <r>
    <x v="0"/>
    <x v="0"/>
    <x v="131"/>
    <x v="2"/>
    <x v="4"/>
    <x v="146"/>
    <x v="10"/>
    <x v="14"/>
    <x v="17"/>
    <x v="127"/>
    <x v="163"/>
    <s v="Five Stars"/>
    <n v="1503187200"/>
    <s v="Not Specified"/>
    <s v="Not Specified"/>
    <s v="Not Specified"/>
    <n v="10"/>
    <x v="0"/>
    <x v="8"/>
  </r>
  <r>
    <x v="1"/>
    <x v="0"/>
    <x v="132"/>
    <x v="2"/>
    <x v="4"/>
    <x v="147"/>
    <x v="10"/>
    <x v="30"/>
    <x v="39"/>
    <x v="128"/>
    <x v="164"/>
    <s v="found a Ryka pair I liked"/>
    <n v="1502928000"/>
    <s v="Not Specified"/>
    <s v="Not Specified"/>
    <s v="Not Specified"/>
    <n v="50"/>
    <x v="1"/>
    <x v="8"/>
  </r>
  <r>
    <x v="0"/>
    <x v="0"/>
    <x v="132"/>
    <x v="2"/>
    <x v="4"/>
    <x v="148"/>
    <x v="10"/>
    <x v="15"/>
    <x v="17"/>
    <x v="129"/>
    <x v="165"/>
    <s v="Five Stars"/>
    <n v="1502928000"/>
    <s v="Not Specified"/>
    <s v="Not Specified"/>
    <s v="Not Specified"/>
    <n v="37"/>
    <x v="0"/>
    <x v="8"/>
  </r>
  <r>
    <x v="0"/>
    <x v="0"/>
    <x v="133"/>
    <x v="2"/>
    <x v="4"/>
    <x v="149"/>
    <x v="10"/>
    <x v="3"/>
    <x v="26"/>
    <x v="5"/>
    <x v="166"/>
    <s v="Five Stars"/>
    <n v="1502755200"/>
    <s v="Not Specified"/>
    <s v="Not Specified"/>
    <s v="Not Specified"/>
    <n v="16"/>
    <x v="0"/>
    <x v="8"/>
  </r>
  <r>
    <x v="0"/>
    <x v="0"/>
    <x v="134"/>
    <x v="2"/>
    <x v="4"/>
    <x v="150"/>
    <x v="10"/>
    <x v="21"/>
    <x v="17"/>
    <x v="130"/>
    <x v="167"/>
    <s v="the best sneakers by far"/>
    <n v="1502668800"/>
    <s v="Not Specified"/>
    <s v="Not Specified"/>
    <s v="Not Specified"/>
    <n v="145"/>
    <x v="0"/>
    <x v="8"/>
  </r>
  <r>
    <x v="0"/>
    <x v="0"/>
    <x v="135"/>
    <x v="2"/>
    <x v="4"/>
    <x v="151"/>
    <x v="10"/>
    <x v="17"/>
    <x v="17"/>
    <x v="131"/>
    <x v="168"/>
    <s v="Classically comfortable and durable"/>
    <n v="1502496000"/>
    <s v="Not Specified"/>
    <s v="Not Specified"/>
    <s v="Not Specified"/>
    <n v="230"/>
    <x v="0"/>
    <x v="8"/>
  </r>
  <r>
    <x v="4"/>
    <x v="0"/>
    <x v="136"/>
    <x v="2"/>
    <x v="4"/>
    <x v="152"/>
    <x v="10"/>
    <x v="30"/>
    <x v="17"/>
    <x v="132"/>
    <x v="169"/>
    <s v="Four Stars"/>
    <n v="1502409600"/>
    <s v="Not Specified"/>
    <s v="Not Specified"/>
    <s v="Not Specified"/>
    <n v="59"/>
    <x v="0"/>
    <x v="8"/>
  </r>
  <r>
    <x v="1"/>
    <x v="0"/>
    <x v="137"/>
    <x v="2"/>
    <x v="4"/>
    <x v="153"/>
    <x v="10"/>
    <x v="17"/>
    <x v="17"/>
    <x v="133"/>
    <x v="170"/>
    <s v="the Nike Womens Flex Trainer 6 is way better looking and costs about the same"/>
    <n v="1502150400"/>
    <s v="Not Specified"/>
    <s v="Not Specified"/>
    <s v="Not Specified"/>
    <n v="138"/>
    <x v="1"/>
    <x v="8"/>
  </r>
  <r>
    <x v="0"/>
    <x v="0"/>
    <x v="137"/>
    <x v="2"/>
    <x v="4"/>
    <x v="154"/>
    <x v="10"/>
    <x v="25"/>
    <x v="17"/>
    <x v="134"/>
    <x v="171"/>
    <s v="Five Stars"/>
    <n v="1502150400"/>
    <s v="Not Specified"/>
    <s v="Not Specified"/>
    <s v="Not Specified"/>
    <n v="27"/>
    <x v="0"/>
    <x v="8"/>
  </r>
  <r>
    <x v="0"/>
    <x v="0"/>
    <x v="138"/>
    <x v="2"/>
    <x v="4"/>
    <x v="155"/>
    <x v="10"/>
    <x v="21"/>
    <x v="28"/>
    <x v="135"/>
    <x v="172"/>
    <s v="Five Stars"/>
    <n v="1502064000"/>
    <s v="Not Specified"/>
    <s v="Not Specified"/>
    <s v="Not Specified"/>
    <n v="10"/>
    <x v="0"/>
    <x v="8"/>
  </r>
  <r>
    <x v="0"/>
    <x v="0"/>
    <x v="139"/>
    <x v="2"/>
    <x v="4"/>
    <x v="156"/>
    <x v="10"/>
    <x v="22"/>
    <x v="23"/>
    <x v="136"/>
    <x v="173"/>
    <s v="Love the color and fit"/>
    <n v="1501804800"/>
    <s v="Not Specified"/>
    <s v="Not Specified"/>
    <s v="Not Specified"/>
    <n v="114"/>
    <x v="0"/>
    <x v="8"/>
  </r>
  <r>
    <x v="1"/>
    <x v="0"/>
    <x v="140"/>
    <x v="2"/>
    <x v="4"/>
    <x v="157"/>
    <x v="10"/>
    <x v="33"/>
    <x v="17"/>
    <x v="137"/>
    <x v="174"/>
    <s v="OK"/>
    <n v="1501632000"/>
    <s v="Not Specified"/>
    <s v="Not Specified"/>
    <s v="Not Specified"/>
    <n v="264"/>
    <x v="1"/>
    <x v="8"/>
  </r>
  <r>
    <x v="0"/>
    <x v="0"/>
    <x v="141"/>
    <x v="2"/>
    <x v="9"/>
    <x v="158"/>
    <x v="10"/>
    <x v="17"/>
    <x v="17"/>
    <x v="5"/>
    <x v="175"/>
    <s v="Great fit!"/>
    <n v="1500508800"/>
    <s v="Not Specified"/>
    <s v="Not Specified"/>
    <s v="Not Specified"/>
    <n v="34"/>
    <x v="0"/>
    <x v="8"/>
  </r>
  <r>
    <x v="0"/>
    <x v="0"/>
    <x v="142"/>
    <x v="2"/>
    <x v="9"/>
    <x v="159"/>
    <x v="10"/>
    <x v="21"/>
    <x v="33"/>
    <x v="138"/>
    <x v="176"/>
    <s v="Very satisfied with the seller - delivered on time"/>
    <n v="1500336000"/>
    <s v="Not Specified"/>
    <s v="Not Specified"/>
    <s v="Not Specified"/>
    <n v="124"/>
    <x v="0"/>
    <x v="8"/>
  </r>
  <r>
    <x v="4"/>
    <x v="0"/>
    <x v="142"/>
    <x v="2"/>
    <x v="9"/>
    <x v="160"/>
    <x v="10"/>
    <x v="22"/>
    <x v="26"/>
    <x v="139"/>
    <x v="177"/>
    <s v="Four Stars"/>
    <n v="1500336000"/>
    <s v="Not Specified"/>
    <s v="Not Specified"/>
    <s v="Not Specified"/>
    <n v="28"/>
    <x v="0"/>
    <x v="8"/>
  </r>
  <r>
    <x v="0"/>
    <x v="0"/>
    <x v="142"/>
    <x v="2"/>
    <x v="9"/>
    <x v="161"/>
    <x v="10"/>
    <x v="14"/>
    <x v="17"/>
    <x v="140"/>
    <x v="178"/>
    <s v="Comfortable shoe for both workout sessions and walking"/>
    <n v="1500336000"/>
    <s v="Not Specified"/>
    <s v="Not Specified"/>
    <s v="Not Specified"/>
    <n v="184"/>
    <x v="0"/>
    <x v="8"/>
  </r>
  <r>
    <x v="0"/>
    <x v="0"/>
    <x v="142"/>
    <x v="2"/>
    <x v="9"/>
    <x v="162"/>
    <x v="10"/>
    <x v="16"/>
    <x v="17"/>
    <x v="141"/>
    <x v="68"/>
    <s v="Five Stars"/>
    <n v="1500336000"/>
    <s v="Not Specified"/>
    <s v="Not Specified"/>
    <s v="Not Specified"/>
    <n v="0"/>
    <x v="0"/>
    <x v="8"/>
  </r>
  <r>
    <x v="0"/>
    <x v="0"/>
    <x v="142"/>
    <x v="2"/>
    <x v="9"/>
    <x v="163"/>
    <x v="10"/>
    <x v="17"/>
    <x v="12"/>
    <x v="142"/>
    <x v="65"/>
    <s v="Five Stars"/>
    <n v="1500336000"/>
    <s v="Not Specified"/>
    <s v="Not Specified"/>
    <s v="Not Specified"/>
    <n v="4"/>
    <x v="0"/>
    <x v="8"/>
  </r>
  <r>
    <x v="0"/>
    <x v="0"/>
    <x v="142"/>
    <x v="2"/>
    <x v="9"/>
    <x v="164"/>
    <x v="10"/>
    <x v="17"/>
    <x v="39"/>
    <x v="5"/>
    <x v="179"/>
    <s v="These are the best shoes I have ever use for my workouts"/>
    <n v="1500336000"/>
    <s v="Not Specified"/>
    <s v="Not Specified"/>
    <s v="Not Specified"/>
    <n v="99"/>
    <x v="0"/>
    <x v="8"/>
  </r>
  <r>
    <x v="0"/>
    <x v="0"/>
    <x v="142"/>
    <x v="2"/>
    <x v="9"/>
    <x v="165"/>
    <x v="10"/>
    <x v="15"/>
    <x v="17"/>
    <x v="143"/>
    <x v="180"/>
    <s v="I love these shoes"/>
    <n v="1500336000"/>
    <s v="Not Specified"/>
    <s v="Not Specified"/>
    <s v="Not Specified"/>
    <n v="178"/>
    <x v="0"/>
    <x v="8"/>
  </r>
  <r>
    <x v="0"/>
    <x v="0"/>
    <x v="143"/>
    <x v="2"/>
    <x v="9"/>
    <x v="166"/>
    <x v="10"/>
    <x v="16"/>
    <x v="28"/>
    <x v="144"/>
    <x v="181"/>
    <s v="Five Stars"/>
    <n v="1500076800"/>
    <s v="Not Specified"/>
    <s v="Not Specified"/>
    <s v="Not Specified"/>
    <n v="30"/>
    <x v="0"/>
    <x v="8"/>
  </r>
  <r>
    <x v="1"/>
    <x v="0"/>
    <x v="143"/>
    <x v="2"/>
    <x v="9"/>
    <x v="167"/>
    <x v="10"/>
    <x v="21"/>
    <x v="23"/>
    <x v="145"/>
    <x v="182"/>
    <s v="Low cut heels"/>
    <n v="1500076800"/>
    <s v="Not Specified"/>
    <s v="Not Specified"/>
    <s v="Not Specified"/>
    <n v="130"/>
    <x v="1"/>
    <x v="8"/>
  </r>
  <r>
    <x v="0"/>
    <x v="0"/>
    <x v="144"/>
    <x v="2"/>
    <x v="9"/>
    <x v="168"/>
    <x v="10"/>
    <x v="30"/>
    <x v="30"/>
    <x v="146"/>
    <x v="183"/>
    <s v="Perfect"/>
    <n v="1499558400"/>
    <s v="Not Specified"/>
    <s v="Not Specified"/>
    <s v="Not Specified"/>
    <n v="112"/>
    <x v="0"/>
    <x v="8"/>
  </r>
  <r>
    <x v="0"/>
    <x v="0"/>
    <x v="145"/>
    <x v="2"/>
    <x v="9"/>
    <x v="169"/>
    <x v="10"/>
    <x v="34"/>
    <x v="25"/>
    <x v="147"/>
    <x v="184"/>
    <s v="Exactly what I wanted"/>
    <n v="1499472000"/>
    <s v="Not Specified"/>
    <s v="Not Specified"/>
    <s v="Not Specified"/>
    <n v="22"/>
    <x v="0"/>
    <x v="8"/>
  </r>
  <r>
    <x v="4"/>
    <x v="0"/>
    <x v="146"/>
    <x v="2"/>
    <x v="9"/>
    <x v="170"/>
    <x v="10"/>
    <x v="15"/>
    <x v="17"/>
    <x v="148"/>
    <x v="185"/>
    <s v="Light shoes"/>
    <n v="1499385600"/>
    <s v="Not Specified"/>
    <s v="Not Specified"/>
    <s v="Not Specified"/>
    <n v="453"/>
    <x v="0"/>
    <x v="8"/>
  </r>
  <r>
    <x v="1"/>
    <x v="1"/>
    <x v="147"/>
    <x v="2"/>
    <x v="9"/>
    <x v="171"/>
    <x v="10"/>
    <x v="24"/>
    <x v="12"/>
    <x v="149"/>
    <x v="186"/>
    <s v="Good indoor training shoes"/>
    <n v="1498867200"/>
    <s v="Not Specified"/>
    <s v="Not Specified"/>
    <s v="Not Specified"/>
    <n v="566"/>
    <x v="1"/>
    <x v="8"/>
  </r>
  <r>
    <x v="0"/>
    <x v="0"/>
    <x v="148"/>
    <x v="2"/>
    <x v="6"/>
    <x v="172"/>
    <x v="10"/>
    <x v="15"/>
    <x v="17"/>
    <x v="150"/>
    <x v="187"/>
    <s v="So Perf."/>
    <n v="1498780800"/>
    <s v="Not Specified"/>
    <s v="Not Specified"/>
    <s v="Not Specified"/>
    <n v="5"/>
    <x v="0"/>
    <x v="8"/>
  </r>
  <r>
    <x v="0"/>
    <x v="0"/>
    <x v="149"/>
    <x v="2"/>
    <x v="6"/>
    <x v="173"/>
    <x v="10"/>
    <x v="22"/>
    <x v="32"/>
    <x v="151"/>
    <x v="188"/>
    <s v="Five Stars"/>
    <n v="1498608000"/>
    <s v="Not Specified"/>
    <s v="Not Specified"/>
    <s v="Not Specified"/>
    <n v="18"/>
    <x v="0"/>
    <x v="8"/>
  </r>
  <r>
    <x v="0"/>
    <x v="0"/>
    <x v="150"/>
    <x v="2"/>
    <x v="6"/>
    <x v="174"/>
    <x v="10"/>
    <x v="15"/>
    <x v="34"/>
    <x v="152"/>
    <x v="189"/>
    <s v="Five Stars"/>
    <n v="1498435200"/>
    <s v="Not Specified"/>
    <s v="Not Specified"/>
    <s v="Not Specified"/>
    <n v="8"/>
    <x v="0"/>
    <x v="8"/>
  </r>
  <r>
    <x v="0"/>
    <x v="0"/>
    <x v="151"/>
    <x v="2"/>
    <x v="6"/>
    <x v="175"/>
    <x v="10"/>
    <x v="17"/>
    <x v="24"/>
    <x v="5"/>
    <x v="190"/>
    <s v="Great work out shoe"/>
    <n v="1498003200"/>
    <s v="Not Specified"/>
    <s v="Not Specified"/>
    <s v="Not Specified"/>
    <n v="141"/>
    <x v="0"/>
    <x v="8"/>
  </r>
  <r>
    <x v="0"/>
    <x v="0"/>
    <x v="152"/>
    <x v="2"/>
    <x v="6"/>
    <x v="176"/>
    <x v="10"/>
    <x v="28"/>
    <x v="25"/>
    <x v="153"/>
    <x v="191"/>
    <s v="I love these shoes so much that I reordered another pair ..."/>
    <n v="1497916800"/>
    <s v="Not Specified"/>
    <s v="Not Specified"/>
    <s v="Not Specified"/>
    <n v="275"/>
    <x v="0"/>
    <x v="8"/>
  </r>
  <r>
    <x v="0"/>
    <x v="0"/>
    <x v="152"/>
    <x v="2"/>
    <x v="6"/>
    <x v="177"/>
    <x v="10"/>
    <x v="15"/>
    <x v="17"/>
    <x v="154"/>
    <x v="192"/>
    <s v="Comfortable, light weight, nice."/>
    <n v="1497916800"/>
    <s v="Not Specified"/>
    <s v="Not Specified"/>
    <s v="Not Specified"/>
    <n v="69"/>
    <x v="0"/>
    <x v="8"/>
  </r>
  <r>
    <x v="4"/>
    <x v="0"/>
    <x v="153"/>
    <x v="2"/>
    <x v="6"/>
    <x v="178"/>
    <x v="10"/>
    <x v="15"/>
    <x v="17"/>
    <x v="155"/>
    <x v="193"/>
    <s v="Four Stars"/>
    <n v="1497830400"/>
    <s v="Not Specified"/>
    <s v="Not Specified"/>
    <s v="Not Specified"/>
    <n v="12"/>
    <x v="0"/>
    <x v="8"/>
  </r>
  <r>
    <x v="0"/>
    <x v="0"/>
    <x v="153"/>
    <x v="2"/>
    <x v="6"/>
    <x v="179"/>
    <x v="10"/>
    <x v="25"/>
    <x v="17"/>
    <x v="156"/>
    <x v="194"/>
    <s v="I feel like this pair of shoes was made for my feet"/>
    <n v="1497830400"/>
    <s v="Not Specified"/>
    <s v="Not Specified"/>
    <s v="Not Specified"/>
    <n v="108"/>
    <x v="0"/>
    <x v="8"/>
  </r>
  <r>
    <x v="0"/>
    <x v="0"/>
    <x v="153"/>
    <x v="2"/>
    <x v="6"/>
    <x v="180"/>
    <x v="10"/>
    <x v="17"/>
    <x v="17"/>
    <x v="5"/>
    <x v="195"/>
    <s v="Awesome shoes!!!"/>
    <n v="1497830400"/>
    <s v="Not Specified"/>
    <s v="Not Specified"/>
    <s v="Not Specified"/>
    <n v="76"/>
    <x v="0"/>
    <x v="8"/>
  </r>
  <r>
    <x v="1"/>
    <x v="0"/>
    <x v="15"/>
    <x v="2"/>
    <x v="6"/>
    <x v="181"/>
    <x v="10"/>
    <x v="16"/>
    <x v="17"/>
    <x v="157"/>
    <x v="196"/>
    <s v="Just wasn't what i was looking for"/>
    <n v="1497571200"/>
    <s v="Not Specified"/>
    <s v="Not Specified"/>
    <s v="Not Specified"/>
    <n v="468"/>
    <x v="1"/>
    <x v="8"/>
  </r>
  <r>
    <x v="0"/>
    <x v="0"/>
    <x v="154"/>
    <x v="2"/>
    <x v="6"/>
    <x v="182"/>
    <x v="10"/>
    <x v="22"/>
    <x v="17"/>
    <x v="158"/>
    <x v="197"/>
    <s v="So comfortable, I don't even feel like I have a ..."/>
    <n v="1497484800"/>
    <s v="Not Specified"/>
    <s v="Not Specified"/>
    <s v="Not Specified"/>
    <n v="125"/>
    <x v="0"/>
    <x v="8"/>
  </r>
  <r>
    <x v="0"/>
    <x v="0"/>
    <x v="154"/>
    <x v="2"/>
    <x v="6"/>
    <x v="183"/>
    <x v="10"/>
    <x v="17"/>
    <x v="30"/>
    <x v="159"/>
    <x v="198"/>
    <s v="Five Stars"/>
    <n v="1497484800"/>
    <s v="Not Specified"/>
    <s v="Not Specified"/>
    <s v="Not Specified"/>
    <n v="56"/>
    <x v="0"/>
    <x v="8"/>
  </r>
  <r>
    <x v="0"/>
    <x v="0"/>
    <x v="155"/>
    <x v="2"/>
    <x v="6"/>
    <x v="184"/>
    <x v="10"/>
    <x v="15"/>
    <x v="18"/>
    <x v="5"/>
    <x v="199"/>
    <s v="Five Stars"/>
    <n v="1497398400"/>
    <s v="Not Specified"/>
    <s v="Not Specified"/>
    <s v="Not Specified"/>
    <n v="21"/>
    <x v="0"/>
    <x v="8"/>
  </r>
  <r>
    <x v="0"/>
    <x v="0"/>
    <x v="156"/>
    <x v="2"/>
    <x v="6"/>
    <x v="185"/>
    <x v="10"/>
    <x v="22"/>
    <x v="32"/>
    <x v="160"/>
    <x v="200"/>
    <s v="Five Stars"/>
    <n v="1497312000"/>
    <s v="Not Specified"/>
    <s v="Not Specified"/>
    <s v="Not Specified"/>
    <n v="64"/>
    <x v="0"/>
    <x v="8"/>
  </r>
  <r>
    <x v="0"/>
    <x v="0"/>
    <x v="157"/>
    <x v="2"/>
    <x v="6"/>
    <x v="186"/>
    <x v="10"/>
    <x v="22"/>
    <x v="24"/>
    <x v="161"/>
    <x v="201"/>
    <s v="Five Stars"/>
    <n v="1496880000"/>
    <s v="Not Specified"/>
    <s v="Not Specified"/>
    <s v="Not Specified"/>
    <n v="27"/>
    <x v="0"/>
    <x v="8"/>
  </r>
  <r>
    <x v="3"/>
    <x v="0"/>
    <x v="158"/>
    <x v="2"/>
    <x v="6"/>
    <x v="187"/>
    <x v="10"/>
    <x v="29"/>
    <x v="25"/>
    <x v="162"/>
    <x v="202"/>
    <s v="Falling apart already!!"/>
    <n v="1496620800"/>
    <s v="Not Specified"/>
    <s v="Not Specified"/>
    <s v="Not Specified"/>
    <n v="75"/>
    <x v="2"/>
    <x v="8"/>
  </r>
  <r>
    <x v="0"/>
    <x v="0"/>
    <x v="159"/>
    <x v="2"/>
    <x v="6"/>
    <x v="188"/>
    <x v="10"/>
    <x v="21"/>
    <x v="17"/>
    <x v="163"/>
    <x v="203"/>
    <s v="Five Stars"/>
    <n v="1496361600"/>
    <s v="Not Specified"/>
    <s v="Not Specified"/>
    <s v="Not Specified"/>
    <n v="91"/>
    <x v="0"/>
    <x v="8"/>
  </r>
  <r>
    <x v="0"/>
    <x v="0"/>
    <x v="160"/>
    <x v="2"/>
    <x v="1"/>
    <x v="189"/>
    <x v="10"/>
    <x v="14"/>
    <x v="17"/>
    <x v="164"/>
    <x v="135"/>
    <s v="Five Stars"/>
    <n v="1496102400"/>
    <s v="Not Specified"/>
    <s v="Not Specified"/>
    <s v="Not Specified"/>
    <n v="11"/>
    <x v="0"/>
    <x v="8"/>
  </r>
  <r>
    <x v="0"/>
    <x v="0"/>
    <x v="160"/>
    <x v="2"/>
    <x v="1"/>
    <x v="190"/>
    <x v="10"/>
    <x v="30"/>
    <x v="26"/>
    <x v="165"/>
    <x v="204"/>
    <s v="love the fit"/>
    <n v="1496102400"/>
    <s v="Not Specified"/>
    <s v="Not Specified"/>
    <s v="Not Specified"/>
    <n v="61"/>
    <x v="0"/>
    <x v="8"/>
  </r>
  <r>
    <x v="4"/>
    <x v="0"/>
    <x v="161"/>
    <x v="2"/>
    <x v="1"/>
    <x v="191"/>
    <x v="10"/>
    <x v="28"/>
    <x v="25"/>
    <x v="166"/>
    <x v="205"/>
    <s v="Nike"/>
    <n v="1496016000"/>
    <s v="Not Specified"/>
    <s v="Not Specified"/>
    <s v="Not Specified"/>
    <n v="65"/>
    <x v="0"/>
    <x v="8"/>
  </r>
  <r>
    <x v="1"/>
    <x v="0"/>
    <x v="162"/>
    <x v="2"/>
    <x v="1"/>
    <x v="192"/>
    <x v="10"/>
    <x v="30"/>
    <x v="17"/>
    <x v="167"/>
    <x v="206"/>
    <s v="Nope"/>
    <n v="1495670400"/>
    <s v="Not Specified"/>
    <s v="Not Specified"/>
    <s v="Not Specified"/>
    <n v="40"/>
    <x v="1"/>
    <x v="8"/>
  </r>
  <r>
    <x v="0"/>
    <x v="0"/>
    <x v="163"/>
    <x v="2"/>
    <x v="1"/>
    <x v="193"/>
    <x v="10"/>
    <x v="21"/>
    <x v="17"/>
    <x v="168"/>
    <x v="207"/>
    <s v="It is comfortable."/>
    <n v="1495411200"/>
    <s v="Not Specified"/>
    <s v="Not Specified"/>
    <s v="Not Specified"/>
    <n v="45"/>
    <x v="0"/>
    <x v="8"/>
  </r>
  <r>
    <x v="0"/>
    <x v="0"/>
    <x v="163"/>
    <x v="2"/>
    <x v="1"/>
    <x v="194"/>
    <x v="10"/>
    <x v="17"/>
    <x v="17"/>
    <x v="169"/>
    <x v="208"/>
    <s v="Perfect cross trainers"/>
    <n v="1495411200"/>
    <s v="Not Specified"/>
    <s v="Not Specified"/>
    <s v="Not Specified"/>
    <n v="86"/>
    <x v="0"/>
    <x v="8"/>
  </r>
  <r>
    <x v="0"/>
    <x v="1"/>
    <x v="164"/>
    <x v="2"/>
    <x v="1"/>
    <x v="195"/>
    <x v="10"/>
    <x v="35"/>
    <x v="25"/>
    <x v="170"/>
    <x v="209"/>
    <s v="Great training shoes"/>
    <n v="1495152000"/>
    <s v="Not Specified"/>
    <s v="Not Specified"/>
    <n v="2"/>
    <n v="109"/>
    <x v="0"/>
    <x v="8"/>
  </r>
  <r>
    <x v="0"/>
    <x v="1"/>
    <x v="164"/>
    <x v="2"/>
    <x v="1"/>
    <x v="195"/>
    <x v="10"/>
    <x v="30"/>
    <x v="28"/>
    <x v="170"/>
    <x v="210"/>
    <s v="Amazing training Sneakers."/>
    <n v="1495152000"/>
    <s v="Not Specified"/>
    <s v="Not Specified"/>
    <n v="4"/>
    <n v="274"/>
    <x v="0"/>
    <x v="8"/>
  </r>
  <r>
    <x v="4"/>
    <x v="0"/>
    <x v="165"/>
    <x v="2"/>
    <x v="1"/>
    <x v="196"/>
    <x v="10"/>
    <x v="15"/>
    <x v="17"/>
    <x v="171"/>
    <x v="211"/>
    <s v="HIIT shoes"/>
    <n v="1495065600"/>
    <s v="Not Specified"/>
    <s v="Not Specified"/>
    <s v="Not Specified"/>
    <n v="20"/>
    <x v="0"/>
    <x v="8"/>
  </r>
  <r>
    <x v="4"/>
    <x v="0"/>
    <x v="166"/>
    <x v="2"/>
    <x v="1"/>
    <x v="197"/>
    <x v="10"/>
    <x v="15"/>
    <x v="34"/>
    <x v="172"/>
    <x v="212"/>
    <s v="Four Stars"/>
    <n v="1494806400"/>
    <s v="Not Specified"/>
    <s v="Not Specified"/>
    <s v="Not Specified"/>
    <n v="40"/>
    <x v="0"/>
    <x v="8"/>
  </r>
  <r>
    <x v="1"/>
    <x v="0"/>
    <x v="167"/>
    <x v="2"/>
    <x v="1"/>
    <x v="198"/>
    <x v="10"/>
    <x v="17"/>
    <x v="17"/>
    <x v="173"/>
    <x v="213"/>
    <s v="Lack support but overall good shoe"/>
    <n v="1494374400"/>
    <s v="Not Specified"/>
    <s v="Not Specified"/>
    <s v="Not Specified"/>
    <n v="170"/>
    <x v="1"/>
    <x v="8"/>
  </r>
  <r>
    <x v="0"/>
    <x v="0"/>
    <x v="168"/>
    <x v="2"/>
    <x v="1"/>
    <x v="199"/>
    <x v="10"/>
    <x v="26"/>
    <x v="40"/>
    <x v="174"/>
    <x v="214"/>
    <s v="Adorable shoes"/>
    <n v="1494115200"/>
    <s v="Not Specified"/>
    <s v="Not Specified"/>
    <s v="Not Specified"/>
    <n v="193"/>
    <x v="0"/>
    <x v="8"/>
  </r>
  <r>
    <x v="0"/>
    <x v="0"/>
    <x v="169"/>
    <x v="2"/>
    <x v="1"/>
    <x v="200"/>
    <x v="10"/>
    <x v="34"/>
    <x v="25"/>
    <x v="175"/>
    <x v="215"/>
    <s v="Wide sneaker for wide feet"/>
    <n v="1494028800"/>
    <s v="Not Specified"/>
    <s v="Not Specified"/>
    <s v="Not Specified"/>
    <n v="126"/>
    <x v="0"/>
    <x v="8"/>
  </r>
  <r>
    <x v="0"/>
    <x v="0"/>
    <x v="170"/>
    <x v="2"/>
    <x v="1"/>
    <x v="201"/>
    <x v="10"/>
    <x v="21"/>
    <x v="28"/>
    <x v="176"/>
    <x v="216"/>
    <s v="I've been using these to exercise and they are nice a roomy and allow my feet to breath"/>
    <n v="1493942400"/>
    <s v="Not Specified"/>
    <s v="Not Specified"/>
    <s v="Not Specified"/>
    <n v="110"/>
    <x v="0"/>
    <x v="8"/>
  </r>
  <r>
    <x v="0"/>
    <x v="0"/>
    <x v="171"/>
    <x v="2"/>
    <x v="1"/>
    <x v="202"/>
    <x v="10"/>
    <x v="16"/>
    <x v="17"/>
    <x v="177"/>
    <x v="217"/>
    <s v="Five Stars"/>
    <n v="1493769600"/>
    <s v="Not Specified"/>
    <s v="Not Specified"/>
    <s v="Not Specified"/>
    <n v="42"/>
    <x v="0"/>
    <x v="8"/>
  </r>
  <r>
    <x v="0"/>
    <x v="0"/>
    <x v="171"/>
    <x v="2"/>
    <x v="1"/>
    <x v="203"/>
    <x v="10"/>
    <x v="21"/>
    <x v="17"/>
    <x v="178"/>
    <x v="218"/>
    <s v="Five Stars"/>
    <n v="1493769600"/>
    <s v="Not Specified"/>
    <s v="Not Specified"/>
    <s v="Not Specified"/>
    <n v="12"/>
    <x v="0"/>
    <x v="8"/>
  </r>
  <r>
    <x v="4"/>
    <x v="0"/>
    <x v="172"/>
    <x v="2"/>
    <x v="1"/>
    <x v="204"/>
    <x v="10"/>
    <x v="26"/>
    <x v="40"/>
    <x v="179"/>
    <x v="219"/>
    <s v="Great training shoes"/>
    <n v="1493683200"/>
    <s v="Not Specified"/>
    <s v="Not Specified"/>
    <s v="Not Specified"/>
    <n v="86"/>
    <x v="0"/>
    <x v="8"/>
  </r>
  <r>
    <x v="0"/>
    <x v="0"/>
    <x v="173"/>
    <x v="2"/>
    <x v="1"/>
    <x v="205"/>
    <x v="10"/>
    <x v="26"/>
    <x v="41"/>
    <x v="180"/>
    <x v="220"/>
    <s v="Five Stars"/>
    <n v="1493596800"/>
    <s v="Not Specified"/>
    <s v="Not Specified"/>
    <s v="Not Specified"/>
    <n v="89"/>
    <x v="0"/>
    <x v="8"/>
  </r>
  <r>
    <x v="0"/>
    <x v="0"/>
    <x v="174"/>
    <x v="2"/>
    <x v="10"/>
    <x v="206"/>
    <x v="10"/>
    <x v="22"/>
    <x v="18"/>
    <x v="181"/>
    <x v="221"/>
    <s v="Five Stars"/>
    <n v="1493337600"/>
    <s v="Not Specified"/>
    <s v="Not Specified"/>
    <s v="Not Specified"/>
    <n v="12"/>
    <x v="0"/>
    <x v="8"/>
  </r>
  <r>
    <x v="4"/>
    <x v="0"/>
    <x v="175"/>
    <x v="2"/>
    <x v="10"/>
    <x v="207"/>
    <x v="10"/>
    <x v="35"/>
    <x v="25"/>
    <x v="5"/>
    <x v="222"/>
    <s v="Four Stars"/>
    <n v="1493251200"/>
    <s v="Not Specified"/>
    <s v="Not Specified"/>
    <s v="Not Specified"/>
    <n v="58"/>
    <x v="0"/>
    <x v="8"/>
  </r>
  <r>
    <x v="4"/>
    <x v="0"/>
    <x v="175"/>
    <x v="2"/>
    <x v="10"/>
    <x v="208"/>
    <x v="10"/>
    <x v="36"/>
    <x v="25"/>
    <x v="182"/>
    <x v="223"/>
    <s v="and they were great! Super comfortable"/>
    <n v="1493251200"/>
    <s v="Not Specified"/>
    <s v="Not Specified"/>
    <s v="Not Specified"/>
    <n v="199"/>
    <x v="0"/>
    <x v="8"/>
  </r>
  <r>
    <x v="0"/>
    <x v="0"/>
    <x v="176"/>
    <x v="2"/>
    <x v="10"/>
    <x v="209"/>
    <x v="10"/>
    <x v="22"/>
    <x v="17"/>
    <x v="183"/>
    <x v="224"/>
    <s v="Five Stars"/>
    <n v="1493164800"/>
    <s v="Not Specified"/>
    <s v="Not Specified"/>
    <s v="Not Specified"/>
    <n v="28"/>
    <x v="0"/>
    <x v="8"/>
  </r>
  <r>
    <x v="0"/>
    <x v="0"/>
    <x v="177"/>
    <x v="2"/>
    <x v="10"/>
    <x v="210"/>
    <x v="10"/>
    <x v="28"/>
    <x v="25"/>
    <x v="184"/>
    <x v="225"/>
    <s v="I love these shoes my second pair of 40 plus $ ..."/>
    <n v="1493078400"/>
    <s v="Not Specified"/>
    <s v="Not Specified"/>
    <s v="Not Specified"/>
    <n v="235"/>
    <x v="0"/>
    <x v="8"/>
  </r>
  <r>
    <x v="4"/>
    <x v="0"/>
    <x v="178"/>
    <x v="2"/>
    <x v="10"/>
    <x v="211"/>
    <x v="10"/>
    <x v="15"/>
    <x v="17"/>
    <x v="185"/>
    <x v="226"/>
    <s v="They fit as expected and perfect for training"/>
    <n v="1492992000"/>
    <s v="Not Specified"/>
    <s v="Not Specified"/>
    <s v="Not Specified"/>
    <n v="140"/>
    <x v="0"/>
    <x v="8"/>
  </r>
  <r>
    <x v="0"/>
    <x v="0"/>
    <x v="178"/>
    <x v="2"/>
    <x v="10"/>
    <x v="212"/>
    <x v="10"/>
    <x v="14"/>
    <x v="34"/>
    <x v="5"/>
    <x v="227"/>
    <s v="Five Stars"/>
    <n v="1492992000"/>
    <s v="Not Specified"/>
    <s v="Not Specified"/>
    <s v="Not Specified"/>
    <n v="39"/>
    <x v="0"/>
    <x v="8"/>
  </r>
  <r>
    <x v="0"/>
    <x v="0"/>
    <x v="179"/>
    <x v="2"/>
    <x v="10"/>
    <x v="213"/>
    <x v="10"/>
    <x v="21"/>
    <x v="17"/>
    <x v="5"/>
    <x v="228"/>
    <s v="Five Stars"/>
    <n v="1492646400"/>
    <s v="Not Specified"/>
    <s v="Not Specified"/>
    <s v="Not Specified"/>
    <n v="7"/>
    <x v="0"/>
    <x v="8"/>
  </r>
  <r>
    <x v="0"/>
    <x v="0"/>
    <x v="180"/>
    <x v="2"/>
    <x v="10"/>
    <x v="214"/>
    <x v="10"/>
    <x v="17"/>
    <x v="17"/>
    <x v="5"/>
    <x v="229"/>
    <s v="Five Stars"/>
    <n v="1492560000"/>
    <s v="Not Specified"/>
    <s v="Not Specified"/>
    <s v="Not Specified"/>
    <n v="9"/>
    <x v="0"/>
    <x v="8"/>
  </r>
  <r>
    <x v="0"/>
    <x v="1"/>
    <x v="16"/>
    <x v="2"/>
    <x v="10"/>
    <x v="215"/>
    <x v="10"/>
    <x v="15"/>
    <x v="17"/>
    <x v="186"/>
    <x v="230"/>
    <s v="Very Good For Everyday"/>
    <n v="1492473600"/>
    <s v="Not Specified"/>
    <s v="Not Specified"/>
    <s v="Not Specified"/>
    <n v="115"/>
    <x v="0"/>
    <x v="8"/>
  </r>
  <r>
    <x v="0"/>
    <x v="0"/>
    <x v="181"/>
    <x v="2"/>
    <x v="10"/>
    <x v="216"/>
    <x v="10"/>
    <x v="21"/>
    <x v="17"/>
    <x v="187"/>
    <x v="231"/>
    <s v="Great shoes"/>
    <n v="1492387200"/>
    <s v="Not Specified"/>
    <s v="Not Specified"/>
    <s v="Not Specified"/>
    <n v="62"/>
    <x v="0"/>
    <x v="8"/>
  </r>
  <r>
    <x v="0"/>
    <x v="0"/>
    <x v="182"/>
    <x v="2"/>
    <x v="10"/>
    <x v="217"/>
    <x v="10"/>
    <x v="24"/>
    <x v="22"/>
    <x v="188"/>
    <x v="232"/>
    <s v="Love these shoes"/>
    <n v="1492214400"/>
    <s v="Not Specified"/>
    <s v="Not Specified"/>
    <s v="Not Specified"/>
    <n v="112"/>
    <x v="0"/>
    <x v="8"/>
  </r>
  <r>
    <x v="0"/>
    <x v="0"/>
    <x v="183"/>
    <x v="2"/>
    <x v="10"/>
    <x v="218"/>
    <x v="10"/>
    <x v="22"/>
    <x v="17"/>
    <x v="5"/>
    <x v="233"/>
    <s v="Five Stars"/>
    <n v="1492128000"/>
    <s v="Not Specified"/>
    <s v="Not Specified"/>
    <s v="Not Specified"/>
    <n v="38"/>
    <x v="0"/>
    <x v="8"/>
  </r>
  <r>
    <x v="4"/>
    <x v="0"/>
    <x v="184"/>
    <x v="2"/>
    <x v="10"/>
    <x v="219"/>
    <x v="10"/>
    <x v="25"/>
    <x v="17"/>
    <x v="189"/>
    <x v="234"/>
    <s v="Super comfortable. I joined Cross Fit and this is ..."/>
    <n v="1491868800"/>
    <s v="Not Specified"/>
    <s v="Not Specified"/>
    <s v="Not Specified"/>
    <n v="67"/>
    <x v="0"/>
    <x v="8"/>
  </r>
  <r>
    <x v="0"/>
    <x v="0"/>
    <x v="184"/>
    <x v="2"/>
    <x v="10"/>
    <x v="220"/>
    <x v="10"/>
    <x v="37"/>
    <x v="25"/>
    <x v="190"/>
    <x v="235"/>
    <s v="Five Stars"/>
    <n v="1491868800"/>
    <s v="Not Specified"/>
    <s v="Not Specified"/>
    <s v="Not Specified"/>
    <n v="13"/>
    <x v="0"/>
    <x v="8"/>
  </r>
  <r>
    <x v="0"/>
    <x v="0"/>
    <x v="185"/>
    <x v="2"/>
    <x v="10"/>
    <x v="221"/>
    <x v="10"/>
    <x v="22"/>
    <x v="29"/>
    <x v="191"/>
    <x v="236"/>
    <s v="Sooo comfortable"/>
    <n v="1491782400"/>
    <s v="Not Specified"/>
    <s v="Not Specified"/>
    <s v="Not Specified"/>
    <n v="49"/>
    <x v="0"/>
    <x v="8"/>
  </r>
  <r>
    <x v="0"/>
    <x v="0"/>
    <x v="185"/>
    <x v="2"/>
    <x v="10"/>
    <x v="222"/>
    <x v="10"/>
    <x v="16"/>
    <x v="28"/>
    <x v="192"/>
    <x v="237"/>
    <s v="So happy."/>
    <n v="1491782400"/>
    <s v="Not Specified"/>
    <s v="Not Specified"/>
    <s v="Not Specified"/>
    <n v="17"/>
    <x v="0"/>
    <x v="8"/>
  </r>
  <r>
    <x v="4"/>
    <x v="0"/>
    <x v="185"/>
    <x v="2"/>
    <x v="10"/>
    <x v="223"/>
    <x v="10"/>
    <x v="25"/>
    <x v="29"/>
    <x v="193"/>
    <x v="238"/>
    <s v="the shoe is nice and provides well for my HIIT and Grit classes ..."/>
    <n v="1491782400"/>
    <s v="Not Specified"/>
    <s v="Not Specified"/>
    <s v="Not Specified"/>
    <n v="177"/>
    <x v="0"/>
    <x v="8"/>
  </r>
  <r>
    <x v="0"/>
    <x v="0"/>
    <x v="186"/>
    <x v="2"/>
    <x v="10"/>
    <x v="224"/>
    <x v="10"/>
    <x v="21"/>
    <x v="17"/>
    <x v="5"/>
    <x v="239"/>
    <s v="Look amazing, runs slightly big."/>
    <n v="1491609600"/>
    <s v="Not Specified"/>
    <s v="Not Specified"/>
    <s v="Not Specified"/>
    <n v="163"/>
    <x v="0"/>
    <x v="8"/>
  </r>
  <r>
    <x v="4"/>
    <x v="0"/>
    <x v="18"/>
    <x v="2"/>
    <x v="10"/>
    <x v="225"/>
    <x v="10"/>
    <x v="30"/>
    <x v="17"/>
    <x v="5"/>
    <x v="240"/>
    <s v="Four Stars"/>
    <n v="1491350400"/>
    <s v="Not Specified"/>
    <s v="Not Specified"/>
    <s v="Not Specified"/>
    <n v="17"/>
    <x v="0"/>
    <x v="8"/>
  </r>
  <r>
    <x v="0"/>
    <x v="0"/>
    <x v="18"/>
    <x v="2"/>
    <x v="10"/>
    <x v="226"/>
    <x v="10"/>
    <x v="17"/>
    <x v="17"/>
    <x v="194"/>
    <x v="241"/>
    <s v="Five Stars"/>
    <n v="1491350400"/>
    <s v="Not Specified"/>
    <s v="Not Specified"/>
    <s v="Not Specified"/>
    <n v="30"/>
    <x v="0"/>
    <x v="8"/>
  </r>
  <r>
    <x v="0"/>
    <x v="0"/>
    <x v="187"/>
    <x v="2"/>
    <x v="10"/>
    <x v="227"/>
    <x v="10"/>
    <x v="30"/>
    <x v="40"/>
    <x v="195"/>
    <x v="242"/>
    <s v="Five Stars"/>
    <n v="1491264000"/>
    <s v="Not Specified"/>
    <s v="Not Specified"/>
    <s v="Not Specified"/>
    <n v="38"/>
    <x v="0"/>
    <x v="8"/>
  </r>
  <r>
    <x v="0"/>
    <x v="0"/>
    <x v="188"/>
    <x v="2"/>
    <x v="10"/>
    <x v="228"/>
    <x v="10"/>
    <x v="16"/>
    <x v="26"/>
    <x v="196"/>
    <x v="243"/>
    <s v="Five Stars"/>
    <n v="1491091200"/>
    <s v="Not Specified"/>
    <s v="Not Specified"/>
    <s v="Not Specified"/>
    <n v="39"/>
    <x v="0"/>
    <x v="8"/>
  </r>
  <r>
    <x v="4"/>
    <x v="0"/>
    <x v="189"/>
    <x v="2"/>
    <x v="5"/>
    <x v="229"/>
    <x v="10"/>
    <x v="16"/>
    <x v="17"/>
    <x v="197"/>
    <x v="244"/>
    <s v="Decent little shoe for the price."/>
    <n v="1490832000"/>
    <s v="Not Specified"/>
    <s v="Not Specified"/>
    <s v="Not Specified"/>
    <n v="87"/>
    <x v="0"/>
    <x v="8"/>
  </r>
  <r>
    <x v="0"/>
    <x v="0"/>
    <x v="190"/>
    <x v="2"/>
    <x v="5"/>
    <x v="230"/>
    <x v="10"/>
    <x v="22"/>
    <x v="29"/>
    <x v="198"/>
    <x v="245"/>
    <s v="Attractive and fit well"/>
    <n v="1490745600"/>
    <s v="Not Specified"/>
    <s v="Not Specified"/>
    <s v="Not Specified"/>
    <n v="120"/>
    <x v="0"/>
    <x v="8"/>
  </r>
  <r>
    <x v="2"/>
    <x v="0"/>
    <x v="191"/>
    <x v="2"/>
    <x v="5"/>
    <x v="231"/>
    <x v="10"/>
    <x v="30"/>
    <x v="18"/>
    <x v="199"/>
    <x v="246"/>
    <s v="Runs large"/>
    <n v="1490486400"/>
    <s v="Not Specified"/>
    <s v="Not Specified"/>
    <s v="Not Specified"/>
    <n v="178"/>
    <x v="2"/>
    <x v="8"/>
  </r>
  <r>
    <x v="3"/>
    <x v="0"/>
    <x v="192"/>
    <x v="2"/>
    <x v="5"/>
    <x v="232"/>
    <x v="10"/>
    <x v="28"/>
    <x v="25"/>
    <x v="200"/>
    <x v="247"/>
    <s v="One Star"/>
    <n v="1490400000"/>
    <s v="Not Specified"/>
    <s v="Not Specified"/>
    <s v="Not Specified"/>
    <n v="84"/>
    <x v="2"/>
    <x v="8"/>
  </r>
  <r>
    <x v="0"/>
    <x v="0"/>
    <x v="19"/>
    <x v="2"/>
    <x v="5"/>
    <x v="233"/>
    <x v="10"/>
    <x v="22"/>
    <x v="17"/>
    <x v="5"/>
    <x v="248"/>
    <s v="Five Stars"/>
    <n v="1490313600"/>
    <s v="Not Specified"/>
    <s v="Not Specified"/>
    <s v="Not Specified"/>
    <n v="10"/>
    <x v="0"/>
    <x v="8"/>
  </r>
  <r>
    <x v="0"/>
    <x v="0"/>
    <x v="19"/>
    <x v="2"/>
    <x v="5"/>
    <x v="234"/>
    <x v="10"/>
    <x v="17"/>
    <x v="17"/>
    <x v="201"/>
    <x v="249"/>
    <s v="I love the fit and they provide support for walking"/>
    <n v="1490313600"/>
    <s v="Not Specified"/>
    <s v="Not Specified"/>
    <s v="Not Specified"/>
    <n v="225"/>
    <x v="0"/>
    <x v="8"/>
  </r>
  <r>
    <x v="0"/>
    <x v="0"/>
    <x v="193"/>
    <x v="2"/>
    <x v="5"/>
    <x v="235"/>
    <x v="10"/>
    <x v="21"/>
    <x v="37"/>
    <x v="202"/>
    <x v="250"/>
    <s v="Good Shoes!"/>
    <n v="1490227200"/>
    <s v="Not Specified"/>
    <s v="Not Specified"/>
    <n v="3"/>
    <n v="401"/>
    <x v="0"/>
    <x v="8"/>
  </r>
  <r>
    <x v="0"/>
    <x v="0"/>
    <x v="194"/>
    <x v="2"/>
    <x v="5"/>
    <x v="236"/>
    <x v="10"/>
    <x v="17"/>
    <x v="30"/>
    <x v="203"/>
    <x v="251"/>
    <s v="Great shoes"/>
    <n v="1490054400"/>
    <s v="Not Specified"/>
    <s v="Not Specified"/>
    <s v="Not Specified"/>
    <n v="110"/>
    <x v="0"/>
    <x v="8"/>
  </r>
  <r>
    <x v="4"/>
    <x v="0"/>
    <x v="195"/>
    <x v="2"/>
    <x v="5"/>
    <x v="237"/>
    <x v="10"/>
    <x v="30"/>
    <x v="26"/>
    <x v="204"/>
    <x v="252"/>
    <s v="Good shoe"/>
    <n v="1489968000"/>
    <s v="Not Specified"/>
    <s v="Not Specified"/>
    <s v="Not Specified"/>
    <n v="23"/>
    <x v="0"/>
    <x v="8"/>
  </r>
  <r>
    <x v="0"/>
    <x v="0"/>
    <x v="196"/>
    <x v="2"/>
    <x v="5"/>
    <x v="238"/>
    <x v="10"/>
    <x v="15"/>
    <x v="17"/>
    <x v="205"/>
    <x v="253"/>
    <s v="Five Stars"/>
    <n v="1489795200"/>
    <s v="Not Specified"/>
    <s v="Not Specified"/>
    <s v="Not Specified"/>
    <n v="40"/>
    <x v="0"/>
    <x v="8"/>
  </r>
  <r>
    <x v="0"/>
    <x v="0"/>
    <x v="196"/>
    <x v="2"/>
    <x v="5"/>
    <x v="239"/>
    <x v="10"/>
    <x v="15"/>
    <x v="30"/>
    <x v="206"/>
    <x v="254"/>
    <s v="Love These Shoes!"/>
    <n v="1489795200"/>
    <s v="Not Specified"/>
    <s v="Not Specified"/>
    <n v="8"/>
    <n v="267"/>
    <x v="0"/>
    <x v="8"/>
  </r>
  <r>
    <x v="1"/>
    <x v="0"/>
    <x v="197"/>
    <x v="2"/>
    <x v="5"/>
    <x v="240"/>
    <x v="10"/>
    <x v="30"/>
    <x v="26"/>
    <x v="207"/>
    <x v="255"/>
    <s v="Not my favorites..."/>
    <n v="1489708800"/>
    <s v="Not Specified"/>
    <s v="Not Specified"/>
    <s v="Not Specified"/>
    <n v="143"/>
    <x v="1"/>
    <x v="8"/>
  </r>
  <r>
    <x v="4"/>
    <x v="0"/>
    <x v="198"/>
    <x v="2"/>
    <x v="5"/>
    <x v="241"/>
    <x v="10"/>
    <x v="15"/>
    <x v="34"/>
    <x v="208"/>
    <x v="256"/>
    <s v="Perfect for the gym"/>
    <n v="1489536000"/>
    <s v="Not Specified"/>
    <s v="Not Specified"/>
    <s v="Not Specified"/>
    <n v="118"/>
    <x v="0"/>
    <x v="8"/>
  </r>
  <r>
    <x v="1"/>
    <x v="0"/>
    <x v="198"/>
    <x v="2"/>
    <x v="5"/>
    <x v="242"/>
    <x v="10"/>
    <x v="22"/>
    <x v="29"/>
    <x v="209"/>
    <x v="257"/>
    <s v="Meh"/>
    <n v="1489536000"/>
    <s v="Not Specified"/>
    <s v="Not Specified"/>
    <n v="2"/>
    <n v="150"/>
    <x v="1"/>
    <x v="8"/>
  </r>
  <r>
    <x v="0"/>
    <x v="0"/>
    <x v="198"/>
    <x v="2"/>
    <x v="5"/>
    <x v="243"/>
    <x v="10"/>
    <x v="15"/>
    <x v="34"/>
    <x v="210"/>
    <x v="258"/>
    <s v="Five Stars"/>
    <n v="1489536000"/>
    <s v="Not Specified"/>
    <s v="Not Specified"/>
    <s v="Not Specified"/>
    <n v="40"/>
    <x v="0"/>
    <x v="8"/>
  </r>
  <r>
    <x v="0"/>
    <x v="0"/>
    <x v="199"/>
    <x v="2"/>
    <x v="5"/>
    <x v="244"/>
    <x v="10"/>
    <x v="16"/>
    <x v="40"/>
    <x v="211"/>
    <x v="259"/>
    <s v="Five Stars"/>
    <n v="1489449600"/>
    <s v="Not Specified"/>
    <s v="Not Specified"/>
    <s v="Not Specified"/>
    <n v="33"/>
    <x v="0"/>
    <x v="8"/>
  </r>
  <r>
    <x v="0"/>
    <x v="0"/>
    <x v="200"/>
    <x v="2"/>
    <x v="5"/>
    <x v="245"/>
    <x v="10"/>
    <x v="17"/>
    <x v="34"/>
    <x v="212"/>
    <x v="260"/>
    <s v="Hurry before they're gone!"/>
    <n v="1489363200"/>
    <s v="Not Specified"/>
    <s v="Not Specified"/>
    <s v="Not Specified"/>
    <n v="297"/>
    <x v="0"/>
    <x v="8"/>
  </r>
  <r>
    <x v="0"/>
    <x v="0"/>
    <x v="201"/>
    <x v="2"/>
    <x v="5"/>
    <x v="246"/>
    <x v="10"/>
    <x v="22"/>
    <x v="17"/>
    <x v="213"/>
    <x v="261"/>
    <s v="Amazing"/>
    <n v="1489276800"/>
    <s v="Not Specified"/>
    <s v="Not Specified"/>
    <s v="Not Specified"/>
    <n v="81"/>
    <x v="0"/>
    <x v="8"/>
  </r>
  <r>
    <x v="0"/>
    <x v="0"/>
    <x v="202"/>
    <x v="2"/>
    <x v="5"/>
    <x v="247"/>
    <x v="10"/>
    <x v="30"/>
    <x v="17"/>
    <x v="214"/>
    <x v="262"/>
    <s v="Five Stars"/>
    <n v="1488931200"/>
    <s v="Not Specified"/>
    <s v="Not Specified"/>
    <s v="Not Specified"/>
    <n v="13"/>
    <x v="0"/>
    <x v="8"/>
  </r>
  <r>
    <x v="4"/>
    <x v="0"/>
    <x v="202"/>
    <x v="2"/>
    <x v="5"/>
    <x v="248"/>
    <x v="10"/>
    <x v="16"/>
    <x v="40"/>
    <x v="5"/>
    <x v="263"/>
    <s v="Not quite wide enough"/>
    <n v="1488931200"/>
    <s v="Not Specified"/>
    <s v="Not Specified"/>
    <s v="Not Specified"/>
    <n v="182"/>
    <x v="0"/>
    <x v="8"/>
  </r>
  <r>
    <x v="4"/>
    <x v="0"/>
    <x v="202"/>
    <x v="2"/>
    <x v="5"/>
    <x v="248"/>
    <x v="10"/>
    <x v="16"/>
    <x v="26"/>
    <x v="5"/>
    <x v="263"/>
    <s v="Not quite wide enough"/>
    <n v="1488931200"/>
    <s v="Not Specified"/>
    <s v="Not Specified"/>
    <s v="Not Specified"/>
    <n v="182"/>
    <x v="0"/>
    <x v="8"/>
  </r>
  <r>
    <x v="0"/>
    <x v="0"/>
    <x v="203"/>
    <x v="2"/>
    <x v="5"/>
    <x v="249"/>
    <x v="10"/>
    <x v="21"/>
    <x v="17"/>
    <x v="215"/>
    <x v="264"/>
    <s v="Five Stars"/>
    <n v="1488758400"/>
    <s v="Not Specified"/>
    <s v="Not Specified"/>
    <s v="Not Specified"/>
    <n v="10"/>
    <x v="0"/>
    <x v="8"/>
  </r>
  <r>
    <x v="0"/>
    <x v="1"/>
    <x v="204"/>
    <x v="2"/>
    <x v="8"/>
    <x v="250"/>
    <x v="10"/>
    <x v="24"/>
    <x v="22"/>
    <x v="216"/>
    <x v="265"/>
    <s v="Simple look, outstanding comfort!"/>
    <n v="1488067200"/>
    <s v="Not Specified"/>
    <s v="Not Specified"/>
    <s v="Not Specified"/>
    <n v="206"/>
    <x v="0"/>
    <x v="8"/>
  </r>
  <r>
    <x v="4"/>
    <x v="0"/>
    <x v="205"/>
    <x v="2"/>
    <x v="8"/>
    <x v="251"/>
    <x v="10"/>
    <x v="14"/>
    <x v="17"/>
    <x v="217"/>
    <x v="266"/>
    <s v="My second favorite."/>
    <n v="1487894400"/>
    <s v="Not Specified"/>
    <s v="Not Specified"/>
    <s v="Not Specified"/>
    <n v="171"/>
    <x v="0"/>
    <x v="8"/>
  </r>
  <r>
    <x v="0"/>
    <x v="0"/>
    <x v="205"/>
    <x v="2"/>
    <x v="8"/>
    <x v="252"/>
    <x v="10"/>
    <x v="14"/>
    <x v="17"/>
    <x v="218"/>
    <x v="267"/>
    <s v="Five Stars"/>
    <n v="1487894400"/>
    <s v="Not Specified"/>
    <s v="Not Specified"/>
    <s v="Not Specified"/>
    <n v="12"/>
    <x v="0"/>
    <x v="8"/>
  </r>
  <r>
    <x v="4"/>
    <x v="0"/>
    <x v="21"/>
    <x v="2"/>
    <x v="8"/>
    <x v="253"/>
    <x v="10"/>
    <x v="15"/>
    <x v="39"/>
    <x v="219"/>
    <x v="268"/>
    <s v="Fit to actual size."/>
    <n v="1487635200"/>
    <s v="Not Specified"/>
    <s v="Not Specified"/>
    <s v="Not Specified"/>
    <n v="126"/>
    <x v="0"/>
    <x v="8"/>
  </r>
  <r>
    <x v="0"/>
    <x v="0"/>
    <x v="21"/>
    <x v="2"/>
    <x v="8"/>
    <x v="254"/>
    <x v="10"/>
    <x v="17"/>
    <x v="17"/>
    <x v="220"/>
    <x v="269"/>
    <s v="Five Stars"/>
    <n v="1487635200"/>
    <s v="Not Specified"/>
    <s v="Not Specified"/>
    <s v="Not Specified"/>
    <n v="56"/>
    <x v="0"/>
    <x v="8"/>
  </r>
  <r>
    <x v="1"/>
    <x v="0"/>
    <x v="206"/>
    <x v="2"/>
    <x v="8"/>
    <x v="255"/>
    <x v="10"/>
    <x v="14"/>
    <x v="34"/>
    <x v="5"/>
    <x v="270"/>
    <s v="Too small, flimsy upper"/>
    <n v="1487203200"/>
    <s v="Not Specified"/>
    <s v="Not Specified"/>
    <s v="Not Specified"/>
    <n v="198"/>
    <x v="1"/>
    <x v="8"/>
  </r>
  <r>
    <x v="0"/>
    <x v="0"/>
    <x v="207"/>
    <x v="2"/>
    <x v="8"/>
    <x v="256"/>
    <x v="10"/>
    <x v="22"/>
    <x v="40"/>
    <x v="221"/>
    <x v="271"/>
    <s v="Great for kickboxing"/>
    <n v="1487116800"/>
    <s v="Not Specified"/>
    <s v="Not Specified"/>
    <n v="5"/>
    <n v="388"/>
    <x v="0"/>
    <x v="8"/>
  </r>
  <r>
    <x v="0"/>
    <x v="0"/>
    <x v="208"/>
    <x v="2"/>
    <x v="8"/>
    <x v="257"/>
    <x v="10"/>
    <x v="16"/>
    <x v="17"/>
    <x v="222"/>
    <x v="272"/>
    <s v="These shoes are great for walking - so very comfortable"/>
    <n v="1486944000"/>
    <s v="Not Specified"/>
    <s v="Not Specified"/>
    <s v="Not Specified"/>
    <n v="87"/>
    <x v="0"/>
    <x v="8"/>
  </r>
  <r>
    <x v="0"/>
    <x v="0"/>
    <x v="209"/>
    <x v="2"/>
    <x v="8"/>
    <x v="258"/>
    <x v="10"/>
    <x v="15"/>
    <x v="17"/>
    <x v="223"/>
    <x v="273"/>
    <s v="Good choice for training shoe"/>
    <n v="1486857600"/>
    <s v="Not Specified"/>
    <s v="Not Specified"/>
    <s v="Not Specified"/>
    <n v="140"/>
    <x v="0"/>
    <x v="8"/>
  </r>
  <r>
    <x v="0"/>
    <x v="0"/>
    <x v="210"/>
    <x v="2"/>
    <x v="8"/>
    <x v="259"/>
    <x v="10"/>
    <x v="26"/>
    <x v="17"/>
    <x v="224"/>
    <x v="274"/>
    <s v="Five Stars"/>
    <n v="1486771200"/>
    <s v="Not Specified"/>
    <s v="Not Specified"/>
    <s v="Not Specified"/>
    <n v="28"/>
    <x v="0"/>
    <x v="8"/>
  </r>
  <r>
    <x v="4"/>
    <x v="0"/>
    <x v="22"/>
    <x v="2"/>
    <x v="8"/>
    <x v="260"/>
    <x v="10"/>
    <x v="15"/>
    <x v="40"/>
    <x v="225"/>
    <x v="275"/>
    <s v="They are slightly longer in look then I was would like but I think that is typical of cross trainers"/>
    <n v="1486512000"/>
    <s v="Not Specified"/>
    <s v="Not Specified"/>
    <n v="4"/>
    <n v="570"/>
    <x v="0"/>
    <x v="8"/>
  </r>
  <r>
    <x v="4"/>
    <x v="0"/>
    <x v="211"/>
    <x v="2"/>
    <x v="8"/>
    <x v="261"/>
    <x v="10"/>
    <x v="15"/>
    <x v="20"/>
    <x v="226"/>
    <x v="276"/>
    <s v="I love them but they are definitely bright orange/coral and not ..."/>
    <n v="1486339200"/>
    <s v="Not Specified"/>
    <s v="Not Specified"/>
    <s v="Not Specified"/>
    <n v="316"/>
    <x v="0"/>
    <x v="8"/>
  </r>
  <r>
    <x v="2"/>
    <x v="0"/>
    <x v="212"/>
    <x v="2"/>
    <x v="8"/>
    <x v="262"/>
    <x v="10"/>
    <x v="16"/>
    <x v="26"/>
    <x v="5"/>
    <x v="277"/>
    <s v="Color was not at all what i expected. It ..."/>
    <n v="1485993600"/>
    <s v="Not Specified"/>
    <s v="Not Specified"/>
    <s v="Not Specified"/>
    <n v="107"/>
    <x v="2"/>
    <x v="8"/>
  </r>
  <r>
    <x v="0"/>
    <x v="0"/>
    <x v="23"/>
    <x v="2"/>
    <x v="8"/>
    <x v="25"/>
    <x v="10"/>
    <x v="26"/>
    <x v="17"/>
    <x v="23"/>
    <x v="278"/>
    <s v="Super cute and on sale!!"/>
    <n v="1485907200"/>
    <s v="Not Specified"/>
    <s v="Not Specified"/>
    <s v="Not Specified"/>
    <n v="122"/>
    <x v="0"/>
    <x v="8"/>
  </r>
  <r>
    <x v="1"/>
    <x v="0"/>
    <x v="213"/>
    <x v="2"/>
    <x v="2"/>
    <x v="263"/>
    <x v="10"/>
    <x v="22"/>
    <x v="30"/>
    <x v="227"/>
    <x v="279"/>
    <s v="Three Stars"/>
    <n v="1485820800"/>
    <s v="Not Specified"/>
    <s v="Not Specified"/>
    <n v="3"/>
    <n v="7"/>
    <x v="1"/>
    <x v="8"/>
  </r>
  <r>
    <x v="0"/>
    <x v="0"/>
    <x v="214"/>
    <x v="2"/>
    <x v="2"/>
    <x v="264"/>
    <x v="10"/>
    <x v="14"/>
    <x v="34"/>
    <x v="5"/>
    <x v="280"/>
    <s v="then you should pretty much know your size"/>
    <n v="1485302400"/>
    <s v="Not Specified"/>
    <s v="Not Specified"/>
    <s v="Not Specified"/>
    <n v="521"/>
    <x v="0"/>
    <x v="8"/>
  </r>
  <r>
    <x v="0"/>
    <x v="0"/>
    <x v="215"/>
    <x v="2"/>
    <x v="2"/>
    <x v="265"/>
    <x v="10"/>
    <x v="16"/>
    <x v="40"/>
    <x v="228"/>
    <x v="281"/>
    <s v="Nice Support"/>
    <n v="1485043200"/>
    <s v="Not Specified"/>
    <s v="Not Specified"/>
    <s v="Not Specified"/>
    <n v="90"/>
    <x v="0"/>
    <x v="8"/>
  </r>
  <r>
    <x v="0"/>
    <x v="0"/>
    <x v="216"/>
    <x v="2"/>
    <x v="2"/>
    <x v="266"/>
    <x v="10"/>
    <x v="17"/>
    <x v="34"/>
    <x v="229"/>
    <x v="282"/>
    <s v="Good Sneaker"/>
    <n v="1484870400"/>
    <s v="Not Specified"/>
    <s v="Not Specified"/>
    <s v="Not Specified"/>
    <n v="40"/>
    <x v="0"/>
    <x v="8"/>
  </r>
  <r>
    <x v="0"/>
    <x v="0"/>
    <x v="217"/>
    <x v="2"/>
    <x v="2"/>
    <x v="267"/>
    <x v="10"/>
    <x v="21"/>
    <x v="28"/>
    <x v="230"/>
    <x v="283"/>
    <s v="Satisfied"/>
    <n v="1484697600"/>
    <s v="Not Specified"/>
    <s v="Not Specified"/>
    <s v="Not Specified"/>
    <n v="105"/>
    <x v="0"/>
    <x v="8"/>
  </r>
  <r>
    <x v="2"/>
    <x v="0"/>
    <x v="217"/>
    <x v="2"/>
    <x v="2"/>
    <x v="268"/>
    <x v="10"/>
    <x v="21"/>
    <x v="17"/>
    <x v="231"/>
    <x v="284"/>
    <s v="Too large"/>
    <n v="1484697600"/>
    <s v="Not Specified"/>
    <s v="Not Specified"/>
    <s v="Not Specified"/>
    <n v="118"/>
    <x v="2"/>
    <x v="8"/>
  </r>
  <r>
    <x v="0"/>
    <x v="0"/>
    <x v="217"/>
    <x v="2"/>
    <x v="2"/>
    <x v="269"/>
    <x v="10"/>
    <x v="14"/>
    <x v="18"/>
    <x v="232"/>
    <x v="285"/>
    <s v="colors look great together."/>
    <n v="1484697600"/>
    <s v="Not Specified"/>
    <s v="Not Specified"/>
    <s v="Not Specified"/>
    <n v="88"/>
    <x v="0"/>
    <x v="8"/>
  </r>
  <r>
    <x v="0"/>
    <x v="0"/>
    <x v="217"/>
    <x v="2"/>
    <x v="2"/>
    <x v="270"/>
    <x v="10"/>
    <x v="22"/>
    <x v="12"/>
    <x v="5"/>
    <x v="286"/>
    <s v="Five Stars"/>
    <n v="1484697600"/>
    <s v="Not Specified"/>
    <s v="Not Specified"/>
    <s v="Not Specified"/>
    <n v="11"/>
    <x v="0"/>
    <x v="8"/>
  </r>
  <r>
    <x v="4"/>
    <x v="0"/>
    <x v="217"/>
    <x v="2"/>
    <x v="2"/>
    <x v="271"/>
    <x v="10"/>
    <x v="15"/>
    <x v="17"/>
    <x v="233"/>
    <x v="287"/>
    <s v="but if I wear thick socks they are fine. Also"/>
    <n v="1484697600"/>
    <s v="Not Specified"/>
    <s v="Not Specified"/>
    <s v="Not Specified"/>
    <n v="316"/>
    <x v="0"/>
    <x v="8"/>
  </r>
  <r>
    <x v="3"/>
    <x v="0"/>
    <x v="218"/>
    <x v="2"/>
    <x v="2"/>
    <x v="272"/>
    <x v="10"/>
    <x v="22"/>
    <x v="29"/>
    <x v="234"/>
    <x v="288"/>
    <s v="Poor quality for Nike"/>
    <n v="1484438400"/>
    <s v="Not Specified"/>
    <s v="Not Specified"/>
    <n v="19"/>
    <n v="69"/>
    <x v="2"/>
    <x v="8"/>
  </r>
  <r>
    <x v="4"/>
    <x v="0"/>
    <x v="219"/>
    <x v="2"/>
    <x v="2"/>
    <x v="273"/>
    <x v="10"/>
    <x v="16"/>
    <x v="42"/>
    <x v="5"/>
    <x v="289"/>
    <s v="4/5"/>
    <n v="1484265600"/>
    <s v="Not Specified"/>
    <s v="Not Specified"/>
    <s v="Not Specified"/>
    <n v="187"/>
    <x v="0"/>
    <x v="8"/>
  </r>
  <r>
    <x v="0"/>
    <x v="0"/>
    <x v="220"/>
    <x v="2"/>
    <x v="2"/>
    <x v="274"/>
    <x v="10"/>
    <x v="21"/>
    <x v="33"/>
    <x v="235"/>
    <x v="290"/>
    <s v="LOVE!"/>
    <n v="1484179200"/>
    <s v="Not Specified"/>
    <s v="Not Specified"/>
    <s v="Not Specified"/>
    <n v="216"/>
    <x v="0"/>
    <x v="8"/>
  </r>
  <r>
    <x v="0"/>
    <x v="0"/>
    <x v="220"/>
    <x v="2"/>
    <x v="2"/>
    <x v="275"/>
    <x v="10"/>
    <x v="15"/>
    <x v="17"/>
    <x v="236"/>
    <x v="291"/>
    <s v="Five Stars"/>
    <n v="1484179200"/>
    <s v="Not Specified"/>
    <s v="Not Specified"/>
    <s v="Not Specified"/>
    <n v="20"/>
    <x v="0"/>
    <x v="8"/>
  </r>
  <r>
    <x v="0"/>
    <x v="0"/>
    <x v="221"/>
    <x v="2"/>
    <x v="2"/>
    <x v="276"/>
    <x v="10"/>
    <x v="22"/>
    <x v="37"/>
    <x v="5"/>
    <x v="240"/>
    <s v="Five Stars"/>
    <n v="1484006400"/>
    <s v="Not Specified"/>
    <s v="Not Specified"/>
    <s v="Not Specified"/>
    <n v="17"/>
    <x v="0"/>
    <x v="8"/>
  </r>
  <r>
    <x v="0"/>
    <x v="0"/>
    <x v="222"/>
    <x v="2"/>
    <x v="2"/>
    <x v="277"/>
    <x v="10"/>
    <x v="22"/>
    <x v="42"/>
    <x v="5"/>
    <x v="292"/>
    <s v="Correct size"/>
    <n v="1483747200"/>
    <s v="Not Specified"/>
    <s v="Not Specified"/>
    <s v="Not Specified"/>
    <n v="92"/>
    <x v="0"/>
    <x v="8"/>
  </r>
  <r>
    <x v="0"/>
    <x v="0"/>
    <x v="222"/>
    <x v="2"/>
    <x v="2"/>
    <x v="278"/>
    <x v="10"/>
    <x v="26"/>
    <x v="42"/>
    <x v="237"/>
    <x v="293"/>
    <s v="Perfect for the gym"/>
    <n v="1483747200"/>
    <s v="Not Specified"/>
    <s v="Not Specified"/>
    <s v="Not Specified"/>
    <n v="182"/>
    <x v="0"/>
    <x v="8"/>
  </r>
  <r>
    <x v="4"/>
    <x v="0"/>
    <x v="223"/>
    <x v="2"/>
    <x v="2"/>
    <x v="279"/>
    <x v="10"/>
    <x v="14"/>
    <x v="42"/>
    <x v="5"/>
    <x v="294"/>
    <s v="... opened the box to see the color is exactly like the image shows"/>
    <n v="1483660800"/>
    <s v="Not Specified"/>
    <s v="Not Specified"/>
    <s v="Not Specified"/>
    <n v="219"/>
    <x v="0"/>
    <x v="8"/>
  </r>
  <r>
    <x v="3"/>
    <x v="0"/>
    <x v="224"/>
    <x v="2"/>
    <x v="2"/>
    <x v="280"/>
    <x v="10"/>
    <x v="16"/>
    <x v="18"/>
    <x v="238"/>
    <x v="295"/>
    <s v="I ordered the Nike Women's Flex Supreme TR3 instead and love them!"/>
    <n v="1483488000"/>
    <s v="Not Specified"/>
    <s v="Not Specified"/>
    <s v="Not Specified"/>
    <n v="258"/>
    <x v="2"/>
    <x v="8"/>
  </r>
  <r>
    <x v="0"/>
    <x v="0"/>
    <x v="224"/>
    <x v="2"/>
    <x v="2"/>
    <x v="281"/>
    <x v="10"/>
    <x v="22"/>
    <x v="12"/>
    <x v="239"/>
    <x v="296"/>
    <s v="so light &amp; comfortable!"/>
    <n v="1483488000"/>
    <s v="Not Specified"/>
    <s v="Not Specified"/>
    <s v="Not Specified"/>
    <n v="69"/>
    <x v="0"/>
    <x v="8"/>
  </r>
  <r>
    <x v="0"/>
    <x v="0"/>
    <x v="225"/>
    <x v="2"/>
    <x v="2"/>
    <x v="282"/>
    <x v="10"/>
    <x v="14"/>
    <x v="42"/>
    <x v="240"/>
    <x v="297"/>
    <s v="Five Stars"/>
    <n v="1483228800"/>
    <s v="Not Specified"/>
    <s v="Not Specified"/>
    <s v="Not Specified"/>
    <n v="32"/>
    <x v="0"/>
    <x v="8"/>
  </r>
  <r>
    <x v="0"/>
    <x v="0"/>
    <x v="225"/>
    <x v="2"/>
    <x v="2"/>
    <x v="283"/>
    <x v="10"/>
    <x v="16"/>
    <x v="17"/>
    <x v="241"/>
    <x v="298"/>
    <s v="Five Stars"/>
    <n v="1483228800"/>
    <s v="Not Specified"/>
    <s v="Not Specified"/>
    <s v="Not Specified"/>
    <n v="36"/>
    <x v="0"/>
    <x v="8"/>
  </r>
  <r>
    <x v="0"/>
    <x v="0"/>
    <x v="226"/>
    <x v="3"/>
    <x v="11"/>
    <x v="284"/>
    <x v="10"/>
    <x v="15"/>
    <x v="17"/>
    <x v="242"/>
    <x v="299"/>
    <s v="these were a perfect fit. They are light and very comfortable"/>
    <n v="1483142400"/>
    <s v="Not Specified"/>
    <s v="Not Specified"/>
    <s v="Not Specified"/>
    <n v="169"/>
    <x v="0"/>
    <x v="8"/>
  </r>
  <r>
    <x v="0"/>
    <x v="0"/>
    <x v="227"/>
    <x v="3"/>
    <x v="11"/>
    <x v="285"/>
    <x v="10"/>
    <x v="15"/>
    <x v="17"/>
    <x v="243"/>
    <x v="300"/>
    <s v="Five Stars"/>
    <n v="1482969600"/>
    <s v="Not Specified"/>
    <s v="Not Specified"/>
    <s v="Not Specified"/>
    <n v="37"/>
    <x v="0"/>
    <x v="8"/>
  </r>
  <r>
    <x v="0"/>
    <x v="0"/>
    <x v="227"/>
    <x v="3"/>
    <x v="11"/>
    <x v="286"/>
    <x v="10"/>
    <x v="17"/>
    <x v="42"/>
    <x v="5"/>
    <x v="301"/>
    <s v="Five Stars"/>
    <n v="1482969600"/>
    <s v="Not Specified"/>
    <s v="Not Specified"/>
    <s v="Not Specified"/>
    <n v="45"/>
    <x v="0"/>
    <x v="8"/>
  </r>
  <r>
    <x v="0"/>
    <x v="0"/>
    <x v="228"/>
    <x v="3"/>
    <x v="11"/>
    <x v="287"/>
    <x v="10"/>
    <x v="15"/>
    <x v="17"/>
    <x v="5"/>
    <x v="120"/>
    <s v="Just what I wanted!"/>
    <n v="1482883200"/>
    <s v="Not Specified"/>
    <s v="Not Specified"/>
    <s v="Not Specified"/>
    <n v="8"/>
    <x v="0"/>
    <x v="8"/>
  </r>
  <r>
    <x v="0"/>
    <x v="0"/>
    <x v="228"/>
    <x v="3"/>
    <x v="11"/>
    <x v="288"/>
    <x v="10"/>
    <x v="21"/>
    <x v="18"/>
    <x v="244"/>
    <x v="302"/>
    <s v="Bought these for my daughter and she loves them. ..."/>
    <n v="1482883200"/>
    <s v="Not Specified"/>
    <s v="Not Specified"/>
    <s v="Not Specified"/>
    <n v="134"/>
    <x v="0"/>
    <x v="8"/>
  </r>
  <r>
    <x v="0"/>
    <x v="0"/>
    <x v="229"/>
    <x v="3"/>
    <x v="11"/>
    <x v="289"/>
    <x v="10"/>
    <x v="16"/>
    <x v="17"/>
    <x v="245"/>
    <x v="303"/>
    <s v="Five Stars"/>
    <n v="1482796800"/>
    <s v="Not Specified"/>
    <s v="Not Specified"/>
    <s v="Not Specified"/>
    <n v="32"/>
    <x v="0"/>
    <x v="8"/>
  </r>
  <r>
    <x v="2"/>
    <x v="0"/>
    <x v="230"/>
    <x v="3"/>
    <x v="11"/>
    <x v="290"/>
    <x v="10"/>
    <x v="30"/>
    <x v="28"/>
    <x v="246"/>
    <x v="304"/>
    <s v="Tried one in the store and bought it online but ..."/>
    <n v="1482624000"/>
    <s v="Not Specified"/>
    <s v="Not Specified"/>
    <n v="2"/>
    <n v="108"/>
    <x v="2"/>
    <x v="8"/>
  </r>
  <r>
    <x v="0"/>
    <x v="0"/>
    <x v="231"/>
    <x v="3"/>
    <x v="11"/>
    <x v="291"/>
    <x v="10"/>
    <x v="30"/>
    <x v="37"/>
    <x v="247"/>
    <x v="305"/>
    <s v="I had the older generation of this shoe that survived ..."/>
    <n v="1482451200"/>
    <s v="Not Specified"/>
    <s v="Not Specified"/>
    <s v="Not Specified"/>
    <n v="198"/>
    <x v="0"/>
    <x v="8"/>
  </r>
  <r>
    <x v="0"/>
    <x v="0"/>
    <x v="232"/>
    <x v="3"/>
    <x v="11"/>
    <x v="292"/>
    <x v="10"/>
    <x v="38"/>
    <x v="29"/>
    <x v="5"/>
    <x v="306"/>
    <s v="Five Stars"/>
    <n v="1482364800"/>
    <s v="Not Specified"/>
    <s v="Not Specified"/>
    <s v="Not Specified"/>
    <n v="105"/>
    <x v="0"/>
    <x v="8"/>
  </r>
  <r>
    <x v="2"/>
    <x v="0"/>
    <x v="233"/>
    <x v="3"/>
    <x v="11"/>
    <x v="293"/>
    <x v="10"/>
    <x v="15"/>
    <x v="34"/>
    <x v="248"/>
    <x v="307"/>
    <s v="Not true to size"/>
    <n v="1481846400"/>
    <s v="Not Specified"/>
    <s v="Not Specified"/>
    <s v="Not Specified"/>
    <n v="63"/>
    <x v="2"/>
    <x v="8"/>
  </r>
  <r>
    <x v="3"/>
    <x v="0"/>
    <x v="234"/>
    <x v="3"/>
    <x v="11"/>
    <x v="294"/>
    <x v="10"/>
    <x v="14"/>
    <x v="42"/>
    <x v="5"/>
    <x v="308"/>
    <s v="One Star"/>
    <n v="1481760000"/>
    <s v="Not Specified"/>
    <s v="Not Specified"/>
    <s v="Not Specified"/>
    <n v="11"/>
    <x v="2"/>
    <x v="8"/>
  </r>
  <r>
    <x v="0"/>
    <x v="0"/>
    <x v="235"/>
    <x v="3"/>
    <x v="11"/>
    <x v="295"/>
    <x v="10"/>
    <x v="29"/>
    <x v="25"/>
    <x v="249"/>
    <x v="309"/>
    <s v="Nice"/>
    <n v="1481500800"/>
    <s v="Not Specified"/>
    <s v="Not Specified"/>
    <s v="Not Specified"/>
    <n v="15"/>
    <x v="0"/>
    <x v="8"/>
  </r>
  <r>
    <x v="0"/>
    <x v="0"/>
    <x v="235"/>
    <x v="3"/>
    <x v="11"/>
    <x v="296"/>
    <x v="10"/>
    <x v="22"/>
    <x v="17"/>
    <x v="250"/>
    <x v="310"/>
    <s v="Great"/>
    <n v="1481500800"/>
    <s v="Not Specified"/>
    <s v="Not Specified"/>
    <n v="3"/>
    <n v="362"/>
    <x v="0"/>
    <x v="8"/>
  </r>
  <r>
    <x v="4"/>
    <x v="0"/>
    <x v="236"/>
    <x v="3"/>
    <x v="11"/>
    <x v="297"/>
    <x v="10"/>
    <x v="14"/>
    <x v="42"/>
    <x v="251"/>
    <x v="311"/>
    <s v="Four Stars"/>
    <n v="1481155200"/>
    <s v="Not Specified"/>
    <s v="Not Specified"/>
    <s v="Not Specified"/>
    <n v="36"/>
    <x v="0"/>
    <x v="8"/>
  </r>
  <r>
    <x v="4"/>
    <x v="0"/>
    <x v="237"/>
    <x v="3"/>
    <x v="11"/>
    <x v="298"/>
    <x v="10"/>
    <x v="26"/>
    <x v="40"/>
    <x v="252"/>
    <x v="312"/>
    <s v="Four Stars"/>
    <n v="1480809600"/>
    <s v="Not Specified"/>
    <s v="Not Specified"/>
    <s v="Not Specified"/>
    <n v="36"/>
    <x v="0"/>
    <x v="8"/>
  </r>
  <r>
    <x v="4"/>
    <x v="0"/>
    <x v="238"/>
    <x v="3"/>
    <x v="11"/>
    <x v="299"/>
    <x v="10"/>
    <x v="34"/>
    <x v="25"/>
    <x v="5"/>
    <x v="313"/>
    <s v="Four Stars"/>
    <n v="1480636800"/>
    <s v="Not Specified"/>
    <s v="Not Specified"/>
    <n v="2"/>
    <n v="29"/>
    <x v="0"/>
    <x v="8"/>
  </r>
  <r>
    <x v="0"/>
    <x v="0"/>
    <x v="238"/>
    <x v="3"/>
    <x v="11"/>
    <x v="300"/>
    <x v="10"/>
    <x v="17"/>
    <x v="17"/>
    <x v="253"/>
    <x v="314"/>
    <s v="Five Stars"/>
    <n v="1480636800"/>
    <s v="Not Specified"/>
    <s v="Not Specified"/>
    <s v="Not Specified"/>
    <n v="43"/>
    <x v="0"/>
    <x v="8"/>
  </r>
  <r>
    <x v="0"/>
    <x v="0"/>
    <x v="239"/>
    <x v="3"/>
    <x v="11"/>
    <x v="301"/>
    <x v="10"/>
    <x v="21"/>
    <x v="28"/>
    <x v="83"/>
    <x v="315"/>
    <s v="Five Stars"/>
    <n v="1480550400"/>
    <s v="Not Specified"/>
    <s v="Not Specified"/>
    <s v="Not Specified"/>
    <n v="93"/>
    <x v="0"/>
    <x v="8"/>
  </r>
  <r>
    <x v="0"/>
    <x v="0"/>
    <x v="240"/>
    <x v="3"/>
    <x v="7"/>
    <x v="302"/>
    <x v="10"/>
    <x v="21"/>
    <x v="17"/>
    <x v="233"/>
    <x v="316"/>
    <s v="Five Stars"/>
    <n v="1480291200"/>
    <s v="Not Specified"/>
    <s v="Not Specified"/>
    <s v="Not Specified"/>
    <n v="90"/>
    <x v="0"/>
    <x v="8"/>
  </r>
  <r>
    <x v="0"/>
    <x v="0"/>
    <x v="241"/>
    <x v="3"/>
    <x v="7"/>
    <x v="303"/>
    <x v="10"/>
    <x v="30"/>
    <x v="41"/>
    <x v="254"/>
    <x v="317"/>
    <s v="Love them"/>
    <n v="1480204800"/>
    <s v="Not Specified"/>
    <s v="Not Specified"/>
    <s v="Not Specified"/>
    <n v="338"/>
    <x v="0"/>
    <x v="8"/>
  </r>
  <r>
    <x v="0"/>
    <x v="0"/>
    <x v="242"/>
    <x v="3"/>
    <x v="7"/>
    <x v="304"/>
    <x v="10"/>
    <x v="15"/>
    <x v="17"/>
    <x v="255"/>
    <x v="318"/>
    <s v="Super light weight versatile"/>
    <n v="1479859200"/>
    <s v="Not Specified"/>
    <s v="Not Specified"/>
    <s v="Not Specified"/>
    <n v="76"/>
    <x v="0"/>
    <x v="8"/>
  </r>
  <r>
    <x v="4"/>
    <x v="1"/>
    <x v="243"/>
    <x v="3"/>
    <x v="7"/>
    <x v="305"/>
    <x v="10"/>
    <x v="26"/>
    <x v="37"/>
    <x v="256"/>
    <x v="319"/>
    <s v="very comfortable but limited use"/>
    <n v="1479686400"/>
    <s v="Not Specified"/>
    <s v="Not Specified"/>
    <s v="Not Specified"/>
    <n v="767"/>
    <x v="0"/>
    <x v="8"/>
  </r>
  <r>
    <x v="4"/>
    <x v="0"/>
    <x v="244"/>
    <x v="3"/>
    <x v="7"/>
    <x v="306"/>
    <x v="10"/>
    <x v="21"/>
    <x v="28"/>
    <x v="257"/>
    <x v="320"/>
    <s v="Four Stars"/>
    <n v="1479254400"/>
    <s v="Not Specified"/>
    <s v="Not Specified"/>
    <s v="Not Specified"/>
    <n v="49"/>
    <x v="0"/>
    <x v="8"/>
  </r>
  <r>
    <x v="0"/>
    <x v="0"/>
    <x v="244"/>
    <x v="3"/>
    <x v="7"/>
    <x v="307"/>
    <x v="10"/>
    <x v="21"/>
    <x v="17"/>
    <x v="5"/>
    <x v="321"/>
    <s v="Five Stars"/>
    <n v="1479254400"/>
    <s v="Not Specified"/>
    <s v="Not Specified"/>
    <s v="Not Specified"/>
    <n v="9"/>
    <x v="0"/>
    <x v="8"/>
  </r>
  <r>
    <x v="1"/>
    <x v="0"/>
    <x v="245"/>
    <x v="3"/>
    <x v="7"/>
    <x v="308"/>
    <x v="10"/>
    <x v="15"/>
    <x v="34"/>
    <x v="258"/>
    <x v="322"/>
    <s v="Not for aerobic exercise"/>
    <n v="1479081600"/>
    <s v="Not Specified"/>
    <s v="Not Specified"/>
    <s v="Not Specified"/>
    <n v="92"/>
    <x v="1"/>
    <x v="8"/>
  </r>
  <r>
    <x v="0"/>
    <x v="0"/>
    <x v="246"/>
    <x v="3"/>
    <x v="7"/>
    <x v="309"/>
    <x v="10"/>
    <x v="22"/>
    <x v="24"/>
    <x v="259"/>
    <x v="323"/>
    <s v="Favorite Nikes ever"/>
    <n v="1478822400"/>
    <s v="Not Specified"/>
    <s v="Not Specified"/>
    <s v="Not Specified"/>
    <n v="133"/>
    <x v="0"/>
    <x v="8"/>
  </r>
  <r>
    <x v="4"/>
    <x v="0"/>
    <x v="246"/>
    <x v="3"/>
    <x v="7"/>
    <x v="310"/>
    <x v="10"/>
    <x v="16"/>
    <x v="28"/>
    <x v="260"/>
    <x v="324"/>
    <s v="Four Stars"/>
    <n v="1478822400"/>
    <s v="Not Specified"/>
    <s v="Not Specified"/>
    <s v="Not Specified"/>
    <n v="25"/>
    <x v="0"/>
    <x v="8"/>
  </r>
  <r>
    <x v="0"/>
    <x v="0"/>
    <x v="247"/>
    <x v="3"/>
    <x v="7"/>
    <x v="311"/>
    <x v="10"/>
    <x v="14"/>
    <x v="17"/>
    <x v="5"/>
    <x v="325"/>
    <s v="... of shoes for cross training and these were the best!"/>
    <n v="1478649600"/>
    <s v="Not Specified"/>
    <s v="Not Specified"/>
    <s v="Not Specified"/>
    <n v="64"/>
    <x v="0"/>
    <x v="8"/>
  </r>
  <r>
    <x v="4"/>
    <x v="0"/>
    <x v="248"/>
    <x v="3"/>
    <x v="7"/>
    <x v="312"/>
    <x v="10"/>
    <x v="26"/>
    <x v="40"/>
    <x v="261"/>
    <x v="326"/>
    <s v="Overall, a grwat shoe."/>
    <n v="1478563200"/>
    <s v="Not Specified"/>
    <s v="Not Specified"/>
    <s v="Not Specified"/>
    <n v="83"/>
    <x v="0"/>
    <x v="8"/>
  </r>
  <r>
    <x v="0"/>
    <x v="0"/>
    <x v="249"/>
    <x v="3"/>
    <x v="7"/>
    <x v="313"/>
    <x v="10"/>
    <x v="30"/>
    <x v="17"/>
    <x v="262"/>
    <x v="327"/>
    <s v="These are as far as comfort goes the most comfortable pair of sneakers I have I suffer from sciatica ..."/>
    <n v="1478476800"/>
    <s v="Not Specified"/>
    <s v="Not Specified"/>
    <n v="3"/>
    <n v="235"/>
    <x v="0"/>
    <x v="8"/>
  </r>
  <r>
    <x v="1"/>
    <x v="0"/>
    <x v="250"/>
    <x v="3"/>
    <x v="7"/>
    <x v="314"/>
    <x v="10"/>
    <x v="21"/>
    <x v="40"/>
    <x v="263"/>
    <x v="328"/>
    <s v="They feel good but I will not recommended if you need Wide ..."/>
    <n v="1478390400"/>
    <s v="Not Specified"/>
    <s v="Not Specified"/>
    <s v="Not Specified"/>
    <n v="115"/>
    <x v="1"/>
    <x v="8"/>
  </r>
  <r>
    <x v="1"/>
    <x v="0"/>
    <x v="251"/>
    <x v="3"/>
    <x v="3"/>
    <x v="315"/>
    <x v="10"/>
    <x v="30"/>
    <x v="28"/>
    <x v="264"/>
    <x v="329"/>
    <s v="Get a half-size or more larger than usual."/>
    <n v="1477785600"/>
    <s v="Not Specified"/>
    <s v="Not Specified"/>
    <s v="Not Specified"/>
    <n v="228"/>
    <x v="1"/>
    <x v="8"/>
  </r>
  <r>
    <x v="0"/>
    <x v="0"/>
    <x v="252"/>
    <x v="3"/>
    <x v="3"/>
    <x v="316"/>
    <x v="10"/>
    <x v="17"/>
    <x v="23"/>
    <x v="265"/>
    <x v="330"/>
    <s v="Love them! Very comfortable and great for weight training"/>
    <n v="1477699200"/>
    <s v="Not Specified"/>
    <s v="Not Specified"/>
    <s v="Not Specified"/>
    <n v="59"/>
    <x v="0"/>
    <x v="8"/>
  </r>
  <r>
    <x v="1"/>
    <x v="0"/>
    <x v="253"/>
    <x v="3"/>
    <x v="3"/>
    <x v="317"/>
    <x v="10"/>
    <x v="21"/>
    <x v="17"/>
    <x v="266"/>
    <x v="331"/>
    <s v="Not as expected"/>
    <n v="1477440000"/>
    <s v="Not Specified"/>
    <s v="Not Specified"/>
    <s v="Not Specified"/>
    <n v="333"/>
    <x v="1"/>
    <x v="8"/>
  </r>
  <r>
    <x v="0"/>
    <x v="0"/>
    <x v="254"/>
    <x v="3"/>
    <x v="3"/>
    <x v="318"/>
    <x v="10"/>
    <x v="24"/>
    <x v="22"/>
    <x v="267"/>
    <x v="332"/>
    <s v="Five Stars"/>
    <n v="1477353600"/>
    <s v="Not Specified"/>
    <s v="Not Specified"/>
    <s v="Not Specified"/>
    <n v="33"/>
    <x v="0"/>
    <x v="8"/>
  </r>
  <r>
    <x v="0"/>
    <x v="1"/>
    <x v="255"/>
    <x v="3"/>
    <x v="3"/>
    <x v="319"/>
    <x v="10"/>
    <x v="14"/>
    <x v="30"/>
    <x v="5"/>
    <x v="333"/>
    <s v="Really Comfortable Shoes"/>
    <n v="1477267200"/>
    <s v="Not Specified"/>
    <s v="Not Specified"/>
    <s v="Not Specified"/>
    <n v="86"/>
    <x v="0"/>
    <x v="8"/>
  </r>
  <r>
    <x v="0"/>
    <x v="0"/>
    <x v="255"/>
    <x v="3"/>
    <x v="3"/>
    <x v="320"/>
    <x v="10"/>
    <x v="14"/>
    <x v="32"/>
    <x v="268"/>
    <x v="334"/>
    <s v="Five Stars"/>
    <n v="1477267200"/>
    <s v="Not Specified"/>
    <s v="Not Specified"/>
    <s v="Not Specified"/>
    <n v="24"/>
    <x v="0"/>
    <x v="8"/>
  </r>
  <r>
    <x v="0"/>
    <x v="0"/>
    <x v="256"/>
    <x v="3"/>
    <x v="3"/>
    <x v="321"/>
    <x v="10"/>
    <x v="26"/>
    <x v="17"/>
    <x v="5"/>
    <x v="335"/>
    <s v="Worth it."/>
    <n v="1476835200"/>
    <s v="Not Specified"/>
    <s v="Not Specified"/>
    <s v="Not Specified"/>
    <n v="35"/>
    <x v="0"/>
    <x v="8"/>
  </r>
  <r>
    <x v="0"/>
    <x v="0"/>
    <x v="4"/>
    <x v="3"/>
    <x v="3"/>
    <x v="322"/>
    <x v="10"/>
    <x v="16"/>
    <x v="28"/>
    <x v="269"/>
    <x v="336"/>
    <s v="Great sneakers!"/>
    <n v="1476662400"/>
    <s v="Not Specified"/>
    <s v="Not Specified"/>
    <n v="5"/>
    <n v="106"/>
    <x v="0"/>
    <x v="8"/>
  </r>
  <r>
    <x v="0"/>
    <x v="0"/>
    <x v="257"/>
    <x v="3"/>
    <x v="3"/>
    <x v="323"/>
    <x v="10"/>
    <x v="16"/>
    <x v="17"/>
    <x v="270"/>
    <x v="337"/>
    <s v="Lightweight yet supportive"/>
    <n v="1476489600"/>
    <s v="Not Specified"/>
    <s v="Not Specified"/>
    <s v="Not Specified"/>
    <n v="57"/>
    <x v="0"/>
    <x v="8"/>
  </r>
  <r>
    <x v="4"/>
    <x v="0"/>
    <x v="258"/>
    <x v="3"/>
    <x v="3"/>
    <x v="324"/>
    <x v="10"/>
    <x v="15"/>
    <x v="40"/>
    <x v="271"/>
    <x v="338"/>
    <s v="but like them so far"/>
    <n v="1476144000"/>
    <s v="Not Specified"/>
    <s v="Not Specified"/>
    <s v="Not Specified"/>
    <n v="181"/>
    <x v="0"/>
    <x v="8"/>
  </r>
  <r>
    <x v="1"/>
    <x v="0"/>
    <x v="259"/>
    <x v="3"/>
    <x v="3"/>
    <x v="325"/>
    <x v="10"/>
    <x v="30"/>
    <x v="20"/>
    <x v="272"/>
    <x v="339"/>
    <s v="Great red color"/>
    <n v="1475971200"/>
    <s v="Not Specified"/>
    <s v="Not Specified"/>
    <s v="Not Specified"/>
    <n v="68"/>
    <x v="1"/>
    <x v="8"/>
  </r>
  <r>
    <x v="4"/>
    <x v="0"/>
    <x v="260"/>
    <x v="3"/>
    <x v="3"/>
    <x v="326"/>
    <x v="10"/>
    <x v="14"/>
    <x v="17"/>
    <x v="273"/>
    <x v="340"/>
    <s v="they'll work great!: )"/>
    <n v="1475625600"/>
    <s v="Not Specified"/>
    <s v="Not Specified"/>
    <s v="Not Specified"/>
    <n v="100"/>
    <x v="0"/>
    <x v="8"/>
  </r>
  <r>
    <x v="1"/>
    <x v="0"/>
    <x v="261"/>
    <x v="3"/>
    <x v="3"/>
    <x v="327"/>
    <x v="10"/>
    <x v="16"/>
    <x v="20"/>
    <x v="274"/>
    <x v="341"/>
    <s v="Shoes looked great but too narrow for most feet"/>
    <n v="1475280000"/>
    <s v="Not Specified"/>
    <s v="Not Specified"/>
    <s v="Not Specified"/>
    <n v="59"/>
    <x v="1"/>
    <x v="8"/>
  </r>
  <r>
    <x v="0"/>
    <x v="0"/>
    <x v="262"/>
    <x v="3"/>
    <x v="0"/>
    <x v="328"/>
    <x v="10"/>
    <x v="30"/>
    <x v="18"/>
    <x v="275"/>
    <x v="342"/>
    <s v="I love these shoes"/>
    <n v="1474848000"/>
    <s v="Not Specified"/>
    <s v="Not Specified"/>
    <s v="Not Specified"/>
    <n v="107"/>
    <x v="0"/>
    <x v="8"/>
  </r>
  <r>
    <x v="0"/>
    <x v="0"/>
    <x v="263"/>
    <x v="3"/>
    <x v="0"/>
    <x v="329"/>
    <x v="10"/>
    <x v="14"/>
    <x v="34"/>
    <x v="276"/>
    <x v="343"/>
    <s v="Five Stars"/>
    <n v="1474588800"/>
    <s v="Not Specified"/>
    <s v="Not Specified"/>
    <s v="Not Specified"/>
    <n v="12"/>
    <x v="0"/>
    <x v="8"/>
  </r>
  <r>
    <x v="0"/>
    <x v="0"/>
    <x v="264"/>
    <x v="3"/>
    <x v="0"/>
    <x v="330"/>
    <x v="10"/>
    <x v="29"/>
    <x v="25"/>
    <x v="5"/>
    <x v="344"/>
    <s v="Very comfortable shoes. I have wide feet with falling arches"/>
    <n v="1474156800"/>
    <s v="Not Specified"/>
    <s v="Not Specified"/>
    <n v="3"/>
    <n v="140"/>
    <x v="0"/>
    <x v="8"/>
  </r>
  <r>
    <x v="3"/>
    <x v="0"/>
    <x v="265"/>
    <x v="3"/>
    <x v="0"/>
    <x v="331"/>
    <x v="10"/>
    <x v="21"/>
    <x v="23"/>
    <x v="277"/>
    <x v="345"/>
    <s v="Did not fit my feet"/>
    <n v="1473638400"/>
    <s v="Not Specified"/>
    <s v="Not Specified"/>
    <s v="Not Specified"/>
    <n v="148"/>
    <x v="2"/>
    <x v="8"/>
  </r>
  <r>
    <x v="3"/>
    <x v="0"/>
    <x v="266"/>
    <x v="3"/>
    <x v="0"/>
    <x v="332"/>
    <x v="10"/>
    <x v="22"/>
    <x v="17"/>
    <x v="278"/>
    <x v="346"/>
    <s v="Poor Quality. Don't buy."/>
    <n v="1473552000"/>
    <s v="Not Specified"/>
    <s v="Not Specified"/>
    <n v="14"/>
    <n v="258"/>
    <x v="2"/>
    <x v="8"/>
  </r>
  <r>
    <x v="0"/>
    <x v="0"/>
    <x v="267"/>
    <x v="3"/>
    <x v="0"/>
    <x v="333"/>
    <x v="10"/>
    <x v="21"/>
    <x v="17"/>
    <x v="279"/>
    <x v="347"/>
    <s v="Five Stars"/>
    <n v="1473379200"/>
    <s v="Not Specified"/>
    <s v="Not Specified"/>
    <s v="Not Specified"/>
    <n v="49"/>
    <x v="0"/>
    <x v="8"/>
  </r>
  <r>
    <x v="4"/>
    <x v="0"/>
    <x v="268"/>
    <x v="3"/>
    <x v="0"/>
    <x v="334"/>
    <x v="10"/>
    <x v="17"/>
    <x v="17"/>
    <x v="280"/>
    <x v="348"/>
    <s v="Does the job!"/>
    <n v="1473120000"/>
    <s v="Not Specified"/>
    <s v="Not Specified"/>
    <n v="2"/>
    <n v="248"/>
    <x v="0"/>
    <x v="8"/>
  </r>
  <r>
    <x v="4"/>
    <x v="0"/>
    <x v="269"/>
    <x v="3"/>
    <x v="0"/>
    <x v="335"/>
    <x v="10"/>
    <x v="22"/>
    <x v="32"/>
    <x v="5"/>
    <x v="349"/>
    <s v="I liked these shoes a lot"/>
    <n v="1472774400"/>
    <s v="Not Specified"/>
    <s v="Not Specified"/>
    <s v="Not Specified"/>
    <n v="177"/>
    <x v="0"/>
    <x v="8"/>
  </r>
  <r>
    <x v="0"/>
    <x v="0"/>
    <x v="270"/>
    <x v="3"/>
    <x v="4"/>
    <x v="336"/>
    <x v="10"/>
    <x v="16"/>
    <x v="17"/>
    <x v="5"/>
    <x v="350"/>
    <s v="Five Stars"/>
    <n v="1472428800"/>
    <s v="Not Specified"/>
    <s v="Not Specified"/>
    <s v="Not Specified"/>
    <n v="13"/>
    <x v="0"/>
    <x v="8"/>
  </r>
  <r>
    <x v="0"/>
    <x v="0"/>
    <x v="271"/>
    <x v="3"/>
    <x v="4"/>
    <x v="337"/>
    <x v="10"/>
    <x v="21"/>
    <x v="30"/>
    <x v="5"/>
    <x v="351"/>
    <s v="Five Stars"/>
    <n v="1472256000"/>
    <s v="Not Specified"/>
    <s v="Not Specified"/>
    <s v="Not Specified"/>
    <n v="62"/>
    <x v="0"/>
    <x v="8"/>
  </r>
  <r>
    <x v="0"/>
    <x v="0"/>
    <x v="271"/>
    <x v="3"/>
    <x v="4"/>
    <x v="338"/>
    <x v="10"/>
    <x v="30"/>
    <x v="17"/>
    <x v="5"/>
    <x v="352"/>
    <s v="... crossfit and find that these shoes help give me good support with my endurance workouts"/>
    <n v="1472256000"/>
    <s v="Not Specified"/>
    <s v="Not Specified"/>
    <n v="5"/>
    <n v="112"/>
    <x v="0"/>
    <x v="8"/>
  </r>
  <r>
    <x v="1"/>
    <x v="0"/>
    <x v="272"/>
    <x v="3"/>
    <x v="4"/>
    <x v="339"/>
    <x v="10"/>
    <x v="21"/>
    <x v="17"/>
    <x v="5"/>
    <x v="353"/>
    <s v="Unnacceptable. Zero support"/>
    <n v="1472169600"/>
    <s v="Not Specified"/>
    <s v="Not Specified"/>
    <n v="2"/>
    <n v="256"/>
    <x v="1"/>
    <x v="8"/>
  </r>
  <r>
    <x v="0"/>
    <x v="0"/>
    <x v="273"/>
    <x v="3"/>
    <x v="4"/>
    <x v="340"/>
    <x v="10"/>
    <x v="21"/>
    <x v="32"/>
    <x v="281"/>
    <x v="354"/>
    <s v="Great for walking!"/>
    <n v="1471910400"/>
    <s v="Not Specified"/>
    <s v="Not Specified"/>
    <s v="Not Specified"/>
    <n v="93"/>
    <x v="0"/>
    <x v="8"/>
  </r>
  <r>
    <x v="0"/>
    <x v="0"/>
    <x v="274"/>
    <x v="3"/>
    <x v="4"/>
    <x v="341"/>
    <x v="10"/>
    <x v="16"/>
    <x v="17"/>
    <x v="282"/>
    <x v="355"/>
    <s v="Simply Supreme."/>
    <n v="1471651200"/>
    <s v="Not Specified"/>
    <s v="Not Specified"/>
    <s v="Not Specified"/>
    <n v="1225"/>
    <x v="0"/>
    <x v="8"/>
  </r>
  <r>
    <x v="0"/>
    <x v="0"/>
    <x v="275"/>
    <x v="3"/>
    <x v="4"/>
    <x v="342"/>
    <x v="10"/>
    <x v="26"/>
    <x v="17"/>
    <x v="283"/>
    <x v="356"/>
    <s v="Soooo comfortable....."/>
    <n v="1471219200"/>
    <s v="Not Specified"/>
    <s v="Not Specified"/>
    <s v="Not Specified"/>
    <n v="246"/>
    <x v="0"/>
    <x v="8"/>
  </r>
  <r>
    <x v="0"/>
    <x v="0"/>
    <x v="275"/>
    <x v="3"/>
    <x v="4"/>
    <x v="343"/>
    <x v="10"/>
    <x v="24"/>
    <x v="22"/>
    <x v="284"/>
    <x v="357"/>
    <s v="Five Stars"/>
    <n v="1471219200"/>
    <s v="Not Specified"/>
    <s v="Not Specified"/>
    <s v="Not Specified"/>
    <n v="40"/>
    <x v="0"/>
    <x v="8"/>
  </r>
  <r>
    <x v="0"/>
    <x v="0"/>
    <x v="276"/>
    <x v="3"/>
    <x v="4"/>
    <x v="344"/>
    <x v="10"/>
    <x v="22"/>
    <x v="41"/>
    <x v="285"/>
    <x v="358"/>
    <s v="BEST SHOES EVER!"/>
    <n v="1471132800"/>
    <s v="Not Specified"/>
    <s v="Not Specified"/>
    <s v="Not Specified"/>
    <n v="224"/>
    <x v="0"/>
    <x v="8"/>
  </r>
  <r>
    <x v="0"/>
    <x v="0"/>
    <x v="277"/>
    <x v="3"/>
    <x v="4"/>
    <x v="345"/>
    <x v="10"/>
    <x v="22"/>
    <x v="17"/>
    <x v="286"/>
    <x v="359"/>
    <s v="... me the motivation to workout because they feel so good and are great for any training"/>
    <n v="1470614400"/>
    <s v="Not Specified"/>
    <s v="Not Specified"/>
    <s v="Not Specified"/>
    <n v="105"/>
    <x v="0"/>
    <x v="8"/>
  </r>
  <r>
    <x v="1"/>
    <x v="0"/>
    <x v="278"/>
    <x v="3"/>
    <x v="4"/>
    <x v="346"/>
    <x v="10"/>
    <x v="16"/>
    <x v="17"/>
    <x v="287"/>
    <x v="360"/>
    <s v="Hurt my knees and back running"/>
    <n v="1470355200"/>
    <s v="Not Specified"/>
    <s v="Not Specified"/>
    <n v="2"/>
    <n v="772"/>
    <x v="1"/>
    <x v="8"/>
  </r>
  <r>
    <x v="0"/>
    <x v="0"/>
    <x v="279"/>
    <x v="3"/>
    <x v="9"/>
    <x v="347"/>
    <x v="10"/>
    <x v="33"/>
    <x v="17"/>
    <x v="288"/>
    <x v="361"/>
    <s v="Very comfortable shoes. Love"/>
    <n v="1469577600"/>
    <s v="Not Specified"/>
    <s v="Not Specified"/>
    <s v="Not Specified"/>
    <n v="37"/>
    <x v="0"/>
    <x v="8"/>
  </r>
  <r>
    <x v="0"/>
    <x v="1"/>
    <x v="280"/>
    <x v="3"/>
    <x v="9"/>
    <x v="348"/>
    <x v="10"/>
    <x v="16"/>
    <x v="26"/>
    <x v="289"/>
    <x v="362"/>
    <s v="Great shoes"/>
    <n v="1469145600"/>
    <s v="Not Specified"/>
    <s v="Not Specified"/>
    <s v="Not Specified"/>
    <n v="427"/>
    <x v="0"/>
    <x v="8"/>
  </r>
  <r>
    <x v="1"/>
    <x v="0"/>
    <x v="281"/>
    <x v="3"/>
    <x v="9"/>
    <x v="349"/>
    <x v="10"/>
    <x v="30"/>
    <x v="17"/>
    <x v="290"/>
    <x v="363"/>
    <s v="large shoe"/>
    <n v="1469059200"/>
    <s v="Not Specified"/>
    <s v="Not Specified"/>
    <s v="Not Specified"/>
    <n v="50"/>
    <x v="1"/>
    <x v="8"/>
  </r>
  <r>
    <x v="0"/>
    <x v="0"/>
    <x v="282"/>
    <x v="3"/>
    <x v="9"/>
    <x v="350"/>
    <x v="10"/>
    <x v="16"/>
    <x v="17"/>
    <x v="291"/>
    <x v="364"/>
    <s v="Five Stars"/>
    <n v="1468886400"/>
    <s v="Not Specified"/>
    <s v="Not Specified"/>
    <s v="Not Specified"/>
    <n v="20"/>
    <x v="0"/>
    <x v="8"/>
  </r>
  <r>
    <x v="0"/>
    <x v="0"/>
    <x v="283"/>
    <x v="3"/>
    <x v="9"/>
    <x v="351"/>
    <x v="10"/>
    <x v="21"/>
    <x v="18"/>
    <x v="292"/>
    <x v="365"/>
    <s v="My wife loves these shoes."/>
    <n v="1468800000"/>
    <s v="Not Specified"/>
    <s v="Not Specified"/>
    <s v="Not Specified"/>
    <n v="306"/>
    <x v="0"/>
    <x v="8"/>
  </r>
  <r>
    <x v="0"/>
    <x v="0"/>
    <x v="284"/>
    <x v="3"/>
    <x v="9"/>
    <x v="352"/>
    <x v="10"/>
    <x v="17"/>
    <x v="17"/>
    <x v="293"/>
    <x v="366"/>
    <s v="Love Love Love"/>
    <n v="1468368000"/>
    <s v="Not Specified"/>
    <s v="Not Specified"/>
    <s v="Not Specified"/>
    <n v="188"/>
    <x v="0"/>
    <x v="8"/>
  </r>
  <r>
    <x v="0"/>
    <x v="0"/>
    <x v="285"/>
    <x v="3"/>
    <x v="9"/>
    <x v="353"/>
    <x v="10"/>
    <x v="26"/>
    <x v="17"/>
    <x v="5"/>
    <x v="367"/>
    <s v="PERFECT"/>
    <n v="1467331200"/>
    <s v="Not Specified"/>
    <s v="Not Specified"/>
    <s v="Not Specified"/>
    <n v="62"/>
    <x v="0"/>
    <x v="8"/>
  </r>
  <r>
    <x v="0"/>
    <x v="0"/>
    <x v="285"/>
    <x v="3"/>
    <x v="9"/>
    <x v="354"/>
    <x v="10"/>
    <x v="16"/>
    <x v="32"/>
    <x v="294"/>
    <x v="368"/>
    <s v="Nice shoe"/>
    <n v="1467331200"/>
    <s v="Not Specified"/>
    <s v="Not Specified"/>
    <n v="5"/>
    <n v="378"/>
    <x v="0"/>
    <x v="8"/>
  </r>
  <r>
    <x v="0"/>
    <x v="0"/>
    <x v="286"/>
    <x v="3"/>
    <x v="6"/>
    <x v="355"/>
    <x v="10"/>
    <x v="15"/>
    <x v="17"/>
    <x v="295"/>
    <x v="369"/>
    <s v="I am so happy with this purchase"/>
    <n v="1467072000"/>
    <s v="Not Specified"/>
    <s v="Not Specified"/>
    <n v="7"/>
    <n v="288"/>
    <x v="0"/>
    <x v="8"/>
  </r>
  <r>
    <x v="0"/>
    <x v="0"/>
    <x v="287"/>
    <x v="3"/>
    <x v="6"/>
    <x v="356"/>
    <x v="10"/>
    <x v="16"/>
    <x v="41"/>
    <x v="296"/>
    <x v="370"/>
    <s v="Five Stars"/>
    <n v="1466812800"/>
    <s v="Not Specified"/>
    <s v="Not Specified"/>
    <s v="Not Specified"/>
    <n v="60"/>
    <x v="0"/>
    <x v="8"/>
  </r>
  <r>
    <x v="1"/>
    <x v="0"/>
    <x v="288"/>
    <x v="3"/>
    <x v="6"/>
    <x v="357"/>
    <x v="10"/>
    <x v="30"/>
    <x v="18"/>
    <x v="5"/>
    <x v="371"/>
    <s v="Cute"/>
    <n v="1466467200"/>
    <s v="Not Specified"/>
    <s v="Not Specified"/>
    <n v="2"/>
    <n v="236"/>
    <x v="1"/>
    <x v="8"/>
  </r>
  <r>
    <x v="0"/>
    <x v="0"/>
    <x v="289"/>
    <x v="3"/>
    <x v="6"/>
    <x v="358"/>
    <x v="10"/>
    <x v="21"/>
    <x v="17"/>
    <x v="297"/>
    <x v="372"/>
    <s v="Love"/>
    <n v="1466294400"/>
    <s v="Not Specified"/>
    <s v="Not Specified"/>
    <n v="3"/>
    <n v="308"/>
    <x v="0"/>
    <x v="8"/>
  </r>
  <r>
    <x v="0"/>
    <x v="1"/>
    <x v="290"/>
    <x v="3"/>
    <x v="6"/>
    <x v="359"/>
    <x v="10"/>
    <x v="21"/>
    <x v="20"/>
    <x v="5"/>
    <x v="373"/>
    <s v="Absolutely Perfect Shoe!!"/>
    <n v="1466035200"/>
    <s v="Not Specified"/>
    <s v="Not Specified"/>
    <n v="3"/>
    <n v="370"/>
    <x v="0"/>
    <x v="8"/>
  </r>
  <r>
    <x v="0"/>
    <x v="0"/>
    <x v="291"/>
    <x v="3"/>
    <x v="6"/>
    <x v="360"/>
    <x v="10"/>
    <x v="31"/>
    <x v="17"/>
    <x v="298"/>
    <x v="374"/>
    <s v="Comfortable and lightweight"/>
    <n v="1465516800"/>
    <s v="Not Specified"/>
    <s v="Not Specified"/>
    <n v="10"/>
    <n v="204"/>
    <x v="0"/>
    <x v="8"/>
  </r>
  <r>
    <x v="0"/>
    <x v="0"/>
    <x v="292"/>
    <x v="3"/>
    <x v="6"/>
    <x v="361"/>
    <x v="10"/>
    <x v="14"/>
    <x v="17"/>
    <x v="299"/>
    <x v="321"/>
    <s v="Five Stars"/>
    <n v="1465084800"/>
    <s v="Not Specified"/>
    <s v="Not Specified"/>
    <s v="Not Specified"/>
    <n v="9"/>
    <x v="0"/>
    <x v="8"/>
  </r>
  <r>
    <x v="0"/>
    <x v="0"/>
    <x v="293"/>
    <x v="3"/>
    <x v="6"/>
    <x v="362"/>
    <x v="10"/>
    <x v="14"/>
    <x v="32"/>
    <x v="300"/>
    <x v="375"/>
    <s v="Awesome shoes!"/>
    <n v="1464825600"/>
    <s v="Not Specified"/>
    <s v="Not Specified"/>
    <s v="Not Specified"/>
    <n v="237"/>
    <x v="0"/>
    <x v="8"/>
  </r>
  <r>
    <x v="0"/>
    <x v="0"/>
    <x v="294"/>
    <x v="3"/>
    <x v="1"/>
    <x v="363"/>
    <x v="10"/>
    <x v="17"/>
    <x v="18"/>
    <x v="301"/>
    <x v="376"/>
    <s v="Five Stars"/>
    <n v="1464480000"/>
    <s v="Not Specified"/>
    <s v="Not Specified"/>
    <s v="Not Specified"/>
    <n v="11"/>
    <x v="0"/>
    <x v="8"/>
  </r>
  <r>
    <x v="0"/>
    <x v="0"/>
    <x v="295"/>
    <x v="3"/>
    <x v="1"/>
    <x v="364"/>
    <x v="10"/>
    <x v="39"/>
    <x v="19"/>
    <x v="5"/>
    <x v="228"/>
    <s v="Five Stars"/>
    <n v="1464393600"/>
    <s v="Not Specified"/>
    <s v="Not Specified"/>
    <s v="Not Specified"/>
    <n v="7"/>
    <x v="0"/>
    <x v="8"/>
  </r>
  <r>
    <x v="0"/>
    <x v="1"/>
    <x v="296"/>
    <x v="3"/>
    <x v="1"/>
    <x v="365"/>
    <x v="10"/>
    <x v="2"/>
    <x v="7"/>
    <x v="302"/>
    <x v="377"/>
    <s v="Time to leave the fad of the month for something that works."/>
    <n v="1464048000"/>
    <s v="Not Specified"/>
    <s v="Not Specified"/>
    <n v="8"/>
    <n v="629"/>
    <x v="0"/>
    <x v="8"/>
  </r>
  <r>
    <x v="4"/>
    <x v="0"/>
    <x v="296"/>
    <x v="3"/>
    <x v="1"/>
    <x v="366"/>
    <x v="10"/>
    <x v="21"/>
    <x v="18"/>
    <x v="303"/>
    <x v="378"/>
    <s v="A little annoying because I have to pay attention but they are ..."/>
    <n v="1464048000"/>
    <s v="Not Specified"/>
    <s v="Not Specified"/>
    <s v="Not Specified"/>
    <n v="148"/>
    <x v="0"/>
    <x v="8"/>
  </r>
  <r>
    <x v="0"/>
    <x v="0"/>
    <x v="297"/>
    <x v="3"/>
    <x v="1"/>
    <x v="367"/>
    <x v="10"/>
    <x v="26"/>
    <x v="17"/>
    <x v="304"/>
    <x v="248"/>
    <s v="Five Stars"/>
    <n v="1463702400"/>
    <s v="Not Specified"/>
    <s v="Not Specified"/>
    <s v="Not Specified"/>
    <n v="10"/>
    <x v="0"/>
    <x v="8"/>
  </r>
  <r>
    <x v="0"/>
    <x v="1"/>
    <x v="298"/>
    <x v="3"/>
    <x v="1"/>
    <x v="368"/>
    <x v="10"/>
    <x v="17"/>
    <x v="34"/>
    <x v="305"/>
    <x v="379"/>
    <s v="and the toe area is pretty wide plus plenty long even with socks"/>
    <n v="1463529600"/>
    <s v="Not Specified"/>
    <s v="Not Specified"/>
    <s v="Not Specified"/>
    <n v="247"/>
    <x v="0"/>
    <x v="8"/>
  </r>
  <r>
    <x v="0"/>
    <x v="0"/>
    <x v="299"/>
    <x v="3"/>
    <x v="1"/>
    <x v="369"/>
    <x v="10"/>
    <x v="22"/>
    <x v="20"/>
    <x v="5"/>
    <x v="380"/>
    <s v="Five Stars"/>
    <n v="1463356800"/>
    <s v="Not Specified"/>
    <s v="Not Specified"/>
    <s v="Not Specified"/>
    <n v="76"/>
    <x v="0"/>
    <x v="8"/>
  </r>
  <r>
    <x v="0"/>
    <x v="0"/>
    <x v="300"/>
    <x v="3"/>
    <x v="1"/>
    <x v="370"/>
    <x v="10"/>
    <x v="15"/>
    <x v="32"/>
    <x v="306"/>
    <x v="381"/>
    <s v="Great and comfy for sports"/>
    <n v="1463270400"/>
    <s v="Not Specified"/>
    <s v="Not Specified"/>
    <s v="Not Specified"/>
    <n v="27"/>
    <x v="0"/>
    <x v="8"/>
  </r>
  <r>
    <x v="4"/>
    <x v="0"/>
    <x v="301"/>
    <x v="3"/>
    <x v="1"/>
    <x v="371"/>
    <x v="10"/>
    <x v="40"/>
    <x v="43"/>
    <x v="307"/>
    <x v="382"/>
    <s v="A bit pointier toe than depicted..."/>
    <n v="1462924800"/>
    <s v="Not Specified"/>
    <s v="Not Specified"/>
    <s v="Not Specified"/>
    <n v="468"/>
    <x v="0"/>
    <x v="8"/>
  </r>
  <r>
    <x v="0"/>
    <x v="1"/>
    <x v="302"/>
    <x v="3"/>
    <x v="1"/>
    <x v="372"/>
    <x v="10"/>
    <x v="17"/>
    <x v="18"/>
    <x v="5"/>
    <x v="383"/>
    <s v="Best shoes ever!!!"/>
    <n v="1462838400"/>
    <s v="Not Specified"/>
    <s v="Not Specified"/>
    <s v="Not Specified"/>
    <n v="166"/>
    <x v="0"/>
    <x v="8"/>
  </r>
  <r>
    <x v="0"/>
    <x v="0"/>
    <x v="303"/>
    <x v="3"/>
    <x v="1"/>
    <x v="373"/>
    <x v="10"/>
    <x v="21"/>
    <x v="17"/>
    <x v="308"/>
    <x v="384"/>
    <s v="Five Stars"/>
    <n v="1462752000"/>
    <s v="Not Specified"/>
    <s v="Not Specified"/>
    <s v="Not Specified"/>
    <n v="33"/>
    <x v="0"/>
    <x v="8"/>
  </r>
  <r>
    <x v="0"/>
    <x v="0"/>
    <x v="304"/>
    <x v="3"/>
    <x v="1"/>
    <x v="374"/>
    <x v="10"/>
    <x v="26"/>
    <x v="17"/>
    <x v="309"/>
    <x v="385"/>
    <s v="Fits wonderful"/>
    <n v="1462665600"/>
    <s v="Not Specified"/>
    <s v="Not Specified"/>
    <s v="Not Specified"/>
    <n v="62"/>
    <x v="0"/>
    <x v="8"/>
  </r>
  <r>
    <x v="4"/>
    <x v="0"/>
    <x v="305"/>
    <x v="3"/>
    <x v="1"/>
    <x v="375"/>
    <x v="10"/>
    <x v="41"/>
    <x v="19"/>
    <x v="310"/>
    <x v="386"/>
    <s v="Four Stars"/>
    <n v="1462579200"/>
    <s v="Not Specified"/>
    <s v="Not Specified"/>
    <s v="Not Specified"/>
    <n v="25"/>
    <x v="0"/>
    <x v="8"/>
  </r>
  <r>
    <x v="4"/>
    <x v="0"/>
    <x v="306"/>
    <x v="3"/>
    <x v="1"/>
    <x v="376"/>
    <x v="10"/>
    <x v="21"/>
    <x v="17"/>
    <x v="311"/>
    <x v="387"/>
    <s v="Comfortable and lightweight"/>
    <n v="1462320000"/>
    <s v="Not Specified"/>
    <s v="Not Specified"/>
    <n v="20"/>
    <n v="1368"/>
    <x v="0"/>
    <x v="8"/>
  </r>
  <r>
    <x v="0"/>
    <x v="0"/>
    <x v="306"/>
    <x v="3"/>
    <x v="1"/>
    <x v="377"/>
    <x v="10"/>
    <x v="41"/>
    <x v="19"/>
    <x v="312"/>
    <x v="388"/>
    <s v="nice"/>
    <n v="1462320000"/>
    <s v="Not Specified"/>
    <s v="Not Specified"/>
    <s v="Not Specified"/>
    <n v="57"/>
    <x v="0"/>
    <x v="8"/>
  </r>
  <r>
    <x v="0"/>
    <x v="0"/>
    <x v="307"/>
    <x v="3"/>
    <x v="10"/>
    <x v="378"/>
    <x v="10"/>
    <x v="16"/>
    <x v="17"/>
    <x v="313"/>
    <x v="389"/>
    <s v="Five Stars"/>
    <n v="1461369600"/>
    <s v="Not Specified"/>
    <s v="Not Specified"/>
    <s v="Not Specified"/>
    <n v="50"/>
    <x v="0"/>
    <x v="8"/>
  </r>
  <r>
    <x v="0"/>
    <x v="0"/>
    <x v="308"/>
    <x v="3"/>
    <x v="10"/>
    <x v="379"/>
    <x v="10"/>
    <x v="30"/>
    <x v="17"/>
    <x v="314"/>
    <x v="390"/>
    <s v="Wide Feet so Somewhat Tight"/>
    <n v="1461196800"/>
    <s v="Not Specified"/>
    <s v="Not Specified"/>
    <n v="3"/>
    <n v="371"/>
    <x v="0"/>
    <x v="8"/>
  </r>
  <r>
    <x v="4"/>
    <x v="0"/>
    <x v="309"/>
    <x v="3"/>
    <x v="10"/>
    <x v="380"/>
    <x v="10"/>
    <x v="16"/>
    <x v="17"/>
    <x v="5"/>
    <x v="391"/>
    <s v="Four Stars"/>
    <n v="1461110400"/>
    <s v="Not Specified"/>
    <s v="Not Specified"/>
    <s v="Not Specified"/>
    <n v="19"/>
    <x v="0"/>
    <x v="8"/>
  </r>
  <r>
    <x v="4"/>
    <x v="0"/>
    <x v="11"/>
    <x v="5"/>
    <x v="9"/>
    <x v="7"/>
    <x v="11"/>
    <x v="2"/>
    <x v="7"/>
    <x v="6"/>
    <x v="14"/>
    <s v="size runs big"/>
    <n v="1277942400"/>
    <s v="Not Specified"/>
    <s v="Not Specified"/>
    <n v="35"/>
    <n v="206"/>
    <x v="0"/>
    <x v="2"/>
  </r>
  <r>
    <x v="0"/>
    <x v="0"/>
    <x v="25"/>
    <x v="3"/>
    <x v="5"/>
    <x v="18"/>
    <x v="11"/>
    <x v="2"/>
    <x v="7"/>
    <x v="16"/>
    <x v="31"/>
    <s v="Hanes pants"/>
    <n v="1457395200"/>
    <s v="Not Specified"/>
    <s v="Not Specified"/>
    <s v="Not Specified"/>
    <n v="24"/>
    <x v="0"/>
    <x v="2"/>
  </r>
  <r>
    <x v="2"/>
    <x v="0"/>
    <x v="26"/>
    <x v="0"/>
    <x v="3"/>
    <x v="19"/>
    <x v="11"/>
    <x v="2"/>
    <x v="7"/>
    <x v="17"/>
    <x v="32"/>
    <s v="Was not comfortable. Switched to &quot;Fruit of the loom&quot;"/>
    <n v="1445817600"/>
    <s v="Not Specified"/>
    <s v="Not Specified"/>
    <s v="Not Specified"/>
    <n v="151"/>
    <x v="2"/>
    <x v="2"/>
  </r>
  <r>
    <x v="1"/>
    <x v="0"/>
    <x v="27"/>
    <x v="0"/>
    <x v="6"/>
    <x v="20"/>
    <x v="11"/>
    <x v="2"/>
    <x v="7"/>
    <x v="18"/>
    <x v="33"/>
    <s v="large with no pockets"/>
    <n v="1433980800"/>
    <s v="Not Specified"/>
    <s v="Not Specified"/>
    <s v="Not Specified"/>
    <n v="58"/>
    <x v="1"/>
    <x v="2"/>
  </r>
  <r>
    <x v="4"/>
    <x v="0"/>
    <x v="28"/>
    <x v="0"/>
    <x v="1"/>
    <x v="21"/>
    <x v="11"/>
    <x v="2"/>
    <x v="7"/>
    <x v="19"/>
    <x v="34"/>
    <s v="Fleece Pants"/>
    <n v="1432425600"/>
    <s v="Not Specified"/>
    <s v="Not Specified"/>
    <s v="Not Specified"/>
    <n v="112"/>
    <x v="0"/>
    <x v="2"/>
  </r>
  <r>
    <x v="4"/>
    <x v="0"/>
    <x v="309"/>
    <x v="3"/>
    <x v="10"/>
    <x v="380"/>
    <x v="12"/>
    <x v="16"/>
    <x v="17"/>
    <x v="5"/>
    <x v="391"/>
    <s v="Four Stars"/>
    <n v="1461110400"/>
    <s v="Not Specified"/>
    <s v="Not Specified"/>
    <s v="Not Specified"/>
    <n v="19"/>
    <x v="0"/>
    <x v="2"/>
  </r>
  <r>
    <x v="4"/>
    <x v="0"/>
    <x v="42"/>
    <x v="3"/>
    <x v="10"/>
    <x v="30"/>
    <x v="12"/>
    <x v="14"/>
    <x v="17"/>
    <x v="5"/>
    <x v="49"/>
    <s v="Four Stars"/>
    <n v="1461024000"/>
    <s v="Not Specified"/>
    <s v="Not Specified"/>
    <n v="2"/>
    <n v="60"/>
    <x v="0"/>
    <x v="2"/>
  </r>
  <r>
    <x v="0"/>
    <x v="0"/>
    <x v="43"/>
    <x v="3"/>
    <x v="10"/>
    <x v="31"/>
    <x v="12"/>
    <x v="15"/>
    <x v="17"/>
    <x v="28"/>
    <x v="50"/>
    <s v="Five Stars"/>
    <n v="1460937600"/>
    <s v="Not Specified"/>
    <s v="Not Specified"/>
    <s v="Not Specified"/>
    <n v="22"/>
    <x v="0"/>
    <x v="2"/>
  </r>
  <r>
    <x v="1"/>
    <x v="0"/>
    <x v="44"/>
    <x v="3"/>
    <x v="10"/>
    <x v="32"/>
    <x v="12"/>
    <x v="16"/>
    <x v="17"/>
    <x v="29"/>
    <x v="51"/>
    <s v="LOOKS GOOD, FEELS ICKY!"/>
    <n v="1459728000"/>
    <s v="Not Specified"/>
    <s v="Not Specified"/>
    <n v="2"/>
    <n v="272"/>
    <x v="1"/>
    <x v="2"/>
  </r>
  <r>
    <x v="0"/>
    <x v="0"/>
    <x v="45"/>
    <x v="3"/>
    <x v="5"/>
    <x v="33"/>
    <x v="12"/>
    <x v="17"/>
    <x v="18"/>
    <x v="30"/>
    <x v="52"/>
    <s v="Love it!! Definetly recommend it"/>
    <n v="1459382400"/>
    <s v="Not Specified"/>
    <s v="Not Specified"/>
    <s v="Not Specified"/>
    <n v="123"/>
    <x v="0"/>
    <x v="2"/>
  </r>
  <r>
    <x v="0"/>
    <x v="0"/>
    <x v="46"/>
    <x v="3"/>
    <x v="5"/>
    <x v="34"/>
    <x v="12"/>
    <x v="18"/>
    <x v="19"/>
    <x v="31"/>
    <x v="53"/>
    <s v="Five Stars"/>
    <n v="1459123200"/>
    <s v="Not Specified"/>
    <s v="Not Specified"/>
    <s v="Not Specified"/>
    <n v="9"/>
    <x v="0"/>
    <x v="2"/>
  </r>
  <r>
    <x v="2"/>
    <x v="0"/>
    <x v="46"/>
    <x v="3"/>
    <x v="5"/>
    <x v="35"/>
    <x v="12"/>
    <x v="19"/>
    <x v="19"/>
    <x v="5"/>
    <x v="54"/>
    <s v="Cheap"/>
    <n v="1459123200"/>
    <s v="Not Specified"/>
    <s v="Not Specified"/>
    <s v="Not Specified"/>
    <n v="167"/>
    <x v="2"/>
    <x v="2"/>
  </r>
  <r>
    <x v="4"/>
    <x v="0"/>
    <x v="47"/>
    <x v="3"/>
    <x v="5"/>
    <x v="36"/>
    <x v="12"/>
    <x v="20"/>
    <x v="19"/>
    <x v="32"/>
    <x v="55"/>
    <s v="Pretty comfortable pair of running shoes"/>
    <n v="1458777600"/>
    <s v="Not Specified"/>
    <s v="Not Specified"/>
    <s v="Not Specified"/>
    <n v="132"/>
    <x v="0"/>
    <x v="2"/>
  </r>
  <r>
    <x v="1"/>
    <x v="0"/>
    <x v="6"/>
    <x v="3"/>
    <x v="5"/>
    <x v="37"/>
    <x v="12"/>
    <x v="21"/>
    <x v="17"/>
    <x v="33"/>
    <x v="56"/>
    <s v="I always get a half size up in my tennis ..."/>
    <n v="1458691200"/>
    <s v="Not Specified"/>
    <s v="Not Specified"/>
    <n v="7"/>
    <n v="108"/>
    <x v="1"/>
    <x v="2"/>
  </r>
  <r>
    <x v="0"/>
    <x v="0"/>
    <x v="48"/>
    <x v="3"/>
    <x v="5"/>
    <x v="38"/>
    <x v="12"/>
    <x v="22"/>
    <x v="20"/>
    <x v="34"/>
    <x v="57"/>
    <s v="Love them! So light feeling"/>
    <n v="1458432000"/>
    <s v="Not Specified"/>
    <s v="Not Specified"/>
    <s v="Not Specified"/>
    <n v="75"/>
    <x v="0"/>
    <x v="2"/>
  </r>
  <r>
    <x v="1"/>
    <x v="0"/>
    <x v="310"/>
    <x v="1"/>
    <x v="10"/>
    <x v="381"/>
    <x v="12"/>
    <x v="38"/>
    <x v="29"/>
    <x v="5"/>
    <x v="392"/>
    <s v="Three Stars"/>
    <n v="1525046400"/>
    <s v="Not Specified"/>
    <s v="Not Specified"/>
    <s v="Not Specified"/>
    <n v="14"/>
    <x v="1"/>
    <x v="2"/>
  </r>
  <r>
    <x v="0"/>
    <x v="0"/>
    <x v="311"/>
    <x v="1"/>
    <x v="10"/>
    <x v="382"/>
    <x v="12"/>
    <x v="16"/>
    <x v="31"/>
    <x v="315"/>
    <x v="393"/>
    <s v="Five Stars"/>
    <n v="1524700800"/>
    <s v="Not Specified"/>
    <s v="Not Specified"/>
    <s v="Not Specified"/>
    <n v="43"/>
    <x v="0"/>
    <x v="2"/>
  </r>
  <r>
    <x v="0"/>
    <x v="0"/>
    <x v="312"/>
    <x v="1"/>
    <x v="10"/>
    <x v="383"/>
    <x v="12"/>
    <x v="16"/>
    <x v="17"/>
    <x v="316"/>
    <x v="394"/>
    <s v="Great Shoe"/>
    <n v="1524528000"/>
    <s v="Not Specified"/>
    <s v="Not Specified"/>
    <s v="Not Specified"/>
    <n v="160"/>
    <x v="0"/>
    <x v="2"/>
  </r>
  <r>
    <x v="0"/>
    <x v="0"/>
    <x v="50"/>
    <x v="1"/>
    <x v="10"/>
    <x v="40"/>
    <x v="12"/>
    <x v="14"/>
    <x v="17"/>
    <x v="36"/>
    <x v="58"/>
    <s v="Love these shoes"/>
    <n v="1524355200"/>
    <s v="Not Specified"/>
    <s v="Not Specified"/>
    <s v="Not Specified"/>
    <n v="148"/>
    <x v="0"/>
    <x v="2"/>
  </r>
  <r>
    <x v="1"/>
    <x v="0"/>
    <x v="51"/>
    <x v="1"/>
    <x v="10"/>
    <x v="41"/>
    <x v="12"/>
    <x v="17"/>
    <x v="21"/>
    <x v="37"/>
    <x v="59"/>
    <s v="Its not as comfortable as I was expecting"/>
    <n v="1524096000"/>
    <s v="Not Specified"/>
    <s v="Not Specified"/>
    <s v="Not Specified"/>
    <n v="125"/>
    <x v="1"/>
    <x v="2"/>
  </r>
  <r>
    <x v="0"/>
    <x v="0"/>
    <x v="52"/>
    <x v="1"/>
    <x v="10"/>
    <x v="42"/>
    <x v="12"/>
    <x v="16"/>
    <x v="17"/>
    <x v="38"/>
    <x v="60"/>
    <s v="Very Comfortable"/>
    <n v="1524009600"/>
    <s v="Not Specified"/>
    <s v="Not Specified"/>
    <s v="Not Specified"/>
    <n v="123"/>
    <x v="0"/>
    <x v="2"/>
  </r>
  <r>
    <x v="0"/>
    <x v="0"/>
    <x v="52"/>
    <x v="1"/>
    <x v="10"/>
    <x v="43"/>
    <x v="12"/>
    <x v="14"/>
    <x v="21"/>
    <x v="5"/>
    <x v="61"/>
    <s v="The color pattern and fit is what I liked the most what I liked the least is that ..."/>
    <n v="1524009600"/>
    <s v="Not Specified"/>
    <s v="Not Specified"/>
    <s v="Not Specified"/>
    <n v="155"/>
    <x v="0"/>
    <x v="2"/>
  </r>
  <r>
    <x v="0"/>
    <x v="0"/>
    <x v="53"/>
    <x v="1"/>
    <x v="10"/>
    <x v="44"/>
    <x v="12"/>
    <x v="24"/>
    <x v="12"/>
    <x v="39"/>
    <x v="62"/>
    <s v="Great shoe for the price!"/>
    <n v="1523836800"/>
    <s v="Not Specified"/>
    <s v="Not Specified"/>
    <s v="Not Specified"/>
    <n v="158"/>
    <x v="0"/>
    <x v="2"/>
  </r>
  <r>
    <x v="0"/>
    <x v="0"/>
    <x v="54"/>
    <x v="1"/>
    <x v="10"/>
    <x v="45"/>
    <x v="12"/>
    <x v="17"/>
    <x v="17"/>
    <x v="40"/>
    <x v="63"/>
    <s v="Great shoe!"/>
    <n v="1523750400"/>
    <s v="Not Specified"/>
    <s v="Not Specified"/>
    <s v="Not Specified"/>
    <n v="774"/>
    <x v="0"/>
    <x v="2"/>
  </r>
  <r>
    <x v="1"/>
    <x v="0"/>
    <x v="55"/>
    <x v="1"/>
    <x v="10"/>
    <x v="46"/>
    <x v="12"/>
    <x v="15"/>
    <x v="21"/>
    <x v="41"/>
    <x v="64"/>
    <s v="Three Stars"/>
    <n v="1523577600"/>
    <s v="Not Specified"/>
    <s v="Not Specified"/>
    <s v="Not Specified"/>
    <n v="85"/>
    <x v="1"/>
    <x v="2"/>
  </r>
  <r>
    <x v="1"/>
    <x v="0"/>
    <x v="56"/>
    <x v="1"/>
    <x v="10"/>
    <x v="47"/>
    <x v="12"/>
    <x v="14"/>
    <x v="23"/>
    <x v="42"/>
    <x v="65"/>
    <s v="Three Stars"/>
    <n v="1523232000"/>
    <s v="Not Specified"/>
    <s v="Not Specified"/>
    <s v="Not Specified"/>
    <n v="4"/>
    <x v="1"/>
    <x v="2"/>
  </r>
  <r>
    <x v="0"/>
    <x v="0"/>
    <x v="56"/>
    <x v="1"/>
    <x v="10"/>
    <x v="48"/>
    <x v="12"/>
    <x v="14"/>
    <x v="17"/>
    <x v="43"/>
    <x v="66"/>
    <s v="Five Stars"/>
    <n v="1523232000"/>
    <s v="Not Specified"/>
    <s v="Not Specified"/>
    <s v="Not Specified"/>
    <n v="7"/>
    <x v="0"/>
    <x v="2"/>
  </r>
  <r>
    <x v="0"/>
    <x v="0"/>
    <x v="57"/>
    <x v="1"/>
    <x v="10"/>
    <x v="49"/>
    <x v="12"/>
    <x v="15"/>
    <x v="17"/>
    <x v="44"/>
    <x v="67"/>
    <s v="Love these shoes"/>
    <n v="1523145600"/>
    <s v="Not Specified"/>
    <s v="Not Specified"/>
    <s v="Not Specified"/>
    <n v="157"/>
    <x v="0"/>
    <x v="2"/>
  </r>
  <r>
    <x v="0"/>
    <x v="0"/>
    <x v="58"/>
    <x v="1"/>
    <x v="10"/>
    <x v="50"/>
    <x v="12"/>
    <x v="25"/>
    <x v="23"/>
    <x v="45"/>
    <x v="68"/>
    <s v="Five Stars"/>
    <n v="1523059200"/>
    <s v="Not Specified"/>
    <s v="Not Specified"/>
    <s v="Not Specified"/>
    <n v="0"/>
    <x v="0"/>
    <x v="2"/>
  </r>
  <r>
    <x v="0"/>
    <x v="0"/>
    <x v="59"/>
    <x v="1"/>
    <x v="10"/>
    <x v="51"/>
    <x v="12"/>
    <x v="17"/>
    <x v="17"/>
    <x v="46"/>
    <x v="69"/>
    <s v="Great cross trainer"/>
    <n v="1522800000"/>
    <s v="Not Specified"/>
    <s v="Not Specified"/>
    <s v="Not Specified"/>
    <n v="35"/>
    <x v="0"/>
    <x v="2"/>
  </r>
  <r>
    <x v="4"/>
    <x v="0"/>
    <x v="60"/>
    <x v="1"/>
    <x v="10"/>
    <x v="52"/>
    <x v="12"/>
    <x v="21"/>
    <x v="23"/>
    <x v="47"/>
    <x v="70"/>
    <s v="They are comfortable for the most but just a bit narrow"/>
    <n v="1522713600"/>
    <s v="Not Specified"/>
    <s v="Not Specified"/>
    <s v="Not Specified"/>
    <n v="213"/>
    <x v="0"/>
    <x v="2"/>
  </r>
  <r>
    <x v="0"/>
    <x v="0"/>
    <x v="60"/>
    <x v="1"/>
    <x v="10"/>
    <x v="53"/>
    <x v="12"/>
    <x v="17"/>
    <x v="17"/>
    <x v="48"/>
    <x v="71"/>
    <s v="staple sneakers"/>
    <n v="1522713600"/>
    <s v="Not Specified"/>
    <s v="Not Specified"/>
    <s v="Not Specified"/>
    <n v="105"/>
    <x v="0"/>
    <x v="2"/>
  </r>
  <r>
    <x v="0"/>
    <x v="0"/>
    <x v="61"/>
    <x v="1"/>
    <x v="5"/>
    <x v="54"/>
    <x v="12"/>
    <x v="21"/>
    <x v="17"/>
    <x v="49"/>
    <x v="72"/>
    <s v="Great looking shoe"/>
    <n v="1522454400"/>
    <s v="Not Specified"/>
    <s v="Not Specified"/>
    <s v="Not Specified"/>
    <n v="48"/>
    <x v="0"/>
    <x v="2"/>
  </r>
  <r>
    <x v="0"/>
    <x v="0"/>
    <x v="62"/>
    <x v="1"/>
    <x v="5"/>
    <x v="55"/>
    <x v="12"/>
    <x v="14"/>
    <x v="24"/>
    <x v="50"/>
    <x v="73"/>
    <s v="Great shoes."/>
    <n v="1522195200"/>
    <s v="Not Specified"/>
    <s v="Not Specified"/>
    <s v="Not Specified"/>
    <n v="90"/>
    <x v="0"/>
    <x v="2"/>
  </r>
  <r>
    <x v="1"/>
    <x v="0"/>
    <x v="63"/>
    <x v="1"/>
    <x v="5"/>
    <x v="56"/>
    <x v="12"/>
    <x v="21"/>
    <x v="23"/>
    <x v="51"/>
    <x v="74"/>
    <s v="Style 10/10, Comfort 3/10"/>
    <n v="1522108800"/>
    <s v="Not Specified"/>
    <s v="Not Specified"/>
    <s v="Not Specified"/>
    <n v="121"/>
    <x v="1"/>
    <x v="2"/>
  </r>
  <r>
    <x v="0"/>
    <x v="0"/>
    <x v="64"/>
    <x v="1"/>
    <x v="5"/>
    <x v="57"/>
    <x v="12"/>
    <x v="17"/>
    <x v="21"/>
    <x v="52"/>
    <x v="75"/>
    <s v="these shoes are great! Very lightweight and fits comfortably on my feet ..."/>
    <n v="1521676800"/>
    <s v="Not Specified"/>
    <s v="Not Specified"/>
    <s v="Not Specified"/>
    <n v="277"/>
    <x v="0"/>
    <x v="2"/>
  </r>
  <r>
    <x v="0"/>
    <x v="0"/>
    <x v="64"/>
    <x v="1"/>
    <x v="5"/>
    <x v="58"/>
    <x v="12"/>
    <x v="16"/>
    <x v="17"/>
    <x v="53"/>
    <x v="76"/>
    <s v="Great shoes. Fit perfectly"/>
    <n v="1521676800"/>
    <s v="Not Specified"/>
    <s v="Not Specified"/>
    <s v="Not Specified"/>
    <n v="129"/>
    <x v="0"/>
    <x v="2"/>
  </r>
  <r>
    <x v="0"/>
    <x v="0"/>
    <x v="65"/>
    <x v="1"/>
    <x v="5"/>
    <x v="59"/>
    <x v="12"/>
    <x v="26"/>
    <x v="23"/>
    <x v="54"/>
    <x v="77"/>
    <s v="Five Stars"/>
    <n v="1521590400"/>
    <s v="Not Specified"/>
    <s v="Not Specified"/>
    <s v="Not Specified"/>
    <n v="56"/>
    <x v="0"/>
    <x v="2"/>
  </r>
  <r>
    <x v="0"/>
    <x v="0"/>
    <x v="66"/>
    <x v="1"/>
    <x v="5"/>
    <x v="60"/>
    <x v="12"/>
    <x v="15"/>
    <x v="17"/>
    <x v="55"/>
    <x v="78"/>
    <s v="Perfect. Lightweight and comfortable all day"/>
    <n v="1521504000"/>
    <s v="Not Specified"/>
    <s v="Not Specified"/>
    <s v="Not Specified"/>
    <n v="137"/>
    <x v="0"/>
    <x v="2"/>
  </r>
  <r>
    <x v="0"/>
    <x v="0"/>
    <x v="67"/>
    <x v="1"/>
    <x v="5"/>
    <x v="61"/>
    <x v="12"/>
    <x v="21"/>
    <x v="17"/>
    <x v="56"/>
    <x v="79"/>
    <s v="My knees feel better so so hard so good"/>
    <n v="1521417600"/>
    <s v="Not Specified"/>
    <s v="Not Specified"/>
    <s v="Not Specified"/>
    <n v="211"/>
    <x v="0"/>
    <x v="2"/>
  </r>
  <r>
    <x v="0"/>
    <x v="0"/>
    <x v="67"/>
    <x v="1"/>
    <x v="5"/>
    <x v="62"/>
    <x v="12"/>
    <x v="21"/>
    <x v="24"/>
    <x v="57"/>
    <x v="80"/>
    <s v="Five Stars"/>
    <n v="1521417600"/>
    <s v="Not Specified"/>
    <s v="Not Specified"/>
    <s v="Not Specified"/>
    <n v="15"/>
    <x v="0"/>
    <x v="2"/>
  </r>
  <r>
    <x v="4"/>
    <x v="0"/>
    <x v="68"/>
    <x v="1"/>
    <x v="5"/>
    <x v="63"/>
    <x v="12"/>
    <x v="27"/>
    <x v="25"/>
    <x v="58"/>
    <x v="81"/>
    <s v="Comfortable, lightweight Xtrainer"/>
    <n v="1521244800"/>
    <s v="Not Specified"/>
    <s v="Not Specified"/>
    <s v="Not Specified"/>
    <n v="127"/>
    <x v="0"/>
    <x v="2"/>
  </r>
  <r>
    <x v="0"/>
    <x v="0"/>
    <x v="69"/>
    <x v="1"/>
    <x v="5"/>
    <x v="64"/>
    <x v="12"/>
    <x v="22"/>
    <x v="17"/>
    <x v="59"/>
    <x v="82"/>
    <s v="Great shoe!"/>
    <n v="1520899200"/>
    <s v="Not Specified"/>
    <s v="Not Specified"/>
    <s v="Not Specified"/>
    <n v="174"/>
    <x v="0"/>
    <x v="2"/>
  </r>
  <r>
    <x v="3"/>
    <x v="0"/>
    <x v="70"/>
    <x v="1"/>
    <x v="5"/>
    <x v="65"/>
    <x v="12"/>
    <x v="16"/>
    <x v="26"/>
    <x v="60"/>
    <x v="83"/>
    <s v="Returned...looked cheap"/>
    <n v="1520726400"/>
    <s v="Not Specified"/>
    <s v="Not Specified"/>
    <s v="Not Specified"/>
    <n v="22"/>
    <x v="2"/>
    <x v="2"/>
  </r>
  <r>
    <x v="0"/>
    <x v="0"/>
    <x v="71"/>
    <x v="1"/>
    <x v="5"/>
    <x v="66"/>
    <x v="12"/>
    <x v="17"/>
    <x v="17"/>
    <x v="5"/>
    <x v="84"/>
    <s v="Fits to size"/>
    <n v="1520208000"/>
    <s v="Not Specified"/>
    <s v="Not Specified"/>
    <s v="Not Specified"/>
    <n v="22"/>
    <x v="0"/>
    <x v="2"/>
  </r>
  <r>
    <x v="0"/>
    <x v="0"/>
    <x v="72"/>
    <x v="1"/>
    <x v="5"/>
    <x v="67"/>
    <x v="12"/>
    <x v="25"/>
    <x v="17"/>
    <x v="61"/>
    <x v="85"/>
    <s v="Very comfortable shoes. This is my second pair of this ..."/>
    <n v="1519948800"/>
    <s v="Not Specified"/>
    <s v="Not Specified"/>
    <s v="Not Specified"/>
    <n v="100"/>
    <x v="0"/>
    <x v="2"/>
  </r>
  <r>
    <x v="0"/>
    <x v="0"/>
    <x v="73"/>
    <x v="1"/>
    <x v="8"/>
    <x v="68"/>
    <x v="12"/>
    <x v="22"/>
    <x v="17"/>
    <x v="62"/>
    <x v="86"/>
    <s v="Sleek and sporty"/>
    <n v="1519776000"/>
    <s v="Not Specified"/>
    <s v="Not Specified"/>
    <s v="Not Specified"/>
    <n v="58"/>
    <x v="0"/>
    <x v="2"/>
  </r>
  <r>
    <x v="0"/>
    <x v="0"/>
    <x v="74"/>
    <x v="1"/>
    <x v="8"/>
    <x v="69"/>
    <x v="12"/>
    <x v="21"/>
    <x v="17"/>
    <x v="5"/>
    <x v="87"/>
    <s v="I love the shoes and the description and photos were accurate"/>
    <n v="1519689600"/>
    <s v="Not Specified"/>
    <s v="Not Specified"/>
    <s v="Not Specified"/>
    <n v="269"/>
    <x v="0"/>
    <x v="2"/>
  </r>
  <r>
    <x v="0"/>
    <x v="0"/>
    <x v="74"/>
    <x v="1"/>
    <x v="8"/>
    <x v="70"/>
    <x v="12"/>
    <x v="21"/>
    <x v="21"/>
    <x v="63"/>
    <x v="88"/>
    <s v="Great fit!"/>
    <n v="1519689600"/>
    <s v="Not Specified"/>
    <s v="Not Specified"/>
    <s v="Not Specified"/>
    <n v="152"/>
    <x v="0"/>
    <x v="2"/>
  </r>
  <r>
    <x v="0"/>
    <x v="0"/>
    <x v="74"/>
    <x v="1"/>
    <x v="8"/>
    <x v="71"/>
    <x v="12"/>
    <x v="16"/>
    <x v="17"/>
    <x v="64"/>
    <x v="89"/>
    <s v="Lightweight"/>
    <n v="1519689600"/>
    <s v="Not Specified"/>
    <s v="Not Specified"/>
    <s v="Not Specified"/>
    <n v="46"/>
    <x v="0"/>
    <x v="2"/>
  </r>
  <r>
    <x v="3"/>
    <x v="0"/>
    <x v="75"/>
    <x v="1"/>
    <x v="8"/>
    <x v="72"/>
    <x v="12"/>
    <x v="21"/>
    <x v="17"/>
    <x v="65"/>
    <x v="90"/>
    <s v="Squeaky soles"/>
    <n v="1519516800"/>
    <s v="Not Specified"/>
    <s v="Not Specified"/>
    <s v="Not Specified"/>
    <n v="282"/>
    <x v="2"/>
    <x v="2"/>
  </r>
  <r>
    <x v="2"/>
    <x v="0"/>
    <x v="75"/>
    <x v="1"/>
    <x v="8"/>
    <x v="73"/>
    <x v="12"/>
    <x v="17"/>
    <x v="17"/>
    <x v="5"/>
    <x v="91"/>
    <s v="Two Stars"/>
    <n v="1519516800"/>
    <s v="Not Specified"/>
    <s v="Not Specified"/>
    <s v="Not Specified"/>
    <n v="89"/>
    <x v="2"/>
    <x v="2"/>
  </r>
  <r>
    <x v="0"/>
    <x v="0"/>
    <x v="76"/>
    <x v="1"/>
    <x v="8"/>
    <x v="74"/>
    <x v="12"/>
    <x v="15"/>
    <x v="17"/>
    <x v="66"/>
    <x v="92"/>
    <s v="Comfortable and"/>
    <n v="1519171200"/>
    <s v="Not Specified"/>
    <s v="Not Specified"/>
    <s v="Not Specified"/>
    <n v="45"/>
    <x v="0"/>
    <x v="2"/>
  </r>
  <r>
    <x v="0"/>
    <x v="0"/>
    <x v="77"/>
    <x v="1"/>
    <x v="8"/>
    <x v="75"/>
    <x v="12"/>
    <x v="22"/>
    <x v="23"/>
    <x v="67"/>
    <x v="93"/>
    <s v="Their Cute and Pink"/>
    <n v="1519084800"/>
    <s v="Not Specified"/>
    <s v="Not Specified"/>
    <s v="Not Specified"/>
    <n v="47"/>
    <x v="0"/>
    <x v="2"/>
  </r>
  <r>
    <x v="0"/>
    <x v="0"/>
    <x v="78"/>
    <x v="1"/>
    <x v="8"/>
    <x v="76"/>
    <x v="12"/>
    <x v="21"/>
    <x v="21"/>
    <x v="68"/>
    <x v="94"/>
    <s v="Five Stars"/>
    <n v="1518566400"/>
    <s v="Not Specified"/>
    <s v="Not Specified"/>
    <s v="Not Specified"/>
    <n v="46"/>
    <x v="0"/>
    <x v="2"/>
  </r>
  <r>
    <x v="0"/>
    <x v="0"/>
    <x v="78"/>
    <x v="1"/>
    <x v="8"/>
    <x v="77"/>
    <x v="12"/>
    <x v="14"/>
    <x v="17"/>
    <x v="5"/>
    <x v="95"/>
    <s v="Smooth and confortable."/>
    <n v="1518566400"/>
    <s v="Not Specified"/>
    <s v="Not Specified"/>
    <s v="Not Specified"/>
    <n v="17"/>
    <x v="0"/>
    <x v="2"/>
  </r>
  <r>
    <x v="0"/>
    <x v="0"/>
    <x v="79"/>
    <x v="1"/>
    <x v="8"/>
    <x v="78"/>
    <x v="12"/>
    <x v="15"/>
    <x v="27"/>
    <x v="69"/>
    <x v="96"/>
    <s v="Five Stars"/>
    <n v="1518393600"/>
    <s v="Not Specified"/>
    <s v="Not Specified"/>
    <s v="Not Specified"/>
    <n v="19"/>
    <x v="0"/>
    <x v="2"/>
  </r>
  <r>
    <x v="0"/>
    <x v="0"/>
    <x v="80"/>
    <x v="1"/>
    <x v="8"/>
    <x v="79"/>
    <x v="12"/>
    <x v="21"/>
    <x v="28"/>
    <x v="70"/>
    <x v="97"/>
    <s v="decent arch support and comfortably to wear all day doing regular activity and sprinting"/>
    <n v="1517443200"/>
    <s v="Not Specified"/>
    <s v="Not Specified"/>
    <s v="Not Specified"/>
    <n v="102"/>
    <x v="0"/>
    <x v="2"/>
  </r>
  <r>
    <x v="0"/>
    <x v="0"/>
    <x v="80"/>
    <x v="1"/>
    <x v="8"/>
    <x v="80"/>
    <x v="12"/>
    <x v="14"/>
    <x v="17"/>
    <x v="71"/>
    <x v="98"/>
    <s v="Five Stars"/>
    <n v="1517443200"/>
    <s v="Not Specified"/>
    <s v="Not Specified"/>
    <s v="Not Specified"/>
    <n v="19"/>
    <x v="0"/>
    <x v="2"/>
  </r>
  <r>
    <x v="0"/>
    <x v="0"/>
    <x v="81"/>
    <x v="1"/>
    <x v="2"/>
    <x v="81"/>
    <x v="12"/>
    <x v="26"/>
    <x v="28"/>
    <x v="72"/>
    <x v="99"/>
    <s v="Good shoes"/>
    <n v="1517184000"/>
    <s v="Not Specified"/>
    <s v="Not Specified"/>
    <s v="Not Specified"/>
    <n v="132"/>
    <x v="0"/>
    <x v="2"/>
  </r>
  <r>
    <x v="4"/>
    <x v="0"/>
    <x v="2"/>
    <x v="1"/>
    <x v="2"/>
    <x v="82"/>
    <x v="12"/>
    <x v="16"/>
    <x v="17"/>
    <x v="73"/>
    <x v="100"/>
    <s v="Good shoes"/>
    <n v="1516838400"/>
    <s v="Not Specified"/>
    <s v="Not Specified"/>
    <s v="Not Specified"/>
    <n v="860"/>
    <x v="0"/>
    <x v="2"/>
  </r>
  <r>
    <x v="0"/>
    <x v="0"/>
    <x v="82"/>
    <x v="1"/>
    <x v="2"/>
    <x v="83"/>
    <x v="12"/>
    <x v="22"/>
    <x v="29"/>
    <x v="74"/>
    <x v="101"/>
    <s v="Five Stars"/>
    <n v="1516233600"/>
    <s v="Not Specified"/>
    <s v="Not Specified"/>
    <s v="Not Specified"/>
    <n v="16"/>
    <x v="0"/>
    <x v="2"/>
  </r>
  <r>
    <x v="0"/>
    <x v="0"/>
    <x v="83"/>
    <x v="1"/>
    <x v="2"/>
    <x v="84"/>
    <x v="12"/>
    <x v="28"/>
    <x v="25"/>
    <x v="75"/>
    <x v="102"/>
    <s v="Five Stars"/>
    <n v="1515628800"/>
    <s v="Not Specified"/>
    <s v="Not Specified"/>
    <s v="Not Specified"/>
    <n v="81"/>
    <x v="0"/>
    <x v="2"/>
  </r>
  <r>
    <x v="3"/>
    <x v="0"/>
    <x v="84"/>
    <x v="1"/>
    <x v="2"/>
    <x v="85"/>
    <x v="12"/>
    <x v="24"/>
    <x v="30"/>
    <x v="76"/>
    <x v="103"/>
    <s v="One Star"/>
    <n v="1515542400"/>
    <s v="Not Specified"/>
    <s v="Not Specified"/>
    <s v="Not Specified"/>
    <n v="27"/>
    <x v="2"/>
    <x v="2"/>
  </r>
  <r>
    <x v="0"/>
    <x v="0"/>
    <x v="84"/>
    <x v="1"/>
    <x v="2"/>
    <x v="86"/>
    <x v="12"/>
    <x v="16"/>
    <x v="17"/>
    <x v="77"/>
    <x v="104"/>
    <s v="Glad I read the reviews and ordered a half size ..."/>
    <n v="1515542400"/>
    <s v="Not Specified"/>
    <s v="Not Specified"/>
    <n v="2"/>
    <n v="617"/>
    <x v="0"/>
    <x v="2"/>
  </r>
  <r>
    <x v="1"/>
    <x v="0"/>
    <x v="85"/>
    <x v="1"/>
    <x v="2"/>
    <x v="87"/>
    <x v="12"/>
    <x v="16"/>
    <x v="21"/>
    <x v="78"/>
    <x v="105"/>
    <s v="Not in perfect condition"/>
    <n v="1515456000"/>
    <s v="Not Specified"/>
    <s v="Not Specified"/>
    <s v="Not Specified"/>
    <n v="54"/>
    <x v="1"/>
    <x v="2"/>
  </r>
  <r>
    <x v="0"/>
    <x v="0"/>
    <x v="86"/>
    <x v="1"/>
    <x v="2"/>
    <x v="88"/>
    <x v="12"/>
    <x v="17"/>
    <x v="17"/>
    <x v="79"/>
    <x v="106"/>
    <s v="Very comfortable, cute, and long-lasting"/>
    <n v="1515369600"/>
    <s v="Not Specified"/>
    <s v="Not Specified"/>
    <s v="Not Specified"/>
    <n v="715"/>
    <x v="0"/>
    <x v="2"/>
  </r>
  <r>
    <x v="0"/>
    <x v="0"/>
    <x v="86"/>
    <x v="1"/>
    <x v="2"/>
    <x v="89"/>
    <x v="12"/>
    <x v="24"/>
    <x v="31"/>
    <x v="80"/>
    <x v="107"/>
    <s v="Super light-weight, nice tread and arch support - love them so far!"/>
    <n v="1515369600"/>
    <s v="Not Specified"/>
    <s v="Not Specified"/>
    <s v="Not Specified"/>
    <n v="1003"/>
    <x v="0"/>
    <x v="2"/>
  </r>
  <r>
    <x v="0"/>
    <x v="0"/>
    <x v="87"/>
    <x v="1"/>
    <x v="2"/>
    <x v="90"/>
    <x v="12"/>
    <x v="21"/>
    <x v="23"/>
    <x v="81"/>
    <x v="108"/>
    <s v="Five Stars"/>
    <n v="1515283200"/>
    <s v="Not Specified"/>
    <s v="Not Specified"/>
    <s v="Not Specified"/>
    <n v="51"/>
    <x v="0"/>
    <x v="2"/>
  </r>
  <r>
    <x v="0"/>
    <x v="0"/>
    <x v="88"/>
    <x v="2"/>
    <x v="11"/>
    <x v="91"/>
    <x v="12"/>
    <x v="29"/>
    <x v="25"/>
    <x v="5"/>
    <x v="109"/>
    <s v="My wife loves these shoes. We have both been ..."/>
    <n v="1514505600"/>
    <s v="Not Specified"/>
    <s v="Not Specified"/>
    <s v="Not Specified"/>
    <n v="240"/>
    <x v="0"/>
    <x v="2"/>
  </r>
  <r>
    <x v="0"/>
    <x v="0"/>
    <x v="89"/>
    <x v="2"/>
    <x v="11"/>
    <x v="92"/>
    <x v="12"/>
    <x v="15"/>
    <x v="27"/>
    <x v="82"/>
    <x v="110"/>
    <s v="New Favorite Shoes"/>
    <n v="1514419200"/>
    <s v="Not Specified"/>
    <s v="Not Specified"/>
    <s v="Not Specified"/>
    <n v="68"/>
    <x v="0"/>
    <x v="2"/>
  </r>
  <r>
    <x v="2"/>
    <x v="0"/>
    <x v="90"/>
    <x v="2"/>
    <x v="11"/>
    <x v="93"/>
    <x v="12"/>
    <x v="25"/>
    <x v="29"/>
    <x v="83"/>
    <x v="111"/>
    <s v="Foam compresses"/>
    <n v="1513468800"/>
    <s v="Not Specified"/>
    <s v="Not Specified"/>
    <s v="Not Specified"/>
    <n v="263"/>
    <x v="2"/>
    <x v="2"/>
  </r>
  <r>
    <x v="0"/>
    <x v="0"/>
    <x v="90"/>
    <x v="2"/>
    <x v="11"/>
    <x v="94"/>
    <x v="12"/>
    <x v="21"/>
    <x v="17"/>
    <x v="84"/>
    <x v="112"/>
    <s v="Five Stars"/>
    <n v="1513468800"/>
    <s v="Not Specified"/>
    <s v="Not Specified"/>
    <s v="Not Specified"/>
    <n v="14"/>
    <x v="0"/>
    <x v="2"/>
  </r>
  <r>
    <x v="1"/>
    <x v="0"/>
    <x v="91"/>
    <x v="2"/>
    <x v="11"/>
    <x v="95"/>
    <x v="12"/>
    <x v="17"/>
    <x v="23"/>
    <x v="85"/>
    <x v="113"/>
    <s v="I usually wear a 9 but could have easily ordered a 8"/>
    <n v="1512432000"/>
    <s v="Not Specified"/>
    <s v="Not Specified"/>
    <s v="Not Specified"/>
    <n v="757"/>
    <x v="1"/>
    <x v="2"/>
  </r>
  <r>
    <x v="0"/>
    <x v="0"/>
    <x v="91"/>
    <x v="2"/>
    <x v="11"/>
    <x v="96"/>
    <x v="12"/>
    <x v="21"/>
    <x v="24"/>
    <x v="86"/>
    <x v="114"/>
    <s v="Five Stars"/>
    <n v="1512432000"/>
    <s v="Not Specified"/>
    <s v="Not Specified"/>
    <s v="Not Specified"/>
    <n v="5"/>
    <x v="0"/>
    <x v="2"/>
  </r>
  <r>
    <x v="0"/>
    <x v="0"/>
    <x v="92"/>
    <x v="2"/>
    <x v="11"/>
    <x v="97"/>
    <x v="12"/>
    <x v="26"/>
    <x v="24"/>
    <x v="5"/>
    <x v="115"/>
    <s v="Five Stars"/>
    <n v="1512345600"/>
    <s v="Not Specified"/>
    <s v="Not Specified"/>
    <s v="Not Specified"/>
    <n v="1"/>
    <x v="0"/>
    <x v="2"/>
  </r>
  <r>
    <x v="0"/>
    <x v="0"/>
    <x v="93"/>
    <x v="2"/>
    <x v="7"/>
    <x v="98"/>
    <x v="12"/>
    <x v="17"/>
    <x v="23"/>
    <x v="87"/>
    <x v="116"/>
    <s v="Five Stars"/>
    <n v="1512000000"/>
    <s v="Not Specified"/>
    <s v="Not Specified"/>
    <s v="Not Specified"/>
    <n v="10"/>
    <x v="0"/>
    <x v="2"/>
  </r>
  <r>
    <x v="1"/>
    <x v="0"/>
    <x v="93"/>
    <x v="2"/>
    <x v="7"/>
    <x v="99"/>
    <x v="12"/>
    <x v="17"/>
    <x v="17"/>
    <x v="5"/>
    <x v="117"/>
    <s v="Fits snug"/>
    <n v="1512000000"/>
    <s v="Not Specified"/>
    <s v="Not Specified"/>
    <s v="Not Specified"/>
    <n v="192"/>
    <x v="1"/>
    <x v="2"/>
  </r>
  <r>
    <x v="1"/>
    <x v="0"/>
    <x v="94"/>
    <x v="2"/>
    <x v="7"/>
    <x v="100"/>
    <x v="12"/>
    <x v="24"/>
    <x v="12"/>
    <x v="88"/>
    <x v="118"/>
    <s v="Not sure why, but my mid section of my ..."/>
    <n v="1511827200"/>
    <s v="Not Specified"/>
    <s v="Not Specified"/>
    <s v="Not Specified"/>
    <n v="194"/>
    <x v="1"/>
    <x v="2"/>
  </r>
  <r>
    <x v="4"/>
    <x v="0"/>
    <x v="94"/>
    <x v="2"/>
    <x v="7"/>
    <x v="101"/>
    <x v="12"/>
    <x v="30"/>
    <x v="28"/>
    <x v="89"/>
    <x v="119"/>
    <s v="Love"/>
    <n v="1511827200"/>
    <s v="Not Specified"/>
    <s v="Not Specified"/>
    <s v="Not Specified"/>
    <n v="27"/>
    <x v="0"/>
    <x v="2"/>
  </r>
  <r>
    <x v="0"/>
    <x v="0"/>
    <x v="95"/>
    <x v="2"/>
    <x v="7"/>
    <x v="102"/>
    <x v="12"/>
    <x v="17"/>
    <x v="24"/>
    <x v="90"/>
    <x v="120"/>
    <s v="Five Stars"/>
    <n v="1511740800"/>
    <s v="Not Specified"/>
    <s v="Not Specified"/>
    <s v="Not Specified"/>
    <n v="8"/>
    <x v="0"/>
    <x v="2"/>
  </r>
  <r>
    <x v="0"/>
    <x v="0"/>
    <x v="95"/>
    <x v="2"/>
    <x v="7"/>
    <x v="102"/>
    <x v="12"/>
    <x v="17"/>
    <x v="27"/>
    <x v="90"/>
    <x v="120"/>
    <s v="Five Stars"/>
    <n v="1511740800"/>
    <s v="Not Specified"/>
    <s v="Not Specified"/>
    <s v="Not Specified"/>
    <n v="8"/>
    <x v="0"/>
    <x v="2"/>
  </r>
  <r>
    <x v="3"/>
    <x v="0"/>
    <x v="96"/>
    <x v="2"/>
    <x v="7"/>
    <x v="103"/>
    <x v="12"/>
    <x v="15"/>
    <x v="17"/>
    <x v="91"/>
    <x v="121"/>
    <s v="TOO NARROW!"/>
    <n v="1511049600"/>
    <s v="Not Specified"/>
    <s v="Not Specified"/>
    <s v="Not Specified"/>
    <n v="133"/>
    <x v="2"/>
    <x v="2"/>
  </r>
  <r>
    <x v="0"/>
    <x v="0"/>
    <x v="97"/>
    <x v="2"/>
    <x v="7"/>
    <x v="104"/>
    <x v="12"/>
    <x v="17"/>
    <x v="24"/>
    <x v="92"/>
    <x v="122"/>
    <s v="Consider sizing down 1 size"/>
    <n v="1510617600"/>
    <s v="Not Specified"/>
    <s v="Not Specified"/>
    <s v="Not Specified"/>
    <n v="232"/>
    <x v="0"/>
    <x v="2"/>
  </r>
  <r>
    <x v="4"/>
    <x v="0"/>
    <x v="98"/>
    <x v="2"/>
    <x v="7"/>
    <x v="105"/>
    <x v="12"/>
    <x v="21"/>
    <x v="32"/>
    <x v="93"/>
    <x v="123"/>
    <s v="Seem to Run Big"/>
    <n v="1510358400"/>
    <s v="Not Specified"/>
    <s v="Not Specified"/>
    <s v="Not Specified"/>
    <n v="104"/>
    <x v="0"/>
    <x v="2"/>
  </r>
  <r>
    <x v="0"/>
    <x v="0"/>
    <x v="99"/>
    <x v="2"/>
    <x v="7"/>
    <x v="106"/>
    <x v="12"/>
    <x v="30"/>
    <x v="28"/>
    <x v="94"/>
    <x v="124"/>
    <s v="Five Stars"/>
    <n v="1510272000"/>
    <s v="Not Specified"/>
    <s v="Not Specified"/>
    <s v="Not Specified"/>
    <n v="15"/>
    <x v="0"/>
    <x v="2"/>
  </r>
  <r>
    <x v="0"/>
    <x v="0"/>
    <x v="100"/>
    <x v="2"/>
    <x v="7"/>
    <x v="107"/>
    <x v="12"/>
    <x v="14"/>
    <x v="17"/>
    <x v="5"/>
    <x v="125"/>
    <s v="Perfect for trails"/>
    <n v="1510185600"/>
    <s v="Not Specified"/>
    <s v="Not Specified"/>
    <s v="Not Specified"/>
    <n v="278"/>
    <x v="0"/>
    <x v="2"/>
  </r>
  <r>
    <x v="4"/>
    <x v="0"/>
    <x v="101"/>
    <x v="2"/>
    <x v="7"/>
    <x v="108"/>
    <x v="12"/>
    <x v="17"/>
    <x v="23"/>
    <x v="95"/>
    <x v="126"/>
    <s v="Four Stars"/>
    <n v="1510012800"/>
    <s v="Not Specified"/>
    <s v="Not Specified"/>
    <s v="Not Specified"/>
    <n v="8"/>
    <x v="0"/>
    <x v="2"/>
  </r>
  <r>
    <x v="2"/>
    <x v="0"/>
    <x v="102"/>
    <x v="2"/>
    <x v="7"/>
    <x v="109"/>
    <x v="12"/>
    <x v="14"/>
    <x v="33"/>
    <x v="5"/>
    <x v="127"/>
    <s v="Zumba) - and really wanted to like them, since I loved the color and the ..."/>
    <n v="1509840000"/>
    <s v="Not Specified"/>
    <s v="Not Specified"/>
    <n v="6"/>
    <n v="467"/>
    <x v="2"/>
    <x v="2"/>
  </r>
  <r>
    <x v="0"/>
    <x v="0"/>
    <x v="103"/>
    <x v="2"/>
    <x v="7"/>
    <x v="110"/>
    <x v="12"/>
    <x v="22"/>
    <x v="23"/>
    <x v="96"/>
    <x v="128"/>
    <s v="Five Stars"/>
    <n v="1509753600"/>
    <s v="Not Specified"/>
    <s v="Not Specified"/>
    <s v="Not Specified"/>
    <n v="39"/>
    <x v="0"/>
    <x v="2"/>
  </r>
  <r>
    <x v="1"/>
    <x v="0"/>
    <x v="103"/>
    <x v="2"/>
    <x v="7"/>
    <x v="111"/>
    <x v="12"/>
    <x v="16"/>
    <x v="33"/>
    <x v="97"/>
    <x v="129"/>
    <s v="Three Stars"/>
    <n v="1509753600"/>
    <s v="Not Specified"/>
    <s v="Not Specified"/>
    <s v="Not Specified"/>
    <n v="38"/>
    <x v="1"/>
    <x v="2"/>
  </r>
  <r>
    <x v="4"/>
    <x v="0"/>
    <x v="104"/>
    <x v="2"/>
    <x v="7"/>
    <x v="112"/>
    <x v="12"/>
    <x v="21"/>
    <x v="23"/>
    <x v="98"/>
    <x v="130"/>
    <s v="Size problem"/>
    <n v="1509667200"/>
    <s v="Not Specified"/>
    <s v="Not Specified"/>
    <s v="Not Specified"/>
    <n v="23"/>
    <x v="0"/>
    <x v="2"/>
  </r>
  <r>
    <x v="0"/>
    <x v="0"/>
    <x v="105"/>
    <x v="2"/>
    <x v="7"/>
    <x v="113"/>
    <x v="12"/>
    <x v="21"/>
    <x v="24"/>
    <x v="99"/>
    <x v="116"/>
    <s v="Five Stars"/>
    <n v="1509580800"/>
    <s v="Not Specified"/>
    <s v="Not Specified"/>
    <s v="Not Specified"/>
    <n v="10"/>
    <x v="0"/>
    <x v="2"/>
  </r>
  <r>
    <x v="4"/>
    <x v="0"/>
    <x v="106"/>
    <x v="2"/>
    <x v="3"/>
    <x v="114"/>
    <x v="12"/>
    <x v="15"/>
    <x v="34"/>
    <x v="100"/>
    <x v="131"/>
    <s v="True to size, would recommend"/>
    <n v="1509408000"/>
    <s v="Not Specified"/>
    <s v="Not Specified"/>
    <s v="Not Specified"/>
    <n v="152"/>
    <x v="0"/>
    <x v="2"/>
  </r>
  <r>
    <x v="0"/>
    <x v="0"/>
    <x v="107"/>
    <x v="2"/>
    <x v="3"/>
    <x v="115"/>
    <x v="12"/>
    <x v="22"/>
    <x v="23"/>
    <x v="101"/>
    <x v="132"/>
    <s v="Best birthday present"/>
    <n v="1509235200"/>
    <s v="Not Specified"/>
    <s v="Not Specified"/>
    <s v="Not Specified"/>
    <n v="21"/>
    <x v="0"/>
    <x v="2"/>
  </r>
  <r>
    <x v="0"/>
    <x v="0"/>
    <x v="108"/>
    <x v="2"/>
    <x v="3"/>
    <x v="116"/>
    <x v="12"/>
    <x v="30"/>
    <x v="17"/>
    <x v="102"/>
    <x v="133"/>
    <s v="Purchased these for my wife as she has a similar ..."/>
    <n v="1508976000"/>
    <s v="Not Specified"/>
    <s v="Not Specified"/>
    <s v="Not Specified"/>
    <n v="185"/>
    <x v="0"/>
    <x v="2"/>
  </r>
  <r>
    <x v="0"/>
    <x v="0"/>
    <x v="108"/>
    <x v="2"/>
    <x v="3"/>
    <x v="117"/>
    <x v="12"/>
    <x v="14"/>
    <x v="24"/>
    <x v="103"/>
    <x v="134"/>
    <s v="I have pretty high arches and my calves always hurt at the ..."/>
    <n v="1508976000"/>
    <s v="Not Specified"/>
    <s v="Not Specified"/>
    <s v="Not Specified"/>
    <n v="351"/>
    <x v="0"/>
    <x v="2"/>
  </r>
  <r>
    <x v="0"/>
    <x v="0"/>
    <x v="12"/>
    <x v="2"/>
    <x v="3"/>
    <x v="118"/>
    <x v="12"/>
    <x v="21"/>
    <x v="35"/>
    <x v="104"/>
    <x v="135"/>
    <s v="Five Stars"/>
    <n v="1508889600"/>
    <s v="Not Specified"/>
    <s v="Not Specified"/>
    <s v="Not Specified"/>
    <n v="11"/>
    <x v="0"/>
    <x v="2"/>
  </r>
  <r>
    <x v="0"/>
    <x v="0"/>
    <x v="109"/>
    <x v="2"/>
    <x v="3"/>
    <x v="119"/>
    <x v="12"/>
    <x v="15"/>
    <x v="33"/>
    <x v="105"/>
    <x v="136"/>
    <s v="Five Stars"/>
    <n v="1508803200"/>
    <s v="Not Specified"/>
    <s v="Not Specified"/>
    <s v="Not Specified"/>
    <n v="35"/>
    <x v="0"/>
    <x v="2"/>
  </r>
  <r>
    <x v="0"/>
    <x v="0"/>
    <x v="110"/>
    <x v="2"/>
    <x v="3"/>
    <x v="120"/>
    <x v="12"/>
    <x v="21"/>
    <x v="36"/>
    <x v="106"/>
    <x v="137"/>
    <s v="Five Stars"/>
    <n v="1508630400"/>
    <s v="Not Specified"/>
    <s v="Not Specified"/>
    <s v="Not Specified"/>
    <n v="14"/>
    <x v="0"/>
    <x v="2"/>
  </r>
  <r>
    <x v="1"/>
    <x v="0"/>
    <x v="111"/>
    <x v="2"/>
    <x v="3"/>
    <x v="121"/>
    <x v="12"/>
    <x v="17"/>
    <x v="23"/>
    <x v="107"/>
    <x v="138"/>
    <s v="They are really light and not as sturdy as what I was looking for but over all ..."/>
    <n v="1508284800"/>
    <s v="Not Specified"/>
    <s v="Not Specified"/>
    <s v="Not Specified"/>
    <n v="201"/>
    <x v="1"/>
    <x v="2"/>
  </r>
  <r>
    <x v="0"/>
    <x v="0"/>
    <x v="112"/>
    <x v="2"/>
    <x v="3"/>
    <x v="122"/>
    <x v="12"/>
    <x v="15"/>
    <x v="24"/>
    <x v="5"/>
    <x v="139"/>
    <s v="Five Stars"/>
    <n v="1507852800"/>
    <s v="Not Specified"/>
    <s v="Not Specified"/>
    <s v="Not Specified"/>
    <n v="25"/>
    <x v="0"/>
    <x v="2"/>
  </r>
  <r>
    <x v="1"/>
    <x v="0"/>
    <x v="113"/>
    <x v="2"/>
    <x v="3"/>
    <x v="123"/>
    <x v="12"/>
    <x v="31"/>
    <x v="17"/>
    <x v="108"/>
    <x v="140"/>
    <s v="l always buy Nike shoes and been happy so far"/>
    <n v="1507593600"/>
    <s v="Not Specified"/>
    <s v="Not Specified"/>
    <s v="Not Specified"/>
    <n v="192"/>
    <x v="1"/>
    <x v="2"/>
  </r>
  <r>
    <x v="0"/>
    <x v="0"/>
    <x v="114"/>
    <x v="2"/>
    <x v="3"/>
    <x v="124"/>
    <x v="12"/>
    <x v="24"/>
    <x v="12"/>
    <x v="109"/>
    <x v="141"/>
    <s v="Honestly Fantastic Shoes"/>
    <n v="1506988800"/>
    <s v="Not Specified"/>
    <s v="Not Specified"/>
    <s v="Not Specified"/>
    <n v="230"/>
    <x v="0"/>
    <x v="2"/>
  </r>
  <r>
    <x v="0"/>
    <x v="0"/>
    <x v="115"/>
    <x v="2"/>
    <x v="3"/>
    <x v="125"/>
    <x v="12"/>
    <x v="15"/>
    <x v="24"/>
    <x v="5"/>
    <x v="142"/>
    <s v="Absolutely love these shoes and color"/>
    <n v="1506902400"/>
    <s v="Not Specified"/>
    <s v="Not Specified"/>
    <s v="Not Specified"/>
    <n v="171"/>
    <x v="0"/>
    <x v="2"/>
  </r>
  <r>
    <x v="0"/>
    <x v="0"/>
    <x v="116"/>
    <x v="2"/>
    <x v="0"/>
    <x v="126"/>
    <x v="12"/>
    <x v="17"/>
    <x v="12"/>
    <x v="110"/>
    <x v="143"/>
    <s v="Five Stars"/>
    <n v="1506470400"/>
    <s v="Not Specified"/>
    <s v="Not Specified"/>
    <s v="Not Specified"/>
    <n v="12"/>
    <x v="0"/>
    <x v="2"/>
  </r>
  <r>
    <x v="0"/>
    <x v="0"/>
    <x v="116"/>
    <x v="2"/>
    <x v="0"/>
    <x v="127"/>
    <x v="12"/>
    <x v="32"/>
    <x v="37"/>
    <x v="111"/>
    <x v="144"/>
    <s v="Nike runs small"/>
    <n v="1506470400"/>
    <s v="Not Specified"/>
    <s v="Not Specified"/>
    <s v="Not Specified"/>
    <n v="70"/>
    <x v="0"/>
    <x v="2"/>
  </r>
  <r>
    <x v="0"/>
    <x v="0"/>
    <x v="33"/>
    <x v="2"/>
    <x v="0"/>
    <x v="128"/>
    <x v="12"/>
    <x v="16"/>
    <x v="17"/>
    <x v="112"/>
    <x v="145"/>
    <s v="Five Stars"/>
    <n v="1506384000"/>
    <s v="Not Specified"/>
    <s v="Not Specified"/>
    <s v="Not Specified"/>
    <n v="9"/>
    <x v="0"/>
    <x v="2"/>
  </r>
  <r>
    <x v="0"/>
    <x v="0"/>
    <x v="117"/>
    <x v="2"/>
    <x v="0"/>
    <x v="129"/>
    <x v="12"/>
    <x v="22"/>
    <x v="17"/>
    <x v="113"/>
    <x v="146"/>
    <s v="Five Stars"/>
    <n v="1506297600"/>
    <s v="Not Specified"/>
    <s v="Not Specified"/>
    <s v="Not Specified"/>
    <n v="50"/>
    <x v="0"/>
    <x v="2"/>
  </r>
  <r>
    <x v="0"/>
    <x v="0"/>
    <x v="118"/>
    <x v="2"/>
    <x v="0"/>
    <x v="130"/>
    <x v="12"/>
    <x v="22"/>
    <x v="12"/>
    <x v="5"/>
    <x v="147"/>
    <s v="Very Happy Customer"/>
    <n v="1505865600"/>
    <s v="Not Specified"/>
    <s v="Not Specified"/>
    <s v="Not Specified"/>
    <n v="370"/>
    <x v="0"/>
    <x v="2"/>
  </r>
  <r>
    <x v="0"/>
    <x v="0"/>
    <x v="119"/>
    <x v="2"/>
    <x v="0"/>
    <x v="131"/>
    <x v="12"/>
    <x v="21"/>
    <x v="17"/>
    <x v="114"/>
    <x v="148"/>
    <s v="and very comfortable."/>
    <n v="1505692800"/>
    <s v="Not Specified"/>
    <s v="Not Specified"/>
    <s v="Not Specified"/>
    <n v="49"/>
    <x v="0"/>
    <x v="2"/>
  </r>
  <r>
    <x v="0"/>
    <x v="0"/>
    <x v="120"/>
    <x v="2"/>
    <x v="0"/>
    <x v="132"/>
    <x v="12"/>
    <x v="22"/>
    <x v="33"/>
    <x v="5"/>
    <x v="149"/>
    <s v="nice sneakers. Fit as expected"/>
    <n v="1505520000"/>
    <s v="Not Specified"/>
    <s v="Not Specified"/>
    <s v="Not Specified"/>
    <n v="40"/>
    <x v="0"/>
    <x v="2"/>
  </r>
  <r>
    <x v="0"/>
    <x v="0"/>
    <x v="121"/>
    <x v="2"/>
    <x v="0"/>
    <x v="133"/>
    <x v="12"/>
    <x v="15"/>
    <x v="34"/>
    <x v="115"/>
    <x v="150"/>
    <s v="5 stars"/>
    <n v="1505347200"/>
    <s v="Not Specified"/>
    <s v="Not Specified"/>
    <s v="Not Specified"/>
    <n v="23"/>
    <x v="0"/>
    <x v="2"/>
  </r>
  <r>
    <x v="0"/>
    <x v="0"/>
    <x v="122"/>
    <x v="2"/>
    <x v="0"/>
    <x v="134"/>
    <x v="12"/>
    <x v="21"/>
    <x v="38"/>
    <x v="116"/>
    <x v="151"/>
    <s v="Five Stars"/>
    <n v="1505260800"/>
    <s v="Not Specified"/>
    <s v="Not Specified"/>
    <s v="Not Specified"/>
    <n v="28"/>
    <x v="0"/>
    <x v="2"/>
  </r>
  <r>
    <x v="0"/>
    <x v="0"/>
    <x v="123"/>
    <x v="2"/>
    <x v="0"/>
    <x v="135"/>
    <x v="12"/>
    <x v="17"/>
    <x v="23"/>
    <x v="5"/>
    <x v="152"/>
    <s v="Five Stars"/>
    <n v="1505001600"/>
    <s v="Not Specified"/>
    <s v="Not Specified"/>
    <s v="Not Specified"/>
    <n v="48"/>
    <x v="0"/>
    <x v="2"/>
  </r>
  <r>
    <x v="0"/>
    <x v="0"/>
    <x v="124"/>
    <x v="2"/>
    <x v="0"/>
    <x v="136"/>
    <x v="12"/>
    <x v="21"/>
    <x v="33"/>
    <x v="117"/>
    <x v="153"/>
    <s v="These shoes fit like a glove"/>
    <n v="1504742400"/>
    <s v="Not Specified"/>
    <s v="Not Specified"/>
    <s v="Not Specified"/>
    <n v="119"/>
    <x v="0"/>
    <x v="2"/>
  </r>
  <r>
    <x v="0"/>
    <x v="0"/>
    <x v="125"/>
    <x v="2"/>
    <x v="0"/>
    <x v="137"/>
    <x v="12"/>
    <x v="22"/>
    <x v="23"/>
    <x v="118"/>
    <x v="154"/>
    <s v="Five Stars"/>
    <n v="1504569600"/>
    <s v="Not Specified"/>
    <s v="Not Specified"/>
    <s v="Not Specified"/>
    <n v="16"/>
    <x v="0"/>
    <x v="2"/>
  </r>
  <r>
    <x v="0"/>
    <x v="0"/>
    <x v="126"/>
    <x v="2"/>
    <x v="0"/>
    <x v="138"/>
    <x v="12"/>
    <x v="22"/>
    <x v="17"/>
    <x v="119"/>
    <x v="155"/>
    <s v="Five Stars"/>
    <n v="1504483200"/>
    <s v="Not Specified"/>
    <s v="Not Specified"/>
    <s v="Not Specified"/>
    <n v="12"/>
    <x v="0"/>
    <x v="2"/>
  </r>
  <r>
    <x v="4"/>
    <x v="0"/>
    <x v="127"/>
    <x v="2"/>
    <x v="4"/>
    <x v="139"/>
    <x v="12"/>
    <x v="21"/>
    <x v="33"/>
    <x v="120"/>
    <x v="156"/>
    <s v="Nike always makes a good shoe."/>
    <n v="1503964800"/>
    <s v="Not Specified"/>
    <s v="Not Specified"/>
    <s v="Not Specified"/>
    <n v="118"/>
    <x v="0"/>
    <x v="2"/>
  </r>
  <r>
    <x v="3"/>
    <x v="0"/>
    <x v="127"/>
    <x v="2"/>
    <x v="4"/>
    <x v="140"/>
    <x v="12"/>
    <x v="31"/>
    <x v="17"/>
    <x v="121"/>
    <x v="157"/>
    <s v="One Star"/>
    <n v="1503964800"/>
    <s v="Not Specified"/>
    <s v="Not Specified"/>
    <s v="Not Specified"/>
    <n v="52"/>
    <x v="2"/>
    <x v="2"/>
  </r>
  <r>
    <x v="0"/>
    <x v="0"/>
    <x v="127"/>
    <x v="2"/>
    <x v="4"/>
    <x v="141"/>
    <x v="12"/>
    <x v="17"/>
    <x v="17"/>
    <x v="122"/>
    <x v="158"/>
    <s v="Five Stars"/>
    <n v="1503964800"/>
    <s v="Not Specified"/>
    <s v="Not Specified"/>
    <s v="Not Specified"/>
    <n v="30"/>
    <x v="0"/>
    <x v="2"/>
  </r>
  <r>
    <x v="0"/>
    <x v="0"/>
    <x v="128"/>
    <x v="2"/>
    <x v="4"/>
    <x v="142"/>
    <x v="12"/>
    <x v="15"/>
    <x v="12"/>
    <x v="123"/>
    <x v="159"/>
    <s v=" Shoes"/>
    <n v="1503792000"/>
    <s v="Not Specified"/>
    <s v="Not Specified"/>
    <s v="Not Specified"/>
    <n v="17"/>
    <x v="0"/>
    <x v="2"/>
  </r>
  <r>
    <x v="4"/>
    <x v="0"/>
    <x v="129"/>
    <x v="2"/>
    <x v="4"/>
    <x v="143"/>
    <x v="12"/>
    <x v="17"/>
    <x v="31"/>
    <x v="124"/>
    <x v="160"/>
    <s v="Love these shoes"/>
    <n v="1503532800"/>
    <s v="Not Specified"/>
    <s v="Not Specified"/>
    <s v="Not Specified"/>
    <n v="225"/>
    <x v="0"/>
    <x v="2"/>
  </r>
  <r>
    <x v="3"/>
    <x v="0"/>
    <x v="129"/>
    <x v="2"/>
    <x v="4"/>
    <x v="144"/>
    <x v="12"/>
    <x v="22"/>
    <x v="29"/>
    <x v="125"/>
    <x v="161"/>
    <s v="I loved these shoes"/>
    <n v="1503532800"/>
    <s v="Not Specified"/>
    <s v="Not Specified"/>
    <s v="Not Specified"/>
    <n v="213"/>
    <x v="2"/>
    <x v="2"/>
  </r>
  <r>
    <x v="0"/>
    <x v="0"/>
    <x v="130"/>
    <x v="2"/>
    <x v="4"/>
    <x v="145"/>
    <x v="12"/>
    <x v="30"/>
    <x v="24"/>
    <x v="126"/>
    <x v="162"/>
    <s v="perfect"/>
    <n v="1503273600"/>
    <s v="Not Specified"/>
    <s v="Not Specified"/>
    <s v="Not Specified"/>
    <n v="55"/>
    <x v="0"/>
    <x v="2"/>
  </r>
  <r>
    <x v="0"/>
    <x v="0"/>
    <x v="131"/>
    <x v="2"/>
    <x v="4"/>
    <x v="146"/>
    <x v="12"/>
    <x v="14"/>
    <x v="17"/>
    <x v="127"/>
    <x v="163"/>
    <s v="Five Stars"/>
    <n v="1503187200"/>
    <s v="Not Specified"/>
    <s v="Not Specified"/>
    <s v="Not Specified"/>
    <n v="10"/>
    <x v="0"/>
    <x v="2"/>
  </r>
  <r>
    <x v="1"/>
    <x v="0"/>
    <x v="132"/>
    <x v="2"/>
    <x v="4"/>
    <x v="147"/>
    <x v="12"/>
    <x v="30"/>
    <x v="39"/>
    <x v="128"/>
    <x v="164"/>
    <s v="found a Ryka pair I liked"/>
    <n v="1502928000"/>
    <s v="Not Specified"/>
    <s v="Not Specified"/>
    <s v="Not Specified"/>
    <n v="50"/>
    <x v="1"/>
    <x v="2"/>
  </r>
  <r>
    <x v="0"/>
    <x v="0"/>
    <x v="132"/>
    <x v="2"/>
    <x v="4"/>
    <x v="148"/>
    <x v="12"/>
    <x v="15"/>
    <x v="17"/>
    <x v="129"/>
    <x v="165"/>
    <s v="Five Stars"/>
    <n v="1502928000"/>
    <s v="Not Specified"/>
    <s v="Not Specified"/>
    <s v="Not Specified"/>
    <n v="37"/>
    <x v="0"/>
    <x v="2"/>
  </r>
  <r>
    <x v="0"/>
    <x v="0"/>
    <x v="133"/>
    <x v="2"/>
    <x v="4"/>
    <x v="149"/>
    <x v="12"/>
    <x v="3"/>
    <x v="26"/>
    <x v="5"/>
    <x v="166"/>
    <s v="Five Stars"/>
    <n v="1502755200"/>
    <s v="Not Specified"/>
    <s v="Not Specified"/>
    <s v="Not Specified"/>
    <n v="16"/>
    <x v="0"/>
    <x v="2"/>
  </r>
  <r>
    <x v="0"/>
    <x v="0"/>
    <x v="134"/>
    <x v="2"/>
    <x v="4"/>
    <x v="150"/>
    <x v="12"/>
    <x v="21"/>
    <x v="17"/>
    <x v="130"/>
    <x v="167"/>
    <s v="the best sneakers by far"/>
    <n v="1502668800"/>
    <s v="Not Specified"/>
    <s v="Not Specified"/>
    <s v="Not Specified"/>
    <n v="145"/>
    <x v="0"/>
    <x v="2"/>
  </r>
  <r>
    <x v="0"/>
    <x v="0"/>
    <x v="135"/>
    <x v="2"/>
    <x v="4"/>
    <x v="151"/>
    <x v="12"/>
    <x v="17"/>
    <x v="17"/>
    <x v="131"/>
    <x v="168"/>
    <s v="Classically comfortable and durable"/>
    <n v="1502496000"/>
    <s v="Not Specified"/>
    <s v="Not Specified"/>
    <s v="Not Specified"/>
    <n v="230"/>
    <x v="0"/>
    <x v="2"/>
  </r>
  <r>
    <x v="4"/>
    <x v="0"/>
    <x v="136"/>
    <x v="2"/>
    <x v="4"/>
    <x v="152"/>
    <x v="12"/>
    <x v="30"/>
    <x v="17"/>
    <x v="132"/>
    <x v="169"/>
    <s v="Four Stars"/>
    <n v="1502409600"/>
    <s v="Not Specified"/>
    <s v="Not Specified"/>
    <s v="Not Specified"/>
    <n v="59"/>
    <x v="0"/>
    <x v="2"/>
  </r>
  <r>
    <x v="1"/>
    <x v="0"/>
    <x v="137"/>
    <x v="2"/>
    <x v="4"/>
    <x v="153"/>
    <x v="12"/>
    <x v="17"/>
    <x v="17"/>
    <x v="133"/>
    <x v="170"/>
    <s v="the Nike Womens Flex Trainer 6 is way better looking and costs about the same"/>
    <n v="1502150400"/>
    <s v="Not Specified"/>
    <s v="Not Specified"/>
    <s v="Not Specified"/>
    <n v="138"/>
    <x v="1"/>
    <x v="2"/>
  </r>
  <r>
    <x v="0"/>
    <x v="0"/>
    <x v="137"/>
    <x v="2"/>
    <x v="4"/>
    <x v="154"/>
    <x v="12"/>
    <x v="25"/>
    <x v="17"/>
    <x v="134"/>
    <x v="171"/>
    <s v="Five Stars"/>
    <n v="1502150400"/>
    <s v="Not Specified"/>
    <s v="Not Specified"/>
    <s v="Not Specified"/>
    <n v="27"/>
    <x v="0"/>
    <x v="2"/>
  </r>
  <r>
    <x v="0"/>
    <x v="0"/>
    <x v="138"/>
    <x v="2"/>
    <x v="4"/>
    <x v="155"/>
    <x v="12"/>
    <x v="21"/>
    <x v="28"/>
    <x v="135"/>
    <x v="172"/>
    <s v="Five Stars"/>
    <n v="1502064000"/>
    <s v="Not Specified"/>
    <s v="Not Specified"/>
    <s v="Not Specified"/>
    <n v="10"/>
    <x v="0"/>
    <x v="2"/>
  </r>
  <r>
    <x v="0"/>
    <x v="0"/>
    <x v="139"/>
    <x v="2"/>
    <x v="4"/>
    <x v="156"/>
    <x v="12"/>
    <x v="22"/>
    <x v="23"/>
    <x v="136"/>
    <x v="173"/>
    <s v="Love the color and fit"/>
    <n v="1501804800"/>
    <s v="Not Specified"/>
    <s v="Not Specified"/>
    <s v="Not Specified"/>
    <n v="114"/>
    <x v="0"/>
    <x v="2"/>
  </r>
  <r>
    <x v="1"/>
    <x v="0"/>
    <x v="140"/>
    <x v="2"/>
    <x v="4"/>
    <x v="157"/>
    <x v="12"/>
    <x v="33"/>
    <x v="17"/>
    <x v="137"/>
    <x v="174"/>
    <s v="OK"/>
    <n v="1501632000"/>
    <s v="Not Specified"/>
    <s v="Not Specified"/>
    <s v="Not Specified"/>
    <n v="264"/>
    <x v="1"/>
    <x v="2"/>
  </r>
  <r>
    <x v="0"/>
    <x v="0"/>
    <x v="141"/>
    <x v="2"/>
    <x v="9"/>
    <x v="158"/>
    <x v="12"/>
    <x v="17"/>
    <x v="17"/>
    <x v="5"/>
    <x v="175"/>
    <s v="Great fit!"/>
    <n v="1500508800"/>
    <s v="Not Specified"/>
    <s v="Not Specified"/>
    <s v="Not Specified"/>
    <n v="34"/>
    <x v="0"/>
    <x v="2"/>
  </r>
  <r>
    <x v="0"/>
    <x v="0"/>
    <x v="142"/>
    <x v="2"/>
    <x v="9"/>
    <x v="159"/>
    <x v="12"/>
    <x v="21"/>
    <x v="33"/>
    <x v="138"/>
    <x v="176"/>
    <s v="Very satisfied with the seller - delivered on time"/>
    <n v="1500336000"/>
    <s v="Not Specified"/>
    <s v="Not Specified"/>
    <s v="Not Specified"/>
    <n v="124"/>
    <x v="0"/>
    <x v="2"/>
  </r>
  <r>
    <x v="4"/>
    <x v="0"/>
    <x v="142"/>
    <x v="2"/>
    <x v="9"/>
    <x v="160"/>
    <x v="12"/>
    <x v="22"/>
    <x v="26"/>
    <x v="139"/>
    <x v="177"/>
    <s v="Four Stars"/>
    <n v="1500336000"/>
    <s v="Not Specified"/>
    <s v="Not Specified"/>
    <s v="Not Specified"/>
    <n v="28"/>
    <x v="0"/>
    <x v="2"/>
  </r>
  <r>
    <x v="0"/>
    <x v="0"/>
    <x v="142"/>
    <x v="2"/>
    <x v="9"/>
    <x v="161"/>
    <x v="12"/>
    <x v="14"/>
    <x v="17"/>
    <x v="140"/>
    <x v="178"/>
    <s v="Comfortable shoe for both workout sessions and walking"/>
    <n v="1500336000"/>
    <s v="Not Specified"/>
    <s v="Not Specified"/>
    <s v="Not Specified"/>
    <n v="184"/>
    <x v="0"/>
    <x v="2"/>
  </r>
  <r>
    <x v="0"/>
    <x v="0"/>
    <x v="142"/>
    <x v="2"/>
    <x v="9"/>
    <x v="162"/>
    <x v="12"/>
    <x v="16"/>
    <x v="17"/>
    <x v="141"/>
    <x v="68"/>
    <s v="Five Stars"/>
    <n v="1500336000"/>
    <s v="Not Specified"/>
    <s v="Not Specified"/>
    <s v="Not Specified"/>
    <n v="0"/>
    <x v="0"/>
    <x v="2"/>
  </r>
  <r>
    <x v="0"/>
    <x v="0"/>
    <x v="142"/>
    <x v="2"/>
    <x v="9"/>
    <x v="163"/>
    <x v="12"/>
    <x v="17"/>
    <x v="12"/>
    <x v="142"/>
    <x v="65"/>
    <s v="Five Stars"/>
    <n v="1500336000"/>
    <s v="Not Specified"/>
    <s v="Not Specified"/>
    <s v="Not Specified"/>
    <n v="4"/>
    <x v="0"/>
    <x v="2"/>
  </r>
  <r>
    <x v="0"/>
    <x v="0"/>
    <x v="142"/>
    <x v="2"/>
    <x v="9"/>
    <x v="164"/>
    <x v="12"/>
    <x v="17"/>
    <x v="39"/>
    <x v="5"/>
    <x v="179"/>
    <s v="These are the best shoes I have ever use for my workouts"/>
    <n v="1500336000"/>
    <s v="Not Specified"/>
    <s v="Not Specified"/>
    <s v="Not Specified"/>
    <n v="99"/>
    <x v="0"/>
    <x v="2"/>
  </r>
  <r>
    <x v="0"/>
    <x v="0"/>
    <x v="142"/>
    <x v="2"/>
    <x v="9"/>
    <x v="165"/>
    <x v="12"/>
    <x v="15"/>
    <x v="17"/>
    <x v="143"/>
    <x v="180"/>
    <s v="I love these shoes"/>
    <n v="1500336000"/>
    <s v="Not Specified"/>
    <s v="Not Specified"/>
    <s v="Not Specified"/>
    <n v="178"/>
    <x v="0"/>
    <x v="2"/>
  </r>
  <r>
    <x v="0"/>
    <x v="0"/>
    <x v="143"/>
    <x v="2"/>
    <x v="9"/>
    <x v="166"/>
    <x v="12"/>
    <x v="16"/>
    <x v="28"/>
    <x v="144"/>
    <x v="181"/>
    <s v="Five Stars"/>
    <n v="1500076800"/>
    <s v="Not Specified"/>
    <s v="Not Specified"/>
    <s v="Not Specified"/>
    <n v="30"/>
    <x v="0"/>
    <x v="2"/>
  </r>
  <r>
    <x v="1"/>
    <x v="0"/>
    <x v="143"/>
    <x v="2"/>
    <x v="9"/>
    <x v="167"/>
    <x v="12"/>
    <x v="21"/>
    <x v="23"/>
    <x v="145"/>
    <x v="182"/>
    <s v="Low cut heels"/>
    <n v="1500076800"/>
    <s v="Not Specified"/>
    <s v="Not Specified"/>
    <s v="Not Specified"/>
    <n v="130"/>
    <x v="1"/>
    <x v="2"/>
  </r>
  <r>
    <x v="0"/>
    <x v="0"/>
    <x v="144"/>
    <x v="2"/>
    <x v="9"/>
    <x v="168"/>
    <x v="12"/>
    <x v="30"/>
    <x v="30"/>
    <x v="146"/>
    <x v="183"/>
    <s v="Perfect"/>
    <n v="1499558400"/>
    <s v="Not Specified"/>
    <s v="Not Specified"/>
    <s v="Not Specified"/>
    <n v="112"/>
    <x v="0"/>
    <x v="2"/>
  </r>
  <r>
    <x v="0"/>
    <x v="0"/>
    <x v="145"/>
    <x v="2"/>
    <x v="9"/>
    <x v="169"/>
    <x v="12"/>
    <x v="34"/>
    <x v="25"/>
    <x v="147"/>
    <x v="184"/>
    <s v="Exactly what I wanted"/>
    <n v="1499472000"/>
    <s v="Not Specified"/>
    <s v="Not Specified"/>
    <s v="Not Specified"/>
    <n v="22"/>
    <x v="0"/>
    <x v="2"/>
  </r>
  <r>
    <x v="4"/>
    <x v="0"/>
    <x v="146"/>
    <x v="2"/>
    <x v="9"/>
    <x v="170"/>
    <x v="12"/>
    <x v="15"/>
    <x v="17"/>
    <x v="148"/>
    <x v="185"/>
    <s v="Light shoes"/>
    <n v="1499385600"/>
    <s v="Not Specified"/>
    <s v="Not Specified"/>
    <s v="Not Specified"/>
    <n v="453"/>
    <x v="0"/>
    <x v="2"/>
  </r>
  <r>
    <x v="1"/>
    <x v="1"/>
    <x v="147"/>
    <x v="2"/>
    <x v="9"/>
    <x v="171"/>
    <x v="12"/>
    <x v="24"/>
    <x v="12"/>
    <x v="149"/>
    <x v="186"/>
    <s v="Good indoor training shoes"/>
    <n v="1498867200"/>
    <s v="Not Specified"/>
    <s v="Not Specified"/>
    <s v="Not Specified"/>
    <n v="566"/>
    <x v="1"/>
    <x v="2"/>
  </r>
  <r>
    <x v="0"/>
    <x v="0"/>
    <x v="148"/>
    <x v="2"/>
    <x v="6"/>
    <x v="172"/>
    <x v="12"/>
    <x v="15"/>
    <x v="17"/>
    <x v="150"/>
    <x v="187"/>
    <s v="So Perf."/>
    <n v="1498780800"/>
    <s v="Not Specified"/>
    <s v="Not Specified"/>
    <s v="Not Specified"/>
    <n v="5"/>
    <x v="0"/>
    <x v="2"/>
  </r>
  <r>
    <x v="0"/>
    <x v="0"/>
    <x v="149"/>
    <x v="2"/>
    <x v="6"/>
    <x v="173"/>
    <x v="12"/>
    <x v="22"/>
    <x v="32"/>
    <x v="151"/>
    <x v="188"/>
    <s v="Five Stars"/>
    <n v="1498608000"/>
    <s v="Not Specified"/>
    <s v="Not Specified"/>
    <s v="Not Specified"/>
    <n v="18"/>
    <x v="0"/>
    <x v="2"/>
  </r>
  <r>
    <x v="0"/>
    <x v="0"/>
    <x v="150"/>
    <x v="2"/>
    <x v="6"/>
    <x v="174"/>
    <x v="12"/>
    <x v="15"/>
    <x v="34"/>
    <x v="152"/>
    <x v="189"/>
    <s v="Five Stars"/>
    <n v="1498435200"/>
    <s v="Not Specified"/>
    <s v="Not Specified"/>
    <s v="Not Specified"/>
    <n v="8"/>
    <x v="0"/>
    <x v="2"/>
  </r>
  <r>
    <x v="0"/>
    <x v="0"/>
    <x v="151"/>
    <x v="2"/>
    <x v="6"/>
    <x v="175"/>
    <x v="12"/>
    <x v="17"/>
    <x v="24"/>
    <x v="5"/>
    <x v="190"/>
    <s v="Great work out shoe"/>
    <n v="1498003200"/>
    <s v="Not Specified"/>
    <s v="Not Specified"/>
    <s v="Not Specified"/>
    <n v="141"/>
    <x v="0"/>
    <x v="2"/>
  </r>
  <r>
    <x v="0"/>
    <x v="0"/>
    <x v="152"/>
    <x v="2"/>
    <x v="6"/>
    <x v="176"/>
    <x v="12"/>
    <x v="28"/>
    <x v="25"/>
    <x v="153"/>
    <x v="191"/>
    <s v="I love these shoes so much that I reordered another pair ..."/>
    <n v="1497916800"/>
    <s v="Not Specified"/>
    <s v="Not Specified"/>
    <s v="Not Specified"/>
    <n v="275"/>
    <x v="0"/>
    <x v="2"/>
  </r>
  <r>
    <x v="0"/>
    <x v="0"/>
    <x v="152"/>
    <x v="2"/>
    <x v="6"/>
    <x v="177"/>
    <x v="12"/>
    <x v="15"/>
    <x v="17"/>
    <x v="154"/>
    <x v="192"/>
    <s v="Comfortable, light weight, nice."/>
    <n v="1497916800"/>
    <s v="Not Specified"/>
    <s v="Not Specified"/>
    <s v="Not Specified"/>
    <n v="69"/>
    <x v="0"/>
    <x v="2"/>
  </r>
  <r>
    <x v="4"/>
    <x v="0"/>
    <x v="153"/>
    <x v="2"/>
    <x v="6"/>
    <x v="178"/>
    <x v="12"/>
    <x v="15"/>
    <x v="17"/>
    <x v="155"/>
    <x v="193"/>
    <s v="Four Stars"/>
    <n v="1497830400"/>
    <s v="Not Specified"/>
    <s v="Not Specified"/>
    <s v="Not Specified"/>
    <n v="12"/>
    <x v="0"/>
    <x v="2"/>
  </r>
  <r>
    <x v="0"/>
    <x v="0"/>
    <x v="153"/>
    <x v="2"/>
    <x v="6"/>
    <x v="179"/>
    <x v="12"/>
    <x v="25"/>
    <x v="17"/>
    <x v="156"/>
    <x v="194"/>
    <s v="I feel like this pair of shoes was made for my feet"/>
    <n v="1497830400"/>
    <s v="Not Specified"/>
    <s v="Not Specified"/>
    <s v="Not Specified"/>
    <n v="108"/>
    <x v="0"/>
    <x v="2"/>
  </r>
  <r>
    <x v="0"/>
    <x v="0"/>
    <x v="153"/>
    <x v="2"/>
    <x v="6"/>
    <x v="180"/>
    <x v="12"/>
    <x v="17"/>
    <x v="17"/>
    <x v="5"/>
    <x v="195"/>
    <s v="Awesome shoes!!!"/>
    <n v="1497830400"/>
    <s v="Not Specified"/>
    <s v="Not Specified"/>
    <s v="Not Specified"/>
    <n v="76"/>
    <x v="0"/>
    <x v="2"/>
  </r>
  <r>
    <x v="1"/>
    <x v="0"/>
    <x v="15"/>
    <x v="2"/>
    <x v="6"/>
    <x v="181"/>
    <x v="12"/>
    <x v="16"/>
    <x v="17"/>
    <x v="157"/>
    <x v="196"/>
    <s v="Just wasn't what i was looking for"/>
    <n v="1497571200"/>
    <s v="Not Specified"/>
    <s v="Not Specified"/>
    <s v="Not Specified"/>
    <n v="468"/>
    <x v="1"/>
    <x v="2"/>
  </r>
  <r>
    <x v="0"/>
    <x v="0"/>
    <x v="154"/>
    <x v="2"/>
    <x v="6"/>
    <x v="182"/>
    <x v="12"/>
    <x v="22"/>
    <x v="17"/>
    <x v="158"/>
    <x v="197"/>
    <s v="So comfortable, I don't even feel like I have a ..."/>
    <n v="1497484800"/>
    <s v="Not Specified"/>
    <s v="Not Specified"/>
    <s v="Not Specified"/>
    <n v="125"/>
    <x v="0"/>
    <x v="2"/>
  </r>
  <r>
    <x v="0"/>
    <x v="0"/>
    <x v="154"/>
    <x v="2"/>
    <x v="6"/>
    <x v="183"/>
    <x v="12"/>
    <x v="17"/>
    <x v="30"/>
    <x v="159"/>
    <x v="198"/>
    <s v="Five Stars"/>
    <n v="1497484800"/>
    <s v="Not Specified"/>
    <s v="Not Specified"/>
    <s v="Not Specified"/>
    <n v="56"/>
    <x v="0"/>
    <x v="2"/>
  </r>
  <r>
    <x v="0"/>
    <x v="0"/>
    <x v="155"/>
    <x v="2"/>
    <x v="6"/>
    <x v="184"/>
    <x v="12"/>
    <x v="15"/>
    <x v="18"/>
    <x v="5"/>
    <x v="199"/>
    <s v="Five Stars"/>
    <n v="1497398400"/>
    <s v="Not Specified"/>
    <s v="Not Specified"/>
    <s v="Not Specified"/>
    <n v="21"/>
    <x v="0"/>
    <x v="2"/>
  </r>
  <r>
    <x v="0"/>
    <x v="0"/>
    <x v="156"/>
    <x v="2"/>
    <x v="6"/>
    <x v="185"/>
    <x v="12"/>
    <x v="22"/>
    <x v="32"/>
    <x v="160"/>
    <x v="200"/>
    <s v="Five Stars"/>
    <n v="1497312000"/>
    <s v="Not Specified"/>
    <s v="Not Specified"/>
    <s v="Not Specified"/>
    <n v="64"/>
    <x v="0"/>
    <x v="2"/>
  </r>
  <r>
    <x v="0"/>
    <x v="0"/>
    <x v="157"/>
    <x v="2"/>
    <x v="6"/>
    <x v="186"/>
    <x v="12"/>
    <x v="22"/>
    <x v="24"/>
    <x v="161"/>
    <x v="201"/>
    <s v="Five Stars"/>
    <n v="1496880000"/>
    <s v="Not Specified"/>
    <s v="Not Specified"/>
    <s v="Not Specified"/>
    <n v="27"/>
    <x v="0"/>
    <x v="2"/>
  </r>
  <r>
    <x v="3"/>
    <x v="0"/>
    <x v="158"/>
    <x v="2"/>
    <x v="6"/>
    <x v="187"/>
    <x v="12"/>
    <x v="29"/>
    <x v="25"/>
    <x v="162"/>
    <x v="202"/>
    <s v="Falling apart already!!"/>
    <n v="1496620800"/>
    <s v="Not Specified"/>
    <s v="Not Specified"/>
    <s v="Not Specified"/>
    <n v="75"/>
    <x v="2"/>
    <x v="2"/>
  </r>
  <r>
    <x v="0"/>
    <x v="0"/>
    <x v="159"/>
    <x v="2"/>
    <x v="6"/>
    <x v="188"/>
    <x v="12"/>
    <x v="21"/>
    <x v="17"/>
    <x v="163"/>
    <x v="203"/>
    <s v="Five Stars"/>
    <n v="1496361600"/>
    <s v="Not Specified"/>
    <s v="Not Specified"/>
    <s v="Not Specified"/>
    <n v="91"/>
    <x v="0"/>
    <x v="2"/>
  </r>
  <r>
    <x v="0"/>
    <x v="0"/>
    <x v="160"/>
    <x v="2"/>
    <x v="1"/>
    <x v="189"/>
    <x v="12"/>
    <x v="14"/>
    <x v="17"/>
    <x v="164"/>
    <x v="135"/>
    <s v="Five Stars"/>
    <n v="1496102400"/>
    <s v="Not Specified"/>
    <s v="Not Specified"/>
    <s v="Not Specified"/>
    <n v="11"/>
    <x v="0"/>
    <x v="2"/>
  </r>
  <r>
    <x v="0"/>
    <x v="0"/>
    <x v="160"/>
    <x v="2"/>
    <x v="1"/>
    <x v="190"/>
    <x v="12"/>
    <x v="30"/>
    <x v="26"/>
    <x v="165"/>
    <x v="204"/>
    <s v="love the fit"/>
    <n v="1496102400"/>
    <s v="Not Specified"/>
    <s v="Not Specified"/>
    <s v="Not Specified"/>
    <n v="61"/>
    <x v="0"/>
    <x v="2"/>
  </r>
  <r>
    <x v="4"/>
    <x v="0"/>
    <x v="161"/>
    <x v="2"/>
    <x v="1"/>
    <x v="191"/>
    <x v="12"/>
    <x v="28"/>
    <x v="25"/>
    <x v="166"/>
    <x v="205"/>
    <s v="Nike"/>
    <n v="1496016000"/>
    <s v="Not Specified"/>
    <s v="Not Specified"/>
    <s v="Not Specified"/>
    <n v="65"/>
    <x v="0"/>
    <x v="2"/>
  </r>
  <r>
    <x v="1"/>
    <x v="0"/>
    <x v="162"/>
    <x v="2"/>
    <x v="1"/>
    <x v="192"/>
    <x v="12"/>
    <x v="30"/>
    <x v="17"/>
    <x v="167"/>
    <x v="206"/>
    <s v="Nope"/>
    <n v="1495670400"/>
    <s v="Not Specified"/>
    <s v="Not Specified"/>
    <s v="Not Specified"/>
    <n v="40"/>
    <x v="1"/>
    <x v="2"/>
  </r>
  <r>
    <x v="0"/>
    <x v="0"/>
    <x v="163"/>
    <x v="2"/>
    <x v="1"/>
    <x v="193"/>
    <x v="12"/>
    <x v="21"/>
    <x v="17"/>
    <x v="168"/>
    <x v="207"/>
    <s v="It is comfortable."/>
    <n v="1495411200"/>
    <s v="Not Specified"/>
    <s v="Not Specified"/>
    <s v="Not Specified"/>
    <n v="45"/>
    <x v="0"/>
    <x v="2"/>
  </r>
  <r>
    <x v="0"/>
    <x v="0"/>
    <x v="163"/>
    <x v="2"/>
    <x v="1"/>
    <x v="194"/>
    <x v="12"/>
    <x v="17"/>
    <x v="17"/>
    <x v="169"/>
    <x v="208"/>
    <s v="Perfect cross trainers"/>
    <n v="1495411200"/>
    <s v="Not Specified"/>
    <s v="Not Specified"/>
    <s v="Not Specified"/>
    <n v="86"/>
    <x v="0"/>
    <x v="2"/>
  </r>
  <r>
    <x v="0"/>
    <x v="1"/>
    <x v="164"/>
    <x v="2"/>
    <x v="1"/>
    <x v="195"/>
    <x v="12"/>
    <x v="35"/>
    <x v="25"/>
    <x v="170"/>
    <x v="209"/>
    <s v="Great training shoes"/>
    <n v="1495152000"/>
    <s v="Not Specified"/>
    <s v="Not Specified"/>
    <n v="2"/>
    <n v="109"/>
    <x v="0"/>
    <x v="2"/>
  </r>
  <r>
    <x v="0"/>
    <x v="1"/>
    <x v="164"/>
    <x v="2"/>
    <x v="1"/>
    <x v="195"/>
    <x v="12"/>
    <x v="30"/>
    <x v="28"/>
    <x v="170"/>
    <x v="210"/>
    <s v="Amazing training Sneakers."/>
    <n v="1495152000"/>
    <s v="Not Specified"/>
    <s v="Not Specified"/>
    <n v="4"/>
    <n v="274"/>
    <x v="0"/>
    <x v="2"/>
  </r>
  <r>
    <x v="4"/>
    <x v="0"/>
    <x v="165"/>
    <x v="2"/>
    <x v="1"/>
    <x v="196"/>
    <x v="12"/>
    <x v="15"/>
    <x v="17"/>
    <x v="171"/>
    <x v="211"/>
    <s v="HIIT shoes"/>
    <n v="1495065600"/>
    <s v="Not Specified"/>
    <s v="Not Specified"/>
    <s v="Not Specified"/>
    <n v="20"/>
    <x v="0"/>
    <x v="2"/>
  </r>
  <r>
    <x v="4"/>
    <x v="0"/>
    <x v="166"/>
    <x v="2"/>
    <x v="1"/>
    <x v="197"/>
    <x v="12"/>
    <x v="15"/>
    <x v="34"/>
    <x v="172"/>
    <x v="212"/>
    <s v="Four Stars"/>
    <n v="1494806400"/>
    <s v="Not Specified"/>
    <s v="Not Specified"/>
    <s v="Not Specified"/>
    <n v="40"/>
    <x v="0"/>
    <x v="2"/>
  </r>
  <r>
    <x v="1"/>
    <x v="0"/>
    <x v="167"/>
    <x v="2"/>
    <x v="1"/>
    <x v="198"/>
    <x v="12"/>
    <x v="17"/>
    <x v="17"/>
    <x v="173"/>
    <x v="213"/>
    <s v="Lack support but overall good shoe"/>
    <n v="1494374400"/>
    <s v="Not Specified"/>
    <s v="Not Specified"/>
    <s v="Not Specified"/>
    <n v="170"/>
    <x v="1"/>
    <x v="2"/>
  </r>
  <r>
    <x v="0"/>
    <x v="0"/>
    <x v="168"/>
    <x v="2"/>
    <x v="1"/>
    <x v="199"/>
    <x v="12"/>
    <x v="26"/>
    <x v="40"/>
    <x v="174"/>
    <x v="214"/>
    <s v="Adorable shoes"/>
    <n v="1494115200"/>
    <s v="Not Specified"/>
    <s v="Not Specified"/>
    <s v="Not Specified"/>
    <n v="193"/>
    <x v="0"/>
    <x v="2"/>
  </r>
  <r>
    <x v="0"/>
    <x v="0"/>
    <x v="169"/>
    <x v="2"/>
    <x v="1"/>
    <x v="200"/>
    <x v="12"/>
    <x v="34"/>
    <x v="25"/>
    <x v="175"/>
    <x v="215"/>
    <s v="Wide sneaker for wide feet"/>
    <n v="1494028800"/>
    <s v="Not Specified"/>
    <s v="Not Specified"/>
    <s v="Not Specified"/>
    <n v="126"/>
    <x v="0"/>
    <x v="2"/>
  </r>
  <r>
    <x v="0"/>
    <x v="0"/>
    <x v="170"/>
    <x v="2"/>
    <x v="1"/>
    <x v="201"/>
    <x v="12"/>
    <x v="21"/>
    <x v="28"/>
    <x v="176"/>
    <x v="216"/>
    <s v="I've been using these to exercise and they are nice a roomy and allow my feet to breath"/>
    <n v="1493942400"/>
    <s v="Not Specified"/>
    <s v="Not Specified"/>
    <s v="Not Specified"/>
    <n v="110"/>
    <x v="0"/>
    <x v="2"/>
  </r>
  <r>
    <x v="0"/>
    <x v="0"/>
    <x v="171"/>
    <x v="2"/>
    <x v="1"/>
    <x v="202"/>
    <x v="12"/>
    <x v="16"/>
    <x v="17"/>
    <x v="177"/>
    <x v="217"/>
    <s v="Five Stars"/>
    <n v="1493769600"/>
    <s v="Not Specified"/>
    <s v="Not Specified"/>
    <s v="Not Specified"/>
    <n v="42"/>
    <x v="0"/>
    <x v="2"/>
  </r>
  <r>
    <x v="0"/>
    <x v="0"/>
    <x v="171"/>
    <x v="2"/>
    <x v="1"/>
    <x v="203"/>
    <x v="12"/>
    <x v="21"/>
    <x v="17"/>
    <x v="178"/>
    <x v="218"/>
    <s v="Five Stars"/>
    <n v="1493769600"/>
    <s v="Not Specified"/>
    <s v="Not Specified"/>
    <s v="Not Specified"/>
    <n v="12"/>
    <x v="0"/>
    <x v="2"/>
  </r>
  <r>
    <x v="4"/>
    <x v="0"/>
    <x v="172"/>
    <x v="2"/>
    <x v="1"/>
    <x v="204"/>
    <x v="12"/>
    <x v="26"/>
    <x v="40"/>
    <x v="179"/>
    <x v="219"/>
    <s v="Great training shoes"/>
    <n v="1493683200"/>
    <s v="Not Specified"/>
    <s v="Not Specified"/>
    <s v="Not Specified"/>
    <n v="86"/>
    <x v="0"/>
    <x v="2"/>
  </r>
  <r>
    <x v="0"/>
    <x v="0"/>
    <x v="173"/>
    <x v="2"/>
    <x v="1"/>
    <x v="205"/>
    <x v="12"/>
    <x v="26"/>
    <x v="41"/>
    <x v="180"/>
    <x v="220"/>
    <s v="Five Stars"/>
    <n v="1493596800"/>
    <s v="Not Specified"/>
    <s v="Not Specified"/>
    <s v="Not Specified"/>
    <n v="89"/>
    <x v="0"/>
    <x v="2"/>
  </r>
  <r>
    <x v="0"/>
    <x v="0"/>
    <x v="174"/>
    <x v="2"/>
    <x v="10"/>
    <x v="206"/>
    <x v="12"/>
    <x v="22"/>
    <x v="18"/>
    <x v="181"/>
    <x v="221"/>
    <s v="Five Stars"/>
    <n v="1493337600"/>
    <s v="Not Specified"/>
    <s v="Not Specified"/>
    <s v="Not Specified"/>
    <n v="12"/>
    <x v="0"/>
    <x v="2"/>
  </r>
  <r>
    <x v="4"/>
    <x v="0"/>
    <x v="175"/>
    <x v="2"/>
    <x v="10"/>
    <x v="207"/>
    <x v="12"/>
    <x v="35"/>
    <x v="25"/>
    <x v="5"/>
    <x v="222"/>
    <s v="Four Stars"/>
    <n v="1493251200"/>
    <s v="Not Specified"/>
    <s v="Not Specified"/>
    <s v="Not Specified"/>
    <n v="58"/>
    <x v="0"/>
    <x v="2"/>
  </r>
  <r>
    <x v="4"/>
    <x v="0"/>
    <x v="175"/>
    <x v="2"/>
    <x v="10"/>
    <x v="208"/>
    <x v="12"/>
    <x v="36"/>
    <x v="25"/>
    <x v="182"/>
    <x v="223"/>
    <s v="and they were great! Super comfortable"/>
    <n v="1493251200"/>
    <s v="Not Specified"/>
    <s v="Not Specified"/>
    <s v="Not Specified"/>
    <n v="199"/>
    <x v="0"/>
    <x v="2"/>
  </r>
  <r>
    <x v="0"/>
    <x v="0"/>
    <x v="176"/>
    <x v="2"/>
    <x v="10"/>
    <x v="209"/>
    <x v="12"/>
    <x v="22"/>
    <x v="17"/>
    <x v="183"/>
    <x v="224"/>
    <s v="Five Stars"/>
    <n v="1493164800"/>
    <s v="Not Specified"/>
    <s v="Not Specified"/>
    <s v="Not Specified"/>
    <n v="28"/>
    <x v="0"/>
    <x v="2"/>
  </r>
  <r>
    <x v="0"/>
    <x v="0"/>
    <x v="177"/>
    <x v="2"/>
    <x v="10"/>
    <x v="210"/>
    <x v="12"/>
    <x v="28"/>
    <x v="25"/>
    <x v="184"/>
    <x v="225"/>
    <s v="I love these shoes my second pair of 40 plus $ ..."/>
    <n v="1493078400"/>
    <s v="Not Specified"/>
    <s v="Not Specified"/>
    <s v="Not Specified"/>
    <n v="235"/>
    <x v="0"/>
    <x v="2"/>
  </r>
  <r>
    <x v="4"/>
    <x v="0"/>
    <x v="178"/>
    <x v="2"/>
    <x v="10"/>
    <x v="211"/>
    <x v="12"/>
    <x v="15"/>
    <x v="17"/>
    <x v="185"/>
    <x v="226"/>
    <s v="They fit as expected and perfect for training"/>
    <n v="1492992000"/>
    <s v="Not Specified"/>
    <s v="Not Specified"/>
    <s v="Not Specified"/>
    <n v="140"/>
    <x v="0"/>
    <x v="2"/>
  </r>
  <r>
    <x v="0"/>
    <x v="0"/>
    <x v="178"/>
    <x v="2"/>
    <x v="10"/>
    <x v="212"/>
    <x v="12"/>
    <x v="14"/>
    <x v="34"/>
    <x v="5"/>
    <x v="227"/>
    <s v="Five Stars"/>
    <n v="1492992000"/>
    <s v="Not Specified"/>
    <s v="Not Specified"/>
    <s v="Not Specified"/>
    <n v="39"/>
    <x v="0"/>
    <x v="2"/>
  </r>
  <r>
    <x v="0"/>
    <x v="0"/>
    <x v="179"/>
    <x v="2"/>
    <x v="10"/>
    <x v="213"/>
    <x v="12"/>
    <x v="21"/>
    <x v="17"/>
    <x v="5"/>
    <x v="228"/>
    <s v="Five Stars"/>
    <n v="1492646400"/>
    <s v="Not Specified"/>
    <s v="Not Specified"/>
    <s v="Not Specified"/>
    <n v="7"/>
    <x v="0"/>
    <x v="2"/>
  </r>
  <r>
    <x v="0"/>
    <x v="0"/>
    <x v="180"/>
    <x v="2"/>
    <x v="10"/>
    <x v="214"/>
    <x v="12"/>
    <x v="17"/>
    <x v="17"/>
    <x v="5"/>
    <x v="229"/>
    <s v="Five Stars"/>
    <n v="1492560000"/>
    <s v="Not Specified"/>
    <s v="Not Specified"/>
    <s v="Not Specified"/>
    <n v="9"/>
    <x v="0"/>
    <x v="2"/>
  </r>
  <r>
    <x v="0"/>
    <x v="1"/>
    <x v="16"/>
    <x v="2"/>
    <x v="10"/>
    <x v="215"/>
    <x v="12"/>
    <x v="15"/>
    <x v="17"/>
    <x v="186"/>
    <x v="230"/>
    <s v="Very Good For Everyday"/>
    <n v="1492473600"/>
    <s v="Not Specified"/>
    <s v="Not Specified"/>
    <s v="Not Specified"/>
    <n v="115"/>
    <x v="0"/>
    <x v="2"/>
  </r>
  <r>
    <x v="0"/>
    <x v="0"/>
    <x v="181"/>
    <x v="2"/>
    <x v="10"/>
    <x v="216"/>
    <x v="12"/>
    <x v="21"/>
    <x v="17"/>
    <x v="187"/>
    <x v="231"/>
    <s v="Great shoes"/>
    <n v="1492387200"/>
    <s v="Not Specified"/>
    <s v="Not Specified"/>
    <s v="Not Specified"/>
    <n v="62"/>
    <x v="0"/>
    <x v="2"/>
  </r>
  <r>
    <x v="0"/>
    <x v="0"/>
    <x v="182"/>
    <x v="2"/>
    <x v="10"/>
    <x v="217"/>
    <x v="12"/>
    <x v="24"/>
    <x v="12"/>
    <x v="188"/>
    <x v="232"/>
    <s v="Love these shoes"/>
    <n v="1492214400"/>
    <s v="Not Specified"/>
    <s v="Not Specified"/>
    <s v="Not Specified"/>
    <n v="112"/>
    <x v="0"/>
    <x v="2"/>
  </r>
  <r>
    <x v="0"/>
    <x v="0"/>
    <x v="183"/>
    <x v="2"/>
    <x v="10"/>
    <x v="218"/>
    <x v="12"/>
    <x v="22"/>
    <x v="17"/>
    <x v="5"/>
    <x v="233"/>
    <s v="Five Stars"/>
    <n v="1492128000"/>
    <s v="Not Specified"/>
    <s v="Not Specified"/>
    <s v="Not Specified"/>
    <n v="38"/>
    <x v="0"/>
    <x v="2"/>
  </r>
  <r>
    <x v="4"/>
    <x v="0"/>
    <x v="184"/>
    <x v="2"/>
    <x v="10"/>
    <x v="219"/>
    <x v="12"/>
    <x v="25"/>
    <x v="17"/>
    <x v="189"/>
    <x v="234"/>
    <s v="Super comfortable. I joined Cross Fit and this is ..."/>
    <n v="1491868800"/>
    <s v="Not Specified"/>
    <s v="Not Specified"/>
    <s v="Not Specified"/>
    <n v="67"/>
    <x v="0"/>
    <x v="2"/>
  </r>
  <r>
    <x v="0"/>
    <x v="0"/>
    <x v="184"/>
    <x v="2"/>
    <x v="10"/>
    <x v="220"/>
    <x v="12"/>
    <x v="37"/>
    <x v="25"/>
    <x v="190"/>
    <x v="235"/>
    <s v="Five Stars"/>
    <n v="1491868800"/>
    <s v="Not Specified"/>
    <s v="Not Specified"/>
    <s v="Not Specified"/>
    <n v="13"/>
    <x v="0"/>
    <x v="2"/>
  </r>
  <r>
    <x v="0"/>
    <x v="0"/>
    <x v="185"/>
    <x v="2"/>
    <x v="10"/>
    <x v="221"/>
    <x v="12"/>
    <x v="22"/>
    <x v="29"/>
    <x v="191"/>
    <x v="236"/>
    <s v="Sooo comfortable"/>
    <n v="1491782400"/>
    <s v="Not Specified"/>
    <s v="Not Specified"/>
    <s v="Not Specified"/>
    <n v="49"/>
    <x v="0"/>
    <x v="2"/>
  </r>
  <r>
    <x v="0"/>
    <x v="0"/>
    <x v="185"/>
    <x v="2"/>
    <x v="10"/>
    <x v="222"/>
    <x v="12"/>
    <x v="16"/>
    <x v="28"/>
    <x v="192"/>
    <x v="237"/>
    <s v="So happy."/>
    <n v="1491782400"/>
    <s v="Not Specified"/>
    <s v="Not Specified"/>
    <s v="Not Specified"/>
    <n v="17"/>
    <x v="0"/>
    <x v="2"/>
  </r>
  <r>
    <x v="4"/>
    <x v="0"/>
    <x v="185"/>
    <x v="2"/>
    <x v="10"/>
    <x v="223"/>
    <x v="12"/>
    <x v="25"/>
    <x v="29"/>
    <x v="193"/>
    <x v="238"/>
    <s v="the shoe is nice and provides well for my HIIT and Grit classes ..."/>
    <n v="1491782400"/>
    <s v="Not Specified"/>
    <s v="Not Specified"/>
    <s v="Not Specified"/>
    <n v="177"/>
    <x v="0"/>
    <x v="2"/>
  </r>
  <r>
    <x v="0"/>
    <x v="0"/>
    <x v="186"/>
    <x v="2"/>
    <x v="10"/>
    <x v="224"/>
    <x v="12"/>
    <x v="21"/>
    <x v="17"/>
    <x v="5"/>
    <x v="239"/>
    <s v="Look amazing, runs slightly big."/>
    <n v="1491609600"/>
    <s v="Not Specified"/>
    <s v="Not Specified"/>
    <s v="Not Specified"/>
    <n v="163"/>
    <x v="0"/>
    <x v="2"/>
  </r>
  <r>
    <x v="4"/>
    <x v="0"/>
    <x v="18"/>
    <x v="2"/>
    <x v="10"/>
    <x v="225"/>
    <x v="12"/>
    <x v="30"/>
    <x v="17"/>
    <x v="5"/>
    <x v="240"/>
    <s v="Four Stars"/>
    <n v="1491350400"/>
    <s v="Not Specified"/>
    <s v="Not Specified"/>
    <s v="Not Specified"/>
    <n v="17"/>
    <x v="0"/>
    <x v="2"/>
  </r>
  <r>
    <x v="0"/>
    <x v="0"/>
    <x v="18"/>
    <x v="2"/>
    <x v="10"/>
    <x v="226"/>
    <x v="12"/>
    <x v="17"/>
    <x v="17"/>
    <x v="194"/>
    <x v="241"/>
    <s v="Five Stars"/>
    <n v="1491350400"/>
    <s v="Not Specified"/>
    <s v="Not Specified"/>
    <s v="Not Specified"/>
    <n v="30"/>
    <x v="0"/>
    <x v="2"/>
  </r>
  <r>
    <x v="0"/>
    <x v="0"/>
    <x v="187"/>
    <x v="2"/>
    <x v="10"/>
    <x v="227"/>
    <x v="12"/>
    <x v="30"/>
    <x v="40"/>
    <x v="195"/>
    <x v="242"/>
    <s v="Five Stars"/>
    <n v="1491264000"/>
    <s v="Not Specified"/>
    <s v="Not Specified"/>
    <s v="Not Specified"/>
    <n v="38"/>
    <x v="0"/>
    <x v="2"/>
  </r>
  <r>
    <x v="0"/>
    <x v="0"/>
    <x v="188"/>
    <x v="2"/>
    <x v="10"/>
    <x v="228"/>
    <x v="12"/>
    <x v="16"/>
    <x v="26"/>
    <x v="196"/>
    <x v="243"/>
    <s v="Five Stars"/>
    <n v="1491091200"/>
    <s v="Not Specified"/>
    <s v="Not Specified"/>
    <s v="Not Specified"/>
    <n v="39"/>
    <x v="0"/>
    <x v="2"/>
  </r>
  <r>
    <x v="4"/>
    <x v="0"/>
    <x v="189"/>
    <x v="2"/>
    <x v="5"/>
    <x v="229"/>
    <x v="12"/>
    <x v="16"/>
    <x v="17"/>
    <x v="197"/>
    <x v="244"/>
    <s v="Decent little shoe for the price."/>
    <n v="1490832000"/>
    <s v="Not Specified"/>
    <s v="Not Specified"/>
    <s v="Not Specified"/>
    <n v="87"/>
    <x v="0"/>
    <x v="2"/>
  </r>
  <r>
    <x v="0"/>
    <x v="0"/>
    <x v="190"/>
    <x v="2"/>
    <x v="5"/>
    <x v="230"/>
    <x v="12"/>
    <x v="22"/>
    <x v="29"/>
    <x v="198"/>
    <x v="245"/>
    <s v="Attractive and fit well"/>
    <n v="1490745600"/>
    <s v="Not Specified"/>
    <s v="Not Specified"/>
    <s v="Not Specified"/>
    <n v="120"/>
    <x v="0"/>
    <x v="2"/>
  </r>
  <r>
    <x v="2"/>
    <x v="0"/>
    <x v="191"/>
    <x v="2"/>
    <x v="5"/>
    <x v="231"/>
    <x v="12"/>
    <x v="30"/>
    <x v="18"/>
    <x v="199"/>
    <x v="246"/>
    <s v="Runs large"/>
    <n v="1490486400"/>
    <s v="Not Specified"/>
    <s v="Not Specified"/>
    <s v="Not Specified"/>
    <n v="178"/>
    <x v="2"/>
    <x v="2"/>
  </r>
  <r>
    <x v="3"/>
    <x v="0"/>
    <x v="192"/>
    <x v="2"/>
    <x v="5"/>
    <x v="232"/>
    <x v="12"/>
    <x v="28"/>
    <x v="25"/>
    <x v="200"/>
    <x v="247"/>
    <s v="One Star"/>
    <n v="1490400000"/>
    <s v="Not Specified"/>
    <s v="Not Specified"/>
    <s v="Not Specified"/>
    <n v="84"/>
    <x v="2"/>
    <x v="2"/>
  </r>
  <r>
    <x v="0"/>
    <x v="0"/>
    <x v="19"/>
    <x v="2"/>
    <x v="5"/>
    <x v="233"/>
    <x v="12"/>
    <x v="22"/>
    <x v="17"/>
    <x v="5"/>
    <x v="248"/>
    <s v="Five Stars"/>
    <n v="1490313600"/>
    <s v="Not Specified"/>
    <s v="Not Specified"/>
    <s v="Not Specified"/>
    <n v="10"/>
    <x v="0"/>
    <x v="2"/>
  </r>
  <r>
    <x v="0"/>
    <x v="0"/>
    <x v="19"/>
    <x v="2"/>
    <x v="5"/>
    <x v="234"/>
    <x v="12"/>
    <x v="17"/>
    <x v="17"/>
    <x v="201"/>
    <x v="249"/>
    <s v="I love the fit and they provide support for walking"/>
    <n v="1490313600"/>
    <s v="Not Specified"/>
    <s v="Not Specified"/>
    <s v="Not Specified"/>
    <n v="225"/>
    <x v="0"/>
    <x v="2"/>
  </r>
  <r>
    <x v="0"/>
    <x v="0"/>
    <x v="193"/>
    <x v="2"/>
    <x v="5"/>
    <x v="235"/>
    <x v="12"/>
    <x v="21"/>
    <x v="37"/>
    <x v="202"/>
    <x v="250"/>
    <s v="Good Shoes!"/>
    <n v="1490227200"/>
    <s v="Not Specified"/>
    <s v="Not Specified"/>
    <n v="3"/>
    <n v="401"/>
    <x v="0"/>
    <x v="2"/>
  </r>
  <r>
    <x v="0"/>
    <x v="0"/>
    <x v="194"/>
    <x v="2"/>
    <x v="5"/>
    <x v="236"/>
    <x v="12"/>
    <x v="17"/>
    <x v="30"/>
    <x v="203"/>
    <x v="251"/>
    <s v="Great shoes"/>
    <n v="1490054400"/>
    <s v="Not Specified"/>
    <s v="Not Specified"/>
    <s v="Not Specified"/>
    <n v="110"/>
    <x v="0"/>
    <x v="2"/>
  </r>
  <r>
    <x v="4"/>
    <x v="0"/>
    <x v="195"/>
    <x v="2"/>
    <x v="5"/>
    <x v="237"/>
    <x v="12"/>
    <x v="30"/>
    <x v="26"/>
    <x v="204"/>
    <x v="252"/>
    <s v="Good shoe"/>
    <n v="1489968000"/>
    <s v="Not Specified"/>
    <s v="Not Specified"/>
    <s v="Not Specified"/>
    <n v="23"/>
    <x v="0"/>
    <x v="2"/>
  </r>
  <r>
    <x v="0"/>
    <x v="0"/>
    <x v="196"/>
    <x v="2"/>
    <x v="5"/>
    <x v="238"/>
    <x v="12"/>
    <x v="15"/>
    <x v="17"/>
    <x v="205"/>
    <x v="253"/>
    <s v="Five Stars"/>
    <n v="1489795200"/>
    <s v="Not Specified"/>
    <s v="Not Specified"/>
    <s v="Not Specified"/>
    <n v="40"/>
    <x v="0"/>
    <x v="2"/>
  </r>
  <r>
    <x v="0"/>
    <x v="0"/>
    <x v="196"/>
    <x v="2"/>
    <x v="5"/>
    <x v="239"/>
    <x v="12"/>
    <x v="15"/>
    <x v="30"/>
    <x v="206"/>
    <x v="254"/>
    <s v="Love These Shoes!"/>
    <n v="1489795200"/>
    <s v="Not Specified"/>
    <s v="Not Specified"/>
    <n v="8"/>
    <n v="267"/>
    <x v="0"/>
    <x v="2"/>
  </r>
  <r>
    <x v="1"/>
    <x v="0"/>
    <x v="197"/>
    <x v="2"/>
    <x v="5"/>
    <x v="240"/>
    <x v="12"/>
    <x v="30"/>
    <x v="26"/>
    <x v="207"/>
    <x v="255"/>
    <s v="Not my favorites..."/>
    <n v="1489708800"/>
    <s v="Not Specified"/>
    <s v="Not Specified"/>
    <s v="Not Specified"/>
    <n v="143"/>
    <x v="1"/>
    <x v="2"/>
  </r>
  <r>
    <x v="4"/>
    <x v="0"/>
    <x v="198"/>
    <x v="2"/>
    <x v="5"/>
    <x v="241"/>
    <x v="12"/>
    <x v="15"/>
    <x v="34"/>
    <x v="208"/>
    <x v="256"/>
    <s v="Perfect for the gym"/>
    <n v="1489536000"/>
    <s v="Not Specified"/>
    <s v="Not Specified"/>
    <s v="Not Specified"/>
    <n v="118"/>
    <x v="0"/>
    <x v="2"/>
  </r>
  <r>
    <x v="1"/>
    <x v="0"/>
    <x v="198"/>
    <x v="2"/>
    <x v="5"/>
    <x v="242"/>
    <x v="12"/>
    <x v="22"/>
    <x v="29"/>
    <x v="209"/>
    <x v="257"/>
    <s v="Meh"/>
    <n v="1489536000"/>
    <s v="Not Specified"/>
    <s v="Not Specified"/>
    <n v="2"/>
    <n v="150"/>
    <x v="1"/>
    <x v="2"/>
  </r>
  <r>
    <x v="0"/>
    <x v="0"/>
    <x v="198"/>
    <x v="2"/>
    <x v="5"/>
    <x v="243"/>
    <x v="12"/>
    <x v="15"/>
    <x v="34"/>
    <x v="210"/>
    <x v="258"/>
    <s v="Five Stars"/>
    <n v="1489536000"/>
    <s v="Not Specified"/>
    <s v="Not Specified"/>
    <s v="Not Specified"/>
    <n v="40"/>
    <x v="0"/>
    <x v="2"/>
  </r>
  <r>
    <x v="0"/>
    <x v="0"/>
    <x v="199"/>
    <x v="2"/>
    <x v="5"/>
    <x v="244"/>
    <x v="12"/>
    <x v="16"/>
    <x v="40"/>
    <x v="211"/>
    <x v="259"/>
    <s v="Five Stars"/>
    <n v="1489449600"/>
    <s v="Not Specified"/>
    <s v="Not Specified"/>
    <s v="Not Specified"/>
    <n v="33"/>
    <x v="0"/>
    <x v="2"/>
  </r>
  <r>
    <x v="0"/>
    <x v="0"/>
    <x v="200"/>
    <x v="2"/>
    <x v="5"/>
    <x v="245"/>
    <x v="12"/>
    <x v="17"/>
    <x v="34"/>
    <x v="212"/>
    <x v="260"/>
    <s v="Hurry before they're gone!"/>
    <n v="1489363200"/>
    <s v="Not Specified"/>
    <s v="Not Specified"/>
    <s v="Not Specified"/>
    <n v="297"/>
    <x v="0"/>
    <x v="2"/>
  </r>
  <r>
    <x v="0"/>
    <x v="0"/>
    <x v="201"/>
    <x v="2"/>
    <x v="5"/>
    <x v="246"/>
    <x v="12"/>
    <x v="22"/>
    <x v="17"/>
    <x v="213"/>
    <x v="261"/>
    <s v="Amazing"/>
    <n v="1489276800"/>
    <s v="Not Specified"/>
    <s v="Not Specified"/>
    <s v="Not Specified"/>
    <n v="81"/>
    <x v="0"/>
    <x v="2"/>
  </r>
  <r>
    <x v="0"/>
    <x v="0"/>
    <x v="202"/>
    <x v="2"/>
    <x v="5"/>
    <x v="247"/>
    <x v="12"/>
    <x v="30"/>
    <x v="17"/>
    <x v="214"/>
    <x v="262"/>
    <s v="Five Stars"/>
    <n v="1488931200"/>
    <s v="Not Specified"/>
    <s v="Not Specified"/>
    <s v="Not Specified"/>
    <n v="13"/>
    <x v="0"/>
    <x v="2"/>
  </r>
  <r>
    <x v="4"/>
    <x v="0"/>
    <x v="202"/>
    <x v="2"/>
    <x v="5"/>
    <x v="248"/>
    <x v="12"/>
    <x v="16"/>
    <x v="40"/>
    <x v="5"/>
    <x v="263"/>
    <s v="Not quite wide enough"/>
    <n v="1488931200"/>
    <s v="Not Specified"/>
    <s v="Not Specified"/>
    <s v="Not Specified"/>
    <n v="182"/>
    <x v="0"/>
    <x v="2"/>
  </r>
  <r>
    <x v="4"/>
    <x v="0"/>
    <x v="202"/>
    <x v="2"/>
    <x v="5"/>
    <x v="248"/>
    <x v="12"/>
    <x v="16"/>
    <x v="26"/>
    <x v="5"/>
    <x v="263"/>
    <s v="Not quite wide enough"/>
    <n v="1488931200"/>
    <s v="Not Specified"/>
    <s v="Not Specified"/>
    <s v="Not Specified"/>
    <n v="182"/>
    <x v="0"/>
    <x v="2"/>
  </r>
  <r>
    <x v="0"/>
    <x v="0"/>
    <x v="203"/>
    <x v="2"/>
    <x v="5"/>
    <x v="249"/>
    <x v="12"/>
    <x v="21"/>
    <x v="17"/>
    <x v="215"/>
    <x v="264"/>
    <s v="Five Stars"/>
    <n v="1488758400"/>
    <s v="Not Specified"/>
    <s v="Not Specified"/>
    <s v="Not Specified"/>
    <n v="10"/>
    <x v="0"/>
    <x v="2"/>
  </r>
  <r>
    <x v="0"/>
    <x v="1"/>
    <x v="204"/>
    <x v="2"/>
    <x v="8"/>
    <x v="250"/>
    <x v="12"/>
    <x v="24"/>
    <x v="12"/>
    <x v="216"/>
    <x v="265"/>
    <s v="Simple look, outstanding comfort!"/>
    <n v="1488067200"/>
    <s v="Not Specified"/>
    <s v="Not Specified"/>
    <s v="Not Specified"/>
    <n v="206"/>
    <x v="0"/>
    <x v="2"/>
  </r>
  <r>
    <x v="4"/>
    <x v="0"/>
    <x v="205"/>
    <x v="2"/>
    <x v="8"/>
    <x v="251"/>
    <x v="12"/>
    <x v="14"/>
    <x v="17"/>
    <x v="217"/>
    <x v="266"/>
    <s v="My second favorite."/>
    <n v="1487894400"/>
    <s v="Not Specified"/>
    <s v="Not Specified"/>
    <s v="Not Specified"/>
    <n v="171"/>
    <x v="0"/>
    <x v="2"/>
  </r>
  <r>
    <x v="0"/>
    <x v="0"/>
    <x v="205"/>
    <x v="2"/>
    <x v="8"/>
    <x v="252"/>
    <x v="12"/>
    <x v="14"/>
    <x v="17"/>
    <x v="218"/>
    <x v="267"/>
    <s v="Five Stars"/>
    <n v="1487894400"/>
    <s v="Not Specified"/>
    <s v="Not Specified"/>
    <s v="Not Specified"/>
    <n v="12"/>
    <x v="0"/>
    <x v="2"/>
  </r>
  <r>
    <x v="4"/>
    <x v="0"/>
    <x v="21"/>
    <x v="2"/>
    <x v="8"/>
    <x v="253"/>
    <x v="12"/>
    <x v="15"/>
    <x v="39"/>
    <x v="219"/>
    <x v="268"/>
    <s v="Fit to actual size."/>
    <n v="1487635200"/>
    <s v="Not Specified"/>
    <s v="Not Specified"/>
    <s v="Not Specified"/>
    <n v="126"/>
    <x v="0"/>
    <x v="2"/>
  </r>
  <r>
    <x v="0"/>
    <x v="0"/>
    <x v="21"/>
    <x v="2"/>
    <x v="8"/>
    <x v="254"/>
    <x v="12"/>
    <x v="17"/>
    <x v="17"/>
    <x v="220"/>
    <x v="269"/>
    <s v="Five Stars"/>
    <n v="1487635200"/>
    <s v="Not Specified"/>
    <s v="Not Specified"/>
    <s v="Not Specified"/>
    <n v="56"/>
    <x v="0"/>
    <x v="2"/>
  </r>
  <r>
    <x v="1"/>
    <x v="0"/>
    <x v="206"/>
    <x v="2"/>
    <x v="8"/>
    <x v="255"/>
    <x v="12"/>
    <x v="14"/>
    <x v="34"/>
    <x v="5"/>
    <x v="270"/>
    <s v="Too small, flimsy upper"/>
    <n v="1487203200"/>
    <s v="Not Specified"/>
    <s v="Not Specified"/>
    <s v="Not Specified"/>
    <n v="198"/>
    <x v="1"/>
    <x v="2"/>
  </r>
  <r>
    <x v="0"/>
    <x v="0"/>
    <x v="207"/>
    <x v="2"/>
    <x v="8"/>
    <x v="256"/>
    <x v="12"/>
    <x v="22"/>
    <x v="40"/>
    <x v="221"/>
    <x v="271"/>
    <s v="Great for kickboxing"/>
    <n v="1487116800"/>
    <s v="Not Specified"/>
    <s v="Not Specified"/>
    <n v="5"/>
    <n v="388"/>
    <x v="0"/>
    <x v="2"/>
  </r>
  <r>
    <x v="0"/>
    <x v="0"/>
    <x v="208"/>
    <x v="2"/>
    <x v="8"/>
    <x v="257"/>
    <x v="12"/>
    <x v="16"/>
    <x v="17"/>
    <x v="222"/>
    <x v="272"/>
    <s v="These shoes are great for walking - so very comfortable"/>
    <n v="1486944000"/>
    <s v="Not Specified"/>
    <s v="Not Specified"/>
    <s v="Not Specified"/>
    <n v="87"/>
    <x v="0"/>
    <x v="2"/>
  </r>
  <r>
    <x v="0"/>
    <x v="0"/>
    <x v="209"/>
    <x v="2"/>
    <x v="8"/>
    <x v="258"/>
    <x v="12"/>
    <x v="15"/>
    <x v="17"/>
    <x v="223"/>
    <x v="273"/>
    <s v="Good choice for training shoe"/>
    <n v="1486857600"/>
    <s v="Not Specified"/>
    <s v="Not Specified"/>
    <s v="Not Specified"/>
    <n v="140"/>
    <x v="0"/>
    <x v="2"/>
  </r>
  <r>
    <x v="0"/>
    <x v="0"/>
    <x v="210"/>
    <x v="2"/>
    <x v="8"/>
    <x v="259"/>
    <x v="12"/>
    <x v="26"/>
    <x v="17"/>
    <x v="224"/>
    <x v="274"/>
    <s v="Five Stars"/>
    <n v="1486771200"/>
    <s v="Not Specified"/>
    <s v="Not Specified"/>
    <s v="Not Specified"/>
    <n v="28"/>
    <x v="0"/>
    <x v="2"/>
  </r>
  <r>
    <x v="4"/>
    <x v="0"/>
    <x v="22"/>
    <x v="2"/>
    <x v="8"/>
    <x v="260"/>
    <x v="12"/>
    <x v="15"/>
    <x v="40"/>
    <x v="225"/>
    <x v="275"/>
    <s v="They are slightly longer in look then I was would like but I think that is typical of cross trainers"/>
    <n v="1486512000"/>
    <s v="Not Specified"/>
    <s v="Not Specified"/>
    <n v="4"/>
    <n v="570"/>
    <x v="0"/>
    <x v="2"/>
  </r>
  <r>
    <x v="4"/>
    <x v="0"/>
    <x v="211"/>
    <x v="2"/>
    <x v="8"/>
    <x v="261"/>
    <x v="12"/>
    <x v="15"/>
    <x v="20"/>
    <x v="226"/>
    <x v="276"/>
    <s v="I love them but they are definitely bright orange/coral and not ..."/>
    <n v="1486339200"/>
    <s v="Not Specified"/>
    <s v="Not Specified"/>
    <s v="Not Specified"/>
    <n v="316"/>
    <x v="0"/>
    <x v="2"/>
  </r>
  <r>
    <x v="2"/>
    <x v="0"/>
    <x v="212"/>
    <x v="2"/>
    <x v="8"/>
    <x v="262"/>
    <x v="12"/>
    <x v="16"/>
    <x v="26"/>
    <x v="5"/>
    <x v="277"/>
    <s v="Color was not at all what i expected. It ..."/>
    <n v="1485993600"/>
    <s v="Not Specified"/>
    <s v="Not Specified"/>
    <s v="Not Specified"/>
    <n v="107"/>
    <x v="2"/>
    <x v="2"/>
  </r>
  <r>
    <x v="0"/>
    <x v="0"/>
    <x v="23"/>
    <x v="2"/>
    <x v="8"/>
    <x v="25"/>
    <x v="12"/>
    <x v="26"/>
    <x v="17"/>
    <x v="23"/>
    <x v="278"/>
    <s v="Super cute and on sale!!"/>
    <n v="1485907200"/>
    <s v="Not Specified"/>
    <s v="Not Specified"/>
    <s v="Not Specified"/>
    <n v="122"/>
    <x v="0"/>
    <x v="2"/>
  </r>
  <r>
    <x v="1"/>
    <x v="0"/>
    <x v="213"/>
    <x v="2"/>
    <x v="2"/>
    <x v="263"/>
    <x v="12"/>
    <x v="22"/>
    <x v="30"/>
    <x v="227"/>
    <x v="279"/>
    <s v="Three Stars"/>
    <n v="1485820800"/>
    <s v="Not Specified"/>
    <s v="Not Specified"/>
    <n v="3"/>
    <n v="7"/>
    <x v="1"/>
    <x v="2"/>
  </r>
  <r>
    <x v="0"/>
    <x v="0"/>
    <x v="214"/>
    <x v="2"/>
    <x v="2"/>
    <x v="264"/>
    <x v="12"/>
    <x v="14"/>
    <x v="34"/>
    <x v="5"/>
    <x v="280"/>
    <s v="then you should pretty much know your size"/>
    <n v="1485302400"/>
    <s v="Not Specified"/>
    <s v="Not Specified"/>
    <s v="Not Specified"/>
    <n v="521"/>
    <x v="0"/>
    <x v="2"/>
  </r>
  <r>
    <x v="0"/>
    <x v="0"/>
    <x v="215"/>
    <x v="2"/>
    <x v="2"/>
    <x v="265"/>
    <x v="12"/>
    <x v="16"/>
    <x v="40"/>
    <x v="228"/>
    <x v="281"/>
    <s v="Nice Support"/>
    <n v="1485043200"/>
    <s v="Not Specified"/>
    <s v="Not Specified"/>
    <s v="Not Specified"/>
    <n v="90"/>
    <x v="0"/>
    <x v="2"/>
  </r>
  <r>
    <x v="0"/>
    <x v="0"/>
    <x v="216"/>
    <x v="2"/>
    <x v="2"/>
    <x v="266"/>
    <x v="12"/>
    <x v="17"/>
    <x v="34"/>
    <x v="229"/>
    <x v="282"/>
    <s v="Good Sneaker"/>
    <n v="1484870400"/>
    <s v="Not Specified"/>
    <s v="Not Specified"/>
    <s v="Not Specified"/>
    <n v="40"/>
    <x v="0"/>
    <x v="2"/>
  </r>
  <r>
    <x v="0"/>
    <x v="0"/>
    <x v="217"/>
    <x v="2"/>
    <x v="2"/>
    <x v="267"/>
    <x v="12"/>
    <x v="21"/>
    <x v="28"/>
    <x v="230"/>
    <x v="283"/>
    <s v="Satisfied"/>
    <n v="1484697600"/>
    <s v="Not Specified"/>
    <s v="Not Specified"/>
    <s v="Not Specified"/>
    <n v="105"/>
    <x v="0"/>
    <x v="2"/>
  </r>
  <r>
    <x v="2"/>
    <x v="0"/>
    <x v="217"/>
    <x v="2"/>
    <x v="2"/>
    <x v="268"/>
    <x v="12"/>
    <x v="21"/>
    <x v="17"/>
    <x v="231"/>
    <x v="284"/>
    <s v="Too large"/>
    <n v="1484697600"/>
    <s v="Not Specified"/>
    <s v="Not Specified"/>
    <s v="Not Specified"/>
    <n v="118"/>
    <x v="2"/>
    <x v="2"/>
  </r>
  <r>
    <x v="0"/>
    <x v="0"/>
    <x v="217"/>
    <x v="2"/>
    <x v="2"/>
    <x v="269"/>
    <x v="12"/>
    <x v="14"/>
    <x v="18"/>
    <x v="232"/>
    <x v="285"/>
    <s v="colors look great together."/>
    <n v="1484697600"/>
    <s v="Not Specified"/>
    <s v="Not Specified"/>
    <s v="Not Specified"/>
    <n v="88"/>
    <x v="0"/>
    <x v="2"/>
  </r>
  <r>
    <x v="0"/>
    <x v="0"/>
    <x v="217"/>
    <x v="2"/>
    <x v="2"/>
    <x v="270"/>
    <x v="12"/>
    <x v="22"/>
    <x v="12"/>
    <x v="5"/>
    <x v="286"/>
    <s v="Five Stars"/>
    <n v="1484697600"/>
    <s v="Not Specified"/>
    <s v="Not Specified"/>
    <s v="Not Specified"/>
    <n v="11"/>
    <x v="0"/>
    <x v="2"/>
  </r>
  <r>
    <x v="4"/>
    <x v="0"/>
    <x v="217"/>
    <x v="2"/>
    <x v="2"/>
    <x v="271"/>
    <x v="12"/>
    <x v="15"/>
    <x v="17"/>
    <x v="233"/>
    <x v="287"/>
    <s v="but if I wear thick socks they are fine. Also"/>
    <n v="1484697600"/>
    <s v="Not Specified"/>
    <s v="Not Specified"/>
    <s v="Not Specified"/>
    <n v="316"/>
    <x v="0"/>
    <x v="2"/>
  </r>
  <r>
    <x v="3"/>
    <x v="0"/>
    <x v="218"/>
    <x v="2"/>
    <x v="2"/>
    <x v="272"/>
    <x v="12"/>
    <x v="22"/>
    <x v="29"/>
    <x v="234"/>
    <x v="288"/>
    <s v="Poor quality for Nike"/>
    <n v="1484438400"/>
    <s v="Not Specified"/>
    <s v="Not Specified"/>
    <n v="19"/>
    <n v="69"/>
    <x v="2"/>
    <x v="2"/>
  </r>
  <r>
    <x v="4"/>
    <x v="0"/>
    <x v="219"/>
    <x v="2"/>
    <x v="2"/>
    <x v="273"/>
    <x v="12"/>
    <x v="16"/>
    <x v="42"/>
    <x v="5"/>
    <x v="289"/>
    <s v="4/5"/>
    <n v="1484265600"/>
    <s v="Not Specified"/>
    <s v="Not Specified"/>
    <s v="Not Specified"/>
    <n v="187"/>
    <x v="0"/>
    <x v="2"/>
  </r>
  <r>
    <x v="0"/>
    <x v="0"/>
    <x v="220"/>
    <x v="2"/>
    <x v="2"/>
    <x v="274"/>
    <x v="12"/>
    <x v="21"/>
    <x v="33"/>
    <x v="235"/>
    <x v="290"/>
    <s v="LOVE!"/>
    <n v="1484179200"/>
    <s v="Not Specified"/>
    <s v="Not Specified"/>
    <s v="Not Specified"/>
    <n v="216"/>
    <x v="0"/>
    <x v="2"/>
  </r>
  <r>
    <x v="0"/>
    <x v="0"/>
    <x v="220"/>
    <x v="2"/>
    <x v="2"/>
    <x v="275"/>
    <x v="12"/>
    <x v="15"/>
    <x v="17"/>
    <x v="236"/>
    <x v="291"/>
    <s v="Five Stars"/>
    <n v="1484179200"/>
    <s v="Not Specified"/>
    <s v="Not Specified"/>
    <s v="Not Specified"/>
    <n v="20"/>
    <x v="0"/>
    <x v="2"/>
  </r>
  <r>
    <x v="0"/>
    <x v="0"/>
    <x v="221"/>
    <x v="2"/>
    <x v="2"/>
    <x v="276"/>
    <x v="12"/>
    <x v="22"/>
    <x v="37"/>
    <x v="5"/>
    <x v="240"/>
    <s v="Five Stars"/>
    <n v="1484006400"/>
    <s v="Not Specified"/>
    <s v="Not Specified"/>
    <s v="Not Specified"/>
    <n v="17"/>
    <x v="0"/>
    <x v="2"/>
  </r>
  <r>
    <x v="0"/>
    <x v="0"/>
    <x v="222"/>
    <x v="2"/>
    <x v="2"/>
    <x v="277"/>
    <x v="12"/>
    <x v="22"/>
    <x v="42"/>
    <x v="5"/>
    <x v="292"/>
    <s v="Correct size"/>
    <n v="1483747200"/>
    <s v="Not Specified"/>
    <s v="Not Specified"/>
    <s v="Not Specified"/>
    <n v="92"/>
    <x v="0"/>
    <x v="2"/>
  </r>
  <r>
    <x v="0"/>
    <x v="0"/>
    <x v="222"/>
    <x v="2"/>
    <x v="2"/>
    <x v="278"/>
    <x v="12"/>
    <x v="26"/>
    <x v="42"/>
    <x v="237"/>
    <x v="293"/>
    <s v="Perfect for the gym"/>
    <n v="1483747200"/>
    <s v="Not Specified"/>
    <s v="Not Specified"/>
    <s v="Not Specified"/>
    <n v="182"/>
    <x v="0"/>
    <x v="2"/>
  </r>
  <r>
    <x v="4"/>
    <x v="0"/>
    <x v="223"/>
    <x v="2"/>
    <x v="2"/>
    <x v="279"/>
    <x v="12"/>
    <x v="14"/>
    <x v="42"/>
    <x v="5"/>
    <x v="294"/>
    <s v="... opened the box to see the color is exactly like the image shows"/>
    <n v="1483660800"/>
    <s v="Not Specified"/>
    <s v="Not Specified"/>
    <s v="Not Specified"/>
    <n v="219"/>
    <x v="0"/>
    <x v="2"/>
  </r>
  <r>
    <x v="3"/>
    <x v="0"/>
    <x v="224"/>
    <x v="2"/>
    <x v="2"/>
    <x v="280"/>
    <x v="12"/>
    <x v="16"/>
    <x v="18"/>
    <x v="238"/>
    <x v="295"/>
    <s v="I ordered the Nike Women's Flex Supreme TR3 instead and love them!"/>
    <n v="1483488000"/>
    <s v="Not Specified"/>
    <s v="Not Specified"/>
    <s v="Not Specified"/>
    <n v="258"/>
    <x v="2"/>
    <x v="2"/>
  </r>
  <r>
    <x v="0"/>
    <x v="0"/>
    <x v="224"/>
    <x v="2"/>
    <x v="2"/>
    <x v="281"/>
    <x v="12"/>
    <x v="22"/>
    <x v="12"/>
    <x v="239"/>
    <x v="296"/>
    <s v="so light &amp; comfortable!"/>
    <n v="1483488000"/>
    <s v="Not Specified"/>
    <s v="Not Specified"/>
    <s v="Not Specified"/>
    <n v="69"/>
    <x v="0"/>
    <x v="2"/>
  </r>
  <r>
    <x v="0"/>
    <x v="0"/>
    <x v="225"/>
    <x v="2"/>
    <x v="2"/>
    <x v="282"/>
    <x v="12"/>
    <x v="14"/>
    <x v="42"/>
    <x v="240"/>
    <x v="297"/>
    <s v="Five Stars"/>
    <n v="1483228800"/>
    <s v="Not Specified"/>
    <s v="Not Specified"/>
    <s v="Not Specified"/>
    <n v="32"/>
    <x v="0"/>
    <x v="2"/>
  </r>
  <r>
    <x v="0"/>
    <x v="0"/>
    <x v="225"/>
    <x v="2"/>
    <x v="2"/>
    <x v="283"/>
    <x v="12"/>
    <x v="16"/>
    <x v="17"/>
    <x v="241"/>
    <x v="298"/>
    <s v="Five Stars"/>
    <n v="1483228800"/>
    <s v="Not Specified"/>
    <s v="Not Specified"/>
    <s v="Not Specified"/>
    <n v="36"/>
    <x v="0"/>
    <x v="2"/>
  </r>
  <r>
    <x v="0"/>
    <x v="0"/>
    <x v="226"/>
    <x v="3"/>
    <x v="11"/>
    <x v="284"/>
    <x v="12"/>
    <x v="15"/>
    <x v="17"/>
    <x v="242"/>
    <x v="299"/>
    <s v="these were a perfect fit. They are light and very comfortable"/>
    <n v="1483142400"/>
    <s v="Not Specified"/>
    <s v="Not Specified"/>
    <s v="Not Specified"/>
    <n v="169"/>
    <x v="0"/>
    <x v="2"/>
  </r>
  <r>
    <x v="0"/>
    <x v="0"/>
    <x v="227"/>
    <x v="3"/>
    <x v="11"/>
    <x v="285"/>
    <x v="12"/>
    <x v="15"/>
    <x v="17"/>
    <x v="243"/>
    <x v="300"/>
    <s v="Five Stars"/>
    <n v="1482969600"/>
    <s v="Not Specified"/>
    <s v="Not Specified"/>
    <s v="Not Specified"/>
    <n v="37"/>
    <x v="0"/>
    <x v="2"/>
  </r>
  <r>
    <x v="0"/>
    <x v="0"/>
    <x v="227"/>
    <x v="3"/>
    <x v="11"/>
    <x v="286"/>
    <x v="12"/>
    <x v="17"/>
    <x v="42"/>
    <x v="5"/>
    <x v="301"/>
    <s v="Five Stars"/>
    <n v="1482969600"/>
    <s v="Not Specified"/>
    <s v="Not Specified"/>
    <s v="Not Specified"/>
    <n v="45"/>
    <x v="0"/>
    <x v="2"/>
  </r>
  <r>
    <x v="0"/>
    <x v="0"/>
    <x v="228"/>
    <x v="3"/>
    <x v="11"/>
    <x v="287"/>
    <x v="12"/>
    <x v="15"/>
    <x v="17"/>
    <x v="5"/>
    <x v="120"/>
    <s v="Just what I wanted!"/>
    <n v="1482883200"/>
    <s v="Not Specified"/>
    <s v="Not Specified"/>
    <s v="Not Specified"/>
    <n v="8"/>
    <x v="0"/>
    <x v="2"/>
  </r>
  <r>
    <x v="0"/>
    <x v="0"/>
    <x v="228"/>
    <x v="3"/>
    <x v="11"/>
    <x v="288"/>
    <x v="12"/>
    <x v="21"/>
    <x v="18"/>
    <x v="244"/>
    <x v="302"/>
    <s v="Bought these for my daughter and she loves them. ..."/>
    <n v="1482883200"/>
    <s v="Not Specified"/>
    <s v="Not Specified"/>
    <s v="Not Specified"/>
    <n v="134"/>
    <x v="0"/>
    <x v="2"/>
  </r>
  <r>
    <x v="0"/>
    <x v="0"/>
    <x v="229"/>
    <x v="3"/>
    <x v="11"/>
    <x v="289"/>
    <x v="12"/>
    <x v="16"/>
    <x v="17"/>
    <x v="245"/>
    <x v="303"/>
    <s v="Five Stars"/>
    <n v="1482796800"/>
    <s v="Not Specified"/>
    <s v="Not Specified"/>
    <s v="Not Specified"/>
    <n v="32"/>
    <x v="0"/>
    <x v="2"/>
  </r>
  <r>
    <x v="2"/>
    <x v="0"/>
    <x v="230"/>
    <x v="3"/>
    <x v="11"/>
    <x v="290"/>
    <x v="12"/>
    <x v="30"/>
    <x v="28"/>
    <x v="246"/>
    <x v="304"/>
    <s v="Tried one in the store and bought it online but ..."/>
    <n v="1482624000"/>
    <s v="Not Specified"/>
    <s v="Not Specified"/>
    <n v="2"/>
    <n v="108"/>
    <x v="2"/>
    <x v="2"/>
  </r>
  <r>
    <x v="0"/>
    <x v="0"/>
    <x v="231"/>
    <x v="3"/>
    <x v="11"/>
    <x v="291"/>
    <x v="12"/>
    <x v="30"/>
    <x v="37"/>
    <x v="247"/>
    <x v="305"/>
    <s v="I had the older generation of this shoe that survived ..."/>
    <n v="1482451200"/>
    <s v="Not Specified"/>
    <s v="Not Specified"/>
    <s v="Not Specified"/>
    <n v="198"/>
    <x v="0"/>
    <x v="2"/>
  </r>
  <r>
    <x v="0"/>
    <x v="0"/>
    <x v="232"/>
    <x v="3"/>
    <x v="11"/>
    <x v="292"/>
    <x v="12"/>
    <x v="38"/>
    <x v="29"/>
    <x v="5"/>
    <x v="306"/>
    <s v="Five Stars"/>
    <n v="1482364800"/>
    <s v="Not Specified"/>
    <s v="Not Specified"/>
    <s v="Not Specified"/>
    <n v="105"/>
    <x v="0"/>
    <x v="2"/>
  </r>
  <r>
    <x v="2"/>
    <x v="0"/>
    <x v="233"/>
    <x v="3"/>
    <x v="11"/>
    <x v="293"/>
    <x v="12"/>
    <x v="15"/>
    <x v="34"/>
    <x v="248"/>
    <x v="307"/>
    <s v="Not true to size"/>
    <n v="1481846400"/>
    <s v="Not Specified"/>
    <s v="Not Specified"/>
    <s v="Not Specified"/>
    <n v="63"/>
    <x v="2"/>
    <x v="2"/>
  </r>
  <r>
    <x v="3"/>
    <x v="0"/>
    <x v="234"/>
    <x v="3"/>
    <x v="11"/>
    <x v="294"/>
    <x v="12"/>
    <x v="14"/>
    <x v="42"/>
    <x v="5"/>
    <x v="308"/>
    <s v="One Star"/>
    <n v="1481760000"/>
    <s v="Not Specified"/>
    <s v="Not Specified"/>
    <s v="Not Specified"/>
    <n v="11"/>
    <x v="2"/>
    <x v="2"/>
  </r>
  <r>
    <x v="0"/>
    <x v="0"/>
    <x v="235"/>
    <x v="3"/>
    <x v="11"/>
    <x v="295"/>
    <x v="12"/>
    <x v="29"/>
    <x v="25"/>
    <x v="249"/>
    <x v="309"/>
    <s v="Nice"/>
    <n v="1481500800"/>
    <s v="Not Specified"/>
    <s v="Not Specified"/>
    <s v="Not Specified"/>
    <n v="15"/>
    <x v="0"/>
    <x v="2"/>
  </r>
  <r>
    <x v="0"/>
    <x v="0"/>
    <x v="235"/>
    <x v="3"/>
    <x v="11"/>
    <x v="296"/>
    <x v="12"/>
    <x v="22"/>
    <x v="17"/>
    <x v="250"/>
    <x v="310"/>
    <s v="Great"/>
    <n v="1481500800"/>
    <s v="Not Specified"/>
    <s v="Not Specified"/>
    <n v="3"/>
    <n v="362"/>
    <x v="0"/>
    <x v="2"/>
  </r>
  <r>
    <x v="4"/>
    <x v="0"/>
    <x v="236"/>
    <x v="3"/>
    <x v="11"/>
    <x v="297"/>
    <x v="12"/>
    <x v="14"/>
    <x v="42"/>
    <x v="251"/>
    <x v="311"/>
    <s v="Four Stars"/>
    <n v="1481155200"/>
    <s v="Not Specified"/>
    <s v="Not Specified"/>
    <s v="Not Specified"/>
    <n v="36"/>
    <x v="0"/>
    <x v="2"/>
  </r>
  <r>
    <x v="4"/>
    <x v="0"/>
    <x v="237"/>
    <x v="3"/>
    <x v="11"/>
    <x v="298"/>
    <x v="12"/>
    <x v="26"/>
    <x v="40"/>
    <x v="252"/>
    <x v="312"/>
    <s v="Four Stars"/>
    <n v="1480809600"/>
    <s v="Not Specified"/>
    <s v="Not Specified"/>
    <s v="Not Specified"/>
    <n v="36"/>
    <x v="0"/>
    <x v="2"/>
  </r>
  <r>
    <x v="4"/>
    <x v="0"/>
    <x v="238"/>
    <x v="3"/>
    <x v="11"/>
    <x v="299"/>
    <x v="12"/>
    <x v="34"/>
    <x v="25"/>
    <x v="5"/>
    <x v="313"/>
    <s v="Four Stars"/>
    <n v="1480636800"/>
    <s v="Not Specified"/>
    <s v="Not Specified"/>
    <n v="2"/>
    <n v="29"/>
    <x v="0"/>
    <x v="2"/>
  </r>
  <r>
    <x v="0"/>
    <x v="0"/>
    <x v="238"/>
    <x v="3"/>
    <x v="11"/>
    <x v="300"/>
    <x v="12"/>
    <x v="17"/>
    <x v="17"/>
    <x v="253"/>
    <x v="314"/>
    <s v="Five Stars"/>
    <n v="1480636800"/>
    <s v="Not Specified"/>
    <s v="Not Specified"/>
    <s v="Not Specified"/>
    <n v="43"/>
    <x v="0"/>
    <x v="2"/>
  </r>
  <r>
    <x v="0"/>
    <x v="0"/>
    <x v="239"/>
    <x v="3"/>
    <x v="11"/>
    <x v="301"/>
    <x v="12"/>
    <x v="21"/>
    <x v="28"/>
    <x v="83"/>
    <x v="315"/>
    <s v="Five Stars"/>
    <n v="1480550400"/>
    <s v="Not Specified"/>
    <s v="Not Specified"/>
    <s v="Not Specified"/>
    <n v="93"/>
    <x v="0"/>
    <x v="2"/>
  </r>
  <r>
    <x v="0"/>
    <x v="0"/>
    <x v="240"/>
    <x v="3"/>
    <x v="7"/>
    <x v="302"/>
    <x v="12"/>
    <x v="21"/>
    <x v="17"/>
    <x v="233"/>
    <x v="316"/>
    <s v="Five Stars"/>
    <n v="1480291200"/>
    <s v="Not Specified"/>
    <s v="Not Specified"/>
    <s v="Not Specified"/>
    <n v="90"/>
    <x v="0"/>
    <x v="2"/>
  </r>
  <r>
    <x v="0"/>
    <x v="0"/>
    <x v="241"/>
    <x v="3"/>
    <x v="7"/>
    <x v="303"/>
    <x v="12"/>
    <x v="30"/>
    <x v="41"/>
    <x v="254"/>
    <x v="317"/>
    <s v="Love them"/>
    <n v="1480204800"/>
    <s v="Not Specified"/>
    <s v="Not Specified"/>
    <s v="Not Specified"/>
    <n v="338"/>
    <x v="0"/>
    <x v="2"/>
  </r>
  <r>
    <x v="0"/>
    <x v="0"/>
    <x v="242"/>
    <x v="3"/>
    <x v="7"/>
    <x v="304"/>
    <x v="12"/>
    <x v="15"/>
    <x v="17"/>
    <x v="255"/>
    <x v="318"/>
    <s v="Super light weight versatile"/>
    <n v="1479859200"/>
    <s v="Not Specified"/>
    <s v="Not Specified"/>
    <s v="Not Specified"/>
    <n v="76"/>
    <x v="0"/>
    <x v="2"/>
  </r>
  <r>
    <x v="4"/>
    <x v="1"/>
    <x v="243"/>
    <x v="3"/>
    <x v="7"/>
    <x v="305"/>
    <x v="12"/>
    <x v="26"/>
    <x v="37"/>
    <x v="256"/>
    <x v="319"/>
    <s v="very comfortable but limited use"/>
    <n v="1479686400"/>
    <s v="Not Specified"/>
    <s v="Not Specified"/>
    <s v="Not Specified"/>
    <n v="767"/>
    <x v="0"/>
    <x v="2"/>
  </r>
  <r>
    <x v="4"/>
    <x v="0"/>
    <x v="244"/>
    <x v="3"/>
    <x v="7"/>
    <x v="306"/>
    <x v="12"/>
    <x v="21"/>
    <x v="28"/>
    <x v="257"/>
    <x v="320"/>
    <s v="Four Stars"/>
    <n v="1479254400"/>
    <s v="Not Specified"/>
    <s v="Not Specified"/>
    <s v="Not Specified"/>
    <n v="49"/>
    <x v="0"/>
    <x v="2"/>
  </r>
  <r>
    <x v="0"/>
    <x v="0"/>
    <x v="244"/>
    <x v="3"/>
    <x v="7"/>
    <x v="307"/>
    <x v="12"/>
    <x v="21"/>
    <x v="17"/>
    <x v="5"/>
    <x v="321"/>
    <s v="Five Stars"/>
    <n v="1479254400"/>
    <s v="Not Specified"/>
    <s v="Not Specified"/>
    <s v="Not Specified"/>
    <n v="9"/>
    <x v="0"/>
    <x v="2"/>
  </r>
  <r>
    <x v="1"/>
    <x v="0"/>
    <x v="245"/>
    <x v="3"/>
    <x v="7"/>
    <x v="308"/>
    <x v="12"/>
    <x v="15"/>
    <x v="34"/>
    <x v="258"/>
    <x v="322"/>
    <s v="Not for aerobic exercise"/>
    <n v="1479081600"/>
    <s v="Not Specified"/>
    <s v="Not Specified"/>
    <s v="Not Specified"/>
    <n v="92"/>
    <x v="1"/>
    <x v="2"/>
  </r>
  <r>
    <x v="0"/>
    <x v="0"/>
    <x v="246"/>
    <x v="3"/>
    <x v="7"/>
    <x v="309"/>
    <x v="12"/>
    <x v="22"/>
    <x v="24"/>
    <x v="259"/>
    <x v="323"/>
    <s v="Favorite Nikes ever"/>
    <n v="1478822400"/>
    <s v="Not Specified"/>
    <s v="Not Specified"/>
    <s v="Not Specified"/>
    <n v="133"/>
    <x v="0"/>
    <x v="2"/>
  </r>
  <r>
    <x v="4"/>
    <x v="0"/>
    <x v="246"/>
    <x v="3"/>
    <x v="7"/>
    <x v="310"/>
    <x v="12"/>
    <x v="16"/>
    <x v="28"/>
    <x v="260"/>
    <x v="324"/>
    <s v="Four Stars"/>
    <n v="1478822400"/>
    <s v="Not Specified"/>
    <s v="Not Specified"/>
    <s v="Not Specified"/>
    <n v="25"/>
    <x v="0"/>
    <x v="2"/>
  </r>
  <r>
    <x v="0"/>
    <x v="0"/>
    <x v="247"/>
    <x v="3"/>
    <x v="7"/>
    <x v="311"/>
    <x v="12"/>
    <x v="14"/>
    <x v="17"/>
    <x v="5"/>
    <x v="325"/>
    <s v="... of shoes for cross training and these were the best!"/>
    <n v="1478649600"/>
    <s v="Not Specified"/>
    <s v="Not Specified"/>
    <s v="Not Specified"/>
    <n v="64"/>
    <x v="0"/>
    <x v="2"/>
  </r>
  <r>
    <x v="4"/>
    <x v="0"/>
    <x v="248"/>
    <x v="3"/>
    <x v="7"/>
    <x v="312"/>
    <x v="12"/>
    <x v="26"/>
    <x v="40"/>
    <x v="261"/>
    <x v="326"/>
    <s v="Overall, a grwat shoe."/>
    <n v="1478563200"/>
    <s v="Not Specified"/>
    <s v="Not Specified"/>
    <s v="Not Specified"/>
    <n v="83"/>
    <x v="0"/>
    <x v="2"/>
  </r>
  <r>
    <x v="0"/>
    <x v="0"/>
    <x v="249"/>
    <x v="3"/>
    <x v="7"/>
    <x v="313"/>
    <x v="12"/>
    <x v="30"/>
    <x v="17"/>
    <x v="262"/>
    <x v="327"/>
    <s v="These are as far as comfort goes the most comfortable pair of sneakers I have I suffer from sciatica ..."/>
    <n v="1478476800"/>
    <s v="Not Specified"/>
    <s v="Not Specified"/>
    <n v="3"/>
    <n v="235"/>
    <x v="0"/>
    <x v="2"/>
  </r>
  <r>
    <x v="1"/>
    <x v="0"/>
    <x v="250"/>
    <x v="3"/>
    <x v="7"/>
    <x v="314"/>
    <x v="12"/>
    <x v="21"/>
    <x v="40"/>
    <x v="263"/>
    <x v="328"/>
    <s v="They feel good but I will not recommended if you need Wide ..."/>
    <n v="1478390400"/>
    <s v="Not Specified"/>
    <s v="Not Specified"/>
    <s v="Not Specified"/>
    <n v="115"/>
    <x v="1"/>
    <x v="2"/>
  </r>
  <r>
    <x v="1"/>
    <x v="0"/>
    <x v="251"/>
    <x v="3"/>
    <x v="3"/>
    <x v="315"/>
    <x v="12"/>
    <x v="30"/>
    <x v="28"/>
    <x v="264"/>
    <x v="329"/>
    <s v="Get a half-size or more larger than usual."/>
    <n v="1477785600"/>
    <s v="Not Specified"/>
    <s v="Not Specified"/>
    <s v="Not Specified"/>
    <n v="228"/>
    <x v="1"/>
    <x v="2"/>
  </r>
  <r>
    <x v="0"/>
    <x v="0"/>
    <x v="252"/>
    <x v="3"/>
    <x v="3"/>
    <x v="316"/>
    <x v="12"/>
    <x v="17"/>
    <x v="23"/>
    <x v="265"/>
    <x v="330"/>
    <s v="Love them! Very comfortable and great for weight training"/>
    <n v="1477699200"/>
    <s v="Not Specified"/>
    <s v="Not Specified"/>
    <s v="Not Specified"/>
    <n v="59"/>
    <x v="0"/>
    <x v="2"/>
  </r>
  <r>
    <x v="1"/>
    <x v="0"/>
    <x v="253"/>
    <x v="3"/>
    <x v="3"/>
    <x v="317"/>
    <x v="12"/>
    <x v="21"/>
    <x v="17"/>
    <x v="266"/>
    <x v="331"/>
    <s v="Not as expected"/>
    <n v="1477440000"/>
    <s v="Not Specified"/>
    <s v="Not Specified"/>
    <s v="Not Specified"/>
    <n v="333"/>
    <x v="1"/>
    <x v="2"/>
  </r>
  <r>
    <x v="0"/>
    <x v="0"/>
    <x v="254"/>
    <x v="3"/>
    <x v="3"/>
    <x v="318"/>
    <x v="12"/>
    <x v="24"/>
    <x v="12"/>
    <x v="267"/>
    <x v="332"/>
    <s v="Five Stars"/>
    <n v="1477353600"/>
    <s v="Not Specified"/>
    <s v="Not Specified"/>
    <s v="Not Specified"/>
    <n v="33"/>
    <x v="0"/>
    <x v="2"/>
  </r>
  <r>
    <x v="0"/>
    <x v="1"/>
    <x v="255"/>
    <x v="3"/>
    <x v="3"/>
    <x v="319"/>
    <x v="12"/>
    <x v="14"/>
    <x v="30"/>
    <x v="5"/>
    <x v="333"/>
    <s v="Really Comfortable Shoes"/>
    <n v="1477267200"/>
    <s v="Not Specified"/>
    <s v="Not Specified"/>
    <s v="Not Specified"/>
    <n v="86"/>
    <x v="0"/>
    <x v="2"/>
  </r>
  <r>
    <x v="0"/>
    <x v="0"/>
    <x v="255"/>
    <x v="3"/>
    <x v="3"/>
    <x v="320"/>
    <x v="12"/>
    <x v="14"/>
    <x v="32"/>
    <x v="268"/>
    <x v="334"/>
    <s v="Five Stars"/>
    <n v="1477267200"/>
    <s v="Not Specified"/>
    <s v="Not Specified"/>
    <s v="Not Specified"/>
    <n v="24"/>
    <x v="0"/>
    <x v="2"/>
  </r>
  <r>
    <x v="0"/>
    <x v="0"/>
    <x v="256"/>
    <x v="3"/>
    <x v="3"/>
    <x v="321"/>
    <x v="12"/>
    <x v="26"/>
    <x v="17"/>
    <x v="5"/>
    <x v="335"/>
    <s v="Worth it."/>
    <n v="1476835200"/>
    <s v="Not Specified"/>
    <s v="Not Specified"/>
    <s v="Not Specified"/>
    <n v="35"/>
    <x v="0"/>
    <x v="2"/>
  </r>
  <r>
    <x v="0"/>
    <x v="0"/>
    <x v="4"/>
    <x v="3"/>
    <x v="3"/>
    <x v="322"/>
    <x v="12"/>
    <x v="16"/>
    <x v="28"/>
    <x v="269"/>
    <x v="336"/>
    <s v="Great sneakers!"/>
    <n v="1476662400"/>
    <s v="Not Specified"/>
    <s v="Not Specified"/>
    <n v="5"/>
    <n v="106"/>
    <x v="0"/>
    <x v="2"/>
  </r>
  <r>
    <x v="0"/>
    <x v="0"/>
    <x v="257"/>
    <x v="3"/>
    <x v="3"/>
    <x v="323"/>
    <x v="12"/>
    <x v="16"/>
    <x v="17"/>
    <x v="270"/>
    <x v="337"/>
    <s v="Lightweight yet supportive"/>
    <n v="1476489600"/>
    <s v="Not Specified"/>
    <s v="Not Specified"/>
    <s v="Not Specified"/>
    <n v="57"/>
    <x v="0"/>
    <x v="2"/>
  </r>
  <r>
    <x v="4"/>
    <x v="0"/>
    <x v="258"/>
    <x v="3"/>
    <x v="3"/>
    <x v="324"/>
    <x v="12"/>
    <x v="15"/>
    <x v="40"/>
    <x v="271"/>
    <x v="338"/>
    <s v="but like them so far"/>
    <n v="1476144000"/>
    <s v="Not Specified"/>
    <s v="Not Specified"/>
    <s v="Not Specified"/>
    <n v="181"/>
    <x v="0"/>
    <x v="2"/>
  </r>
  <r>
    <x v="1"/>
    <x v="0"/>
    <x v="259"/>
    <x v="3"/>
    <x v="3"/>
    <x v="325"/>
    <x v="12"/>
    <x v="30"/>
    <x v="20"/>
    <x v="272"/>
    <x v="339"/>
    <s v="Great red color"/>
    <n v="1475971200"/>
    <s v="Not Specified"/>
    <s v="Not Specified"/>
    <s v="Not Specified"/>
    <n v="68"/>
    <x v="1"/>
    <x v="2"/>
  </r>
  <r>
    <x v="4"/>
    <x v="0"/>
    <x v="260"/>
    <x v="3"/>
    <x v="3"/>
    <x v="326"/>
    <x v="12"/>
    <x v="14"/>
    <x v="17"/>
    <x v="273"/>
    <x v="340"/>
    <s v="they'll work great!: )"/>
    <n v="1475625600"/>
    <s v="Not Specified"/>
    <s v="Not Specified"/>
    <s v="Not Specified"/>
    <n v="100"/>
    <x v="0"/>
    <x v="2"/>
  </r>
  <r>
    <x v="1"/>
    <x v="0"/>
    <x v="261"/>
    <x v="3"/>
    <x v="3"/>
    <x v="327"/>
    <x v="12"/>
    <x v="16"/>
    <x v="20"/>
    <x v="274"/>
    <x v="341"/>
    <s v="Shoes looked great but too narrow for most feet"/>
    <n v="1475280000"/>
    <s v="Not Specified"/>
    <s v="Not Specified"/>
    <s v="Not Specified"/>
    <n v="59"/>
    <x v="1"/>
    <x v="2"/>
  </r>
  <r>
    <x v="0"/>
    <x v="0"/>
    <x v="262"/>
    <x v="3"/>
    <x v="0"/>
    <x v="328"/>
    <x v="12"/>
    <x v="30"/>
    <x v="18"/>
    <x v="275"/>
    <x v="342"/>
    <s v="I love these shoes"/>
    <n v="1474848000"/>
    <s v="Not Specified"/>
    <s v="Not Specified"/>
    <s v="Not Specified"/>
    <n v="107"/>
    <x v="0"/>
    <x v="2"/>
  </r>
  <r>
    <x v="0"/>
    <x v="0"/>
    <x v="263"/>
    <x v="3"/>
    <x v="0"/>
    <x v="329"/>
    <x v="12"/>
    <x v="14"/>
    <x v="34"/>
    <x v="276"/>
    <x v="343"/>
    <s v="Five Stars"/>
    <n v="1474588800"/>
    <s v="Not Specified"/>
    <s v="Not Specified"/>
    <s v="Not Specified"/>
    <n v="12"/>
    <x v="0"/>
    <x v="2"/>
  </r>
  <r>
    <x v="0"/>
    <x v="0"/>
    <x v="264"/>
    <x v="3"/>
    <x v="0"/>
    <x v="330"/>
    <x v="12"/>
    <x v="29"/>
    <x v="25"/>
    <x v="5"/>
    <x v="344"/>
    <s v="Very comfortable shoes. I have wide feet with falling arches"/>
    <n v="1474156800"/>
    <s v="Not Specified"/>
    <s v="Not Specified"/>
    <n v="3"/>
    <n v="140"/>
    <x v="0"/>
    <x v="2"/>
  </r>
  <r>
    <x v="3"/>
    <x v="0"/>
    <x v="265"/>
    <x v="3"/>
    <x v="0"/>
    <x v="331"/>
    <x v="12"/>
    <x v="21"/>
    <x v="23"/>
    <x v="277"/>
    <x v="345"/>
    <s v="Did not fit my feet"/>
    <n v="1473638400"/>
    <s v="Not Specified"/>
    <s v="Not Specified"/>
    <s v="Not Specified"/>
    <n v="148"/>
    <x v="2"/>
    <x v="2"/>
  </r>
  <r>
    <x v="3"/>
    <x v="0"/>
    <x v="266"/>
    <x v="3"/>
    <x v="0"/>
    <x v="332"/>
    <x v="12"/>
    <x v="22"/>
    <x v="17"/>
    <x v="278"/>
    <x v="346"/>
    <s v="Poor Quality. Don't buy."/>
    <n v="1473552000"/>
    <s v="Not Specified"/>
    <s v="Not Specified"/>
    <n v="14"/>
    <n v="258"/>
    <x v="2"/>
    <x v="2"/>
  </r>
  <r>
    <x v="0"/>
    <x v="0"/>
    <x v="267"/>
    <x v="3"/>
    <x v="0"/>
    <x v="333"/>
    <x v="12"/>
    <x v="21"/>
    <x v="17"/>
    <x v="279"/>
    <x v="347"/>
    <s v="Five Stars"/>
    <n v="1473379200"/>
    <s v="Not Specified"/>
    <s v="Not Specified"/>
    <s v="Not Specified"/>
    <n v="49"/>
    <x v="0"/>
    <x v="2"/>
  </r>
  <r>
    <x v="4"/>
    <x v="0"/>
    <x v="268"/>
    <x v="3"/>
    <x v="0"/>
    <x v="334"/>
    <x v="12"/>
    <x v="17"/>
    <x v="17"/>
    <x v="280"/>
    <x v="348"/>
    <s v="Does the job!"/>
    <n v="1473120000"/>
    <s v="Not Specified"/>
    <s v="Not Specified"/>
    <n v="2"/>
    <n v="248"/>
    <x v="0"/>
    <x v="2"/>
  </r>
  <r>
    <x v="4"/>
    <x v="0"/>
    <x v="269"/>
    <x v="3"/>
    <x v="0"/>
    <x v="335"/>
    <x v="12"/>
    <x v="22"/>
    <x v="32"/>
    <x v="5"/>
    <x v="349"/>
    <s v="I liked these shoes a lot"/>
    <n v="1472774400"/>
    <s v="Not Specified"/>
    <s v="Not Specified"/>
    <s v="Not Specified"/>
    <n v="177"/>
    <x v="0"/>
    <x v="2"/>
  </r>
  <r>
    <x v="0"/>
    <x v="0"/>
    <x v="270"/>
    <x v="3"/>
    <x v="4"/>
    <x v="336"/>
    <x v="12"/>
    <x v="16"/>
    <x v="17"/>
    <x v="5"/>
    <x v="350"/>
    <s v="Five Stars"/>
    <n v="1472428800"/>
    <s v="Not Specified"/>
    <s v="Not Specified"/>
    <s v="Not Specified"/>
    <n v="13"/>
    <x v="0"/>
    <x v="2"/>
  </r>
  <r>
    <x v="0"/>
    <x v="0"/>
    <x v="271"/>
    <x v="3"/>
    <x v="4"/>
    <x v="337"/>
    <x v="12"/>
    <x v="21"/>
    <x v="30"/>
    <x v="5"/>
    <x v="351"/>
    <s v="Five Stars"/>
    <n v="1472256000"/>
    <s v="Not Specified"/>
    <s v="Not Specified"/>
    <s v="Not Specified"/>
    <n v="62"/>
    <x v="0"/>
    <x v="2"/>
  </r>
  <r>
    <x v="0"/>
    <x v="0"/>
    <x v="271"/>
    <x v="3"/>
    <x v="4"/>
    <x v="338"/>
    <x v="12"/>
    <x v="30"/>
    <x v="17"/>
    <x v="5"/>
    <x v="352"/>
    <s v="... crossfit and find that these shoes help give me good support with my endurance workouts"/>
    <n v="1472256000"/>
    <s v="Not Specified"/>
    <s v="Not Specified"/>
    <n v="5"/>
    <n v="112"/>
    <x v="0"/>
    <x v="2"/>
  </r>
  <r>
    <x v="1"/>
    <x v="0"/>
    <x v="272"/>
    <x v="3"/>
    <x v="4"/>
    <x v="339"/>
    <x v="12"/>
    <x v="21"/>
    <x v="17"/>
    <x v="5"/>
    <x v="353"/>
    <s v="Unnacceptable. Zero support"/>
    <n v="1472169600"/>
    <s v="Not Specified"/>
    <s v="Not Specified"/>
    <n v="2"/>
    <n v="256"/>
    <x v="1"/>
    <x v="2"/>
  </r>
  <r>
    <x v="0"/>
    <x v="0"/>
    <x v="273"/>
    <x v="3"/>
    <x v="4"/>
    <x v="340"/>
    <x v="12"/>
    <x v="21"/>
    <x v="32"/>
    <x v="281"/>
    <x v="354"/>
    <s v="Great for walking!"/>
    <n v="1471910400"/>
    <s v="Not Specified"/>
    <s v="Not Specified"/>
    <s v="Not Specified"/>
    <n v="93"/>
    <x v="0"/>
    <x v="2"/>
  </r>
  <r>
    <x v="0"/>
    <x v="0"/>
    <x v="274"/>
    <x v="3"/>
    <x v="4"/>
    <x v="341"/>
    <x v="12"/>
    <x v="16"/>
    <x v="17"/>
    <x v="282"/>
    <x v="355"/>
    <s v="Simply Supreme."/>
    <n v="1471651200"/>
    <s v="Not Specified"/>
    <s v="Not Specified"/>
    <s v="Not Specified"/>
    <n v="1225"/>
    <x v="0"/>
    <x v="2"/>
  </r>
  <r>
    <x v="0"/>
    <x v="0"/>
    <x v="275"/>
    <x v="3"/>
    <x v="4"/>
    <x v="342"/>
    <x v="12"/>
    <x v="26"/>
    <x v="17"/>
    <x v="283"/>
    <x v="356"/>
    <s v="Soooo comfortable....."/>
    <n v="1471219200"/>
    <s v="Not Specified"/>
    <s v="Not Specified"/>
    <s v="Not Specified"/>
    <n v="246"/>
    <x v="0"/>
    <x v="2"/>
  </r>
  <r>
    <x v="0"/>
    <x v="0"/>
    <x v="275"/>
    <x v="3"/>
    <x v="4"/>
    <x v="343"/>
    <x v="12"/>
    <x v="24"/>
    <x v="12"/>
    <x v="284"/>
    <x v="357"/>
    <s v="Five Stars"/>
    <n v="1471219200"/>
    <s v="Not Specified"/>
    <s v="Not Specified"/>
    <s v="Not Specified"/>
    <n v="40"/>
    <x v="0"/>
    <x v="2"/>
  </r>
  <r>
    <x v="0"/>
    <x v="0"/>
    <x v="276"/>
    <x v="3"/>
    <x v="4"/>
    <x v="344"/>
    <x v="12"/>
    <x v="22"/>
    <x v="41"/>
    <x v="285"/>
    <x v="358"/>
    <s v="BEST SHOES EVER!"/>
    <n v="1471132800"/>
    <s v="Not Specified"/>
    <s v="Not Specified"/>
    <s v="Not Specified"/>
    <n v="224"/>
    <x v="0"/>
    <x v="2"/>
  </r>
  <r>
    <x v="0"/>
    <x v="0"/>
    <x v="277"/>
    <x v="3"/>
    <x v="4"/>
    <x v="345"/>
    <x v="12"/>
    <x v="22"/>
    <x v="17"/>
    <x v="286"/>
    <x v="359"/>
    <s v="... me the motivation to workout because they feel so good and are great for any training"/>
    <n v="1470614400"/>
    <s v="Not Specified"/>
    <s v="Not Specified"/>
    <s v="Not Specified"/>
    <n v="105"/>
    <x v="0"/>
    <x v="2"/>
  </r>
  <r>
    <x v="1"/>
    <x v="0"/>
    <x v="278"/>
    <x v="3"/>
    <x v="4"/>
    <x v="346"/>
    <x v="12"/>
    <x v="16"/>
    <x v="17"/>
    <x v="287"/>
    <x v="360"/>
    <s v="Hurt my knees and back running"/>
    <n v="1470355200"/>
    <s v="Not Specified"/>
    <s v="Not Specified"/>
    <n v="2"/>
    <n v="772"/>
    <x v="1"/>
    <x v="2"/>
  </r>
  <r>
    <x v="0"/>
    <x v="0"/>
    <x v="279"/>
    <x v="3"/>
    <x v="9"/>
    <x v="347"/>
    <x v="12"/>
    <x v="33"/>
    <x v="17"/>
    <x v="288"/>
    <x v="361"/>
    <s v="Very comfortable shoes. Love"/>
    <n v="1469577600"/>
    <s v="Not Specified"/>
    <s v="Not Specified"/>
    <s v="Not Specified"/>
    <n v="37"/>
    <x v="0"/>
    <x v="2"/>
  </r>
  <r>
    <x v="0"/>
    <x v="1"/>
    <x v="280"/>
    <x v="3"/>
    <x v="9"/>
    <x v="348"/>
    <x v="12"/>
    <x v="16"/>
    <x v="26"/>
    <x v="289"/>
    <x v="362"/>
    <s v="Great shoes"/>
    <n v="1469145600"/>
    <s v="Not Specified"/>
    <s v="Not Specified"/>
    <s v="Not Specified"/>
    <n v="427"/>
    <x v="0"/>
    <x v="2"/>
  </r>
  <r>
    <x v="1"/>
    <x v="0"/>
    <x v="281"/>
    <x v="3"/>
    <x v="9"/>
    <x v="349"/>
    <x v="12"/>
    <x v="30"/>
    <x v="17"/>
    <x v="290"/>
    <x v="363"/>
    <s v="large shoe"/>
    <n v="1469059200"/>
    <s v="Not Specified"/>
    <s v="Not Specified"/>
    <s v="Not Specified"/>
    <n v="50"/>
    <x v="1"/>
    <x v="2"/>
  </r>
  <r>
    <x v="0"/>
    <x v="0"/>
    <x v="282"/>
    <x v="3"/>
    <x v="9"/>
    <x v="350"/>
    <x v="12"/>
    <x v="16"/>
    <x v="17"/>
    <x v="291"/>
    <x v="364"/>
    <s v="Five Stars"/>
    <n v="1468886400"/>
    <s v="Not Specified"/>
    <s v="Not Specified"/>
    <s v="Not Specified"/>
    <n v="20"/>
    <x v="0"/>
    <x v="2"/>
  </r>
  <r>
    <x v="0"/>
    <x v="0"/>
    <x v="283"/>
    <x v="3"/>
    <x v="9"/>
    <x v="351"/>
    <x v="12"/>
    <x v="21"/>
    <x v="18"/>
    <x v="292"/>
    <x v="365"/>
    <s v="My wife loves these shoes."/>
    <n v="1468800000"/>
    <s v="Not Specified"/>
    <s v="Not Specified"/>
    <s v="Not Specified"/>
    <n v="306"/>
    <x v="0"/>
    <x v="2"/>
  </r>
  <r>
    <x v="0"/>
    <x v="0"/>
    <x v="284"/>
    <x v="3"/>
    <x v="9"/>
    <x v="352"/>
    <x v="12"/>
    <x v="17"/>
    <x v="17"/>
    <x v="293"/>
    <x v="366"/>
    <s v="Love Love Love"/>
    <n v="1468368000"/>
    <s v="Not Specified"/>
    <s v="Not Specified"/>
    <s v="Not Specified"/>
    <n v="188"/>
    <x v="0"/>
    <x v="2"/>
  </r>
  <r>
    <x v="0"/>
    <x v="0"/>
    <x v="285"/>
    <x v="3"/>
    <x v="9"/>
    <x v="353"/>
    <x v="12"/>
    <x v="26"/>
    <x v="17"/>
    <x v="5"/>
    <x v="367"/>
    <s v="PERFECT"/>
    <n v="1467331200"/>
    <s v="Not Specified"/>
    <s v="Not Specified"/>
    <s v="Not Specified"/>
    <n v="62"/>
    <x v="0"/>
    <x v="2"/>
  </r>
  <r>
    <x v="0"/>
    <x v="0"/>
    <x v="285"/>
    <x v="3"/>
    <x v="9"/>
    <x v="354"/>
    <x v="12"/>
    <x v="16"/>
    <x v="32"/>
    <x v="294"/>
    <x v="368"/>
    <s v="Nice shoe"/>
    <n v="1467331200"/>
    <s v="Not Specified"/>
    <s v="Not Specified"/>
    <n v="5"/>
    <n v="378"/>
    <x v="0"/>
    <x v="2"/>
  </r>
  <r>
    <x v="0"/>
    <x v="0"/>
    <x v="286"/>
    <x v="3"/>
    <x v="6"/>
    <x v="355"/>
    <x v="12"/>
    <x v="15"/>
    <x v="17"/>
    <x v="295"/>
    <x v="369"/>
    <s v="I am so happy with this purchase"/>
    <n v="1467072000"/>
    <s v="Not Specified"/>
    <s v="Not Specified"/>
    <n v="7"/>
    <n v="288"/>
    <x v="0"/>
    <x v="2"/>
  </r>
  <r>
    <x v="0"/>
    <x v="0"/>
    <x v="287"/>
    <x v="3"/>
    <x v="6"/>
    <x v="356"/>
    <x v="12"/>
    <x v="16"/>
    <x v="41"/>
    <x v="296"/>
    <x v="370"/>
    <s v="Five Stars"/>
    <n v="1466812800"/>
    <s v="Not Specified"/>
    <s v="Not Specified"/>
    <s v="Not Specified"/>
    <n v="60"/>
    <x v="0"/>
    <x v="2"/>
  </r>
  <r>
    <x v="1"/>
    <x v="0"/>
    <x v="288"/>
    <x v="3"/>
    <x v="6"/>
    <x v="357"/>
    <x v="12"/>
    <x v="30"/>
    <x v="18"/>
    <x v="5"/>
    <x v="371"/>
    <s v="Cute"/>
    <n v="1466467200"/>
    <s v="Not Specified"/>
    <s v="Not Specified"/>
    <n v="2"/>
    <n v="236"/>
    <x v="1"/>
    <x v="2"/>
  </r>
  <r>
    <x v="0"/>
    <x v="0"/>
    <x v="289"/>
    <x v="3"/>
    <x v="6"/>
    <x v="358"/>
    <x v="12"/>
    <x v="21"/>
    <x v="17"/>
    <x v="297"/>
    <x v="372"/>
    <s v="Love"/>
    <n v="1466294400"/>
    <s v="Not Specified"/>
    <s v="Not Specified"/>
    <n v="3"/>
    <n v="308"/>
    <x v="0"/>
    <x v="2"/>
  </r>
  <r>
    <x v="0"/>
    <x v="1"/>
    <x v="290"/>
    <x v="3"/>
    <x v="6"/>
    <x v="359"/>
    <x v="12"/>
    <x v="21"/>
    <x v="20"/>
    <x v="5"/>
    <x v="373"/>
    <s v="Absolutely Perfect Shoe!!"/>
    <n v="1466035200"/>
    <s v="Not Specified"/>
    <s v="Not Specified"/>
    <n v="3"/>
    <n v="370"/>
    <x v="0"/>
    <x v="2"/>
  </r>
  <r>
    <x v="0"/>
    <x v="0"/>
    <x v="291"/>
    <x v="3"/>
    <x v="6"/>
    <x v="360"/>
    <x v="12"/>
    <x v="31"/>
    <x v="17"/>
    <x v="298"/>
    <x v="374"/>
    <s v="Comfortable and lightweight"/>
    <n v="1465516800"/>
    <s v="Not Specified"/>
    <s v="Not Specified"/>
    <n v="10"/>
    <n v="204"/>
    <x v="0"/>
    <x v="2"/>
  </r>
  <r>
    <x v="0"/>
    <x v="0"/>
    <x v="292"/>
    <x v="3"/>
    <x v="6"/>
    <x v="361"/>
    <x v="12"/>
    <x v="14"/>
    <x v="17"/>
    <x v="299"/>
    <x v="321"/>
    <s v="Five Stars"/>
    <n v="1465084800"/>
    <s v="Not Specified"/>
    <s v="Not Specified"/>
    <s v="Not Specified"/>
    <n v="9"/>
    <x v="0"/>
    <x v="2"/>
  </r>
  <r>
    <x v="0"/>
    <x v="0"/>
    <x v="293"/>
    <x v="3"/>
    <x v="6"/>
    <x v="362"/>
    <x v="12"/>
    <x v="14"/>
    <x v="32"/>
    <x v="300"/>
    <x v="375"/>
    <s v="Awesome shoes!"/>
    <n v="1464825600"/>
    <s v="Not Specified"/>
    <s v="Not Specified"/>
    <s v="Not Specified"/>
    <n v="237"/>
    <x v="0"/>
    <x v="2"/>
  </r>
  <r>
    <x v="0"/>
    <x v="0"/>
    <x v="294"/>
    <x v="3"/>
    <x v="1"/>
    <x v="363"/>
    <x v="12"/>
    <x v="17"/>
    <x v="18"/>
    <x v="301"/>
    <x v="376"/>
    <s v="Five Stars"/>
    <n v="1464480000"/>
    <s v="Not Specified"/>
    <s v="Not Specified"/>
    <s v="Not Specified"/>
    <n v="11"/>
    <x v="0"/>
    <x v="2"/>
  </r>
  <r>
    <x v="0"/>
    <x v="0"/>
    <x v="295"/>
    <x v="3"/>
    <x v="1"/>
    <x v="364"/>
    <x v="12"/>
    <x v="39"/>
    <x v="19"/>
    <x v="5"/>
    <x v="228"/>
    <s v="Five Stars"/>
    <n v="1464393600"/>
    <s v="Not Specified"/>
    <s v="Not Specified"/>
    <s v="Not Specified"/>
    <n v="7"/>
    <x v="0"/>
    <x v="2"/>
  </r>
  <r>
    <x v="0"/>
    <x v="1"/>
    <x v="296"/>
    <x v="3"/>
    <x v="1"/>
    <x v="365"/>
    <x v="12"/>
    <x v="2"/>
    <x v="7"/>
    <x v="302"/>
    <x v="377"/>
    <s v="Time to leave the fad of the month for something that works."/>
    <n v="1464048000"/>
    <s v="Not Specified"/>
    <s v="Not Specified"/>
    <n v="8"/>
    <n v="629"/>
    <x v="0"/>
    <x v="2"/>
  </r>
  <r>
    <x v="4"/>
    <x v="0"/>
    <x v="296"/>
    <x v="3"/>
    <x v="1"/>
    <x v="366"/>
    <x v="12"/>
    <x v="21"/>
    <x v="18"/>
    <x v="303"/>
    <x v="378"/>
    <s v="A little annoying because I have to pay attention but they are ..."/>
    <n v="1464048000"/>
    <s v="Not Specified"/>
    <s v="Not Specified"/>
    <s v="Not Specified"/>
    <n v="148"/>
    <x v="0"/>
    <x v="2"/>
  </r>
  <r>
    <x v="0"/>
    <x v="0"/>
    <x v="297"/>
    <x v="3"/>
    <x v="1"/>
    <x v="367"/>
    <x v="12"/>
    <x v="26"/>
    <x v="17"/>
    <x v="304"/>
    <x v="248"/>
    <s v="Five Stars"/>
    <n v="1463702400"/>
    <s v="Not Specified"/>
    <s v="Not Specified"/>
    <s v="Not Specified"/>
    <n v="10"/>
    <x v="0"/>
    <x v="2"/>
  </r>
  <r>
    <x v="0"/>
    <x v="1"/>
    <x v="298"/>
    <x v="3"/>
    <x v="1"/>
    <x v="368"/>
    <x v="12"/>
    <x v="17"/>
    <x v="34"/>
    <x v="305"/>
    <x v="379"/>
    <s v="and the toe area is pretty wide plus plenty long even with socks"/>
    <n v="1463529600"/>
    <s v="Not Specified"/>
    <s v="Not Specified"/>
    <s v="Not Specified"/>
    <n v="247"/>
    <x v="0"/>
    <x v="2"/>
  </r>
  <r>
    <x v="0"/>
    <x v="0"/>
    <x v="299"/>
    <x v="3"/>
    <x v="1"/>
    <x v="369"/>
    <x v="12"/>
    <x v="22"/>
    <x v="20"/>
    <x v="5"/>
    <x v="380"/>
    <s v="Five Stars"/>
    <n v="1463356800"/>
    <s v="Not Specified"/>
    <s v="Not Specified"/>
    <s v="Not Specified"/>
    <n v="76"/>
    <x v="0"/>
    <x v="2"/>
  </r>
  <r>
    <x v="0"/>
    <x v="0"/>
    <x v="300"/>
    <x v="3"/>
    <x v="1"/>
    <x v="370"/>
    <x v="12"/>
    <x v="15"/>
    <x v="32"/>
    <x v="306"/>
    <x v="381"/>
    <s v="Great and comfy for sports"/>
    <n v="1463270400"/>
    <s v="Not Specified"/>
    <s v="Not Specified"/>
    <s v="Not Specified"/>
    <n v="27"/>
    <x v="0"/>
    <x v="2"/>
  </r>
  <r>
    <x v="4"/>
    <x v="0"/>
    <x v="301"/>
    <x v="3"/>
    <x v="1"/>
    <x v="371"/>
    <x v="12"/>
    <x v="40"/>
    <x v="43"/>
    <x v="307"/>
    <x v="382"/>
    <s v="A bit pointier toe than depicted..."/>
    <n v="1462924800"/>
    <s v="Not Specified"/>
    <s v="Not Specified"/>
    <s v="Not Specified"/>
    <n v="468"/>
    <x v="0"/>
    <x v="2"/>
  </r>
  <r>
    <x v="0"/>
    <x v="1"/>
    <x v="302"/>
    <x v="3"/>
    <x v="1"/>
    <x v="372"/>
    <x v="12"/>
    <x v="17"/>
    <x v="18"/>
    <x v="5"/>
    <x v="383"/>
    <s v="Best shoes ever!!!"/>
    <n v="1462838400"/>
    <s v="Not Specified"/>
    <s v="Not Specified"/>
    <s v="Not Specified"/>
    <n v="166"/>
    <x v="0"/>
    <x v="2"/>
  </r>
  <r>
    <x v="0"/>
    <x v="0"/>
    <x v="303"/>
    <x v="3"/>
    <x v="1"/>
    <x v="373"/>
    <x v="12"/>
    <x v="21"/>
    <x v="17"/>
    <x v="308"/>
    <x v="384"/>
    <s v="Five Stars"/>
    <n v="1462752000"/>
    <s v="Not Specified"/>
    <s v="Not Specified"/>
    <s v="Not Specified"/>
    <n v="33"/>
    <x v="0"/>
    <x v="2"/>
  </r>
  <r>
    <x v="0"/>
    <x v="0"/>
    <x v="304"/>
    <x v="3"/>
    <x v="1"/>
    <x v="374"/>
    <x v="12"/>
    <x v="26"/>
    <x v="17"/>
    <x v="309"/>
    <x v="385"/>
    <s v="Fits wonderful"/>
    <n v="1462665600"/>
    <s v="Not Specified"/>
    <s v="Not Specified"/>
    <s v="Not Specified"/>
    <n v="62"/>
    <x v="0"/>
    <x v="2"/>
  </r>
  <r>
    <x v="4"/>
    <x v="0"/>
    <x v="305"/>
    <x v="3"/>
    <x v="1"/>
    <x v="375"/>
    <x v="12"/>
    <x v="41"/>
    <x v="19"/>
    <x v="310"/>
    <x v="386"/>
    <s v="Four Stars"/>
    <n v="1462579200"/>
    <s v="Not Specified"/>
    <s v="Not Specified"/>
    <s v="Not Specified"/>
    <n v="25"/>
    <x v="0"/>
    <x v="2"/>
  </r>
  <r>
    <x v="4"/>
    <x v="0"/>
    <x v="306"/>
    <x v="3"/>
    <x v="1"/>
    <x v="376"/>
    <x v="12"/>
    <x v="21"/>
    <x v="17"/>
    <x v="311"/>
    <x v="387"/>
    <s v="Comfortable and lightweight"/>
    <n v="1462320000"/>
    <s v="Not Specified"/>
    <s v="Not Specified"/>
    <n v="20"/>
    <n v="1368"/>
    <x v="0"/>
    <x v="2"/>
  </r>
  <r>
    <x v="0"/>
    <x v="0"/>
    <x v="306"/>
    <x v="3"/>
    <x v="1"/>
    <x v="377"/>
    <x v="12"/>
    <x v="41"/>
    <x v="19"/>
    <x v="312"/>
    <x v="388"/>
    <s v="nice"/>
    <n v="1462320000"/>
    <s v="Not Specified"/>
    <s v="Not Specified"/>
    <s v="Not Specified"/>
    <n v="57"/>
    <x v="0"/>
    <x v="2"/>
  </r>
  <r>
    <x v="0"/>
    <x v="0"/>
    <x v="307"/>
    <x v="3"/>
    <x v="10"/>
    <x v="378"/>
    <x v="12"/>
    <x v="16"/>
    <x v="17"/>
    <x v="313"/>
    <x v="389"/>
    <s v="Five Stars"/>
    <n v="1461369600"/>
    <s v="Not Specified"/>
    <s v="Not Specified"/>
    <s v="Not Specified"/>
    <n v="50"/>
    <x v="0"/>
    <x v="2"/>
  </r>
  <r>
    <x v="0"/>
    <x v="0"/>
    <x v="308"/>
    <x v="3"/>
    <x v="10"/>
    <x v="379"/>
    <x v="12"/>
    <x v="30"/>
    <x v="17"/>
    <x v="314"/>
    <x v="390"/>
    <s v="Wide Feet so Somewhat Tight"/>
    <n v="1461196800"/>
    <s v="Not Specified"/>
    <s v="Not Specified"/>
    <n v="3"/>
    <n v="371"/>
    <x v="0"/>
    <x v="2"/>
  </r>
  <r>
    <x v="0"/>
    <x v="0"/>
    <x v="48"/>
    <x v="3"/>
    <x v="5"/>
    <x v="38"/>
    <x v="13"/>
    <x v="22"/>
    <x v="20"/>
    <x v="34"/>
    <x v="57"/>
    <s v="Love them! So light feeling"/>
    <n v="1458432000"/>
    <s v="Not Specified"/>
    <s v="Not Specified"/>
    <s v="Not Specified"/>
    <n v="75"/>
    <x v="0"/>
    <x v="2"/>
  </r>
  <r>
    <x v="0"/>
    <x v="0"/>
    <x v="49"/>
    <x v="3"/>
    <x v="5"/>
    <x v="39"/>
    <x v="13"/>
    <x v="23"/>
    <x v="19"/>
    <x v="35"/>
    <x v="53"/>
    <s v="Five Stars"/>
    <n v="1458259200"/>
    <s v="Not Specified"/>
    <s v="Not Specified"/>
    <s v="Not Specified"/>
    <n v="9"/>
    <x v="0"/>
    <x v="2"/>
  </r>
  <r>
    <x v="4"/>
    <x v="0"/>
    <x v="313"/>
    <x v="3"/>
    <x v="5"/>
    <x v="384"/>
    <x v="13"/>
    <x v="21"/>
    <x v="17"/>
    <x v="317"/>
    <x v="395"/>
    <s v="you feel like you have a lot of room"/>
    <n v="1458086400"/>
    <s v="Not Specified"/>
    <s v="Not Specified"/>
    <s v="Not Specified"/>
    <n v="213"/>
    <x v="0"/>
    <x v="2"/>
  </r>
  <r>
    <x v="0"/>
    <x v="0"/>
    <x v="314"/>
    <x v="3"/>
    <x v="5"/>
    <x v="385"/>
    <x v="13"/>
    <x v="21"/>
    <x v="17"/>
    <x v="5"/>
    <x v="396"/>
    <s v="Exactly What I Was Looking For"/>
    <n v="1457827200"/>
    <s v="Not Specified"/>
    <s v="Not Specified"/>
    <n v="22"/>
    <n v="412"/>
    <x v="0"/>
    <x v="2"/>
  </r>
  <r>
    <x v="0"/>
    <x v="0"/>
    <x v="315"/>
    <x v="3"/>
    <x v="5"/>
    <x v="386"/>
    <x v="13"/>
    <x v="26"/>
    <x v="17"/>
    <x v="5"/>
    <x v="397"/>
    <s v="Five Stars"/>
    <n v="1457222400"/>
    <s v="Not Specified"/>
    <s v="Not Specified"/>
    <s v="Not Specified"/>
    <n v="17"/>
    <x v="0"/>
    <x v="2"/>
  </r>
  <r>
    <x v="0"/>
    <x v="0"/>
    <x v="316"/>
    <x v="3"/>
    <x v="5"/>
    <x v="387"/>
    <x v="13"/>
    <x v="19"/>
    <x v="19"/>
    <x v="318"/>
    <x v="398"/>
    <s v="Good shoes, tolerable price."/>
    <n v="1456876800"/>
    <s v="Not Specified"/>
    <s v="Not Specified"/>
    <s v="Not Specified"/>
    <n v="55"/>
    <x v="0"/>
    <x v="2"/>
  </r>
  <r>
    <x v="0"/>
    <x v="0"/>
    <x v="317"/>
    <x v="1"/>
    <x v="1"/>
    <x v="388"/>
    <x v="13"/>
    <x v="21"/>
    <x v="36"/>
    <x v="319"/>
    <x v="399"/>
    <s v="Five Stars"/>
    <n v="1525478400"/>
    <s v="Not Specified"/>
    <s v="Not Specified"/>
    <s v="Not Specified"/>
    <n v="71"/>
    <x v="0"/>
    <x v="2"/>
  </r>
  <r>
    <x v="0"/>
    <x v="0"/>
    <x v="318"/>
    <x v="1"/>
    <x v="1"/>
    <x v="389"/>
    <x v="13"/>
    <x v="15"/>
    <x v="34"/>
    <x v="320"/>
    <x v="400"/>
    <s v="Five Stars"/>
    <n v="1525305600"/>
    <s v="Not Specified"/>
    <s v="Not Specified"/>
    <s v="Not Specified"/>
    <n v="90"/>
    <x v="0"/>
    <x v="2"/>
  </r>
  <r>
    <x v="1"/>
    <x v="0"/>
    <x v="310"/>
    <x v="1"/>
    <x v="10"/>
    <x v="381"/>
    <x v="13"/>
    <x v="38"/>
    <x v="29"/>
    <x v="5"/>
    <x v="392"/>
    <s v="Three Stars"/>
    <n v="1525046400"/>
    <s v="Not Specified"/>
    <s v="Not Specified"/>
    <s v="Not Specified"/>
    <n v="14"/>
    <x v="1"/>
    <x v="2"/>
  </r>
  <r>
    <x v="0"/>
    <x v="0"/>
    <x v="311"/>
    <x v="1"/>
    <x v="10"/>
    <x v="382"/>
    <x v="13"/>
    <x v="16"/>
    <x v="31"/>
    <x v="315"/>
    <x v="393"/>
    <s v="Five Stars"/>
    <n v="1524700800"/>
    <s v="Not Specified"/>
    <s v="Not Specified"/>
    <s v="Not Specified"/>
    <n v="43"/>
    <x v="0"/>
    <x v="2"/>
  </r>
  <r>
    <x v="0"/>
    <x v="0"/>
    <x v="312"/>
    <x v="1"/>
    <x v="10"/>
    <x v="383"/>
    <x v="13"/>
    <x v="16"/>
    <x v="17"/>
    <x v="316"/>
    <x v="394"/>
    <s v="Great Shoe"/>
    <n v="1524528000"/>
    <s v="Not Specified"/>
    <s v="Not Specified"/>
    <s v="Not Specified"/>
    <n v="160"/>
    <x v="0"/>
    <x v="2"/>
  </r>
  <r>
    <x v="0"/>
    <x v="0"/>
    <x v="50"/>
    <x v="1"/>
    <x v="10"/>
    <x v="40"/>
    <x v="13"/>
    <x v="14"/>
    <x v="17"/>
    <x v="36"/>
    <x v="58"/>
    <s v="Love these shoes"/>
    <n v="1524355200"/>
    <s v="Not Specified"/>
    <s v="Not Specified"/>
    <s v="Not Specified"/>
    <n v="148"/>
    <x v="0"/>
    <x v="2"/>
  </r>
  <r>
    <x v="1"/>
    <x v="0"/>
    <x v="51"/>
    <x v="1"/>
    <x v="10"/>
    <x v="41"/>
    <x v="13"/>
    <x v="17"/>
    <x v="21"/>
    <x v="37"/>
    <x v="59"/>
    <s v="Its not as comfortable as I was expecting"/>
    <n v="1524096000"/>
    <s v="Not Specified"/>
    <s v="Not Specified"/>
    <s v="Not Specified"/>
    <n v="125"/>
    <x v="1"/>
    <x v="2"/>
  </r>
  <r>
    <x v="0"/>
    <x v="0"/>
    <x v="52"/>
    <x v="1"/>
    <x v="10"/>
    <x v="42"/>
    <x v="13"/>
    <x v="16"/>
    <x v="17"/>
    <x v="38"/>
    <x v="60"/>
    <s v="Very Comfortable"/>
    <n v="1524009600"/>
    <s v="Not Specified"/>
    <s v="Not Specified"/>
    <s v="Not Specified"/>
    <n v="123"/>
    <x v="0"/>
    <x v="2"/>
  </r>
  <r>
    <x v="0"/>
    <x v="0"/>
    <x v="52"/>
    <x v="1"/>
    <x v="10"/>
    <x v="43"/>
    <x v="13"/>
    <x v="14"/>
    <x v="21"/>
    <x v="5"/>
    <x v="61"/>
    <s v="The color pattern and fit is what I liked the most what I liked the least is that ..."/>
    <n v="1524009600"/>
    <s v="Not Specified"/>
    <s v="Not Specified"/>
    <s v="Not Specified"/>
    <n v="155"/>
    <x v="0"/>
    <x v="2"/>
  </r>
  <r>
    <x v="0"/>
    <x v="0"/>
    <x v="53"/>
    <x v="1"/>
    <x v="10"/>
    <x v="44"/>
    <x v="13"/>
    <x v="24"/>
    <x v="12"/>
    <x v="39"/>
    <x v="62"/>
    <s v="Great shoe for the price!"/>
    <n v="1523836800"/>
    <s v="Not Specified"/>
    <s v="Not Specified"/>
    <s v="Not Specified"/>
    <n v="158"/>
    <x v="0"/>
    <x v="2"/>
  </r>
  <r>
    <x v="0"/>
    <x v="0"/>
    <x v="54"/>
    <x v="1"/>
    <x v="10"/>
    <x v="45"/>
    <x v="13"/>
    <x v="17"/>
    <x v="17"/>
    <x v="40"/>
    <x v="63"/>
    <s v="Great shoe!"/>
    <n v="1523750400"/>
    <s v="Not Specified"/>
    <s v="Not Specified"/>
    <s v="Not Specified"/>
    <n v="774"/>
    <x v="0"/>
    <x v="2"/>
  </r>
  <r>
    <x v="1"/>
    <x v="0"/>
    <x v="55"/>
    <x v="1"/>
    <x v="10"/>
    <x v="46"/>
    <x v="13"/>
    <x v="15"/>
    <x v="21"/>
    <x v="41"/>
    <x v="64"/>
    <s v="Three Stars"/>
    <n v="1523577600"/>
    <s v="Not Specified"/>
    <s v="Not Specified"/>
    <s v="Not Specified"/>
    <n v="85"/>
    <x v="1"/>
    <x v="2"/>
  </r>
  <r>
    <x v="1"/>
    <x v="0"/>
    <x v="56"/>
    <x v="1"/>
    <x v="10"/>
    <x v="47"/>
    <x v="13"/>
    <x v="14"/>
    <x v="23"/>
    <x v="42"/>
    <x v="65"/>
    <s v="Three Stars"/>
    <n v="1523232000"/>
    <s v="Not Specified"/>
    <s v="Not Specified"/>
    <s v="Not Specified"/>
    <n v="4"/>
    <x v="1"/>
    <x v="2"/>
  </r>
  <r>
    <x v="0"/>
    <x v="0"/>
    <x v="56"/>
    <x v="1"/>
    <x v="10"/>
    <x v="48"/>
    <x v="13"/>
    <x v="14"/>
    <x v="17"/>
    <x v="43"/>
    <x v="66"/>
    <s v="Five Stars"/>
    <n v="1523232000"/>
    <s v="Not Specified"/>
    <s v="Not Specified"/>
    <s v="Not Specified"/>
    <n v="7"/>
    <x v="0"/>
    <x v="2"/>
  </r>
  <r>
    <x v="0"/>
    <x v="0"/>
    <x v="57"/>
    <x v="1"/>
    <x v="10"/>
    <x v="49"/>
    <x v="13"/>
    <x v="15"/>
    <x v="17"/>
    <x v="44"/>
    <x v="67"/>
    <s v="Love these shoes"/>
    <n v="1523145600"/>
    <s v="Not Specified"/>
    <s v="Not Specified"/>
    <s v="Not Specified"/>
    <n v="157"/>
    <x v="0"/>
    <x v="2"/>
  </r>
  <r>
    <x v="0"/>
    <x v="0"/>
    <x v="58"/>
    <x v="1"/>
    <x v="10"/>
    <x v="50"/>
    <x v="13"/>
    <x v="25"/>
    <x v="23"/>
    <x v="45"/>
    <x v="68"/>
    <s v="Five Stars"/>
    <n v="1523059200"/>
    <s v="Not Specified"/>
    <s v="Not Specified"/>
    <s v="Not Specified"/>
    <n v="0"/>
    <x v="0"/>
    <x v="2"/>
  </r>
  <r>
    <x v="0"/>
    <x v="0"/>
    <x v="59"/>
    <x v="1"/>
    <x v="10"/>
    <x v="51"/>
    <x v="13"/>
    <x v="17"/>
    <x v="17"/>
    <x v="46"/>
    <x v="69"/>
    <s v="Great cross trainer"/>
    <n v="1522800000"/>
    <s v="Not Specified"/>
    <s v="Not Specified"/>
    <s v="Not Specified"/>
    <n v="35"/>
    <x v="0"/>
    <x v="2"/>
  </r>
  <r>
    <x v="4"/>
    <x v="0"/>
    <x v="60"/>
    <x v="1"/>
    <x v="10"/>
    <x v="52"/>
    <x v="13"/>
    <x v="21"/>
    <x v="23"/>
    <x v="47"/>
    <x v="70"/>
    <s v="They are comfortable for the most but just a bit narrow"/>
    <n v="1522713600"/>
    <s v="Not Specified"/>
    <s v="Not Specified"/>
    <s v="Not Specified"/>
    <n v="213"/>
    <x v="0"/>
    <x v="2"/>
  </r>
  <r>
    <x v="0"/>
    <x v="0"/>
    <x v="60"/>
    <x v="1"/>
    <x v="10"/>
    <x v="53"/>
    <x v="13"/>
    <x v="17"/>
    <x v="17"/>
    <x v="48"/>
    <x v="71"/>
    <s v="staple sneakers"/>
    <n v="1522713600"/>
    <s v="Not Specified"/>
    <s v="Not Specified"/>
    <s v="Not Specified"/>
    <n v="105"/>
    <x v="0"/>
    <x v="2"/>
  </r>
  <r>
    <x v="0"/>
    <x v="0"/>
    <x v="61"/>
    <x v="1"/>
    <x v="5"/>
    <x v="54"/>
    <x v="13"/>
    <x v="21"/>
    <x v="17"/>
    <x v="49"/>
    <x v="72"/>
    <s v="Great looking shoe"/>
    <n v="1522454400"/>
    <s v="Not Specified"/>
    <s v="Not Specified"/>
    <s v="Not Specified"/>
    <n v="48"/>
    <x v="0"/>
    <x v="2"/>
  </r>
  <r>
    <x v="0"/>
    <x v="0"/>
    <x v="62"/>
    <x v="1"/>
    <x v="5"/>
    <x v="55"/>
    <x v="13"/>
    <x v="14"/>
    <x v="24"/>
    <x v="50"/>
    <x v="73"/>
    <s v="Great shoes."/>
    <n v="1522195200"/>
    <s v="Not Specified"/>
    <s v="Not Specified"/>
    <s v="Not Specified"/>
    <n v="90"/>
    <x v="0"/>
    <x v="2"/>
  </r>
  <r>
    <x v="1"/>
    <x v="0"/>
    <x v="63"/>
    <x v="1"/>
    <x v="5"/>
    <x v="56"/>
    <x v="13"/>
    <x v="21"/>
    <x v="23"/>
    <x v="51"/>
    <x v="74"/>
    <s v="Style 10/10, Comfort 3/10"/>
    <n v="1522108800"/>
    <s v="Not Specified"/>
    <s v="Not Specified"/>
    <s v="Not Specified"/>
    <n v="121"/>
    <x v="1"/>
    <x v="2"/>
  </r>
  <r>
    <x v="0"/>
    <x v="0"/>
    <x v="64"/>
    <x v="1"/>
    <x v="5"/>
    <x v="57"/>
    <x v="13"/>
    <x v="17"/>
    <x v="21"/>
    <x v="52"/>
    <x v="75"/>
    <s v="these shoes are great! Very lightweight and fits comfortably on my feet ..."/>
    <n v="1521676800"/>
    <s v="Not Specified"/>
    <s v="Not Specified"/>
    <s v="Not Specified"/>
    <n v="277"/>
    <x v="0"/>
    <x v="2"/>
  </r>
  <r>
    <x v="0"/>
    <x v="0"/>
    <x v="64"/>
    <x v="1"/>
    <x v="5"/>
    <x v="58"/>
    <x v="13"/>
    <x v="16"/>
    <x v="17"/>
    <x v="53"/>
    <x v="76"/>
    <s v="Great shoes. Fit perfectly"/>
    <n v="1521676800"/>
    <s v="Not Specified"/>
    <s v="Not Specified"/>
    <s v="Not Specified"/>
    <n v="129"/>
    <x v="0"/>
    <x v="2"/>
  </r>
  <r>
    <x v="0"/>
    <x v="0"/>
    <x v="65"/>
    <x v="1"/>
    <x v="5"/>
    <x v="59"/>
    <x v="13"/>
    <x v="26"/>
    <x v="23"/>
    <x v="54"/>
    <x v="77"/>
    <s v="Five Stars"/>
    <n v="1521590400"/>
    <s v="Not Specified"/>
    <s v="Not Specified"/>
    <s v="Not Specified"/>
    <n v="56"/>
    <x v="0"/>
    <x v="2"/>
  </r>
  <r>
    <x v="0"/>
    <x v="0"/>
    <x v="66"/>
    <x v="1"/>
    <x v="5"/>
    <x v="60"/>
    <x v="13"/>
    <x v="15"/>
    <x v="17"/>
    <x v="55"/>
    <x v="78"/>
    <s v="Perfect. Lightweight and comfortable all day"/>
    <n v="1521504000"/>
    <s v="Not Specified"/>
    <s v="Not Specified"/>
    <s v="Not Specified"/>
    <n v="137"/>
    <x v="0"/>
    <x v="2"/>
  </r>
  <r>
    <x v="0"/>
    <x v="0"/>
    <x v="67"/>
    <x v="1"/>
    <x v="5"/>
    <x v="61"/>
    <x v="13"/>
    <x v="21"/>
    <x v="17"/>
    <x v="56"/>
    <x v="79"/>
    <s v="My knees feel better so so hard so good"/>
    <n v="1521417600"/>
    <s v="Not Specified"/>
    <s v="Not Specified"/>
    <s v="Not Specified"/>
    <n v="211"/>
    <x v="0"/>
    <x v="2"/>
  </r>
  <r>
    <x v="0"/>
    <x v="0"/>
    <x v="67"/>
    <x v="1"/>
    <x v="5"/>
    <x v="62"/>
    <x v="13"/>
    <x v="21"/>
    <x v="24"/>
    <x v="57"/>
    <x v="80"/>
    <s v="Five Stars"/>
    <n v="1521417600"/>
    <s v="Not Specified"/>
    <s v="Not Specified"/>
    <s v="Not Specified"/>
    <n v="15"/>
    <x v="0"/>
    <x v="2"/>
  </r>
  <r>
    <x v="4"/>
    <x v="0"/>
    <x v="68"/>
    <x v="1"/>
    <x v="5"/>
    <x v="63"/>
    <x v="13"/>
    <x v="27"/>
    <x v="25"/>
    <x v="58"/>
    <x v="81"/>
    <s v="Comfortable, lightweight Xtrainer"/>
    <n v="1521244800"/>
    <s v="Not Specified"/>
    <s v="Not Specified"/>
    <s v="Not Specified"/>
    <n v="127"/>
    <x v="0"/>
    <x v="2"/>
  </r>
  <r>
    <x v="0"/>
    <x v="0"/>
    <x v="69"/>
    <x v="1"/>
    <x v="5"/>
    <x v="64"/>
    <x v="13"/>
    <x v="22"/>
    <x v="17"/>
    <x v="59"/>
    <x v="82"/>
    <s v="Great shoe!"/>
    <n v="1520899200"/>
    <s v="Not Specified"/>
    <s v="Not Specified"/>
    <s v="Not Specified"/>
    <n v="174"/>
    <x v="0"/>
    <x v="2"/>
  </r>
  <r>
    <x v="3"/>
    <x v="0"/>
    <x v="70"/>
    <x v="1"/>
    <x v="5"/>
    <x v="65"/>
    <x v="13"/>
    <x v="16"/>
    <x v="26"/>
    <x v="60"/>
    <x v="83"/>
    <s v="Returned...looked cheap"/>
    <n v="1520726400"/>
    <s v="Not Specified"/>
    <s v="Not Specified"/>
    <s v="Not Specified"/>
    <n v="22"/>
    <x v="2"/>
    <x v="2"/>
  </r>
  <r>
    <x v="0"/>
    <x v="0"/>
    <x v="71"/>
    <x v="1"/>
    <x v="5"/>
    <x v="66"/>
    <x v="13"/>
    <x v="17"/>
    <x v="17"/>
    <x v="5"/>
    <x v="84"/>
    <s v="Fits to size"/>
    <n v="1520208000"/>
    <s v="Not Specified"/>
    <s v="Not Specified"/>
    <s v="Not Specified"/>
    <n v="22"/>
    <x v="0"/>
    <x v="2"/>
  </r>
  <r>
    <x v="0"/>
    <x v="0"/>
    <x v="72"/>
    <x v="1"/>
    <x v="5"/>
    <x v="67"/>
    <x v="13"/>
    <x v="25"/>
    <x v="17"/>
    <x v="61"/>
    <x v="85"/>
    <s v="Very comfortable shoes. This is my second pair of this ..."/>
    <n v="1519948800"/>
    <s v="Not Specified"/>
    <s v="Not Specified"/>
    <s v="Not Specified"/>
    <n v="100"/>
    <x v="0"/>
    <x v="2"/>
  </r>
  <r>
    <x v="0"/>
    <x v="0"/>
    <x v="73"/>
    <x v="1"/>
    <x v="8"/>
    <x v="68"/>
    <x v="13"/>
    <x v="22"/>
    <x v="17"/>
    <x v="62"/>
    <x v="86"/>
    <s v="Sleek and sporty"/>
    <n v="1519776000"/>
    <s v="Not Specified"/>
    <s v="Not Specified"/>
    <s v="Not Specified"/>
    <n v="58"/>
    <x v="0"/>
    <x v="2"/>
  </r>
  <r>
    <x v="0"/>
    <x v="0"/>
    <x v="74"/>
    <x v="1"/>
    <x v="8"/>
    <x v="69"/>
    <x v="13"/>
    <x v="21"/>
    <x v="17"/>
    <x v="5"/>
    <x v="87"/>
    <s v="I love the shoes and the description and photos were accurate"/>
    <n v="1519689600"/>
    <s v="Not Specified"/>
    <s v="Not Specified"/>
    <s v="Not Specified"/>
    <n v="269"/>
    <x v="0"/>
    <x v="2"/>
  </r>
  <r>
    <x v="0"/>
    <x v="0"/>
    <x v="74"/>
    <x v="1"/>
    <x v="8"/>
    <x v="70"/>
    <x v="13"/>
    <x v="21"/>
    <x v="21"/>
    <x v="63"/>
    <x v="88"/>
    <s v="Great fit!"/>
    <n v="1519689600"/>
    <s v="Not Specified"/>
    <s v="Not Specified"/>
    <s v="Not Specified"/>
    <n v="152"/>
    <x v="0"/>
    <x v="2"/>
  </r>
  <r>
    <x v="0"/>
    <x v="0"/>
    <x v="74"/>
    <x v="1"/>
    <x v="8"/>
    <x v="71"/>
    <x v="13"/>
    <x v="16"/>
    <x v="17"/>
    <x v="64"/>
    <x v="89"/>
    <s v="Lightweight"/>
    <n v="1519689600"/>
    <s v="Not Specified"/>
    <s v="Not Specified"/>
    <s v="Not Specified"/>
    <n v="46"/>
    <x v="0"/>
    <x v="2"/>
  </r>
  <r>
    <x v="3"/>
    <x v="0"/>
    <x v="75"/>
    <x v="1"/>
    <x v="8"/>
    <x v="72"/>
    <x v="13"/>
    <x v="21"/>
    <x v="17"/>
    <x v="65"/>
    <x v="90"/>
    <s v="Squeaky soles"/>
    <n v="1519516800"/>
    <s v="Not Specified"/>
    <s v="Not Specified"/>
    <s v="Not Specified"/>
    <n v="282"/>
    <x v="2"/>
    <x v="2"/>
  </r>
  <r>
    <x v="2"/>
    <x v="0"/>
    <x v="75"/>
    <x v="1"/>
    <x v="8"/>
    <x v="73"/>
    <x v="13"/>
    <x v="17"/>
    <x v="17"/>
    <x v="5"/>
    <x v="91"/>
    <s v="Two Stars"/>
    <n v="1519516800"/>
    <s v="Not Specified"/>
    <s v="Not Specified"/>
    <s v="Not Specified"/>
    <n v="89"/>
    <x v="2"/>
    <x v="2"/>
  </r>
  <r>
    <x v="0"/>
    <x v="0"/>
    <x v="76"/>
    <x v="1"/>
    <x v="8"/>
    <x v="74"/>
    <x v="13"/>
    <x v="15"/>
    <x v="17"/>
    <x v="66"/>
    <x v="92"/>
    <s v="Comfortable and"/>
    <n v="1519171200"/>
    <s v="Not Specified"/>
    <s v="Not Specified"/>
    <s v="Not Specified"/>
    <n v="45"/>
    <x v="0"/>
    <x v="2"/>
  </r>
  <r>
    <x v="0"/>
    <x v="0"/>
    <x v="77"/>
    <x v="1"/>
    <x v="8"/>
    <x v="75"/>
    <x v="13"/>
    <x v="22"/>
    <x v="23"/>
    <x v="67"/>
    <x v="93"/>
    <s v="Their Cute and Pink"/>
    <n v="1519084800"/>
    <s v="Not Specified"/>
    <s v="Not Specified"/>
    <s v="Not Specified"/>
    <n v="47"/>
    <x v="0"/>
    <x v="2"/>
  </r>
  <r>
    <x v="0"/>
    <x v="0"/>
    <x v="78"/>
    <x v="1"/>
    <x v="8"/>
    <x v="76"/>
    <x v="13"/>
    <x v="21"/>
    <x v="21"/>
    <x v="68"/>
    <x v="94"/>
    <s v="Five Stars"/>
    <n v="1518566400"/>
    <s v="Not Specified"/>
    <s v="Not Specified"/>
    <s v="Not Specified"/>
    <n v="46"/>
    <x v="0"/>
    <x v="2"/>
  </r>
  <r>
    <x v="0"/>
    <x v="0"/>
    <x v="78"/>
    <x v="1"/>
    <x v="8"/>
    <x v="77"/>
    <x v="13"/>
    <x v="14"/>
    <x v="17"/>
    <x v="5"/>
    <x v="95"/>
    <s v="Smooth and confortable."/>
    <n v="1518566400"/>
    <s v="Not Specified"/>
    <s v="Not Specified"/>
    <s v="Not Specified"/>
    <n v="17"/>
    <x v="0"/>
    <x v="2"/>
  </r>
  <r>
    <x v="0"/>
    <x v="0"/>
    <x v="79"/>
    <x v="1"/>
    <x v="8"/>
    <x v="78"/>
    <x v="13"/>
    <x v="15"/>
    <x v="27"/>
    <x v="69"/>
    <x v="96"/>
    <s v="Five Stars"/>
    <n v="1518393600"/>
    <s v="Not Specified"/>
    <s v="Not Specified"/>
    <s v="Not Specified"/>
    <n v="19"/>
    <x v="0"/>
    <x v="2"/>
  </r>
  <r>
    <x v="0"/>
    <x v="0"/>
    <x v="80"/>
    <x v="1"/>
    <x v="8"/>
    <x v="79"/>
    <x v="13"/>
    <x v="21"/>
    <x v="44"/>
    <x v="70"/>
    <x v="97"/>
    <s v="decent arch support and comfortably to wear all day doing regular activity and sprinting"/>
    <n v="1517443200"/>
    <s v="Not Specified"/>
    <s v="Not Specified"/>
    <s v="Not Specified"/>
    <n v="102"/>
    <x v="0"/>
    <x v="2"/>
  </r>
  <r>
    <x v="0"/>
    <x v="0"/>
    <x v="80"/>
    <x v="1"/>
    <x v="8"/>
    <x v="80"/>
    <x v="13"/>
    <x v="14"/>
    <x v="17"/>
    <x v="71"/>
    <x v="98"/>
    <s v="Five Stars"/>
    <n v="1517443200"/>
    <s v="Not Specified"/>
    <s v="Not Specified"/>
    <s v="Not Specified"/>
    <n v="19"/>
    <x v="0"/>
    <x v="2"/>
  </r>
  <r>
    <x v="0"/>
    <x v="0"/>
    <x v="81"/>
    <x v="1"/>
    <x v="2"/>
    <x v="81"/>
    <x v="13"/>
    <x v="26"/>
    <x v="28"/>
    <x v="72"/>
    <x v="99"/>
    <s v="Good shoes"/>
    <n v="1517184000"/>
    <s v="Not Specified"/>
    <s v="Not Specified"/>
    <s v="Not Specified"/>
    <n v="132"/>
    <x v="0"/>
    <x v="2"/>
  </r>
  <r>
    <x v="4"/>
    <x v="0"/>
    <x v="2"/>
    <x v="1"/>
    <x v="2"/>
    <x v="82"/>
    <x v="13"/>
    <x v="16"/>
    <x v="17"/>
    <x v="73"/>
    <x v="100"/>
    <s v="Good shoes"/>
    <n v="1516838400"/>
    <s v="Not Specified"/>
    <s v="Not Specified"/>
    <s v="Not Specified"/>
    <n v="860"/>
    <x v="0"/>
    <x v="2"/>
  </r>
  <r>
    <x v="0"/>
    <x v="0"/>
    <x v="82"/>
    <x v="1"/>
    <x v="2"/>
    <x v="83"/>
    <x v="13"/>
    <x v="22"/>
    <x v="29"/>
    <x v="74"/>
    <x v="101"/>
    <s v="Five Stars"/>
    <n v="1516233600"/>
    <s v="Not Specified"/>
    <s v="Not Specified"/>
    <s v="Not Specified"/>
    <n v="16"/>
    <x v="0"/>
    <x v="2"/>
  </r>
  <r>
    <x v="0"/>
    <x v="0"/>
    <x v="83"/>
    <x v="1"/>
    <x v="2"/>
    <x v="84"/>
    <x v="13"/>
    <x v="28"/>
    <x v="25"/>
    <x v="75"/>
    <x v="102"/>
    <s v="Five Stars"/>
    <n v="1515628800"/>
    <s v="Not Specified"/>
    <s v="Not Specified"/>
    <s v="Not Specified"/>
    <n v="81"/>
    <x v="0"/>
    <x v="2"/>
  </r>
  <r>
    <x v="3"/>
    <x v="0"/>
    <x v="84"/>
    <x v="1"/>
    <x v="2"/>
    <x v="85"/>
    <x v="13"/>
    <x v="24"/>
    <x v="30"/>
    <x v="76"/>
    <x v="103"/>
    <s v="One Star"/>
    <n v="1515542400"/>
    <s v="Not Specified"/>
    <s v="Not Specified"/>
    <s v="Not Specified"/>
    <n v="27"/>
    <x v="2"/>
    <x v="2"/>
  </r>
  <r>
    <x v="0"/>
    <x v="0"/>
    <x v="84"/>
    <x v="1"/>
    <x v="2"/>
    <x v="86"/>
    <x v="13"/>
    <x v="16"/>
    <x v="17"/>
    <x v="77"/>
    <x v="104"/>
    <s v="Glad I read the reviews and ordered a half size ..."/>
    <n v="1515542400"/>
    <s v="Not Specified"/>
    <s v="Not Specified"/>
    <n v="2"/>
    <n v="617"/>
    <x v="0"/>
    <x v="2"/>
  </r>
  <r>
    <x v="1"/>
    <x v="0"/>
    <x v="85"/>
    <x v="1"/>
    <x v="2"/>
    <x v="87"/>
    <x v="13"/>
    <x v="16"/>
    <x v="21"/>
    <x v="78"/>
    <x v="105"/>
    <s v="Not in perfect condition"/>
    <n v="1515456000"/>
    <s v="Not Specified"/>
    <s v="Not Specified"/>
    <s v="Not Specified"/>
    <n v="54"/>
    <x v="1"/>
    <x v="2"/>
  </r>
  <r>
    <x v="0"/>
    <x v="0"/>
    <x v="86"/>
    <x v="1"/>
    <x v="2"/>
    <x v="88"/>
    <x v="13"/>
    <x v="17"/>
    <x v="17"/>
    <x v="79"/>
    <x v="106"/>
    <s v="Very comfortable, cute, and long-lasting"/>
    <n v="1515369600"/>
    <s v="Not Specified"/>
    <s v="Not Specified"/>
    <s v="Not Specified"/>
    <n v="715"/>
    <x v="0"/>
    <x v="2"/>
  </r>
  <r>
    <x v="0"/>
    <x v="0"/>
    <x v="86"/>
    <x v="1"/>
    <x v="2"/>
    <x v="89"/>
    <x v="13"/>
    <x v="24"/>
    <x v="31"/>
    <x v="80"/>
    <x v="107"/>
    <s v="Super light-weight, nice tread and arch support - love them so far!"/>
    <n v="1515369600"/>
    <s v="Not Specified"/>
    <s v="Not Specified"/>
    <s v="Not Specified"/>
    <n v="1003"/>
    <x v="0"/>
    <x v="2"/>
  </r>
  <r>
    <x v="0"/>
    <x v="0"/>
    <x v="87"/>
    <x v="1"/>
    <x v="2"/>
    <x v="90"/>
    <x v="13"/>
    <x v="21"/>
    <x v="23"/>
    <x v="81"/>
    <x v="108"/>
    <s v="Five Stars"/>
    <n v="1515283200"/>
    <s v="Not Specified"/>
    <s v="Not Specified"/>
    <s v="Not Specified"/>
    <n v="51"/>
    <x v="0"/>
    <x v="2"/>
  </r>
  <r>
    <x v="0"/>
    <x v="0"/>
    <x v="88"/>
    <x v="2"/>
    <x v="11"/>
    <x v="91"/>
    <x v="13"/>
    <x v="42"/>
    <x v="25"/>
    <x v="5"/>
    <x v="109"/>
    <s v="My wife loves these shoes. We have both been ..."/>
    <n v="1514505600"/>
    <s v="Not Specified"/>
    <s v="Not Specified"/>
    <s v="Not Specified"/>
    <n v="240"/>
    <x v="0"/>
    <x v="2"/>
  </r>
  <r>
    <x v="0"/>
    <x v="0"/>
    <x v="89"/>
    <x v="2"/>
    <x v="11"/>
    <x v="92"/>
    <x v="13"/>
    <x v="15"/>
    <x v="27"/>
    <x v="82"/>
    <x v="110"/>
    <s v="New Favorite Shoes"/>
    <n v="1514419200"/>
    <s v="Not Specified"/>
    <s v="Not Specified"/>
    <s v="Not Specified"/>
    <n v="68"/>
    <x v="0"/>
    <x v="2"/>
  </r>
  <r>
    <x v="2"/>
    <x v="0"/>
    <x v="90"/>
    <x v="2"/>
    <x v="11"/>
    <x v="93"/>
    <x v="13"/>
    <x v="25"/>
    <x v="29"/>
    <x v="83"/>
    <x v="111"/>
    <s v="Foam compresses"/>
    <n v="1513468800"/>
    <s v="Not Specified"/>
    <s v="Not Specified"/>
    <s v="Not Specified"/>
    <n v="263"/>
    <x v="2"/>
    <x v="2"/>
  </r>
  <r>
    <x v="0"/>
    <x v="0"/>
    <x v="90"/>
    <x v="2"/>
    <x v="11"/>
    <x v="94"/>
    <x v="13"/>
    <x v="21"/>
    <x v="17"/>
    <x v="84"/>
    <x v="112"/>
    <s v="Five Stars"/>
    <n v="1513468800"/>
    <s v="Not Specified"/>
    <s v="Not Specified"/>
    <s v="Not Specified"/>
    <n v="14"/>
    <x v="0"/>
    <x v="2"/>
  </r>
  <r>
    <x v="1"/>
    <x v="0"/>
    <x v="91"/>
    <x v="2"/>
    <x v="11"/>
    <x v="95"/>
    <x v="13"/>
    <x v="17"/>
    <x v="23"/>
    <x v="85"/>
    <x v="113"/>
    <s v="I usually wear a 9 but could have easily ordered a 8"/>
    <n v="1512432000"/>
    <s v="Not Specified"/>
    <s v="Not Specified"/>
    <s v="Not Specified"/>
    <n v="757"/>
    <x v="1"/>
    <x v="2"/>
  </r>
  <r>
    <x v="0"/>
    <x v="0"/>
    <x v="91"/>
    <x v="2"/>
    <x v="11"/>
    <x v="96"/>
    <x v="13"/>
    <x v="21"/>
    <x v="24"/>
    <x v="86"/>
    <x v="114"/>
    <s v="Five Stars"/>
    <n v="1512432000"/>
    <s v="Not Specified"/>
    <s v="Not Specified"/>
    <s v="Not Specified"/>
    <n v="5"/>
    <x v="0"/>
    <x v="2"/>
  </r>
  <r>
    <x v="0"/>
    <x v="0"/>
    <x v="92"/>
    <x v="2"/>
    <x v="11"/>
    <x v="97"/>
    <x v="13"/>
    <x v="26"/>
    <x v="24"/>
    <x v="5"/>
    <x v="115"/>
    <s v="Five Stars"/>
    <n v="1512345600"/>
    <s v="Not Specified"/>
    <s v="Not Specified"/>
    <s v="Not Specified"/>
    <n v="1"/>
    <x v="0"/>
    <x v="2"/>
  </r>
  <r>
    <x v="0"/>
    <x v="0"/>
    <x v="93"/>
    <x v="2"/>
    <x v="7"/>
    <x v="98"/>
    <x v="13"/>
    <x v="17"/>
    <x v="23"/>
    <x v="87"/>
    <x v="116"/>
    <s v="Five Stars"/>
    <n v="1512000000"/>
    <s v="Not Specified"/>
    <s v="Not Specified"/>
    <s v="Not Specified"/>
    <n v="10"/>
    <x v="0"/>
    <x v="2"/>
  </r>
  <r>
    <x v="1"/>
    <x v="0"/>
    <x v="93"/>
    <x v="2"/>
    <x v="7"/>
    <x v="99"/>
    <x v="13"/>
    <x v="17"/>
    <x v="17"/>
    <x v="5"/>
    <x v="117"/>
    <s v="Fits snug"/>
    <n v="1512000000"/>
    <s v="Not Specified"/>
    <s v="Not Specified"/>
    <s v="Not Specified"/>
    <n v="192"/>
    <x v="1"/>
    <x v="2"/>
  </r>
  <r>
    <x v="1"/>
    <x v="0"/>
    <x v="94"/>
    <x v="2"/>
    <x v="7"/>
    <x v="100"/>
    <x v="13"/>
    <x v="24"/>
    <x v="12"/>
    <x v="88"/>
    <x v="118"/>
    <s v="Not sure why, but my mid section of my ..."/>
    <n v="1511827200"/>
    <s v="Not Specified"/>
    <s v="Not Specified"/>
    <s v="Not Specified"/>
    <n v="194"/>
    <x v="1"/>
    <x v="2"/>
  </r>
  <r>
    <x v="4"/>
    <x v="0"/>
    <x v="94"/>
    <x v="2"/>
    <x v="7"/>
    <x v="101"/>
    <x v="13"/>
    <x v="30"/>
    <x v="28"/>
    <x v="89"/>
    <x v="119"/>
    <s v="Love"/>
    <n v="1511827200"/>
    <s v="Not Specified"/>
    <s v="Not Specified"/>
    <s v="Not Specified"/>
    <n v="27"/>
    <x v="0"/>
    <x v="2"/>
  </r>
  <r>
    <x v="0"/>
    <x v="0"/>
    <x v="95"/>
    <x v="2"/>
    <x v="7"/>
    <x v="102"/>
    <x v="13"/>
    <x v="17"/>
    <x v="24"/>
    <x v="90"/>
    <x v="120"/>
    <s v="Five Stars"/>
    <n v="1511740800"/>
    <s v="Not Specified"/>
    <s v="Not Specified"/>
    <s v="Not Specified"/>
    <n v="8"/>
    <x v="0"/>
    <x v="2"/>
  </r>
  <r>
    <x v="0"/>
    <x v="0"/>
    <x v="95"/>
    <x v="2"/>
    <x v="7"/>
    <x v="102"/>
    <x v="13"/>
    <x v="17"/>
    <x v="27"/>
    <x v="90"/>
    <x v="120"/>
    <s v="Five Stars"/>
    <n v="1511740800"/>
    <s v="Not Specified"/>
    <s v="Not Specified"/>
    <s v="Not Specified"/>
    <n v="8"/>
    <x v="0"/>
    <x v="2"/>
  </r>
  <r>
    <x v="3"/>
    <x v="0"/>
    <x v="96"/>
    <x v="2"/>
    <x v="7"/>
    <x v="103"/>
    <x v="13"/>
    <x v="15"/>
    <x v="17"/>
    <x v="91"/>
    <x v="121"/>
    <s v="TOO NARROW!"/>
    <n v="1511049600"/>
    <s v="Not Specified"/>
    <s v="Not Specified"/>
    <s v="Not Specified"/>
    <n v="133"/>
    <x v="2"/>
    <x v="2"/>
  </r>
  <r>
    <x v="0"/>
    <x v="0"/>
    <x v="97"/>
    <x v="2"/>
    <x v="7"/>
    <x v="104"/>
    <x v="13"/>
    <x v="17"/>
    <x v="24"/>
    <x v="92"/>
    <x v="122"/>
    <s v="Consider sizing down 1 size"/>
    <n v="1510617600"/>
    <s v="Not Specified"/>
    <s v="Not Specified"/>
    <s v="Not Specified"/>
    <n v="232"/>
    <x v="0"/>
    <x v="2"/>
  </r>
  <r>
    <x v="4"/>
    <x v="0"/>
    <x v="98"/>
    <x v="2"/>
    <x v="7"/>
    <x v="105"/>
    <x v="13"/>
    <x v="21"/>
    <x v="32"/>
    <x v="93"/>
    <x v="123"/>
    <s v="Seem to Run Big"/>
    <n v="1510358400"/>
    <s v="Not Specified"/>
    <s v="Not Specified"/>
    <s v="Not Specified"/>
    <n v="104"/>
    <x v="0"/>
    <x v="2"/>
  </r>
  <r>
    <x v="0"/>
    <x v="0"/>
    <x v="99"/>
    <x v="2"/>
    <x v="7"/>
    <x v="106"/>
    <x v="13"/>
    <x v="30"/>
    <x v="28"/>
    <x v="94"/>
    <x v="124"/>
    <s v="Five Stars"/>
    <n v="1510272000"/>
    <s v="Not Specified"/>
    <s v="Not Specified"/>
    <s v="Not Specified"/>
    <n v="15"/>
    <x v="0"/>
    <x v="2"/>
  </r>
  <r>
    <x v="0"/>
    <x v="0"/>
    <x v="100"/>
    <x v="2"/>
    <x v="7"/>
    <x v="107"/>
    <x v="13"/>
    <x v="14"/>
    <x v="17"/>
    <x v="5"/>
    <x v="125"/>
    <s v="Perfect for trails"/>
    <n v="1510185600"/>
    <s v="Not Specified"/>
    <s v="Not Specified"/>
    <s v="Not Specified"/>
    <n v="278"/>
    <x v="0"/>
    <x v="2"/>
  </r>
  <r>
    <x v="4"/>
    <x v="0"/>
    <x v="101"/>
    <x v="2"/>
    <x v="7"/>
    <x v="108"/>
    <x v="13"/>
    <x v="17"/>
    <x v="23"/>
    <x v="95"/>
    <x v="126"/>
    <s v="Four Stars"/>
    <n v="1510012800"/>
    <s v="Not Specified"/>
    <s v="Not Specified"/>
    <s v="Not Specified"/>
    <n v="8"/>
    <x v="0"/>
    <x v="2"/>
  </r>
  <r>
    <x v="2"/>
    <x v="0"/>
    <x v="102"/>
    <x v="2"/>
    <x v="7"/>
    <x v="109"/>
    <x v="13"/>
    <x v="14"/>
    <x v="33"/>
    <x v="5"/>
    <x v="127"/>
    <s v="Zumba) - and really wanted to like them, since I loved the color and the ..."/>
    <n v="1509840000"/>
    <s v="Not Specified"/>
    <s v="Not Specified"/>
    <n v="6"/>
    <n v="467"/>
    <x v="2"/>
    <x v="2"/>
  </r>
  <r>
    <x v="0"/>
    <x v="0"/>
    <x v="103"/>
    <x v="2"/>
    <x v="7"/>
    <x v="110"/>
    <x v="13"/>
    <x v="22"/>
    <x v="23"/>
    <x v="96"/>
    <x v="128"/>
    <s v="Five Stars"/>
    <n v="1509753600"/>
    <s v="Not Specified"/>
    <s v="Not Specified"/>
    <s v="Not Specified"/>
    <n v="39"/>
    <x v="0"/>
    <x v="2"/>
  </r>
  <r>
    <x v="1"/>
    <x v="0"/>
    <x v="103"/>
    <x v="2"/>
    <x v="7"/>
    <x v="111"/>
    <x v="13"/>
    <x v="16"/>
    <x v="33"/>
    <x v="97"/>
    <x v="129"/>
    <s v="Three Stars"/>
    <n v="1509753600"/>
    <s v="Not Specified"/>
    <s v="Not Specified"/>
    <s v="Not Specified"/>
    <n v="38"/>
    <x v="1"/>
    <x v="2"/>
  </r>
  <r>
    <x v="4"/>
    <x v="0"/>
    <x v="104"/>
    <x v="2"/>
    <x v="7"/>
    <x v="112"/>
    <x v="13"/>
    <x v="21"/>
    <x v="23"/>
    <x v="98"/>
    <x v="130"/>
    <s v="Size problem"/>
    <n v="1509667200"/>
    <s v="Not Specified"/>
    <s v="Not Specified"/>
    <s v="Not Specified"/>
    <n v="23"/>
    <x v="0"/>
    <x v="2"/>
  </r>
  <r>
    <x v="0"/>
    <x v="0"/>
    <x v="105"/>
    <x v="2"/>
    <x v="7"/>
    <x v="113"/>
    <x v="13"/>
    <x v="21"/>
    <x v="24"/>
    <x v="99"/>
    <x v="116"/>
    <s v="Five Stars"/>
    <n v="1509580800"/>
    <s v="Not Specified"/>
    <s v="Not Specified"/>
    <s v="Not Specified"/>
    <n v="10"/>
    <x v="0"/>
    <x v="2"/>
  </r>
  <r>
    <x v="4"/>
    <x v="0"/>
    <x v="106"/>
    <x v="2"/>
    <x v="3"/>
    <x v="114"/>
    <x v="13"/>
    <x v="15"/>
    <x v="34"/>
    <x v="100"/>
    <x v="131"/>
    <s v="True to size, would recommend"/>
    <n v="1509408000"/>
    <s v="Not Specified"/>
    <s v="Not Specified"/>
    <s v="Not Specified"/>
    <n v="152"/>
    <x v="0"/>
    <x v="2"/>
  </r>
  <r>
    <x v="0"/>
    <x v="0"/>
    <x v="107"/>
    <x v="2"/>
    <x v="3"/>
    <x v="115"/>
    <x v="13"/>
    <x v="22"/>
    <x v="23"/>
    <x v="101"/>
    <x v="132"/>
    <s v="Best birthday present"/>
    <n v="1509235200"/>
    <s v="Not Specified"/>
    <s v="Not Specified"/>
    <s v="Not Specified"/>
    <n v="21"/>
    <x v="0"/>
    <x v="2"/>
  </r>
  <r>
    <x v="0"/>
    <x v="0"/>
    <x v="108"/>
    <x v="2"/>
    <x v="3"/>
    <x v="116"/>
    <x v="13"/>
    <x v="30"/>
    <x v="17"/>
    <x v="102"/>
    <x v="133"/>
    <s v="Purchased these for my wife as she has a similar ..."/>
    <n v="1508976000"/>
    <s v="Not Specified"/>
    <s v="Not Specified"/>
    <s v="Not Specified"/>
    <n v="185"/>
    <x v="0"/>
    <x v="2"/>
  </r>
  <r>
    <x v="0"/>
    <x v="0"/>
    <x v="108"/>
    <x v="2"/>
    <x v="3"/>
    <x v="117"/>
    <x v="13"/>
    <x v="14"/>
    <x v="24"/>
    <x v="103"/>
    <x v="134"/>
    <s v="I have pretty high arches and my calves always hurt at the ..."/>
    <n v="1508976000"/>
    <s v="Not Specified"/>
    <s v="Not Specified"/>
    <s v="Not Specified"/>
    <n v="351"/>
    <x v="0"/>
    <x v="2"/>
  </r>
  <r>
    <x v="0"/>
    <x v="0"/>
    <x v="12"/>
    <x v="2"/>
    <x v="3"/>
    <x v="118"/>
    <x v="13"/>
    <x v="21"/>
    <x v="35"/>
    <x v="104"/>
    <x v="135"/>
    <s v="Five Stars"/>
    <n v="1508889600"/>
    <s v="Not Specified"/>
    <s v="Not Specified"/>
    <s v="Not Specified"/>
    <n v="11"/>
    <x v="0"/>
    <x v="2"/>
  </r>
  <r>
    <x v="0"/>
    <x v="0"/>
    <x v="109"/>
    <x v="2"/>
    <x v="3"/>
    <x v="119"/>
    <x v="13"/>
    <x v="15"/>
    <x v="33"/>
    <x v="105"/>
    <x v="136"/>
    <s v="Five Stars"/>
    <n v="1508803200"/>
    <s v="Not Specified"/>
    <s v="Not Specified"/>
    <s v="Not Specified"/>
    <n v="35"/>
    <x v="0"/>
    <x v="2"/>
  </r>
  <r>
    <x v="0"/>
    <x v="0"/>
    <x v="110"/>
    <x v="2"/>
    <x v="3"/>
    <x v="120"/>
    <x v="13"/>
    <x v="21"/>
    <x v="36"/>
    <x v="106"/>
    <x v="137"/>
    <s v="Five Stars"/>
    <n v="1508630400"/>
    <s v="Not Specified"/>
    <s v="Not Specified"/>
    <s v="Not Specified"/>
    <n v="14"/>
    <x v="0"/>
    <x v="2"/>
  </r>
  <r>
    <x v="1"/>
    <x v="0"/>
    <x v="111"/>
    <x v="2"/>
    <x v="3"/>
    <x v="121"/>
    <x v="13"/>
    <x v="17"/>
    <x v="23"/>
    <x v="107"/>
    <x v="138"/>
    <s v="They are really light and not as sturdy as what I was looking for but over all ..."/>
    <n v="1508284800"/>
    <s v="Not Specified"/>
    <s v="Not Specified"/>
    <s v="Not Specified"/>
    <n v="201"/>
    <x v="1"/>
    <x v="2"/>
  </r>
  <r>
    <x v="0"/>
    <x v="0"/>
    <x v="112"/>
    <x v="2"/>
    <x v="3"/>
    <x v="122"/>
    <x v="13"/>
    <x v="15"/>
    <x v="24"/>
    <x v="5"/>
    <x v="139"/>
    <s v="Five Stars"/>
    <n v="1507852800"/>
    <s v="Not Specified"/>
    <s v="Not Specified"/>
    <s v="Not Specified"/>
    <n v="25"/>
    <x v="0"/>
    <x v="2"/>
  </r>
  <r>
    <x v="1"/>
    <x v="0"/>
    <x v="113"/>
    <x v="2"/>
    <x v="3"/>
    <x v="123"/>
    <x v="13"/>
    <x v="31"/>
    <x v="17"/>
    <x v="108"/>
    <x v="140"/>
    <s v="l always buy Nike shoes and been happy so far"/>
    <n v="1507593600"/>
    <s v="Not Specified"/>
    <s v="Not Specified"/>
    <s v="Not Specified"/>
    <n v="192"/>
    <x v="1"/>
    <x v="2"/>
  </r>
  <r>
    <x v="0"/>
    <x v="0"/>
    <x v="114"/>
    <x v="2"/>
    <x v="3"/>
    <x v="124"/>
    <x v="13"/>
    <x v="24"/>
    <x v="12"/>
    <x v="109"/>
    <x v="141"/>
    <s v="Honestly Fantastic Shoes"/>
    <n v="1506988800"/>
    <s v="Not Specified"/>
    <s v="Not Specified"/>
    <s v="Not Specified"/>
    <n v="230"/>
    <x v="0"/>
    <x v="2"/>
  </r>
  <r>
    <x v="0"/>
    <x v="0"/>
    <x v="115"/>
    <x v="2"/>
    <x v="3"/>
    <x v="125"/>
    <x v="13"/>
    <x v="15"/>
    <x v="24"/>
    <x v="5"/>
    <x v="142"/>
    <s v="Absolutely love these shoes and color"/>
    <n v="1506902400"/>
    <s v="Not Specified"/>
    <s v="Not Specified"/>
    <s v="Not Specified"/>
    <n v="171"/>
    <x v="0"/>
    <x v="2"/>
  </r>
  <r>
    <x v="0"/>
    <x v="0"/>
    <x v="116"/>
    <x v="2"/>
    <x v="0"/>
    <x v="126"/>
    <x v="13"/>
    <x v="17"/>
    <x v="12"/>
    <x v="110"/>
    <x v="143"/>
    <s v="Five Stars"/>
    <n v="1506470400"/>
    <s v="Not Specified"/>
    <s v="Not Specified"/>
    <s v="Not Specified"/>
    <n v="12"/>
    <x v="0"/>
    <x v="2"/>
  </r>
  <r>
    <x v="0"/>
    <x v="0"/>
    <x v="116"/>
    <x v="2"/>
    <x v="0"/>
    <x v="127"/>
    <x v="13"/>
    <x v="32"/>
    <x v="37"/>
    <x v="111"/>
    <x v="144"/>
    <s v="Nike runs small"/>
    <n v="1506470400"/>
    <s v="Not Specified"/>
    <s v="Not Specified"/>
    <s v="Not Specified"/>
    <n v="70"/>
    <x v="0"/>
    <x v="2"/>
  </r>
  <r>
    <x v="0"/>
    <x v="0"/>
    <x v="33"/>
    <x v="2"/>
    <x v="0"/>
    <x v="128"/>
    <x v="13"/>
    <x v="16"/>
    <x v="17"/>
    <x v="112"/>
    <x v="145"/>
    <s v="Five Stars"/>
    <n v="1506384000"/>
    <s v="Not Specified"/>
    <s v="Not Specified"/>
    <s v="Not Specified"/>
    <n v="9"/>
    <x v="0"/>
    <x v="2"/>
  </r>
  <r>
    <x v="0"/>
    <x v="0"/>
    <x v="117"/>
    <x v="2"/>
    <x v="0"/>
    <x v="129"/>
    <x v="13"/>
    <x v="22"/>
    <x v="17"/>
    <x v="113"/>
    <x v="146"/>
    <s v="Five Stars"/>
    <n v="1506297600"/>
    <s v="Not Specified"/>
    <s v="Not Specified"/>
    <s v="Not Specified"/>
    <n v="50"/>
    <x v="0"/>
    <x v="2"/>
  </r>
  <r>
    <x v="0"/>
    <x v="0"/>
    <x v="118"/>
    <x v="2"/>
    <x v="0"/>
    <x v="130"/>
    <x v="13"/>
    <x v="22"/>
    <x v="12"/>
    <x v="5"/>
    <x v="147"/>
    <s v="Very Happy Customer"/>
    <n v="1505865600"/>
    <s v="Not Specified"/>
    <s v="Not Specified"/>
    <s v="Not Specified"/>
    <n v="370"/>
    <x v="0"/>
    <x v="2"/>
  </r>
  <r>
    <x v="0"/>
    <x v="0"/>
    <x v="119"/>
    <x v="2"/>
    <x v="0"/>
    <x v="131"/>
    <x v="13"/>
    <x v="21"/>
    <x v="17"/>
    <x v="114"/>
    <x v="148"/>
    <s v="and very comfortable."/>
    <n v="1505692800"/>
    <s v="Not Specified"/>
    <s v="Not Specified"/>
    <s v="Not Specified"/>
    <n v="49"/>
    <x v="0"/>
    <x v="2"/>
  </r>
  <r>
    <x v="0"/>
    <x v="0"/>
    <x v="120"/>
    <x v="2"/>
    <x v="0"/>
    <x v="132"/>
    <x v="13"/>
    <x v="22"/>
    <x v="33"/>
    <x v="5"/>
    <x v="149"/>
    <s v="nice sneakers. Fit as expected"/>
    <n v="1505520000"/>
    <s v="Not Specified"/>
    <s v="Not Specified"/>
    <s v="Not Specified"/>
    <n v="40"/>
    <x v="0"/>
    <x v="2"/>
  </r>
  <r>
    <x v="0"/>
    <x v="0"/>
    <x v="121"/>
    <x v="2"/>
    <x v="0"/>
    <x v="133"/>
    <x v="13"/>
    <x v="15"/>
    <x v="34"/>
    <x v="115"/>
    <x v="150"/>
    <s v="5 stars"/>
    <n v="1505347200"/>
    <s v="Not Specified"/>
    <s v="Not Specified"/>
    <s v="Not Specified"/>
    <n v="23"/>
    <x v="0"/>
    <x v="2"/>
  </r>
  <r>
    <x v="0"/>
    <x v="0"/>
    <x v="122"/>
    <x v="2"/>
    <x v="0"/>
    <x v="134"/>
    <x v="13"/>
    <x v="21"/>
    <x v="38"/>
    <x v="116"/>
    <x v="151"/>
    <s v="Five Stars"/>
    <n v="1505260800"/>
    <s v="Not Specified"/>
    <s v="Not Specified"/>
    <s v="Not Specified"/>
    <n v="28"/>
    <x v="0"/>
    <x v="2"/>
  </r>
  <r>
    <x v="0"/>
    <x v="0"/>
    <x v="123"/>
    <x v="2"/>
    <x v="0"/>
    <x v="135"/>
    <x v="13"/>
    <x v="17"/>
    <x v="23"/>
    <x v="5"/>
    <x v="152"/>
    <s v="Five Stars"/>
    <n v="1505001600"/>
    <s v="Not Specified"/>
    <s v="Not Specified"/>
    <s v="Not Specified"/>
    <n v="48"/>
    <x v="0"/>
    <x v="2"/>
  </r>
  <r>
    <x v="0"/>
    <x v="0"/>
    <x v="124"/>
    <x v="2"/>
    <x v="0"/>
    <x v="136"/>
    <x v="13"/>
    <x v="21"/>
    <x v="33"/>
    <x v="117"/>
    <x v="153"/>
    <s v="These shoes fit like a glove"/>
    <n v="1504742400"/>
    <s v="Not Specified"/>
    <s v="Not Specified"/>
    <s v="Not Specified"/>
    <n v="119"/>
    <x v="0"/>
    <x v="2"/>
  </r>
  <r>
    <x v="0"/>
    <x v="0"/>
    <x v="125"/>
    <x v="2"/>
    <x v="0"/>
    <x v="137"/>
    <x v="13"/>
    <x v="22"/>
    <x v="23"/>
    <x v="118"/>
    <x v="154"/>
    <s v="Five Stars"/>
    <n v="1504569600"/>
    <s v="Not Specified"/>
    <s v="Not Specified"/>
    <s v="Not Specified"/>
    <n v="16"/>
    <x v="0"/>
    <x v="2"/>
  </r>
  <r>
    <x v="0"/>
    <x v="0"/>
    <x v="126"/>
    <x v="2"/>
    <x v="0"/>
    <x v="138"/>
    <x v="13"/>
    <x v="22"/>
    <x v="17"/>
    <x v="119"/>
    <x v="155"/>
    <s v="Five Stars"/>
    <n v="1504483200"/>
    <s v="Not Specified"/>
    <s v="Not Specified"/>
    <s v="Not Specified"/>
    <n v="12"/>
    <x v="0"/>
    <x v="2"/>
  </r>
  <r>
    <x v="4"/>
    <x v="0"/>
    <x v="127"/>
    <x v="2"/>
    <x v="4"/>
    <x v="139"/>
    <x v="13"/>
    <x v="21"/>
    <x v="33"/>
    <x v="120"/>
    <x v="156"/>
    <s v="Nike always makes a good shoe."/>
    <n v="1503964800"/>
    <s v="Not Specified"/>
    <s v="Not Specified"/>
    <s v="Not Specified"/>
    <n v="118"/>
    <x v="0"/>
    <x v="2"/>
  </r>
  <r>
    <x v="3"/>
    <x v="0"/>
    <x v="127"/>
    <x v="2"/>
    <x v="4"/>
    <x v="140"/>
    <x v="13"/>
    <x v="31"/>
    <x v="17"/>
    <x v="121"/>
    <x v="157"/>
    <s v="One Star"/>
    <n v="1503964800"/>
    <s v="Not Specified"/>
    <s v="Not Specified"/>
    <s v="Not Specified"/>
    <n v="52"/>
    <x v="2"/>
    <x v="2"/>
  </r>
  <r>
    <x v="0"/>
    <x v="0"/>
    <x v="127"/>
    <x v="2"/>
    <x v="4"/>
    <x v="141"/>
    <x v="13"/>
    <x v="17"/>
    <x v="17"/>
    <x v="122"/>
    <x v="158"/>
    <s v="Five Stars"/>
    <n v="1503964800"/>
    <s v="Not Specified"/>
    <s v="Not Specified"/>
    <s v="Not Specified"/>
    <n v="30"/>
    <x v="0"/>
    <x v="2"/>
  </r>
  <r>
    <x v="0"/>
    <x v="0"/>
    <x v="128"/>
    <x v="2"/>
    <x v="4"/>
    <x v="142"/>
    <x v="13"/>
    <x v="15"/>
    <x v="12"/>
    <x v="123"/>
    <x v="159"/>
    <s v=" Shoes"/>
    <n v="1503792000"/>
    <s v="Not Specified"/>
    <s v="Not Specified"/>
    <s v="Not Specified"/>
    <n v="17"/>
    <x v="0"/>
    <x v="2"/>
  </r>
  <r>
    <x v="4"/>
    <x v="0"/>
    <x v="129"/>
    <x v="2"/>
    <x v="4"/>
    <x v="143"/>
    <x v="13"/>
    <x v="17"/>
    <x v="31"/>
    <x v="124"/>
    <x v="160"/>
    <s v="Love these shoes"/>
    <n v="1503532800"/>
    <s v="Not Specified"/>
    <s v="Not Specified"/>
    <s v="Not Specified"/>
    <n v="225"/>
    <x v="0"/>
    <x v="2"/>
  </r>
  <r>
    <x v="3"/>
    <x v="0"/>
    <x v="129"/>
    <x v="2"/>
    <x v="4"/>
    <x v="144"/>
    <x v="13"/>
    <x v="22"/>
    <x v="29"/>
    <x v="125"/>
    <x v="161"/>
    <s v="I loved these shoes"/>
    <n v="1503532800"/>
    <s v="Not Specified"/>
    <s v="Not Specified"/>
    <s v="Not Specified"/>
    <n v="213"/>
    <x v="2"/>
    <x v="2"/>
  </r>
  <r>
    <x v="0"/>
    <x v="0"/>
    <x v="130"/>
    <x v="2"/>
    <x v="4"/>
    <x v="145"/>
    <x v="13"/>
    <x v="30"/>
    <x v="24"/>
    <x v="126"/>
    <x v="162"/>
    <s v="perfect"/>
    <n v="1503273600"/>
    <s v="Not Specified"/>
    <s v="Not Specified"/>
    <s v="Not Specified"/>
    <n v="55"/>
    <x v="0"/>
    <x v="2"/>
  </r>
  <r>
    <x v="0"/>
    <x v="0"/>
    <x v="131"/>
    <x v="2"/>
    <x v="4"/>
    <x v="146"/>
    <x v="13"/>
    <x v="14"/>
    <x v="17"/>
    <x v="127"/>
    <x v="163"/>
    <s v="Five Stars"/>
    <n v="1503187200"/>
    <s v="Not Specified"/>
    <s v="Not Specified"/>
    <s v="Not Specified"/>
    <n v="10"/>
    <x v="0"/>
    <x v="2"/>
  </r>
  <r>
    <x v="1"/>
    <x v="0"/>
    <x v="132"/>
    <x v="2"/>
    <x v="4"/>
    <x v="147"/>
    <x v="13"/>
    <x v="30"/>
    <x v="39"/>
    <x v="128"/>
    <x v="164"/>
    <s v="found a Ryka pair I liked"/>
    <n v="1502928000"/>
    <s v="Not Specified"/>
    <s v="Not Specified"/>
    <s v="Not Specified"/>
    <n v="50"/>
    <x v="1"/>
    <x v="2"/>
  </r>
  <r>
    <x v="0"/>
    <x v="0"/>
    <x v="132"/>
    <x v="2"/>
    <x v="4"/>
    <x v="148"/>
    <x v="13"/>
    <x v="15"/>
    <x v="17"/>
    <x v="129"/>
    <x v="165"/>
    <s v="Five Stars"/>
    <n v="1502928000"/>
    <s v="Not Specified"/>
    <s v="Not Specified"/>
    <s v="Not Specified"/>
    <n v="37"/>
    <x v="0"/>
    <x v="2"/>
  </r>
  <r>
    <x v="0"/>
    <x v="0"/>
    <x v="133"/>
    <x v="2"/>
    <x v="4"/>
    <x v="149"/>
    <x v="13"/>
    <x v="3"/>
    <x v="26"/>
    <x v="5"/>
    <x v="166"/>
    <s v="Five Stars"/>
    <n v="1502755200"/>
    <s v="Not Specified"/>
    <s v="Not Specified"/>
    <s v="Not Specified"/>
    <n v="16"/>
    <x v="0"/>
    <x v="2"/>
  </r>
  <r>
    <x v="0"/>
    <x v="0"/>
    <x v="134"/>
    <x v="2"/>
    <x v="4"/>
    <x v="150"/>
    <x v="13"/>
    <x v="21"/>
    <x v="17"/>
    <x v="130"/>
    <x v="167"/>
    <s v="the best sneakers by far"/>
    <n v="1502668800"/>
    <s v="Not Specified"/>
    <s v="Not Specified"/>
    <s v="Not Specified"/>
    <n v="145"/>
    <x v="0"/>
    <x v="2"/>
  </r>
  <r>
    <x v="0"/>
    <x v="0"/>
    <x v="135"/>
    <x v="2"/>
    <x v="4"/>
    <x v="151"/>
    <x v="13"/>
    <x v="17"/>
    <x v="17"/>
    <x v="131"/>
    <x v="168"/>
    <s v="Classically comfortable and durable"/>
    <n v="1502496000"/>
    <s v="Not Specified"/>
    <s v="Not Specified"/>
    <s v="Not Specified"/>
    <n v="230"/>
    <x v="0"/>
    <x v="2"/>
  </r>
  <r>
    <x v="4"/>
    <x v="0"/>
    <x v="136"/>
    <x v="2"/>
    <x v="4"/>
    <x v="152"/>
    <x v="13"/>
    <x v="30"/>
    <x v="17"/>
    <x v="132"/>
    <x v="169"/>
    <s v="Four Stars"/>
    <n v="1502409600"/>
    <s v="Not Specified"/>
    <s v="Not Specified"/>
    <s v="Not Specified"/>
    <n v="59"/>
    <x v="0"/>
    <x v="2"/>
  </r>
  <r>
    <x v="1"/>
    <x v="0"/>
    <x v="137"/>
    <x v="2"/>
    <x v="4"/>
    <x v="153"/>
    <x v="13"/>
    <x v="17"/>
    <x v="17"/>
    <x v="133"/>
    <x v="170"/>
    <s v="the Nike Womens Flex Trainer 6 is way better looking and costs about the same"/>
    <n v="1502150400"/>
    <s v="Not Specified"/>
    <s v="Not Specified"/>
    <s v="Not Specified"/>
    <n v="138"/>
    <x v="1"/>
    <x v="2"/>
  </r>
  <r>
    <x v="0"/>
    <x v="0"/>
    <x v="137"/>
    <x v="2"/>
    <x v="4"/>
    <x v="154"/>
    <x v="13"/>
    <x v="25"/>
    <x v="17"/>
    <x v="134"/>
    <x v="171"/>
    <s v="Five Stars"/>
    <n v="1502150400"/>
    <s v="Not Specified"/>
    <s v="Not Specified"/>
    <s v="Not Specified"/>
    <n v="27"/>
    <x v="0"/>
    <x v="2"/>
  </r>
  <r>
    <x v="0"/>
    <x v="0"/>
    <x v="138"/>
    <x v="2"/>
    <x v="4"/>
    <x v="155"/>
    <x v="13"/>
    <x v="21"/>
    <x v="44"/>
    <x v="135"/>
    <x v="172"/>
    <s v="Five Stars"/>
    <n v="1502064000"/>
    <s v="Not Specified"/>
    <s v="Not Specified"/>
    <s v="Not Specified"/>
    <n v="10"/>
    <x v="0"/>
    <x v="2"/>
  </r>
  <r>
    <x v="0"/>
    <x v="0"/>
    <x v="139"/>
    <x v="2"/>
    <x v="4"/>
    <x v="156"/>
    <x v="13"/>
    <x v="22"/>
    <x v="23"/>
    <x v="136"/>
    <x v="173"/>
    <s v="Love the color and fit"/>
    <n v="1501804800"/>
    <s v="Not Specified"/>
    <s v="Not Specified"/>
    <s v="Not Specified"/>
    <n v="114"/>
    <x v="0"/>
    <x v="2"/>
  </r>
  <r>
    <x v="1"/>
    <x v="0"/>
    <x v="140"/>
    <x v="2"/>
    <x v="4"/>
    <x v="157"/>
    <x v="13"/>
    <x v="33"/>
    <x v="17"/>
    <x v="137"/>
    <x v="174"/>
    <s v="OK"/>
    <n v="1501632000"/>
    <s v="Not Specified"/>
    <s v="Not Specified"/>
    <s v="Not Specified"/>
    <n v="264"/>
    <x v="1"/>
    <x v="2"/>
  </r>
  <r>
    <x v="0"/>
    <x v="0"/>
    <x v="141"/>
    <x v="2"/>
    <x v="9"/>
    <x v="158"/>
    <x v="13"/>
    <x v="17"/>
    <x v="17"/>
    <x v="5"/>
    <x v="175"/>
    <s v="Great fit!"/>
    <n v="1500508800"/>
    <s v="Not Specified"/>
    <s v="Not Specified"/>
    <s v="Not Specified"/>
    <n v="34"/>
    <x v="0"/>
    <x v="2"/>
  </r>
  <r>
    <x v="0"/>
    <x v="0"/>
    <x v="142"/>
    <x v="2"/>
    <x v="9"/>
    <x v="159"/>
    <x v="13"/>
    <x v="21"/>
    <x v="33"/>
    <x v="138"/>
    <x v="176"/>
    <s v="Very satisfied with the seller - delivered on time"/>
    <n v="1500336000"/>
    <s v="Not Specified"/>
    <s v="Not Specified"/>
    <s v="Not Specified"/>
    <n v="124"/>
    <x v="0"/>
    <x v="2"/>
  </r>
  <r>
    <x v="4"/>
    <x v="0"/>
    <x v="142"/>
    <x v="2"/>
    <x v="9"/>
    <x v="160"/>
    <x v="13"/>
    <x v="22"/>
    <x v="26"/>
    <x v="139"/>
    <x v="177"/>
    <s v="Four Stars"/>
    <n v="1500336000"/>
    <s v="Not Specified"/>
    <s v="Not Specified"/>
    <s v="Not Specified"/>
    <n v="28"/>
    <x v="0"/>
    <x v="2"/>
  </r>
  <r>
    <x v="0"/>
    <x v="0"/>
    <x v="142"/>
    <x v="2"/>
    <x v="9"/>
    <x v="161"/>
    <x v="13"/>
    <x v="14"/>
    <x v="17"/>
    <x v="140"/>
    <x v="178"/>
    <s v="Comfortable shoe for both workout sessions and walking"/>
    <n v="1500336000"/>
    <s v="Not Specified"/>
    <s v="Not Specified"/>
    <s v="Not Specified"/>
    <n v="184"/>
    <x v="0"/>
    <x v="2"/>
  </r>
  <r>
    <x v="0"/>
    <x v="0"/>
    <x v="142"/>
    <x v="2"/>
    <x v="9"/>
    <x v="162"/>
    <x v="13"/>
    <x v="16"/>
    <x v="17"/>
    <x v="141"/>
    <x v="68"/>
    <s v="Five Stars"/>
    <n v="1500336000"/>
    <s v="Not Specified"/>
    <s v="Not Specified"/>
    <s v="Not Specified"/>
    <n v="0"/>
    <x v="0"/>
    <x v="2"/>
  </r>
  <r>
    <x v="0"/>
    <x v="0"/>
    <x v="142"/>
    <x v="2"/>
    <x v="9"/>
    <x v="163"/>
    <x v="13"/>
    <x v="17"/>
    <x v="12"/>
    <x v="142"/>
    <x v="65"/>
    <s v="Five Stars"/>
    <n v="1500336000"/>
    <s v="Not Specified"/>
    <s v="Not Specified"/>
    <s v="Not Specified"/>
    <n v="4"/>
    <x v="0"/>
    <x v="2"/>
  </r>
  <r>
    <x v="0"/>
    <x v="0"/>
    <x v="142"/>
    <x v="2"/>
    <x v="9"/>
    <x v="164"/>
    <x v="13"/>
    <x v="17"/>
    <x v="39"/>
    <x v="5"/>
    <x v="179"/>
    <s v="These are the best shoes I have ever use for my workouts"/>
    <n v="1500336000"/>
    <s v="Not Specified"/>
    <s v="Not Specified"/>
    <s v="Not Specified"/>
    <n v="99"/>
    <x v="0"/>
    <x v="2"/>
  </r>
  <r>
    <x v="0"/>
    <x v="0"/>
    <x v="142"/>
    <x v="2"/>
    <x v="9"/>
    <x v="165"/>
    <x v="13"/>
    <x v="15"/>
    <x v="17"/>
    <x v="143"/>
    <x v="180"/>
    <s v="I love these shoes"/>
    <n v="1500336000"/>
    <s v="Not Specified"/>
    <s v="Not Specified"/>
    <s v="Not Specified"/>
    <n v="178"/>
    <x v="0"/>
    <x v="2"/>
  </r>
  <r>
    <x v="0"/>
    <x v="0"/>
    <x v="143"/>
    <x v="2"/>
    <x v="9"/>
    <x v="166"/>
    <x v="13"/>
    <x v="16"/>
    <x v="28"/>
    <x v="144"/>
    <x v="181"/>
    <s v="Five Stars"/>
    <n v="1500076800"/>
    <s v="Not Specified"/>
    <s v="Not Specified"/>
    <s v="Not Specified"/>
    <n v="30"/>
    <x v="0"/>
    <x v="2"/>
  </r>
  <r>
    <x v="1"/>
    <x v="0"/>
    <x v="143"/>
    <x v="2"/>
    <x v="9"/>
    <x v="167"/>
    <x v="13"/>
    <x v="21"/>
    <x v="23"/>
    <x v="145"/>
    <x v="182"/>
    <s v="Low cut heels"/>
    <n v="1500076800"/>
    <s v="Not Specified"/>
    <s v="Not Specified"/>
    <s v="Not Specified"/>
    <n v="130"/>
    <x v="1"/>
    <x v="2"/>
  </r>
  <r>
    <x v="0"/>
    <x v="0"/>
    <x v="144"/>
    <x v="2"/>
    <x v="9"/>
    <x v="168"/>
    <x v="13"/>
    <x v="30"/>
    <x v="30"/>
    <x v="146"/>
    <x v="183"/>
    <s v="Perfect"/>
    <n v="1499558400"/>
    <s v="Not Specified"/>
    <s v="Not Specified"/>
    <s v="Not Specified"/>
    <n v="112"/>
    <x v="0"/>
    <x v="2"/>
  </r>
  <r>
    <x v="0"/>
    <x v="0"/>
    <x v="145"/>
    <x v="2"/>
    <x v="9"/>
    <x v="169"/>
    <x v="13"/>
    <x v="34"/>
    <x v="25"/>
    <x v="147"/>
    <x v="184"/>
    <s v="Exactly what I wanted"/>
    <n v="1499472000"/>
    <s v="Not Specified"/>
    <s v="Not Specified"/>
    <s v="Not Specified"/>
    <n v="22"/>
    <x v="0"/>
    <x v="2"/>
  </r>
  <r>
    <x v="4"/>
    <x v="0"/>
    <x v="146"/>
    <x v="2"/>
    <x v="9"/>
    <x v="170"/>
    <x v="13"/>
    <x v="15"/>
    <x v="17"/>
    <x v="148"/>
    <x v="185"/>
    <s v="Light shoes"/>
    <n v="1499385600"/>
    <s v="Not Specified"/>
    <s v="Not Specified"/>
    <s v="Not Specified"/>
    <n v="453"/>
    <x v="0"/>
    <x v="2"/>
  </r>
  <r>
    <x v="1"/>
    <x v="1"/>
    <x v="147"/>
    <x v="2"/>
    <x v="9"/>
    <x v="171"/>
    <x v="13"/>
    <x v="24"/>
    <x v="12"/>
    <x v="149"/>
    <x v="186"/>
    <s v="Good indoor training shoes"/>
    <n v="1498867200"/>
    <s v="Not Specified"/>
    <s v="Not Specified"/>
    <s v="Not Specified"/>
    <n v="566"/>
    <x v="1"/>
    <x v="2"/>
  </r>
  <r>
    <x v="0"/>
    <x v="0"/>
    <x v="148"/>
    <x v="2"/>
    <x v="6"/>
    <x v="172"/>
    <x v="13"/>
    <x v="15"/>
    <x v="17"/>
    <x v="150"/>
    <x v="187"/>
    <s v="So Perf."/>
    <n v="1498780800"/>
    <s v="Not Specified"/>
    <s v="Not Specified"/>
    <s v="Not Specified"/>
    <n v="5"/>
    <x v="0"/>
    <x v="2"/>
  </r>
  <r>
    <x v="0"/>
    <x v="0"/>
    <x v="149"/>
    <x v="2"/>
    <x v="6"/>
    <x v="173"/>
    <x v="13"/>
    <x v="22"/>
    <x v="32"/>
    <x v="151"/>
    <x v="188"/>
    <s v="Five Stars"/>
    <n v="1498608000"/>
    <s v="Not Specified"/>
    <s v="Not Specified"/>
    <s v="Not Specified"/>
    <n v="18"/>
    <x v="0"/>
    <x v="2"/>
  </r>
  <r>
    <x v="0"/>
    <x v="0"/>
    <x v="150"/>
    <x v="2"/>
    <x v="6"/>
    <x v="174"/>
    <x v="13"/>
    <x v="15"/>
    <x v="34"/>
    <x v="152"/>
    <x v="189"/>
    <s v="Five Stars"/>
    <n v="1498435200"/>
    <s v="Not Specified"/>
    <s v="Not Specified"/>
    <s v="Not Specified"/>
    <n v="8"/>
    <x v="0"/>
    <x v="2"/>
  </r>
  <r>
    <x v="0"/>
    <x v="0"/>
    <x v="151"/>
    <x v="2"/>
    <x v="6"/>
    <x v="175"/>
    <x v="13"/>
    <x v="17"/>
    <x v="24"/>
    <x v="5"/>
    <x v="190"/>
    <s v="Great work out shoe"/>
    <n v="1498003200"/>
    <s v="Not Specified"/>
    <s v="Not Specified"/>
    <s v="Not Specified"/>
    <n v="141"/>
    <x v="0"/>
    <x v="2"/>
  </r>
  <r>
    <x v="0"/>
    <x v="0"/>
    <x v="152"/>
    <x v="2"/>
    <x v="6"/>
    <x v="176"/>
    <x v="13"/>
    <x v="28"/>
    <x v="25"/>
    <x v="153"/>
    <x v="191"/>
    <s v="I love these shoes so much that I reordered another pair ..."/>
    <n v="1497916800"/>
    <s v="Not Specified"/>
    <s v="Not Specified"/>
    <s v="Not Specified"/>
    <n v="275"/>
    <x v="0"/>
    <x v="2"/>
  </r>
  <r>
    <x v="0"/>
    <x v="0"/>
    <x v="152"/>
    <x v="2"/>
    <x v="6"/>
    <x v="177"/>
    <x v="13"/>
    <x v="15"/>
    <x v="17"/>
    <x v="154"/>
    <x v="192"/>
    <s v="Comfortable, light weight, nice."/>
    <n v="1497916800"/>
    <s v="Not Specified"/>
    <s v="Not Specified"/>
    <s v="Not Specified"/>
    <n v="69"/>
    <x v="0"/>
    <x v="2"/>
  </r>
  <r>
    <x v="4"/>
    <x v="0"/>
    <x v="153"/>
    <x v="2"/>
    <x v="6"/>
    <x v="178"/>
    <x v="13"/>
    <x v="15"/>
    <x v="17"/>
    <x v="155"/>
    <x v="193"/>
    <s v="Four Stars"/>
    <n v="1497830400"/>
    <s v="Not Specified"/>
    <s v="Not Specified"/>
    <s v="Not Specified"/>
    <n v="12"/>
    <x v="0"/>
    <x v="2"/>
  </r>
  <r>
    <x v="0"/>
    <x v="0"/>
    <x v="153"/>
    <x v="2"/>
    <x v="6"/>
    <x v="179"/>
    <x v="13"/>
    <x v="25"/>
    <x v="17"/>
    <x v="156"/>
    <x v="194"/>
    <s v="I feel like this pair of shoes was made for my feet"/>
    <n v="1497830400"/>
    <s v="Not Specified"/>
    <s v="Not Specified"/>
    <s v="Not Specified"/>
    <n v="108"/>
    <x v="0"/>
    <x v="2"/>
  </r>
  <r>
    <x v="0"/>
    <x v="0"/>
    <x v="153"/>
    <x v="2"/>
    <x v="6"/>
    <x v="180"/>
    <x v="13"/>
    <x v="17"/>
    <x v="17"/>
    <x v="5"/>
    <x v="195"/>
    <s v="Awesome shoes!!!"/>
    <n v="1497830400"/>
    <s v="Not Specified"/>
    <s v="Not Specified"/>
    <s v="Not Specified"/>
    <n v="76"/>
    <x v="0"/>
    <x v="2"/>
  </r>
  <r>
    <x v="1"/>
    <x v="0"/>
    <x v="15"/>
    <x v="2"/>
    <x v="6"/>
    <x v="181"/>
    <x v="13"/>
    <x v="16"/>
    <x v="17"/>
    <x v="157"/>
    <x v="196"/>
    <s v="Just wasn't what i was looking for"/>
    <n v="1497571200"/>
    <s v="Not Specified"/>
    <s v="Not Specified"/>
    <s v="Not Specified"/>
    <n v="468"/>
    <x v="1"/>
    <x v="2"/>
  </r>
  <r>
    <x v="0"/>
    <x v="0"/>
    <x v="154"/>
    <x v="2"/>
    <x v="6"/>
    <x v="182"/>
    <x v="13"/>
    <x v="22"/>
    <x v="17"/>
    <x v="158"/>
    <x v="197"/>
    <s v="So comfortable, I don't even feel like I have a ..."/>
    <n v="1497484800"/>
    <s v="Not Specified"/>
    <s v="Not Specified"/>
    <s v="Not Specified"/>
    <n v="125"/>
    <x v="0"/>
    <x v="2"/>
  </r>
  <r>
    <x v="0"/>
    <x v="0"/>
    <x v="154"/>
    <x v="2"/>
    <x v="6"/>
    <x v="183"/>
    <x v="13"/>
    <x v="17"/>
    <x v="30"/>
    <x v="159"/>
    <x v="198"/>
    <s v="Five Stars"/>
    <n v="1497484800"/>
    <s v="Not Specified"/>
    <s v="Not Specified"/>
    <s v="Not Specified"/>
    <n v="56"/>
    <x v="0"/>
    <x v="2"/>
  </r>
  <r>
    <x v="0"/>
    <x v="0"/>
    <x v="155"/>
    <x v="2"/>
    <x v="6"/>
    <x v="184"/>
    <x v="13"/>
    <x v="15"/>
    <x v="18"/>
    <x v="5"/>
    <x v="199"/>
    <s v="Five Stars"/>
    <n v="1497398400"/>
    <s v="Not Specified"/>
    <s v="Not Specified"/>
    <s v="Not Specified"/>
    <n v="21"/>
    <x v="0"/>
    <x v="2"/>
  </r>
  <r>
    <x v="0"/>
    <x v="0"/>
    <x v="156"/>
    <x v="2"/>
    <x v="6"/>
    <x v="185"/>
    <x v="13"/>
    <x v="22"/>
    <x v="32"/>
    <x v="160"/>
    <x v="200"/>
    <s v="Five Stars"/>
    <n v="1497312000"/>
    <s v="Not Specified"/>
    <s v="Not Specified"/>
    <s v="Not Specified"/>
    <n v="64"/>
    <x v="0"/>
    <x v="2"/>
  </r>
  <r>
    <x v="0"/>
    <x v="0"/>
    <x v="157"/>
    <x v="2"/>
    <x v="6"/>
    <x v="186"/>
    <x v="13"/>
    <x v="22"/>
    <x v="24"/>
    <x v="161"/>
    <x v="201"/>
    <s v="Five Stars"/>
    <n v="1496880000"/>
    <s v="Not Specified"/>
    <s v="Not Specified"/>
    <s v="Not Specified"/>
    <n v="27"/>
    <x v="0"/>
    <x v="2"/>
  </r>
  <r>
    <x v="3"/>
    <x v="0"/>
    <x v="158"/>
    <x v="2"/>
    <x v="6"/>
    <x v="187"/>
    <x v="13"/>
    <x v="42"/>
    <x v="25"/>
    <x v="162"/>
    <x v="202"/>
    <s v="Falling apart already!!"/>
    <n v="1496620800"/>
    <s v="Not Specified"/>
    <s v="Not Specified"/>
    <s v="Not Specified"/>
    <n v="75"/>
    <x v="2"/>
    <x v="2"/>
  </r>
  <r>
    <x v="0"/>
    <x v="0"/>
    <x v="159"/>
    <x v="2"/>
    <x v="6"/>
    <x v="188"/>
    <x v="13"/>
    <x v="21"/>
    <x v="17"/>
    <x v="163"/>
    <x v="203"/>
    <s v="Five Stars"/>
    <n v="1496361600"/>
    <s v="Not Specified"/>
    <s v="Not Specified"/>
    <s v="Not Specified"/>
    <n v="91"/>
    <x v="0"/>
    <x v="2"/>
  </r>
  <r>
    <x v="0"/>
    <x v="0"/>
    <x v="160"/>
    <x v="2"/>
    <x v="1"/>
    <x v="189"/>
    <x v="13"/>
    <x v="14"/>
    <x v="17"/>
    <x v="164"/>
    <x v="135"/>
    <s v="Five Stars"/>
    <n v="1496102400"/>
    <s v="Not Specified"/>
    <s v="Not Specified"/>
    <s v="Not Specified"/>
    <n v="11"/>
    <x v="0"/>
    <x v="2"/>
  </r>
  <r>
    <x v="0"/>
    <x v="0"/>
    <x v="160"/>
    <x v="2"/>
    <x v="1"/>
    <x v="190"/>
    <x v="13"/>
    <x v="30"/>
    <x v="26"/>
    <x v="165"/>
    <x v="204"/>
    <s v="love the fit"/>
    <n v="1496102400"/>
    <s v="Not Specified"/>
    <s v="Not Specified"/>
    <s v="Not Specified"/>
    <n v="61"/>
    <x v="0"/>
    <x v="2"/>
  </r>
  <r>
    <x v="4"/>
    <x v="0"/>
    <x v="161"/>
    <x v="2"/>
    <x v="1"/>
    <x v="191"/>
    <x v="13"/>
    <x v="28"/>
    <x v="25"/>
    <x v="166"/>
    <x v="205"/>
    <s v="Nike"/>
    <n v="1496016000"/>
    <s v="Not Specified"/>
    <s v="Not Specified"/>
    <s v="Not Specified"/>
    <n v="65"/>
    <x v="0"/>
    <x v="2"/>
  </r>
  <r>
    <x v="1"/>
    <x v="0"/>
    <x v="162"/>
    <x v="2"/>
    <x v="1"/>
    <x v="192"/>
    <x v="13"/>
    <x v="30"/>
    <x v="17"/>
    <x v="167"/>
    <x v="206"/>
    <s v="Nope"/>
    <n v="1495670400"/>
    <s v="Not Specified"/>
    <s v="Not Specified"/>
    <s v="Not Specified"/>
    <n v="40"/>
    <x v="1"/>
    <x v="2"/>
  </r>
  <r>
    <x v="0"/>
    <x v="0"/>
    <x v="163"/>
    <x v="2"/>
    <x v="1"/>
    <x v="193"/>
    <x v="13"/>
    <x v="21"/>
    <x v="17"/>
    <x v="168"/>
    <x v="207"/>
    <s v="It is comfortable."/>
    <n v="1495411200"/>
    <s v="Not Specified"/>
    <s v="Not Specified"/>
    <s v="Not Specified"/>
    <n v="45"/>
    <x v="0"/>
    <x v="2"/>
  </r>
  <r>
    <x v="0"/>
    <x v="0"/>
    <x v="163"/>
    <x v="2"/>
    <x v="1"/>
    <x v="194"/>
    <x v="13"/>
    <x v="17"/>
    <x v="17"/>
    <x v="169"/>
    <x v="208"/>
    <s v="Perfect cross trainers"/>
    <n v="1495411200"/>
    <s v="Not Specified"/>
    <s v="Not Specified"/>
    <s v="Not Specified"/>
    <n v="86"/>
    <x v="0"/>
    <x v="2"/>
  </r>
  <r>
    <x v="0"/>
    <x v="1"/>
    <x v="164"/>
    <x v="2"/>
    <x v="1"/>
    <x v="195"/>
    <x v="13"/>
    <x v="35"/>
    <x v="25"/>
    <x v="170"/>
    <x v="209"/>
    <s v="Great training shoes"/>
    <n v="1495152000"/>
    <s v="Not Specified"/>
    <s v="Not Specified"/>
    <n v="2"/>
    <n v="109"/>
    <x v="0"/>
    <x v="2"/>
  </r>
  <r>
    <x v="0"/>
    <x v="1"/>
    <x v="164"/>
    <x v="2"/>
    <x v="1"/>
    <x v="195"/>
    <x v="13"/>
    <x v="30"/>
    <x v="28"/>
    <x v="170"/>
    <x v="210"/>
    <s v="Amazing training Sneakers."/>
    <n v="1495152000"/>
    <s v="Not Specified"/>
    <s v="Not Specified"/>
    <n v="4"/>
    <n v="274"/>
    <x v="0"/>
    <x v="2"/>
  </r>
  <r>
    <x v="4"/>
    <x v="0"/>
    <x v="165"/>
    <x v="2"/>
    <x v="1"/>
    <x v="196"/>
    <x v="13"/>
    <x v="15"/>
    <x v="17"/>
    <x v="171"/>
    <x v="211"/>
    <s v="HIIT shoes"/>
    <n v="1495065600"/>
    <s v="Not Specified"/>
    <s v="Not Specified"/>
    <s v="Not Specified"/>
    <n v="20"/>
    <x v="0"/>
    <x v="2"/>
  </r>
  <r>
    <x v="4"/>
    <x v="0"/>
    <x v="166"/>
    <x v="2"/>
    <x v="1"/>
    <x v="197"/>
    <x v="13"/>
    <x v="15"/>
    <x v="34"/>
    <x v="172"/>
    <x v="212"/>
    <s v="Four Stars"/>
    <n v="1494806400"/>
    <s v="Not Specified"/>
    <s v="Not Specified"/>
    <s v="Not Specified"/>
    <n v="40"/>
    <x v="0"/>
    <x v="2"/>
  </r>
  <r>
    <x v="1"/>
    <x v="0"/>
    <x v="167"/>
    <x v="2"/>
    <x v="1"/>
    <x v="198"/>
    <x v="13"/>
    <x v="17"/>
    <x v="17"/>
    <x v="173"/>
    <x v="213"/>
    <s v="Lack support but overall good shoe"/>
    <n v="1494374400"/>
    <s v="Not Specified"/>
    <s v="Not Specified"/>
    <s v="Not Specified"/>
    <n v="170"/>
    <x v="1"/>
    <x v="2"/>
  </r>
  <r>
    <x v="0"/>
    <x v="0"/>
    <x v="168"/>
    <x v="2"/>
    <x v="1"/>
    <x v="199"/>
    <x v="13"/>
    <x v="26"/>
    <x v="40"/>
    <x v="174"/>
    <x v="214"/>
    <s v="Adorable shoes"/>
    <n v="1494115200"/>
    <s v="Not Specified"/>
    <s v="Not Specified"/>
    <s v="Not Specified"/>
    <n v="193"/>
    <x v="0"/>
    <x v="2"/>
  </r>
  <r>
    <x v="0"/>
    <x v="0"/>
    <x v="169"/>
    <x v="2"/>
    <x v="1"/>
    <x v="200"/>
    <x v="13"/>
    <x v="34"/>
    <x v="25"/>
    <x v="175"/>
    <x v="215"/>
    <s v="Wide sneaker for wide feet"/>
    <n v="1494028800"/>
    <s v="Not Specified"/>
    <s v="Not Specified"/>
    <s v="Not Specified"/>
    <n v="126"/>
    <x v="0"/>
    <x v="2"/>
  </r>
  <r>
    <x v="0"/>
    <x v="0"/>
    <x v="170"/>
    <x v="2"/>
    <x v="1"/>
    <x v="201"/>
    <x v="13"/>
    <x v="21"/>
    <x v="44"/>
    <x v="176"/>
    <x v="216"/>
    <s v="I've been using these to exercise and they are nice a roomy and allow my feet to breath"/>
    <n v="1493942400"/>
    <s v="Not Specified"/>
    <s v="Not Specified"/>
    <s v="Not Specified"/>
    <n v="110"/>
    <x v="0"/>
    <x v="2"/>
  </r>
  <r>
    <x v="0"/>
    <x v="0"/>
    <x v="171"/>
    <x v="2"/>
    <x v="1"/>
    <x v="202"/>
    <x v="13"/>
    <x v="16"/>
    <x v="17"/>
    <x v="177"/>
    <x v="217"/>
    <s v="Five Stars"/>
    <n v="1493769600"/>
    <s v="Not Specified"/>
    <s v="Not Specified"/>
    <s v="Not Specified"/>
    <n v="42"/>
    <x v="0"/>
    <x v="2"/>
  </r>
  <r>
    <x v="0"/>
    <x v="0"/>
    <x v="171"/>
    <x v="2"/>
    <x v="1"/>
    <x v="203"/>
    <x v="13"/>
    <x v="21"/>
    <x v="17"/>
    <x v="178"/>
    <x v="218"/>
    <s v="Five Stars"/>
    <n v="1493769600"/>
    <s v="Not Specified"/>
    <s v="Not Specified"/>
    <s v="Not Specified"/>
    <n v="12"/>
    <x v="0"/>
    <x v="2"/>
  </r>
  <r>
    <x v="4"/>
    <x v="0"/>
    <x v="172"/>
    <x v="2"/>
    <x v="1"/>
    <x v="204"/>
    <x v="13"/>
    <x v="26"/>
    <x v="40"/>
    <x v="179"/>
    <x v="219"/>
    <s v="Great training shoes"/>
    <n v="1493683200"/>
    <s v="Not Specified"/>
    <s v="Not Specified"/>
    <s v="Not Specified"/>
    <n v="86"/>
    <x v="0"/>
    <x v="2"/>
  </r>
  <r>
    <x v="0"/>
    <x v="0"/>
    <x v="173"/>
    <x v="2"/>
    <x v="1"/>
    <x v="205"/>
    <x v="13"/>
    <x v="26"/>
    <x v="41"/>
    <x v="180"/>
    <x v="220"/>
    <s v="Five Stars"/>
    <n v="1493596800"/>
    <s v="Not Specified"/>
    <s v="Not Specified"/>
    <s v="Not Specified"/>
    <n v="89"/>
    <x v="0"/>
    <x v="2"/>
  </r>
  <r>
    <x v="0"/>
    <x v="0"/>
    <x v="174"/>
    <x v="2"/>
    <x v="10"/>
    <x v="206"/>
    <x v="13"/>
    <x v="22"/>
    <x v="18"/>
    <x v="181"/>
    <x v="221"/>
    <s v="Five Stars"/>
    <n v="1493337600"/>
    <s v="Not Specified"/>
    <s v="Not Specified"/>
    <s v="Not Specified"/>
    <n v="12"/>
    <x v="0"/>
    <x v="2"/>
  </r>
  <r>
    <x v="4"/>
    <x v="0"/>
    <x v="175"/>
    <x v="2"/>
    <x v="10"/>
    <x v="207"/>
    <x v="13"/>
    <x v="35"/>
    <x v="25"/>
    <x v="5"/>
    <x v="222"/>
    <s v="Four Stars"/>
    <n v="1493251200"/>
    <s v="Not Specified"/>
    <s v="Not Specified"/>
    <s v="Not Specified"/>
    <n v="58"/>
    <x v="0"/>
    <x v="2"/>
  </r>
  <r>
    <x v="4"/>
    <x v="0"/>
    <x v="175"/>
    <x v="2"/>
    <x v="10"/>
    <x v="208"/>
    <x v="13"/>
    <x v="43"/>
    <x v="25"/>
    <x v="182"/>
    <x v="223"/>
    <s v="and they were great! Super comfortable"/>
    <n v="1493251200"/>
    <s v="Not Specified"/>
    <s v="Not Specified"/>
    <s v="Not Specified"/>
    <n v="199"/>
    <x v="0"/>
    <x v="2"/>
  </r>
  <r>
    <x v="0"/>
    <x v="0"/>
    <x v="176"/>
    <x v="2"/>
    <x v="10"/>
    <x v="209"/>
    <x v="13"/>
    <x v="22"/>
    <x v="17"/>
    <x v="183"/>
    <x v="224"/>
    <s v="Five Stars"/>
    <n v="1493164800"/>
    <s v="Not Specified"/>
    <s v="Not Specified"/>
    <s v="Not Specified"/>
    <n v="28"/>
    <x v="0"/>
    <x v="2"/>
  </r>
  <r>
    <x v="0"/>
    <x v="0"/>
    <x v="177"/>
    <x v="2"/>
    <x v="10"/>
    <x v="210"/>
    <x v="13"/>
    <x v="28"/>
    <x v="25"/>
    <x v="184"/>
    <x v="225"/>
    <s v="I love these shoes my second pair of 40 plus $ ..."/>
    <n v="1493078400"/>
    <s v="Not Specified"/>
    <s v="Not Specified"/>
    <s v="Not Specified"/>
    <n v="235"/>
    <x v="0"/>
    <x v="2"/>
  </r>
  <r>
    <x v="4"/>
    <x v="0"/>
    <x v="178"/>
    <x v="2"/>
    <x v="10"/>
    <x v="211"/>
    <x v="13"/>
    <x v="15"/>
    <x v="17"/>
    <x v="185"/>
    <x v="226"/>
    <s v="They fit as expected and perfect for training"/>
    <n v="1492992000"/>
    <s v="Not Specified"/>
    <s v="Not Specified"/>
    <s v="Not Specified"/>
    <n v="140"/>
    <x v="0"/>
    <x v="2"/>
  </r>
  <r>
    <x v="0"/>
    <x v="0"/>
    <x v="178"/>
    <x v="2"/>
    <x v="10"/>
    <x v="212"/>
    <x v="13"/>
    <x v="14"/>
    <x v="34"/>
    <x v="5"/>
    <x v="227"/>
    <s v="Five Stars"/>
    <n v="1492992000"/>
    <s v="Not Specified"/>
    <s v="Not Specified"/>
    <s v="Not Specified"/>
    <n v="39"/>
    <x v="0"/>
    <x v="2"/>
  </r>
  <r>
    <x v="0"/>
    <x v="0"/>
    <x v="179"/>
    <x v="2"/>
    <x v="10"/>
    <x v="213"/>
    <x v="13"/>
    <x v="21"/>
    <x v="17"/>
    <x v="5"/>
    <x v="228"/>
    <s v="Five Stars"/>
    <n v="1492646400"/>
    <s v="Not Specified"/>
    <s v="Not Specified"/>
    <s v="Not Specified"/>
    <n v="7"/>
    <x v="0"/>
    <x v="2"/>
  </r>
  <r>
    <x v="0"/>
    <x v="0"/>
    <x v="180"/>
    <x v="2"/>
    <x v="10"/>
    <x v="214"/>
    <x v="13"/>
    <x v="17"/>
    <x v="17"/>
    <x v="5"/>
    <x v="229"/>
    <s v="Five Stars"/>
    <n v="1492560000"/>
    <s v="Not Specified"/>
    <s v="Not Specified"/>
    <s v="Not Specified"/>
    <n v="9"/>
    <x v="0"/>
    <x v="2"/>
  </r>
  <r>
    <x v="0"/>
    <x v="1"/>
    <x v="16"/>
    <x v="2"/>
    <x v="10"/>
    <x v="215"/>
    <x v="13"/>
    <x v="15"/>
    <x v="17"/>
    <x v="186"/>
    <x v="230"/>
    <s v="Very Good For Everyday"/>
    <n v="1492473600"/>
    <s v="Not Specified"/>
    <s v="Not Specified"/>
    <s v="Not Specified"/>
    <n v="115"/>
    <x v="0"/>
    <x v="2"/>
  </r>
  <r>
    <x v="0"/>
    <x v="0"/>
    <x v="181"/>
    <x v="2"/>
    <x v="10"/>
    <x v="216"/>
    <x v="13"/>
    <x v="21"/>
    <x v="17"/>
    <x v="187"/>
    <x v="231"/>
    <s v="Great shoes"/>
    <n v="1492387200"/>
    <s v="Not Specified"/>
    <s v="Not Specified"/>
    <s v="Not Specified"/>
    <n v="62"/>
    <x v="0"/>
    <x v="2"/>
  </r>
  <r>
    <x v="0"/>
    <x v="0"/>
    <x v="182"/>
    <x v="2"/>
    <x v="10"/>
    <x v="217"/>
    <x v="13"/>
    <x v="24"/>
    <x v="12"/>
    <x v="188"/>
    <x v="232"/>
    <s v="Love these shoes"/>
    <n v="1492214400"/>
    <s v="Not Specified"/>
    <s v="Not Specified"/>
    <s v="Not Specified"/>
    <n v="112"/>
    <x v="0"/>
    <x v="2"/>
  </r>
  <r>
    <x v="0"/>
    <x v="0"/>
    <x v="183"/>
    <x v="2"/>
    <x v="10"/>
    <x v="218"/>
    <x v="13"/>
    <x v="22"/>
    <x v="17"/>
    <x v="5"/>
    <x v="233"/>
    <s v="Five Stars"/>
    <n v="1492128000"/>
    <s v="Not Specified"/>
    <s v="Not Specified"/>
    <s v="Not Specified"/>
    <n v="38"/>
    <x v="0"/>
    <x v="2"/>
  </r>
  <r>
    <x v="4"/>
    <x v="0"/>
    <x v="184"/>
    <x v="2"/>
    <x v="10"/>
    <x v="219"/>
    <x v="13"/>
    <x v="25"/>
    <x v="17"/>
    <x v="189"/>
    <x v="234"/>
    <s v="Super comfortable. I joined Cross Fit and this is ..."/>
    <n v="1491868800"/>
    <s v="Not Specified"/>
    <s v="Not Specified"/>
    <s v="Not Specified"/>
    <n v="67"/>
    <x v="0"/>
    <x v="2"/>
  </r>
  <r>
    <x v="0"/>
    <x v="0"/>
    <x v="184"/>
    <x v="2"/>
    <x v="10"/>
    <x v="220"/>
    <x v="13"/>
    <x v="37"/>
    <x v="25"/>
    <x v="190"/>
    <x v="235"/>
    <s v="Five Stars"/>
    <n v="1491868800"/>
    <s v="Not Specified"/>
    <s v="Not Specified"/>
    <s v="Not Specified"/>
    <n v="13"/>
    <x v="0"/>
    <x v="2"/>
  </r>
  <r>
    <x v="0"/>
    <x v="0"/>
    <x v="185"/>
    <x v="2"/>
    <x v="10"/>
    <x v="221"/>
    <x v="13"/>
    <x v="22"/>
    <x v="29"/>
    <x v="191"/>
    <x v="236"/>
    <s v="Sooo comfortable"/>
    <n v="1491782400"/>
    <s v="Not Specified"/>
    <s v="Not Specified"/>
    <s v="Not Specified"/>
    <n v="49"/>
    <x v="0"/>
    <x v="2"/>
  </r>
  <r>
    <x v="0"/>
    <x v="0"/>
    <x v="185"/>
    <x v="2"/>
    <x v="10"/>
    <x v="222"/>
    <x v="13"/>
    <x v="16"/>
    <x v="28"/>
    <x v="192"/>
    <x v="237"/>
    <s v="So happy."/>
    <n v="1491782400"/>
    <s v="Not Specified"/>
    <s v="Not Specified"/>
    <s v="Not Specified"/>
    <n v="17"/>
    <x v="0"/>
    <x v="2"/>
  </r>
  <r>
    <x v="4"/>
    <x v="0"/>
    <x v="185"/>
    <x v="2"/>
    <x v="10"/>
    <x v="223"/>
    <x v="13"/>
    <x v="25"/>
    <x v="29"/>
    <x v="193"/>
    <x v="238"/>
    <s v="the shoe is nice and provides well for my HIIT and Grit classes ..."/>
    <n v="1491782400"/>
    <s v="Not Specified"/>
    <s v="Not Specified"/>
    <s v="Not Specified"/>
    <n v="177"/>
    <x v="0"/>
    <x v="2"/>
  </r>
  <r>
    <x v="0"/>
    <x v="0"/>
    <x v="186"/>
    <x v="2"/>
    <x v="10"/>
    <x v="224"/>
    <x v="13"/>
    <x v="21"/>
    <x v="17"/>
    <x v="5"/>
    <x v="239"/>
    <s v="Look amazing, runs slightly big."/>
    <n v="1491609600"/>
    <s v="Not Specified"/>
    <s v="Not Specified"/>
    <s v="Not Specified"/>
    <n v="163"/>
    <x v="0"/>
    <x v="2"/>
  </r>
  <r>
    <x v="4"/>
    <x v="0"/>
    <x v="18"/>
    <x v="2"/>
    <x v="10"/>
    <x v="225"/>
    <x v="13"/>
    <x v="30"/>
    <x v="17"/>
    <x v="5"/>
    <x v="240"/>
    <s v="Four Stars"/>
    <n v="1491350400"/>
    <s v="Not Specified"/>
    <s v="Not Specified"/>
    <s v="Not Specified"/>
    <n v="17"/>
    <x v="0"/>
    <x v="2"/>
  </r>
  <r>
    <x v="0"/>
    <x v="0"/>
    <x v="18"/>
    <x v="2"/>
    <x v="10"/>
    <x v="226"/>
    <x v="13"/>
    <x v="17"/>
    <x v="17"/>
    <x v="194"/>
    <x v="241"/>
    <s v="Five Stars"/>
    <n v="1491350400"/>
    <s v="Not Specified"/>
    <s v="Not Specified"/>
    <s v="Not Specified"/>
    <n v="30"/>
    <x v="0"/>
    <x v="2"/>
  </r>
  <r>
    <x v="0"/>
    <x v="0"/>
    <x v="187"/>
    <x v="2"/>
    <x v="10"/>
    <x v="227"/>
    <x v="13"/>
    <x v="30"/>
    <x v="40"/>
    <x v="195"/>
    <x v="242"/>
    <s v="Five Stars"/>
    <n v="1491264000"/>
    <s v="Not Specified"/>
    <s v="Not Specified"/>
    <s v="Not Specified"/>
    <n v="38"/>
    <x v="0"/>
    <x v="2"/>
  </r>
  <r>
    <x v="0"/>
    <x v="0"/>
    <x v="188"/>
    <x v="2"/>
    <x v="10"/>
    <x v="228"/>
    <x v="13"/>
    <x v="16"/>
    <x v="26"/>
    <x v="196"/>
    <x v="243"/>
    <s v="Five Stars"/>
    <n v="1491091200"/>
    <s v="Not Specified"/>
    <s v="Not Specified"/>
    <s v="Not Specified"/>
    <n v="39"/>
    <x v="0"/>
    <x v="2"/>
  </r>
  <r>
    <x v="4"/>
    <x v="0"/>
    <x v="189"/>
    <x v="2"/>
    <x v="5"/>
    <x v="229"/>
    <x v="13"/>
    <x v="16"/>
    <x v="17"/>
    <x v="197"/>
    <x v="244"/>
    <s v="Decent little shoe for the price."/>
    <n v="1490832000"/>
    <s v="Not Specified"/>
    <s v="Not Specified"/>
    <s v="Not Specified"/>
    <n v="87"/>
    <x v="0"/>
    <x v="2"/>
  </r>
  <r>
    <x v="0"/>
    <x v="0"/>
    <x v="190"/>
    <x v="2"/>
    <x v="5"/>
    <x v="230"/>
    <x v="13"/>
    <x v="22"/>
    <x v="29"/>
    <x v="198"/>
    <x v="245"/>
    <s v="Attractive and fit well"/>
    <n v="1490745600"/>
    <s v="Not Specified"/>
    <s v="Not Specified"/>
    <s v="Not Specified"/>
    <n v="120"/>
    <x v="0"/>
    <x v="2"/>
  </r>
  <r>
    <x v="2"/>
    <x v="0"/>
    <x v="191"/>
    <x v="2"/>
    <x v="5"/>
    <x v="231"/>
    <x v="13"/>
    <x v="30"/>
    <x v="18"/>
    <x v="199"/>
    <x v="246"/>
    <s v="Runs large"/>
    <n v="1490486400"/>
    <s v="Not Specified"/>
    <s v="Not Specified"/>
    <s v="Not Specified"/>
    <n v="178"/>
    <x v="2"/>
    <x v="2"/>
  </r>
  <r>
    <x v="3"/>
    <x v="0"/>
    <x v="192"/>
    <x v="2"/>
    <x v="5"/>
    <x v="232"/>
    <x v="13"/>
    <x v="28"/>
    <x v="25"/>
    <x v="200"/>
    <x v="247"/>
    <s v="One Star"/>
    <n v="1490400000"/>
    <s v="Not Specified"/>
    <s v="Not Specified"/>
    <s v="Not Specified"/>
    <n v="84"/>
    <x v="2"/>
    <x v="2"/>
  </r>
  <r>
    <x v="0"/>
    <x v="0"/>
    <x v="19"/>
    <x v="2"/>
    <x v="5"/>
    <x v="233"/>
    <x v="13"/>
    <x v="22"/>
    <x v="17"/>
    <x v="5"/>
    <x v="248"/>
    <s v="Five Stars"/>
    <n v="1490313600"/>
    <s v="Not Specified"/>
    <s v="Not Specified"/>
    <s v="Not Specified"/>
    <n v="10"/>
    <x v="0"/>
    <x v="2"/>
  </r>
  <r>
    <x v="0"/>
    <x v="0"/>
    <x v="19"/>
    <x v="2"/>
    <x v="5"/>
    <x v="234"/>
    <x v="13"/>
    <x v="17"/>
    <x v="17"/>
    <x v="201"/>
    <x v="249"/>
    <s v="I love the fit and they provide support for walking"/>
    <n v="1490313600"/>
    <s v="Not Specified"/>
    <s v="Not Specified"/>
    <s v="Not Specified"/>
    <n v="225"/>
    <x v="0"/>
    <x v="2"/>
  </r>
  <r>
    <x v="0"/>
    <x v="0"/>
    <x v="193"/>
    <x v="2"/>
    <x v="5"/>
    <x v="235"/>
    <x v="13"/>
    <x v="21"/>
    <x v="37"/>
    <x v="202"/>
    <x v="250"/>
    <s v="Good Shoes!"/>
    <n v="1490227200"/>
    <s v="Not Specified"/>
    <s v="Not Specified"/>
    <n v="3"/>
    <n v="401"/>
    <x v="0"/>
    <x v="2"/>
  </r>
  <r>
    <x v="0"/>
    <x v="0"/>
    <x v="194"/>
    <x v="2"/>
    <x v="5"/>
    <x v="236"/>
    <x v="13"/>
    <x v="17"/>
    <x v="30"/>
    <x v="203"/>
    <x v="251"/>
    <s v="Great shoes"/>
    <n v="1490054400"/>
    <s v="Not Specified"/>
    <s v="Not Specified"/>
    <s v="Not Specified"/>
    <n v="110"/>
    <x v="0"/>
    <x v="2"/>
  </r>
  <r>
    <x v="4"/>
    <x v="0"/>
    <x v="195"/>
    <x v="2"/>
    <x v="5"/>
    <x v="237"/>
    <x v="13"/>
    <x v="30"/>
    <x v="26"/>
    <x v="204"/>
    <x v="252"/>
    <s v="Good shoe"/>
    <n v="1489968000"/>
    <s v="Not Specified"/>
    <s v="Not Specified"/>
    <s v="Not Specified"/>
    <n v="23"/>
    <x v="0"/>
    <x v="2"/>
  </r>
  <r>
    <x v="0"/>
    <x v="0"/>
    <x v="196"/>
    <x v="2"/>
    <x v="5"/>
    <x v="238"/>
    <x v="13"/>
    <x v="15"/>
    <x v="17"/>
    <x v="205"/>
    <x v="253"/>
    <s v="Five Stars"/>
    <n v="1489795200"/>
    <s v="Not Specified"/>
    <s v="Not Specified"/>
    <s v="Not Specified"/>
    <n v="40"/>
    <x v="0"/>
    <x v="2"/>
  </r>
  <r>
    <x v="0"/>
    <x v="0"/>
    <x v="196"/>
    <x v="2"/>
    <x v="5"/>
    <x v="239"/>
    <x v="13"/>
    <x v="15"/>
    <x v="30"/>
    <x v="206"/>
    <x v="254"/>
    <s v="Love These Shoes!"/>
    <n v="1489795200"/>
    <s v="Not Specified"/>
    <s v="Not Specified"/>
    <n v="8"/>
    <n v="267"/>
    <x v="0"/>
    <x v="2"/>
  </r>
  <r>
    <x v="1"/>
    <x v="0"/>
    <x v="197"/>
    <x v="2"/>
    <x v="5"/>
    <x v="240"/>
    <x v="13"/>
    <x v="30"/>
    <x v="26"/>
    <x v="207"/>
    <x v="255"/>
    <s v="Not my favorites..."/>
    <n v="1489708800"/>
    <s v="Not Specified"/>
    <s v="Not Specified"/>
    <s v="Not Specified"/>
    <n v="143"/>
    <x v="1"/>
    <x v="2"/>
  </r>
  <r>
    <x v="4"/>
    <x v="0"/>
    <x v="198"/>
    <x v="2"/>
    <x v="5"/>
    <x v="241"/>
    <x v="13"/>
    <x v="15"/>
    <x v="34"/>
    <x v="208"/>
    <x v="256"/>
    <s v="Perfect for the gym"/>
    <n v="1489536000"/>
    <s v="Not Specified"/>
    <s v="Not Specified"/>
    <s v="Not Specified"/>
    <n v="118"/>
    <x v="0"/>
    <x v="2"/>
  </r>
  <r>
    <x v="1"/>
    <x v="0"/>
    <x v="198"/>
    <x v="2"/>
    <x v="5"/>
    <x v="242"/>
    <x v="13"/>
    <x v="22"/>
    <x v="29"/>
    <x v="209"/>
    <x v="257"/>
    <s v="Meh"/>
    <n v="1489536000"/>
    <s v="Not Specified"/>
    <s v="Not Specified"/>
    <n v="2"/>
    <n v="150"/>
    <x v="1"/>
    <x v="2"/>
  </r>
  <r>
    <x v="0"/>
    <x v="0"/>
    <x v="198"/>
    <x v="2"/>
    <x v="5"/>
    <x v="243"/>
    <x v="13"/>
    <x v="15"/>
    <x v="34"/>
    <x v="210"/>
    <x v="258"/>
    <s v="Five Stars"/>
    <n v="1489536000"/>
    <s v="Not Specified"/>
    <s v="Not Specified"/>
    <s v="Not Specified"/>
    <n v="40"/>
    <x v="0"/>
    <x v="2"/>
  </r>
  <r>
    <x v="0"/>
    <x v="0"/>
    <x v="199"/>
    <x v="2"/>
    <x v="5"/>
    <x v="244"/>
    <x v="13"/>
    <x v="16"/>
    <x v="40"/>
    <x v="211"/>
    <x v="259"/>
    <s v="Five Stars"/>
    <n v="1489449600"/>
    <s v="Not Specified"/>
    <s v="Not Specified"/>
    <s v="Not Specified"/>
    <n v="33"/>
    <x v="0"/>
    <x v="2"/>
  </r>
  <r>
    <x v="0"/>
    <x v="0"/>
    <x v="200"/>
    <x v="2"/>
    <x v="5"/>
    <x v="245"/>
    <x v="13"/>
    <x v="17"/>
    <x v="34"/>
    <x v="212"/>
    <x v="260"/>
    <s v="Hurry before they're gone!"/>
    <n v="1489363200"/>
    <s v="Not Specified"/>
    <s v="Not Specified"/>
    <s v="Not Specified"/>
    <n v="297"/>
    <x v="0"/>
    <x v="2"/>
  </r>
  <r>
    <x v="0"/>
    <x v="0"/>
    <x v="201"/>
    <x v="2"/>
    <x v="5"/>
    <x v="246"/>
    <x v="13"/>
    <x v="22"/>
    <x v="17"/>
    <x v="213"/>
    <x v="261"/>
    <s v="Amazing"/>
    <n v="1489276800"/>
    <s v="Not Specified"/>
    <s v="Not Specified"/>
    <s v="Not Specified"/>
    <n v="81"/>
    <x v="0"/>
    <x v="2"/>
  </r>
  <r>
    <x v="0"/>
    <x v="0"/>
    <x v="202"/>
    <x v="2"/>
    <x v="5"/>
    <x v="247"/>
    <x v="13"/>
    <x v="30"/>
    <x v="17"/>
    <x v="214"/>
    <x v="262"/>
    <s v="Five Stars"/>
    <n v="1488931200"/>
    <s v="Not Specified"/>
    <s v="Not Specified"/>
    <s v="Not Specified"/>
    <n v="13"/>
    <x v="0"/>
    <x v="2"/>
  </r>
  <r>
    <x v="4"/>
    <x v="0"/>
    <x v="202"/>
    <x v="2"/>
    <x v="5"/>
    <x v="248"/>
    <x v="13"/>
    <x v="16"/>
    <x v="40"/>
    <x v="5"/>
    <x v="263"/>
    <s v="Not quite wide enough"/>
    <n v="1488931200"/>
    <s v="Not Specified"/>
    <s v="Not Specified"/>
    <s v="Not Specified"/>
    <n v="182"/>
    <x v="0"/>
    <x v="2"/>
  </r>
  <r>
    <x v="4"/>
    <x v="0"/>
    <x v="202"/>
    <x v="2"/>
    <x v="5"/>
    <x v="248"/>
    <x v="13"/>
    <x v="16"/>
    <x v="26"/>
    <x v="5"/>
    <x v="263"/>
    <s v="Not quite wide enough"/>
    <n v="1488931200"/>
    <s v="Not Specified"/>
    <s v="Not Specified"/>
    <s v="Not Specified"/>
    <n v="182"/>
    <x v="0"/>
    <x v="2"/>
  </r>
  <r>
    <x v="0"/>
    <x v="0"/>
    <x v="203"/>
    <x v="2"/>
    <x v="5"/>
    <x v="249"/>
    <x v="13"/>
    <x v="21"/>
    <x v="17"/>
    <x v="215"/>
    <x v="264"/>
    <s v="Five Stars"/>
    <n v="1488758400"/>
    <s v="Not Specified"/>
    <s v="Not Specified"/>
    <s v="Not Specified"/>
    <n v="10"/>
    <x v="0"/>
    <x v="2"/>
  </r>
  <r>
    <x v="0"/>
    <x v="1"/>
    <x v="204"/>
    <x v="2"/>
    <x v="8"/>
    <x v="250"/>
    <x v="13"/>
    <x v="24"/>
    <x v="12"/>
    <x v="216"/>
    <x v="265"/>
    <s v="Simple look, outstanding comfort!"/>
    <n v="1488067200"/>
    <s v="Not Specified"/>
    <s v="Not Specified"/>
    <s v="Not Specified"/>
    <n v="206"/>
    <x v="0"/>
    <x v="2"/>
  </r>
  <r>
    <x v="4"/>
    <x v="0"/>
    <x v="205"/>
    <x v="2"/>
    <x v="8"/>
    <x v="251"/>
    <x v="13"/>
    <x v="14"/>
    <x v="17"/>
    <x v="217"/>
    <x v="266"/>
    <s v="My second favorite."/>
    <n v="1487894400"/>
    <s v="Not Specified"/>
    <s v="Not Specified"/>
    <s v="Not Specified"/>
    <n v="171"/>
    <x v="0"/>
    <x v="2"/>
  </r>
  <r>
    <x v="0"/>
    <x v="0"/>
    <x v="205"/>
    <x v="2"/>
    <x v="8"/>
    <x v="252"/>
    <x v="13"/>
    <x v="14"/>
    <x v="17"/>
    <x v="218"/>
    <x v="267"/>
    <s v="Five Stars"/>
    <n v="1487894400"/>
    <s v="Not Specified"/>
    <s v="Not Specified"/>
    <s v="Not Specified"/>
    <n v="12"/>
    <x v="0"/>
    <x v="2"/>
  </r>
  <r>
    <x v="4"/>
    <x v="0"/>
    <x v="21"/>
    <x v="2"/>
    <x v="8"/>
    <x v="253"/>
    <x v="13"/>
    <x v="15"/>
    <x v="39"/>
    <x v="219"/>
    <x v="268"/>
    <s v="Fit to actual size."/>
    <n v="1487635200"/>
    <s v="Not Specified"/>
    <s v="Not Specified"/>
    <s v="Not Specified"/>
    <n v="126"/>
    <x v="0"/>
    <x v="2"/>
  </r>
  <r>
    <x v="0"/>
    <x v="0"/>
    <x v="21"/>
    <x v="2"/>
    <x v="8"/>
    <x v="254"/>
    <x v="13"/>
    <x v="17"/>
    <x v="17"/>
    <x v="220"/>
    <x v="269"/>
    <s v="Five Stars"/>
    <n v="1487635200"/>
    <s v="Not Specified"/>
    <s v="Not Specified"/>
    <s v="Not Specified"/>
    <n v="56"/>
    <x v="0"/>
    <x v="2"/>
  </r>
  <r>
    <x v="1"/>
    <x v="0"/>
    <x v="206"/>
    <x v="2"/>
    <x v="8"/>
    <x v="255"/>
    <x v="13"/>
    <x v="14"/>
    <x v="34"/>
    <x v="5"/>
    <x v="270"/>
    <s v="Too small, flimsy upper"/>
    <n v="1487203200"/>
    <s v="Not Specified"/>
    <s v="Not Specified"/>
    <s v="Not Specified"/>
    <n v="198"/>
    <x v="1"/>
    <x v="2"/>
  </r>
  <r>
    <x v="0"/>
    <x v="0"/>
    <x v="207"/>
    <x v="2"/>
    <x v="8"/>
    <x v="256"/>
    <x v="13"/>
    <x v="22"/>
    <x v="40"/>
    <x v="221"/>
    <x v="271"/>
    <s v="Great for kickboxing"/>
    <n v="1487116800"/>
    <s v="Not Specified"/>
    <s v="Not Specified"/>
    <n v="5"/>
    <n v="388"/>
    <x v="0"/>
    <x v="2"/>
  </r>
  <r>
    <x v="0"/>
    <x v="0"/>
    <x v="208"/>
    <x v="2"/>
    <x v="8"/>
    <x v="257"/>
    <x v="13"/>
    <x v="16"/>
    <x v="17"/>
    <x v="222"/>
    <x v="272"/>
    <s v="These shoes are great for walking - so very comfortable"/>
    <n v="1486944000"/>
    <s v="Not Specified"/>
    <s v="Not Specified"/>
    <s v="Not Specified"/>
    <n v="87"/>
    <x v="0"/>
    <x v="2"/>
  </r>
  <r>
    <x v="0"/>
    <x v="0"/>
    <x v="209"/>
    <x v="2"/>
    <x v="8"/>
    <x v="258"/>
    <x v="13"/>
    <x v="15"/>
    <x v="17"/>
    <x v="223"/>
    <x v="273"/>
    <s v="Good choice for training shoe"/>
    <n v="1486857600"/>
    <s v="Not Specified"/>
    <s v="Not Specified"/>
    <s v="Not Specified"/>
    <n v="140"/>
    <x v="0"/>
    <x v="2"/>
  </r>
  <r>
    <x v="0"/>
    <x v="0"/>
    <x v="210"/>
    <x v="2"/>
    <x v="8"/>
    <x v="259"/>
    <x v="13"/>
    <x v="26"/>
    <x v="17"/>
    <x v="224"/>
    <x v="274"/>
    <s v="Five Stars"/>
    <n v="1486771200"/>
    <s v="Not Specified"/>
    <s v="Not Specified"/>
    <s v="Not Specified"/>
    <n v="28"/>
    <x v="0"/>
    <x v="2"/>
  </r>
  <r>
    <x v="4"/>
    <x v="0"/>
    <x v="22"/>
    <x v="2"/>
    <x v="8"/>
    <x v="260"/>
    <x v="13"/>
    <x v="15"/>
    <x v="40"/>
    <x v="225"/>
    <x v="275"/>
    <s v="They are slightly longer in look then I was would like but I think that is typical of cross trainers"/>
    <n v="1486512000"/>
    <s v="Not Specified"/>
    <s v="Not Specified"/>
    <n v="4"/>
    <n v="570"/>
    <x v="0"/>
    <x v="2"/>
  </r>
  <r>
    <x v="4"/>
    <x v="0"/>
    <x v="211"/>
    <x v="2"/>
    <x v="8"/>
    <x v="261"/>
    <x v="13"/>
    <x v="15"/>
    <x v="20"/>
    <x v="226"/>
    <x v="276"/>
    <s v="I love them but they are definitely bright orange/coral and not ..."/>
    <n v="1486339200"/>
    <s v="Not Specified"/>
    <s v="Not Specified"/>
    <s v="Not Specified"/>
    <n v="316"/>
    <x v="0"/>
    <x v="2"/>
  </r>
  <r>
    <x v="2"/>
    <x v="0"/>
    <x v="212"/>
    <x v="2"/>
    <x v="8"/>
    <x v="262"/>
    <x v="13"/>
    <x v="16"/>
    <x v="26"/>
    <x v="5"/>
    <x v="277"/>
    <s v="Color was not at all what i expected. It ..."/>
    <n v="1485993600"/>
    <s v="Not Specified"/>
    <s v="Not Specified"/>
    <s v="Not Specified"/>
    <n v="107"/>
    <x v="2"/>
    <x v="2"/>
  </r>
  <r>
    <x v="0"/>
    <x v="0"/>
    <x v="23"/>
    <x v="2"/>
    <x v="8"/>
    <x v="25"/>
    <x v="13"/>
    <x v="26"/>
    <x v="17"/>
    <x v="23"/>
    <x v="278"/>
    <s v="Super cute and on sale!!"/>
    <n v="1485907200"/>
    <s v="Not Specified"/>
    <s v="Not Specified"/>
    <s v="Not Specified"/>
    <n v="122"/>
    <x v="0"/>
    <x v="2"/>
  </r>
  <r>
    <x v="1"/>
    <x v="0"/>
    <x v="213"/>
    <x v="2"/>
    <x v="2"/>
    <x v="263"/>
    <x v="13"/>
    <x v="22"/>
    <x v="30"/>
    <x v="227"/>
    <x v="279"/>
    <s v="Three Stars"/>
    <n v="1485820800"/>
    <s v="Not Specified"/>
    <s v="Not Specified"/>
    <n v="3"/>
    <n v="7"/>
    <x v="1"/>
    <x v="2"/>
  </r>
  <r>
    <x v="0"/>
    <x v="0"/>
    <x v="214"/>
    <x v="2"/>
    <x v="2"/>
    <x v="264"/>
    <x v="13"/>
    <x v="14"/>
    <x v="34"/>
    <x v="5"/>
    <x v="280"/>
    <s v="then you should pretty much know your size"/>
    <n v="1485302400"/>
    <s v="Not Specified"/>
    <s v="Not Specified"/>
    <s v="Not Specified"/>
    <n v="521"/>
    <x v="0"/>
    <x v="2"/>
  </r>
  <r>
    <x v="0"/>
    <x v="0"/>
    <x v="215"/>
    <x v="2"/>
    <x v="2"/>
    <x v="265"/>
    <x v="13"/>
    <x v="16"/>
    <x v="40"/>
    <x v="228"/>
    <x v="281"/>
    <s v="Nice Support"/>
    <n v="1485043200"/>
    <s v="Not Specified"/>
    <s v="Not Specified"/>
    <s v="Not Specified"/>
    <n v="90"/>
    <x v="0"/>
    <x v="2"/>
  </r>
  <r>
    <x v="0"/>
    <x v="0"/>
    <x v="216"/>
    <x v="2"/>
    <x v="2"/>
    <x v="266"/>
    <x v="13"/>
    <x v="17"/>
    <x v="34"/>
    <x v="229"/>
    <x v="282"/>
    <s v="Good Sneaker"/>
    <n v="1484870400"/>
    <s v="Not Specified"/>
    <s v="Not Specified"/>
    <s v="Not Specified"/>
    <n v="40"/>
    <x v="0"/>
    <x v="2"/>
  </r>
  <r>
    <x v="0"/>
    <x v="0"/>
    <x v="217"/>
    <x v="2"/>
    <x v="2"/>
    <x v="267"/>
    <x v="13"/>
    <x v="21"/>
    <x v="44"/>
    <x v="230"/>
    <x v="283"/>
    <s v="Satisfied"/>
    <n v="1484697600"/>
    <s v="Not Specified"/>
    <s v="Not Specified"/>
    <s v="Not Specified"/>
    <n v="105"/>
    <x v="0"/>
    <x v="2"/>
  </r>
  <r>
    <x v="2"/>
    <x v="0"/>
    <x v="217"/>
    <x v="2"/>
    <x v="2"/>
    <x v="268"/>
    <x v="13"/>
    <x v="21"/>
    <x v="17"/>
    <x v="231"/>
    <x v="284"/>
    <s v="Too large"/>
    <n v="1484697600"/>
    <s v="Not Specified"/>
    <s v="Not Specified"/>
    <s v="Not Specified"/>
    <n v="118"/>
    <x v="2"/>
    <x v="2"/>
  </r>
  <r>
    <x v="0"/>
    <x v="0"/>
    <x v="217"/>
    <x v="2"/>
    <x v="2"/>
    <x v="269"/>
    <x v="13"/>
    <x v="14"/>
    <x v="18"/>
    <x v="232"/>
    <x v="285"/>
    <s v="colors look great together."/>
    <n v="1484697600"/>
    <s v="Not Specified"/>
    <s v="Not Specified"/>
    <s v="Not Specified"/>
    <n v="88"/>
    <x v="0"/>
    <x v="2"/>
  </r>
  <r>
    <x v="0"/>
    <x v="0"/>
    <x v="217"/>
    <x v="2"/>
    <x v="2"/>
    <x v="270"/>
    <x v="13"/>
    <x v="22"/>
    <x v="12"/>
    <x v="5"/>
    <x v="286"/>
    <s v="Five Stars"/>
    <n v="1484697600"/>
    <s v="Not Specified"/>
    <s v="Not Specified"/>
    <s v="Not Specified"/>
    <n v="11"/>
    <x v="0"/>
    <x v="2"/>
  </r>
  <r>
    <x v="4"/>
    <x v="0"/>
    <x v="217"/>
    <x v="2"/>
    <x v="2"/>
    <x v="271"/>
    <x v="13"/>
    <x v="15"/>
    <x v="17"/>
    <x v="233"/>
    <x v="287"/>
    <s v="but if I wear thick socks they are fine. Also"/>
    <n v="1484697600"/>
    <s v="Not Specified"/>
    <s v="Not Specified"/>
    <s v="Not Specified"/>
    <n v="316"/>
    <x v="0"/>
    <x v="2"/>
  </r>
  <r>
    <x v="3"/>
    <x v="0"/>
    <x v="218"/>
    <x v="2"/>
    <x v="2"/>
    <x v="272"/>
    <x v="13"/>
    <x v="22"/>
    <x v="29"/>
    <x v="234"/>
    <x v="288"/>
    <s v="Poor quality for Nike"/>
    <n v="1484438400"/>
    <s v="Not Specified"/>
    <s v="Not Specified"/>
    <n v="19"/>
    <n v="69"/>
    <x v="2"/>
    <x v="2"/>
  </r>
  <r>
    <x v="4"/>
    <x v="0"/>
    <x v="219"/>
    <x v="2"/>
    <x v="2"/>
    <x v="273"/>
    <x v="13"/>
    <x v="16"/>
    <x v="42"/>
    <x v="5"/>
    <x v="289"/>
    <s v="4/5"/>
    <n v="1484265600"/>
    <s v="Not Specified"/>
    <s v="Not Specified"/>
    <s v="Not Specified"/>
    <n v="187"/>
    <x v="0"/>
    <x v="2"/>
  </r>
  <r>
    <x v="0"/>
    <x v="0"/>
    <x v="220"/>
    <x v="2"/>
    <x v="2"/>
    <x v="274"/>
    <x v="13"/>
    <x v="21"/>
    <x v="33"/>
    <x v="235"/>
    <x v="290"/>
    <s v="LOVE!"/>
    <n v="1484179200"/>
    <s v="Not Specified"/>
    <s v="Not Specified"/>
    <s v="Not Specified"/>
    <n v="216"/>
    <x v="0"/>
    <x v="2"/>
  </r>
  <r>
    <x v="0"/>
    <x v="0"/>
    <x v="220"/>
    <x v="2"/>
    <x v="2"/>
    <x v="275"/>
    <x v="13"/>
    <x v="15"/>
    <x v="17"/>
    <x v="236"/>
    <x v="291"/>
    <s v="Five Stars"/>
    <n v="1484179200"/>
    <s v="Not Specified"/>
    <s v="Not Specified"/>
    <s v="Not Specified"/>
    <n v="20"/>
    <x v="0"/>
    <x v="2"/>
  </r>
  <r>
    <x v="0"/>
    <x v="0"/>
    <x v="221"/>
    <x v="2"/>
    <x v="2"/>
    <x v="276"/>
    <x v="13"/>
    <x v="22"/>
    <x v="37"/>
    <x v="5"/>
    <x v="240"/>
    <s v="Five Stars"/>
    <n v="1484006400"/>
    <s v="Not Specified"/>
    <s v="Not Specified"/>
    <s v="Not Specified"/>
    <n v="17"/>
    <x v="0"/>
    <x v="2"/>
  </r>
  <r>
    <x v="0"/>
    <x v="0"/>
    <x v="222"/>
    <x v="2"/>
    <x v="2"/>
    <x v="277"/>
    <x v="13"/>
    <x v="22"/>
    <x v="42"/>
    <x v="5"/>
    <x v="292"/>
    <s v="Correct size"/>
    <n v="1483747200"/>
    <s v="Not Specified"/>
    <s v="Not Specified"/>
    <s v="Not Specified"/>
    <n v="92"/>
    <x v="0"/>
    <x v="2"/>
  </r>
  <r>
    <x v="0"/>
    <x v="0"/>
    <x v="222"/>
    <x v="2"/>
    <x v="2"/>
    <x v="278"/>
    <x v="13"/>
    <x v="26"/>
    <x v="42"/>
    <x v="237"/>
    <x v="293"/>
    <s v="Perfect for the gym"/>
    <n v="1483747200"/>
    <s v="Not Specified"/>
    <s v="Not Specified"/>
    <s v="Not Specified"/>
    <n v="182"/>
    <x v="0"/>
    <x v="2"/>
  </r>
  <r>
    <x v="4"/>
    <x v="0"/>
    <x v="223"/>
    <x v="2"/>
    <x v="2"/>
    <x v="279"/>
    <x v="13"/>
    <x v="14"/>
    <x v="42"/>
    <x v="5"/>
    <x v="294"/>
    <s v="... opened the box to see the color is exactly like the image shows"/>
    <n v="1483660800"/>
    <s v="Not Specified"/>
    <s v="Not Specified"/>
    <s v="Not Specified"/>
    <n v="219"/>
    <x v="0"/>
    <x v="2"/>
  </r>
  <r>
    <x v="3"/>
    <x v="0"/>
    <x v="224"/>
    <x v="2"/>
    <x v="2"/>
    <x v="280"/>
    <x v="13"/>
    <x v="16"/>
    <x v="18"/>
    <x v="238"/>
    <x v="295"/>
    <s v="I ordered the Nike Women's Flex Supreme TR3 instead and love them!"/>
    <n v="1483488000"/>
    <s v="Not Specified"/>
    <s v="Not Specified"/>
    <s v="Not Specified"/>
    <n v="258"/>
    <x v="2"/>
    <x v="2"/>
  </r>
  <r>
    <x v="0"/>
    <x v="0"/>
    <x v="224"/>
    <x v="2"/>
    <x v="2"/>
    <x v="281"/>
    <x v="13"/>
    <x v="22"/>
    <x v="12"/>
    <x v="239"/>
    <x v="296"/>
    <s v="so light &amp; comfortable!"/>
    <n v="1483488000"/>
    <s v="Not Specified"/>
    <s v="Not Specified"/>
    <s v="Not Specified"/>
    <n v="69"/>
    <x v="0"/>
    <x v="2"/>
  </r>
  <r>
    <x v="0"/>
    <x v="0"/>
    <x v="225"/>
    <x v="2"/>
    <x v="2"/>
    <x v="282"/>
    <x v="13"/>
    <x v="14"/>
    <x v="42"/>
    <x v="240"/>
    <x v="297"/>
    <s v="Five Stars"/>
    <n v="1483228800"/>
    <s v="Not Specified"/>
    <s v="Not Specified"/>
    <s v="Not Specified"/>
    <n v="32"/>
    <x v="0"/>
    <x v="2"/>
  </r>
  <r>
    <x v="0"/>
    <x v="0"/>
    <x v="225"/>
    <x v="2"/>
    <x v="2"/>
    <x v="283"/>
    <x v="13"/>
    <x v="16"/>
    <x v="17"/>
    <x v="241"/>
    <x v="298"/>
    <s v="Five Stars"/>
    <n v="1483228800"/>
    <s v="Not Specified"/>
    <s v="Not Specified"/>
    <s v="Not Specified"/>
    <n v="36"/>
    <x v="0"/>
    <x v="2"/>
  </r>
  <r>
    <x v="0"/>
    <x v="0"/>
    <x v="226"/>
    <x v="3"/>
    <x v="11"/>
    <x v="284"/>
    <x v="13"/>
    <x v="15"/>
    <x v="17"/>
    <x v="242"/>
    <x v="299"/>
    <s v="these were a perfect fit. They are light and very comfortable"/>
    <n v="1483142400"/>
    <s v="Not Specified"/>
    <s v="Not Specified"/>
    <s v="Not Specified"/>
    <n v="169"/>
    <x v="0"/>
    <x v="2"/>
  </r>
  <r>
    <x v="0"/>
    <x v="0"/>
    <x v="227"/>
    <x v="3"/>
    <x v="11"/>
    <x v="285"/>
    <x v="13"/>
    <x v="15"/>
    <x v="17"/>
    <x v="243"/>
    <x v="300"/>
    <s v="Five Stars"/>
    <n v="1482969600"/>
    <s v="Not Specified"/>
    <s v="Not Specified"/>
    <s v="Not Specified"/>
    <n v="37"/>
    <x v="0"/>
    <x v="2"/>
  </r>
  <r>
    <x v="0"/>
    <x v="0"/>
    <x v="227"/>
    <x v="3"/>
    <x v="11"/>
    <x v="286"/>
    <x v="13"/>
    <x v="17"/>
    <x v="42"/>
    <x v="5"/>
    <x v="301"/>
    <s v="Five Stars"/>
    <n v="1482969600"/>
    <s v="Not Specified"/>
    <s v="Not Specified"/>
    <s v="Not Specified"/>
    <n v="45"/>
    <x v="0"/>
    <x v="2"/>
  </r>
  <r>
    <x v="0"/>
    <x v="0"/>
    <x v="228"/>
    <x v="3"/>
    <x v="11"/>
    <x v="287"/>
    <x v="13"/>
    <x v="15"/>
    <x v="17"/>
    <x v="5"/>
    <x v="120"/>
    <s v="Just what I wanted!"/>
    <n v="1482883200"/>
    <s v="Not Specified"/>
    <s v="Not Specified"/>
    <s v="Not Specified"/>
    <n v="8"/>
    <x v="0"/>
    <x v="2"/>
  </r>
  <r>
    <x v="0"/>
    <x v="0"/>
    <x v="228"/>
    <x v="3"/>
    <x v="11"/>
    <x v="288"/>
    <x v="13"/>
    <x v="21"/>
    <x v="18"/>
    <x v="244"/>
    <x v="302"/>
    <s v="Bought these for my daughter and she loves them. ..."/>
    <n v="1482883200"/>
    <s v="Not Specified"/>
    <s v="Not Specified"/>
    <s v="Not Specified"/>
    <n v="134"/>
    <x v="0"/>
    <x v="2"/>
  </r>
  <r>
    <x v="0"/>
    <x v="0"/>
    <x v="229"/>
    <x v="3"/>
    <x v="11"/>
    <x v="289"/>
    <x v="13"/>
    <x v="16"/>
    <x v="17"/>
    <x v="245"/>
    <x v="303"/>
    <s v="Five Stars"/>
    <n v="1482796800"/>
    <s v="Not Specified"/>
    <s v="Not Specified"/>
    <s v="Not Specified"/>
    <n v="32"/>
    <x v="0"/>
    <x v="2"/>
  </r>
  <r>
    <x v="2"/>
    <x v="0"/>
    <x v="230"/>
    <x v="3"/>
    <x v="11"/>
    <x v="290"/>
    <x v="13"/>
    <x v="30"/>
    <x v="28"/>
    <x v="246"/>
    <x v="304"/>
    <s v="Tried one in the store and bought it online but ..."/>
    <n v="1482624000"/>
    <s v="Not Specified"/>
    <s v="Not Specified"/>
    <n v="2"/>
    <n v="108"/>
    <x v="2"/>
    <x v="2"/>
  </r>
  <r>
    <x v="0"/>
    <x v="0"/>
    <x v="231"/>
    <x v="3"/>
    <x v="11"/>
    <x v="291"/>
    <x v="13"/>
    <x v="30"/>
    <x v="37"/>
    <x v="247"/>
    <x v="305"/>
    <s v="I had the older generation of this shoe that survived ..."/>
    <n v="1482451200"/>
    <s v="Not Specified"/>
    <s v="Not Specified"/>
    <s v="Not Specified"/>
    <n v="198"/>
    <x v="0"/>
    <x v="2"/>
  </r>
  <r>
    <x v="0"/>
    <x v="0"/>
    <x v="232"/>
    <x v="3"/>
    <x v="11"/>
    <x v="292"/>
    <x v="13"/>
    <x v="38"/>
    <x v="29"/>
    <x v="5"/>
    <x v="306"/>
    <s v="Five Stars"/>
    <n v="1482364800"/>
    <s v="Not Specified"/>
    <s v="Not Specified"/>
    <s v="Not Specified"/>
    <n v="105"/>
    <x v="0"/>
    <x v="2"/>
  </r>
  <r>
    <x v="2"/>
    <x v="0"/>
    <x v="233"/>
    <x v="3"/>
    <x v="11"/>
    <x v="293"/>
    <x v="13"/>
    <x v="15"/>
    <x v="34"/>
    <x v="248"/>
    <x v="307"/>
    <s v="Not true to size"/>
    <n v="1481846400"/>
    <s v="Not Specified"/>
    <s v="Not Specified"/>
    <s v="Not Specified"/>
    <n v="63"/>
    <x v="2"/>
    <x v="2"/>
  </r>
  <r>
    <x v="3"/>
    <x v="0"/>
    <x v="234"/>
    <x v="3"/>
    <x v="11"/>
    <x v="294"/>
    <x v="13"/>
    <x v="14"/>
    <x v="42"/>
    <x v="5"/>
    <x v="308"/>
    <s v="One Star"/>
    <n v="1481760000"/>
    <s v="Not Specified"/>
    <s v="Not Specified"/>
    <s v="Not Specified"/>
    <n v="11"/>
    <x v="2"/>
    <x v="2"/>
  </r>
  <r>
    <x v="0"/>
    <x v="0"/>
    <x v="235"/>
    <x v="3"/>
    <x v="11"/>
    <x v="295"/>
    <x v="13"/>
    <x v="42"/>
    <x v="25"/>
    <x v="249"/>
    <x v="309"/>
    <s v="Nice"/>
    <n v="1481500800"/>
    <s v="Not Specified"/>
    <s v="Not Specified"/>
    <s v="Not Specified"/>
    <n v="15"/>
    <x v="0"/>
    <x v="2"/>
  </r>
  <r>
    <x v="0"/>
    <x v="0"/>
    <x v="235"/>
    <x v="3"/>
    <x v="11"/>
    <x v="296"/>
    <x v="13"/>
    <x v="22"/>
    <x v="17"/>
    <x v="250"/>
    <x v="310"/>
    <s v="Great"/>
    <n v="1481500800"/>
    <s v="Not Specified"/>
    <s v="Not Specified"/>
    <n v="3"/>
    <n v="362"/>
    <x v="0"/>
    <x v="2"/>
  </r>
  <r>
    <x v="4"/>
    <x v="0"/>
    <x v="236"/>
    <x v="3"/>
    <x v="11"/>
    <x v="297"/>
    <x v="13"/>
    <x v="14"/>
    <x v="42"/>
    <x v="251"/>
    <x v="311"/>
    <s v="Four Stars"/>
    <n v="1481155200"/>
    <s v="Not Specified"/>
    <s v="Not Specified"/>
    <s v="Not Specified"/>
    <n v="36"/>
    <x v="0"/>
    <x v="2"/>
  </r>
  <r>
    <x v="4"/>
    <x v="0"/>
    <x v="237"/>
    <x v="3"/>
    <x v="11"/>
    <x v="298"/>
    <x v="13"/>
    <x v="26"/>
    <x v="40"/>
    <x v="252"/>
    <x v="312"/>
    <s v="Four Stars"/>
    <n v="1480809600"/>
    <s v="Not Specified"/>
    <s v="Not Specified"/>
    <s v="Not Specified"/>
    <n v="36"/>
    <x v="0"/>
    <x v="2"/>
  </r>
  <r>
    <x v="4"/>
    <x v="0"/>
    <x v="238"/>
    <x v="3"/>
    <x v="11"/>
    <x v="299"/>
    <x v="13"/>
    <x v="34"/>
    <x v="25"/>
    <x v="5"/>
    <x v="313"/>
    <s v="Four Stars"/>
    <n v="1480636800"/>
    <s v="Not Specified"/>
    <s v="Not Specified"/>
    <n v="2"/>
    <n v="29"/>
    <x v="0"/>
    <x v="2"/>
  </r>
  <r>
    <x v="0"/>
    <x v="0"/>
    <x v="238"/>
    <x v="3"/>
    <x v="11"/>
    <x v="300"/>
    <x v="13"/>
    <x v="17"/>
    <x v="17"/>
    <x v="253"/>
    <x v="314"/>
    <s v="Five Stars"/>
    <n v="1480636800"/>
    <s v="Not Specified"/>
    <s v="Not Specified"/>
    <s v="Not Specified"/>
    <n v="43"/>
    <x v="0"/>
    <x v="2"/>
  </r>
  <r>
    <x v="0"/>
    <x v="0"/>
    <x v="239"/>
    <x v="3"/>
    <x v="11"/>
    <x v="301"/>
    <x v="13"/>
    <x v="21"/>
    <x v="44"/>
    <x v="83"/>
    <x v="315"/>
    <s v="Five Stars"/>
    <n v="1480550400"/>
    <s v="Not Specified"/>
    <s v="Not Specified"/>
    <s v="Not Specified"/>
    <n v="93"/>
    <x v="0"/>
    <x v="2"/>
  </r>
  <r>
    <x v="0"/>
    <x v="0"/>
    <x v="240"/>
    <x v="3"/>
    <x v="7"/>
    <x v="302"/>
    <x v="13"/>
    <x v="21"/>
    <x v="17"/>
    <x v="233"/>
    <x v="316"/>
    <s v="Five Stars"/>
    <n v="1480291200"/>
    <s v="Not Specified"/>
    <s v="Not Specified"/>
    <s v="Not Specified"/>
    <n v="90"/>
    <x v="0"/>
    <x v="2"/>
  </r>
  <r>
    <x v="0"/>
    <x v="0"/>
    <x v="241"/>
    <x v="3"/>
    <x v="7"/>
    <x v="303"/>
    <x v="13"/>
    <x v="30"/>
    <x v="41"/>
    <x v="254"/>
    <x v="317"/>
    <s v="Love them"/>
    <n v="1480204800"/>
    <s v="Not Specified"/>
    <s v="Not Specified"/>
    <s v="Not Specified"/>
    <n v="338"/>
    <x v="0"/>
    <x v="2"/>
  </r>
  <r>
    <x v="0"/>
    <x v="0"/>
    <x v="242"/>
    <x v="3"/>
    <x v="7"/>
    <x v="304"/>
    <x v="13"/>
    <x v="15"/>
    <x v="17"/>
    <x v="255"/>
    <x v="318"/>
    <s v="Super light weight versatile"/>
    <n v="1479859200"/>
    <s v="Not Specified"/>
    <s v="Not Specified"/>
    <s v="Not Specified"/>
    <n v="76"/>
    <x v="0"/>
    <x v="2"/>
  </r>
  <r>
    <x v="4"/>
    <x v="1"/>
    <x v="243"/>
    <x v="3"/>
    <x v="7"/>
    <x v="305"/>
    <x v="13"/>
    <x v="26"/>
    <x v="37"/>
    <x v="256"/>
    <x v="319"/>
    <s v="very comfortable but limited use"/>
    <n v="1479686400"/>
    <s v="Not Specified"/>
    <s v="Not Specified"/>
    <s v="Not Specified"/>
    <n v="767"/>
    <x v="0"/>
    <x v="2"/>
  </r>
  <r>
    <x v="4"/>
    <x v="0"/>
    <x v="244"/>
    <x v="3"/>
    <x v="7"/>
    <x v="306"/>
    <x v="13"/>
    <x v="21"/>
    <x v="44"/>
    <x v="257"/>
    <x v="320"/>
    <s v="Four Stars"/>
    <n v="1479254400"/>
    <s v="Not Specified"/>
    <s v="Not Specified"/>
    <s v="Not Specified"/>
    <n v="49"/>
    <x v="0"/>
    <x v="2"/>
  </r>
  <r>
    <x v="0"/>
    <x v="0"/>
    <x v="244"/>
    <x v="3"/>
    <x v="7"/>
    <x v="307"/>
    <x v="13"/>
    <x v="21"/>
    <x v="17"/>
    <x v="5"/>
    <x v="321"/>
    <s v="Five Stars"/>
    <n v="1479254400"/>
    <s v="Not Specified"/>
    <s v="Not Specified"/>
    <s v="Not Specified"/>
    <n v="9"/>
    <x v="0"/>
    <x v="2"/>
  </r>
  <r>
    <x v="1"/>
    <x v="0"/>
    <x v="245"/>
    <x v="3"/>
    <x v="7"/>
    <x v="308"/>
    <x v="13"/>
    <x v="15"/>
    <x v="34"/>
    <x v="258"/>
    <x v="322"/>
    <s v="Not for aerobic exercise"/>
    <n v="1479081600"/>
    <s v="Not Specified"/>
    <s v="Not Specified"/>
    <s v="Not Specified"/>
    <n v="92"/>
    <x v="1"/>
    <x v="2"/>
  </r>
  <r>
    <x v="0"/>
    <x v="0"/>
    <x v="246"/>
    <x v="3"/>
    <x v="7"/>
    <x v="309"/>
    <x v="13"/>
    <x v="22"/>
    <x v="24"/>
    <x v="259"/>
    <x v="323"/>
    <s v="Favorite Nikes ever"/>
    <n v="1478822400"/>
    <s v="Not Specified"/>
    <s v="Not Specified"/>
    <s v="Not Specified"/>
    <n v="133"/>
    <x v="0"/>
    <x v="2"/>
  </r>
  <r>
    <x v="4"/>
    <x v="0"/>
    <x v="246"/>
    <x v="3"/>
    <x v="7"/>
    <x v="310"/>
    <x v="13"/>
    <x v="16"/>
    <x v="28"/>
    <x v="260"/>
    <x v="324"/>
    <s v="Four Stars"/>
    <n v="1478822400"/>
    <s v="Not Specified"/>
    <s v="Not Specified"/>
    <s v="Not Specified"/>
    <n v="25"/>
    <x v="0"/>
    <x v="2"/>
  </r>
  <r>
    <x v="0"/>
    <x v="0"/>
    <x v="247"/>
    <x v="3"/>
    <x v="7"/>
    <x v="311"/>
    <x v="13"/>
    <x v="14"/>
    <x v="17"/>
    <x v="5"/>
    <x v="325"/>
    <s v="... of shoes for cross training and these were the best!"/>
    <n v="1478649600"/>
    <s v="Not Specified"/>
    <s v="Not Specified"/>
    <s v="Not Specified"/>
    <n v="64"/>
    <x v="0"/>
    <x v="2"/>
  </r>
  <r>
    <x v="4"/>
    <x v="0"/>
    <x v="248"/>
    <x v="3"/>
    <x v="7"/>
    <x v="312"/>
    <x v="13"/>
    <x v="26"/>
    <x v="40"/>
    <x v="261"/>
    <x v="326"/>
    <s v="Overall, a grwat shoe."/>
    <n v="1478563200"/>
    <s v="Not Specified"/>
    <s v="Not Specified"/>
    <s v="Not Specified"/>
    <n v="83"/>
    <x v="0"/>
    <x v="2"/>
  </r>
  <r>
    <x v="0"/>
    <x v="0"/>
    <x v="249"/>
    <x v="3"/>
    <x v="7"/>
    <x v="313"/>
    <x v="13"/>
    <x v="30"/>
    <x v="17"/>
    <x v="262"/>
    <x v="327"/>
    <s v="These are as far as comfort goes the most comfortable pair of sneakers I have I suffer from sciatica ..."/>
    <n v="1478476800"/>
    <s v="Not Specified"/>
    <s v="Not Specified"/>
    <n v="3"/>
    <n v="235"/>
    <x v="0"/>
    <x v="2"/>
  </r>
  <r>
    <x v="1"/>
    <x v="0"/>
    <x v="250"/>
    <x v="3"/>
    <x v="7"/>
    <x v="314"/>
    <x v="13"/>
    <x v="21"/>
    <x v="40"/>
    <x v="263"/>
    <x v="328"/>
    <s v="They feel good but I will not recommended if you need Wide ..."/>
    <n v="1478390400"/>
    <s v="Not Specified"/>
    <s v="Not Specified"/>
    <s v="Not Specified"/>
    <n v="115"/>
    <x v="1"/>
    <x v="2"/>
  </r>
  <r>
    <x v="1"/>
    <x v="0"/>
    <x v="251"/>
    <x v="3"/>
    <x v="3"/>
    <x v="315"/>
    <x v="13"/>
    <x v="30"/>
    <x v="28"/>
    <x v="264"/>
    <x v="329"/>
    <s v="Get a half-size or more larger than usual."/>
    <n v="1477785600"/>
    <s v="Not Specified"/>
    <s v="Not Specified"/>
    <s v="Not Specified"/>
    <n v="228"/>
    <x v="1"/>
    <x v="2"/>
  </r>
  <r>
    <x v="0"/>
    <x v="0"/>
    <x v="252"/>
    <x v="3"/>
    <x v="3"/>
    <x v="316"/>
    <x v="13"/>
    <x v="17"/>
    <x v="23"/>
    <x v="265"/>
    <x v="330"/>
    <s v="Love them! Very comfortable and great for weight training"/>
    <n v="1477699200"/>
    <s v="Not Specified"/>
    <s v="Not Specified"/>
    <s v="Not Specified"/>
    <n v="59"/>
    <x v="0"/>
    <x v="2"/>
  </r>
  <r>
    <x v="1"/>
    <x v="0"/>
    <x v="253"/>
    <x v="3"/>
    <x v="3"/>
    <x v="317"/>
    <x v="13"/>
    <x v="21"/>
    <x v="17"/>
    <x v="266"/>
    <x v="331"/>
    <s v="Not as expected"/>
    <n v="1477440000"/>
    <s v="Not Specified"/>
    <s v="Not Specified"/>
    <s v="Not Specified"/>
    <n v="333"/>
    <x v="1"/>
    <x v="2"/>
  </r>
  <r>
    <x v="0"/>
    <x v="0"/>
    <x v="254"/>
    <x v="3"/>
    <x v="3"/>
    <x v="318"/>
    <x v="13"/>
    <x v="24"/>
    <x v="12"/>
    <x v="267"/>
    <x v="332"/>
    <s v="Five Stars"/>
    <n v="1477353600"/>
    <s v="Not Specified"/>
    <s v="Not Specified"/>
    <s v="Not Specified"/>
    <n v="33"/>
    <x v="0"/>
    <x v="2"/>
  </r>
  <r>
    <x v="0"/>
    <x v="1"/>
    <x v="255"/>
    <x v="3"/>
    <x v="3"/>
    <x v="319"/>
    <x v="13"/>
    <x v="14"/>
    <x v="30"/>
    <x v="5"/>
    <x v="333"/>
    <s v="Really Comfortable Shoes"/>
    <n v="1477267200"/>
    <s v="Not Specified"/>
    <s v="Not Specified"/>
    <s v="Not Specified"/>
    <n v="86"/>
    <x v="0"/>
    <x v="2"/>
  </r>
  <r>
    <x v="0"/>
    <x v="0"/>
    <x v="255"/>
    <x v="3"/>
    <x v="3"/>
    <x v="320"/>
    <x v="13"/>
    <x v="14"/>
    <x v="32"/>
    <x v="268"/>
    <x v="334"/>
    <s v="Five Stars"/>
    <n v="1477267200"/>
    <s v="Not Specified"/>
    <s v="Not Specified"/>
    <s v="Not Specified"/>
    <n v="24"/>
    <x v="0"/>
    <x v="2"/>
  </r>
  <r>
    <x v="0"/>
    <x v="0"/>
    <x v="256"/>
    <x v="3"/>
    <x v="3"/>
    <x v="321"/>
    <x v="13"/>
    <x v="26"/>
    <x v="17"/>
    <x v="5"/>
    <x v="335"/>
    <s v="Worth it."/>
    <n v="1476835200"/>
    <s v="Not Specified"/>
    <s v="Not Specified"/>
    <s v="Not Specified"/>
    <n v="35"/>
    <x v="0"/>
    <x v="2"/>
  </r>
  <r>
    <x v="0"/>
    <x v="0"/>
    <x v="4"/>
    <x v="3"/>
    <x v="3"/>
    <x v="322"/>
    <x v="13"/>
    <x v="16"/>
    <x v="28"/>
    <x v="269"/>
    <x v="336"/>
    <s v="Great sneakers!"/>
    <n v="1476662400"/>
    <s v="Not Specified"/>
    <s v="Not Specified"/>
    <n v="5"/>
    <n v="106"/>
    <x v="0"/>
    <x v="2"/>
  </r>
  <r>
    <x v="0"/>
    <x v="0"/>
    <x v="257"/>
    <x v="3"/>
    <x v="3"/>
    <x v="323"/>
    <x v="13"/>
    <x v="16"/>
    <x v="17"/>
    <x v="270"/>
    <x v="337"/>
    <s v="Lightweight yet supportive"/>
    <n v="1476489600"/>
    <s v="Not Specified"/>
    <s v="Not Specified"/>
    <s v="Not Specified"/>
    <n v="57"/>
    <x v="0"/>
    <x v="2"/>
  </r>
  <r>
    <x v="4"/>
    <x v="0"/>
    <x v="258"/>
    <x v="3"/>
    <x v="3"/>
    <x v="324"/>
    <x v="13"/>
    <x v="15"/>
    <x v="40"/>
    <x v="271"/>
    <x v="338"/>
    <s v="but like them so far"/>
    <n v="1476144000"/>
    <s v="Not Specified"/>
    <s v="Not Specified"/>
    <s v="Not Specified"/>
    <n v="181"/>
    <x v="0"/>
    <x v="2"/>
  </r>
  <r>
    <x v="1"/>
    <x v="0"/>
    <x v="259"/>
    <x v="3"/>
    <x v="3"/>
    <x v="325"/>
    <x v="13"/>
    <x v="30"/>
    <x v="20"/>
    <x v="272"/>
    <x v="339"/>
    <s v="Great red color"/>
    <n v="1475971200"/>
    <s v="Not Specified"/>
    <s v="Not Specified"/>
    <s v="Not Specified"/>
    <n v="68"/>
    <x v="1"/>
    <x v="2"/>
  </r>
  <r>
    <x v="4"/>
    <x v="0"/>
    <x v="260"/>
    <x v="3"/>
    <x v="3"/>
    <x v="326"/>
    <x v="13"/>
    <x v="14"/>
    <x v="17"/>
    <x v="273"/>
    <x v="340"/>
    <s v="they'll work great!: )"/>
    <n v="1475625600"/>
    <s v="Not Specified"/>
    <s v="Not Specified"/>
    <s v="Not Specified"/>
    <n v="100"/>
    <x v="0"/>
    <x v="2"/>
  </r>
  <r>
    <x v="1"/>
    <x v="0"/>
    <x v="261"/>
    <x v="3"/>
    <x v="3"/>
    <x v="327"/>
    <x v="13"/>
    <x v="16"/>
    <x v="20"/>
    <x v="274"/>
    <x v="341"/>
    <s v="Shoes looked great but too narrow for most feet"/>
    <n v="1475280000"/>
    <s v="Not Specified"/>
    <s v="Not Specified"/>
    <s v="Not Specified"/>
    <n v="59"/>
    <x v="1"/>
    <x v="2"/>
  </r>
  <r>
    <x v="0"/>
    <x v="0"/>
    <x v="262"/>
    <x v="3"/>
    <x v="0"/>
    <x v="328"/>
    <x v="13"/>
    <x v="30"/>
    <x v="18"/>
    <x v="275"/>
    <x v="342"/>
    <s v="I love these shoes"/>
    <n v="1474848000"/>
    <s v="Not Specified"/>
    <s v="Not Specified"/>
    <s v="Not Specified"/>
    <n v="107"/>
    <x v="0"/>
    <x v="2"/>
  </r>
  <r>
    <x v="0"/>
    <x v="0"/>
    <x v="263"/>
    <x v="3"/>
    <x v="0"/>
    <x v="329"/>
    <x v="13"/>
    <x v="14"/>
    <x v="34"/>
    <x v="276"/>
    <x v="343"/>
    <s v="Five Stars"/>
    <n v="1474588800"/>
    <s v="Not Specified"/>
    <s v="Not Specified"/>
    <s v="Not Specified"/>
    <n v="12"/>
    <x v="0"/>
    <x v="2"/>
  </r>
  <r>
    <x v="0"/>
    <x v="0"/>
    <x v="264"/>
    <x v="3"/>
    <x v="0"/>
    <x v="330"/>
    <x v="13"/>
    <x v="42"/>
    <x v="25"/>
    <x v="5"/>
    <x v="344"/>
    <s v="Very comfortable shoes. I have wide feet with falling arches"/>
    <n v="1474156800"/>
    <s v="Not Specified"/>
    <s v="Not Specified"/>
    <n v="3"/>
    <n v="140"/>
    <x v="0"/>
    <x v="2"/>
  </r>
  <r>
    <x v="3"/>
    <x v="0"/>
    <x v="265"/>
    <x v="3"/>
    <x v="0"/>
    <x v="331"/>
    <x v="13"/>
    <x v="21"/>
    <x v="23"/>
    <x v="277"/>
    <x v="345"/>
    <s v="Did not fit my feet"/>
    <n v="1473638400"/>
    <s v="Not Specified"/>
    <s v="Not Specified"/>
    <s v="Not Specified"/>
    <n v="148"/>
    <x v="2"/>
    <x v="2"/>
  </r>
  <r>
    <x v="3"/>
    <x v="0"/>
    <x v="266"/>
    <x v="3"/>
    <x v="0"/>
    <x v="332"/>
    <x v="13"/>
    <x v="22"/>
    <x v="17"/>
    <x v="278"/>
    <x v="346"/>
    <s v="Poor Quality. Don't buy."/>
    <n v="1473552000"/>
    <s v="Not Specified"/>
    <s v="Not Specified"/>
    <n v="14"/>
    <n v="258"/>
    <x v="2"/>
    <x v="2"/>
  </r>
  <r>
    <x v="0"/>
    <x v="0"/>
    <x v="267"/>
    <x v="3"/>
    <x v="0"/>
    <x v="333"/>
    <x v="13"/>
    <x v="21"/>
    <x v="17"/>
    <x v="279"/>
    <x v="347"/>
    <s v="Five Stars"/>
    <n v="1473379200"/>
    <s v="Not Specified"/>
    <s v="Not Specified"/>
    <s v="Not Specified"/>
    <n v="49"/>
    <x v="0"/>
    <x v="2"/>
  </r>
  <r>
    <x v="4"/>
    <x v="0"/>
    <x v="268"/>
    <x v="3"/>
    <x v="0"/>
    <x v="334"/>
    <x v="13"/>
    <x v="17"/>
    <x v="17"/>
    <x v="280"/>
    <x v="348"/>
    <s v="Does the job!"/>
    <n v="1473120000"/>
    <s v="Not Specified"/>
    <s v="Not Specified"/>
    <n v="2"/>
    <n v="248"/>
    <x v="0"/>
    <x v="2"/>
  </r>
  <r>
    <x v="4"/>
    <x v="0"/>
    <x v="269"/>
    <x v="3"/>
    <x v="0"/>
    <x v="335"/>
    <x v="13"/>
    <x v="22"/>
    <x v="32"/>
    <x v="5"/>
    <x v="349"/>
    <s v="I liked these shoes a lot"/>
    <n v="1472774400"/>
    <s v="Not Specified"/>
    <s v="Not Specified"/>
    <s v="Not Specified"/>
    <n v="177"/>
    <x v="0"/>
    <x v="2"/>
  </r>
  <r>
    <x v="0"/>
    <x v="0"/>
    <x v="270"/>
    <x v="3"/>
    <x v="4"/>
    <x v="336"/>
    <x v="13"/>
    <x v="16"/>
    <x v="17"/>
    <x v="5"/>
    <x v="350"/>
    <s v="Five Stars"/>
    <n v="1472428800"/>
    <s v="Not Specified"/>
    <s v="Not Specified"/>
    <s v="Not Specified"/>
    <n v="13"/>
    <x v="0"/>
    <x v="2"/>
  </r>
  <r>
    <x v="0"/>
    <x v="0"/>
    <x v="271"/>
    <x v="3"/>
    <x v="4"/>
    <x v="337"/>
    <x v="13"/>
    <x v="21"/>
    <x v="30"/>
    <x v="5"/>
    <x v="351"/>
    <s v="Five Stars"/>
    <n v="1472256000"/>
    <s v="Not Specified"/>
    <s v="Not Specified"/>
    <s v="Not Specified"/>
    <n v="62"/>
    <x v="0"/>
    <x v="2"/>
  </r>
  <r>
    <x v="0"/>
    <x v="0"/>
    <x v="271"/>
    <x v="3"/>
    <x v="4"/>
    <x v="338"/>
    <x v="13"/>
    <x v="30"/>
    <x v="17"/>
    <x v="5"/>
    <x v="352"/>
    <s v="... crossfit and find that these shoes help give me good support with my endurance workouts"/>
    <n v="1472256000"/>
    <s v="Not Specified"/>
    <s v="Not Specified"/>
    <n v="5"/>
    <n v="112"/>
    <x v="0"/>
    <x v="2"/>
  </r>
  <r>
    <x v="1"/>
    <x v="0"/>
    <x v="272"/>
    <x v="3"/>
    <x v="4"/>
    <x v="339"/>
    <x v="13"/>
    <x v="21"/>
    <x v="17"/>
    <x v="5"/>
    <x v="353"/>
    <s v="Unnacceptable. Zero support"/>
    <n v="1472169600"/>
    <s v="Not Specified"/>
    <s v="Not Specified"/>
    <n v="2"/>
    <n v="256"/>
    <x v="1"/>
    <x v="2"/>
  </r>
  <r>
    <x v="0"/>
    <x v="0"/>
    <x v="273"/>
    <x v="3"/>
    <x v="4"/>
    <x v="340"/>
    <x v="13"/>
    <x v="21"/>
    <x v="32"/>
    <x v="281"/>
    <x v="354"/>
    <s v="Great for walking!"/>
    <n v="1471910400"/>
    <s v="Not Specified"/>
    <s v="Not Specified"/>
    <s v="Not Specified"/>
    <n v="93"/>
    <x v="0"/>
    <x v="2"/>
  </r>
  <r>
    <x v="0"/>
    <x v="0"/>
    <x v="274"/>
    <x v="3"/>
    <x v="4"/>
    <x v="341"/>
    <x v="13"/>
    <x v="16"/>
    <x v="17"/>
    <x v="282"/>
    <x v="355"/>
    <s v="Simply Supreme."/>
    <n v="1471651200"/>
    <s v="Not Specified"/>
    <s v="Not Specified"/>
    <s v="Not Specified"/>
    <n v="1225"/>
    <x v="0"/>
    <x v="2"/>
  </r>
  <r>
    <x v="0"/>
    <x v="0"/>
    <x v="275"/>
    <x v="3"/>
    <x v="4"/>
    <x v="342"/>
    <x v="13"/>
    <x v="26"/>
    <x v="17"/>
    <x v="283"/>
    <x v="356"/>
    <s v="Soooo comfortable....."/>
    <n v="1471219200"/>
    <s v="Not Specified"/>
    <s v="Not Specified"/>
    <s v="Not Specified"/>
    <n v="246"/>
    <x v="0"/>
    <x v="2"/>
  </r>
  <r>
    <x v="0"/>
    <x v="0"/>
    <x v="275"/>
    <x v="3"/>
    <x v="4"/>
    <x v="343"/>
    <x v="13"/>
    <x v="24"/>
    <x v="12"/>
    <x v="284"/>
    <x v="357"/>
    <s v="Five Stars"/>
    <n v="1471219200"/>
    <s v="Not Specified"/>
    <s v="Not Specified"/>
    <s v="Not Specified"/>
    <n v="40"/>
    <x v="0"/>
    <x v="2"/>
  </r>
  <r>
    <x v="0"/>
    <x v="0"/>
    <x v="276"/>
    <x v="3"/>
    <x v="4"/>
    <x v="344"/>
    <x v="13"/>
    <x v="22"/>
    <x v="41"/>
    <x v="285"/>
    <x v="358"/>
    <s v="BEST SHOES EVER!"/>
    <n v="1471132800"/>
    <s v="Not Specified"/>
    <s v="Not Specified"/>
    <s v="Not Specified"/>
    <n v="224"/>
    <x v="0"/>
    <x v="2"/>
  </r>
  <r>
    <x v="0"/>
    <x v="0"/>
    <x v="277"/>
    <x v="3"/>
    <x v="4"/>
    <x v="345"/>
    <x v="13"/>
    <x v="22"/>
    <x v="17"/>
    <x v="286"/>
    <x v="359"/>
    <s v="... me the motivation to workout because they feel so good and are great for any training"/>
    <n v="1470614400"/>
    <s v="Not Specified"/>
    <s v="Not Specified"/>
    <s v="Not Specified"/>
    <n v="105"/>
    <x v="0"/>
    <x v="2"/>
  </r>
  <r>
    <x v="1"/>
    <x v="0"/>
    <x v="278"/>
    <x v="3"/>
    <x v="4"/>
    <x v="346"/>
    <x v="13"/>
    <x v="16"/>
    <x v="17"/>
    <x v="287"/>
    <x v="360"/>
    <s v="Hurt my knees and back running"/>
    <n v="1470355200"/>
    <s v="Not Specified"/>
    <s v="Not Specified"/>
    <n v="2"/>
    <n v="772"/>
    <x v="1"/>
    <x v="2"/>
  </r>
  <r>
    <x v="0"/>
    <x v="0"/>
    <x v="279"/>
    <x v="3"/>
    <x v="9"/>
    <x v="347"/>
    <x v="13"/>
    <x v="33"/>
    <x v="17"/>
    <x v="288"/>
    <x v="361"/>
    <s v="Very comfortable shoes. Love"/>
    <n v="1469577600"/>
    <s v="Not Specified"/>
    <s v="Not Specified"/>
    <s v="Not Specified"/>
    <n v="37"/>
    <x v="0"/>
    <x v="2"/>
  </r>
  <r>
    <x v="0"/>
    <x v="1"/>
    <x v="280"/>
    <x v="3"/>
    <x v="9"/>
    <x v="348"/>
    <x v="13"/>
    <x v="16"/>
    <x v="26"/>
    <x v="289"/>
    <x v="362"/>
    <s v="Great shoes"/>
    <n v="1469145600"/>
    <s v="Not Specified"/>
    <s v="Not Specified"/>
    <s v="Not Specified"/>
    <n v="427"/>
    <x v="0"/>
    <x v="2"/>
  </r>
  <r>
    <x v="1"/>
    <x v="0"/>
    <x v="281"/>
    <x v="3"/>
    <x v="9"/>
    <x v="349"/>
    <x v="13"/>
    <x v="30"/>
    <x v="17"/>
    <x v="290"/>
    <x v="363"/>
    <s v="large shoe"/>
    <n v="1469059200"/>
    <s v="Not Specified"/>
    <s v="Not Specified"/>
    <s v="Not Specified"/>
    <n v="50"/>
    <x v="1"/>
    <x v="2"/>
  </r>
  <r>
    <x v="0"/>
    <x v="0"/>
    <x v="282"/>
    <x v="3"/>
    <x v="9"/>
    <x v="350"/>
    <x v="13"/>
    <x v="16"/>
    <x v="17"/>
    <x v="291"/>
    <x v="364"/>
    <s v="Five Stars"/>
    <n v="1468886400"/>
    <s v="Not Specified"/>
    <s v="Not Specified"/>
    <s v="Not Specified"/>
    <n v="20"/>
    <x v="0"/>
    <x v="2"/>
  </r>
  <r>
    <x v="0"/>
    <x v="0"/>
    <x v="283"/>
    <x v="3"/>
    <x v="9"/>
    <x v="351"/>
    <x v="13"/>
    <x v="21"/>
    <x v="18"/>
    <x v="292"/>
    <x v="365"/>
    <s v="My wife loves these shoes."/>
    <n v="1468800000"/>
    <s v="Not Specified"/>
    <s v="Not Specified"/>
    <s v="Not Specified"/>
    <n v="306"/>
    <x v="0"/>
    <x v="2"/>
  </r>
  <r>
    <x v="0"/>
    <x v="0"/>
    <x v="284"/>
    <x v="3"/>
    <x v="9"/>
    <x v="352"/>
    <x v="13"/>
    <x v="17"/>
    <x v="17"/>
    <x v="293"/>
    <x v="366"/>
    <s v="Love Love Love"/>
    <n v="1468368000"/>
    <s v="Not Specified"/>
    <s v="Not Specified"/>
    <s v="Not Specified"/>
    <n v="188"/>
    <x v="0"/>
    <x v="2"/>
  </r>
  <r>
    <x v="0"/>
    <x v="0"/>
    <x v="285"/>
    <x v="3"/>
    <x v="9"/>
    <x v="353"/>
    <x v="13"/>
    <x v="26"/>
    <x v="17"/>
    <x v="5"/>
    <x v="367"/>
    <s v="PERFECT"/>
    <n v="1467331200"/>
    <s v="Not Specified"/>
    <s v="Not Specified"/>
    <s v="Not Specified"/>
    <n v="62"/>
    <x v="0"/>
    <x v="2"/>
  </r>
  <r>
    <x v="0"/>
    <x v="0"/>
    <x v="285"/>
    <x v="3"/>
    <x v="9"/>
    <x v="354"/>
    <x v="13"/>
    <x v="16"/>
    <x v="32"/>
    <x v="294"/>
    <x v="368"/>
    <s v="Nice shoe"/>
    <n v="1467331200"/>
    <s v="Not Specified"/>
    <s v="Not Specified"/>
    <n v="5"/>
    <n v="378"/>
    <x v="0"/>
    <x v="2"/>
  </r>
  <r>
    <x v="0"/>
    <x v="0"/>
    <x v="286"/>
    <x v="3"/>
    <x v="6"/>
    <x v="355"/>
    <x v="13"/>
    <x v="15"/>
    <x v="17"/>
    <x v="295"/>
    <x v="369"/>
    <s v="I am so happy with this purchase"/>
    <n v="1467072000"/>
    <s v="Not Specified"/>
    <s v="Not Specified"/>
    <n v="7"/>
    <n v="288"/>
    <x v="0"/>
    <x v="2"/>
  </r>
  <r>
    <x v="0"/>
    <x v="0"/>
    <x v="287"/>
    <x v="3"/>
    <x v="6"/>
    <x v="356"/>
    <x v="13"/>
    <x v="16"/>
    <x v="41"/>
    <x v="296"/>
    <x v="370"/>
    <s v="Five Stars"/>
    <n v="1466812800"/>
    <s v="Not Specified"/>
    <s v="Not Specified"/>
    <s v="Not Specified"/>
    <n v="60"/>
    <x v="0"/>
    <x v="2"/>
  </r>
  <r>
    <x v="1"/>
    <x v="0"/>
    <x v="288"/>
    <x v="3"/>
    <x v="6"/>
    <x v="357"/>
    <x v="13"/>
    <x v="30"/>
    <x v="18"/>
    <x v="5"/>
    <x v="371"/>
    <s v="Cute"/>
    <n v="1466467200"/>
    <s v="Not Specified"/>
    <s v="Not Specified"/>
    <n v="2"/>
    <n v="236"/>
    <x v="1"/>
    <x v="2"/>
  </r>
  <r>
    <x v="0"/>
    <x v="0"/>
    <x v="289"/>
    <x v="3"/>
    <x v="6"/>
    <x v="358"/>
    <x v="13"/>
    <x v="21"/>
    <x v="17"/>
    <x v="297"/>
    <x v="372"/>
    <s v="Love"/>
    <n v="1466294400"/>
    <s v="Not Specified"/>
    <s v="Not Specified"/>
    <n v="3"/>
    <n v="308"/>
    <x v="0"/>
    <x v="2"/>
  </r>
  <r>
    <x v="0"/>
    <x v="1"/>
    <x v="290"/>
    <x v="3"/>
    <x v="6"/>
    <x v="359"/>
    <x v="13"/>
    <x v="21"/>
    <x v="20"/>
    <x v="5"/>
    <x v="373"/>
    <s v="Absolutely Perfect Shoe!!"/>
    <n v="1466035200"/>
    <s v="Not Specified"/>
    <s v="Not Specified"/>
    <n v="3"/>
    <n v="370"/>
    <x v="0"/>
    <x v="2"/>
  </r>
  <r>
    <x v="0"/>
    <x v="0"/>
    <x v="291"/>
    <x v="3"/>
    <x v="6"/>
    <x v="360"/>
    <x v="13"/>
    <x v="31"/>
    <x v="17"/>
    <x v="298"/>
    <x v="374"/>
    <s v="Comfortable and lightweight"/>
    <n v="1465516800"/>
    <s v="Not Specified"/>
    <s v="Not Specified"/>
    <n v="10"/>
    <n v="204"/>
    <x v="0"/>
    <x v="2"/>
  </r>
  <r>
    <x v="0"/>
    <x v="0"/>
    <x v="292"/>
    <x v="3"/>
    <x v="6"/>
    <x v="361"/>
    <x v="13"/>
    <x v="14"/>
    <x v="17"/>
    <x v="299"/>
    <x v="321"/>
    <s v="Five Stars"/>
    <n v="1465084800"/>
    <s v="Not Specified"/>
    <s v="Not Specified"/>
    <s v="Not Specified"/>
    <n v="9"/>
    <x v="0"/>
    <x v="2"/>
  </r>
  <r>
    <x v="0"/>
    <x v="0"/>
    <x v="293"/>
    <x v="3"/>
    <x v="6"/>
    <x v="362"/>
    <x v="13"/>
    <x v="14"/>
    <x v="32"/>
    <x v="300"/>
    <x v="375"/>
    <s v="Awesome shoes!"/>
    <n v="1464825600"/>
    <s v="Not Specified"/>
    <s v="Not Specified"/>
    <s v="Not Specified"/>
    <n v="237"/>
    <x v="0"/>
    <x v="2"/>
  </r>
  <r>
    <x v="0"/>
    <x v="0"/>
    <x v="294"/>
    <x v="3"/>
    <x v="1"/>
    <x v="363"/>
    <x v="13"/>
    <x v="17"/>
    <x v="18"/>
    <x v="301"/>
    <x v="376"/>
    <s v="Five Stars"/>
    <n v="1464480000"/>
    <s v="Not Specified"/>
    <s v="Not Specified"/>
    <s v="Not Specified"/>
    <n v="11"/>
    <x v="0"/>
    <x v="2"/>
  </r>
  <r>
    <x v="0"/>
    <x v="0"/>
    <x v="295"/>
    <x v="3"/>
    <x v="1"/>
    <x v="364"/>
    <x v="13"/>
    <x v="39"/>
    <x v="19"/>
    <x v="5"/>
    <x v="228"/>
    <s v="Five Stars"/>
    <n v="1464393600"/>
    <s v="Not Specified"/>
    <s v="Not Specified"/>
    <s v="Not Specified"/>
    <n v="7"/>
    <x v="0"/>
    <x v="2"/>
  </r>
  <r>
    <x v="0"/>
    <x v="1"/>
    <x v="296"/>
    <x v="3"/>
    <x v="1"/>
    <x v="365"/>
    <x v="13"/>
    <x v="2"/>
    <x v="7"/>
    <x v="302"/>
    <x v="377"/>
    <s v="Time to leave the fad of the month for something that works."/>
    <n v="1464048000"/>
    <s v="Not Specified"/>
    <s v="Not Specified"/>
    <n v="8"/>
    <n v="629"/>
    <x v="0"/>
    <x v="2"/>
  </r>
  <r>
    <x v="4"/>
    <x v="0"/>
    <x v="296"/>
    <x v="3"/>
    <x v="1"/>
    <x v="366"/>
    <x v="13"/>
    <x v="21"/>
    <x v="18"/>
    <x v="303"/>
    <x v="378"/>
    <s v="A little annoying because I have to pay attention but they are ..."/>
    <n v="1464048000"/>
    <s v="Not Specified"/>
    <s v="Not Specified"/>
    <s v="Not Specified"/>
    <n v="148"/>
    <x v="0"/>
    <x v="2"/>
  </r>
  <r>
    <x v="0"/>
    <x v="0"/>
    <x v="297"/>
    <x v="3"/>
    <x v="1"/>
    <x v="367"/>
    <x v="13"/>
    <x v="26"/>
    <x v="17"/>
    <x v="304"/>
    <x v="248"/>
    <s v="Five Stars"/>
    <n v="1463702400"/>
    <s v="Not Specified"/>
    <s v="Not Specified"/>
    <s v="Not Specified"/>
    <n v="10"/>
    <x v="0"/>
    <x v="2"/>
  </r>
  <r>
    <x v="0"/>
    <x v="1"/>
    <x v="298"/>
    <x v="3"/>
    <x v="1"/>
    <x v="368"/>
    <x v="13"/>
    <x v="17"/>
    <x v="34"/>
    <x v="305"/>
    <x v="379"/>
    <s v="and the toe area is pretty wide plus plenty long even with socks"/>
    <n v="1463529600"/>
    <s v="Not Specified"/>
    <s v="Not Specified"/>
    <s v="Not Specified"/>
    <n v="247"/>
    <x v="0"/>
    <x v="2"/>
  </r>
  <r>
    <x v="0"/>
    <x v="0"/>
    <x v="299"/>
    <x v="3"/>
    <x v="1"/>
    <x v="369"/>
    <x v="13"/>
    <x v="22"/>
    <x v="20"/>
    <x v="5"/>
    <x v="380"/>
    <s v="Five Stars"/>
    <n v="1463356800"/>
    <s v="Not Specified"/>
    <s v="Not Specified"/>
    <s v="Not Specified"/>
    <n v="76"/>
    <x v="0"/>
    <x v="2"/>
  </r>
  <r>
    <x v="0"/>
    <x v="0"/>
    <x v="300"/>
    <x v="3"/>
    <x v="1"/>
    <x v="370"/>
    <x v="13"/>
    <x v="15"/>
    <x v="32"/>
    <x v="306"/>
    <x v="381"/>
    <s v="Great and comfy for sports"/>
    <n v="1463270400"/>
    <s v="Not Specified"/>
    <s v="Not Specified"/>
    <s v="Not Specified"/>
    <n v="27"/>
    <x v="0"/>
    <x v="2"/>
  </r>
  <r>
    <x v="4"/>
    <x v="0"/>
    <x v="301"/>
    <x v="3"/>
    <x v="1"/>
    <x v="371"/>
    <x v="13"/>
    <x v="40"/>
    <x v="43"/>
    <x v="307"/>
    <x v="382"/>
    <s v="A bit pointier toe than depicted..."/>
    <n v="1462924800"/>
    <s v="Not Specified"/>
    <s v="Not Specified"/>
    <s v="Not Specified"/>
    <n v="468"/>
    <x v="0"/>
    <x v="2"/>
  </r>
  <r>
    <x v="0"/>
    <x v="1"/>
    <x v="302"/>
    <x v="3"/>
    <x v="1"/>
    <x v="372"/>
    <x v="13"/>
    <x v="17"/>
    <x v="18"/>
    <x v="5"/>
    <x v="383"/>
    <s v="Best shoes ever!!!"/>
    <n v="1462838400"/>
    <s v="Not Specified"/>
    <s v="Not Specified"/>
    <s v="Not Specified"/>
    <n v="166"/>
    <x v="0"/>
    <x v="2"/>
  </r>
  <r>
    <x v="0"/>
    <x v="0"/>
    <x v="303"/>
    <x v="3"/>
    <x v="1"/>
    <x v="373"/>
    <x v="13"/>
    <x v="21"/>
    <x v="17"/>
    <x v="308"/>
    <x v="384"/>
    <s v="Five Stars"/>
    <n v="1462752000"/>
    <s v="Not Specified"/>
    <s v="Not Specified"/>
    <s v="Not Specified"/>
    <n v="33"/>
    <x v="0"/>
    <x v="2"/>
  </r>
  <r>
    <x v="0"/>
    <x v="0"/>
    <x v="304"/>
    <x v="3"/>
    <x v="1"/>
    <x v="374"/>
    <x v="13"/>
    <x v="26"/>
    <x v="17"/>
    <x v="309"/>
    <x v="385"/>
    <s v="Fits wonderful"/>
    <n v="1462665600"/>
    <s v="Not Specified"/>
    <s v="Not Specified"/>
    <s v="Not Specified"/>
    <n v="62"/>
    <x v="0"/>
    <x v="2"/>
  </r>
  <r>
    <x v="4"/>
    <x v="0"/>
    <x v="305"/>
    <x v="3"/>
    <x v="1"/>
    <x v="375"/>
    <x v="13"/>
    <x v="41"/>
    <x v="19"/>
    <x v="310"/>
    <x v="386"/>
    <s v="Four Stars"/>
    <n v="1462579200"/>
    <s v="Not Specified"/>
    <s v="Not Specified"/>
    <s v="Not Specified"/>
    <n v="25"/>
    <x v="0"/>
    <x v="2"/>
  </r>
  <r>
    <x v="4"/>
    <x v="0"/>
    <x v="306"/>
    <x v="3"/>
    <x v="1"/>
    <x v="376"/>
    <x v="13"/>
    <x v="21"/>
    <x v="17"/>
    <x v="311"/>
    <x v="387"/>
    <s v="Comfortable and lightweight"/>
    <n v="1462320000"/>
    <s v="Not Specified"/>
    <s v="Not Specified"/>
    <n v="20"/>
    <n v="1368"/>
    <x v="0"/>
    <x v="2"/>
  </r>
  <r>
    <x v="0"/>
    <x v="0"/>
    <x v="306"/>
    <x v="3"/>
    <x v="1"/>
    <x v="377"/>
    <x v="13"/>
    <x v="41"/>
    <x v="19"/>
    <x v="312"/>
    <x v="388"/>
    <s v="nice"/>
    <n v="1462320000"/>
    <s v="Not Specified"/>
    <s v="Not Specified"/>
    <s v="Not Specified"/>
    <n v="57"/>
    <x v="0"/>
    <x v="2"/>
  </r>
  <r>
    <x v="0"/>
    <x v="0"/>
    <x v="307"/>
    <x v="3"/>
    <x v="10"/>
    <x v="378"/>
    <x v="13"/>
    <x v="16"/>
    <x v="17"/>
    <x v="313"/>
    <x v="389"/>
    <s v="Five Stars"/>
    <n v="1461369600"/>
    <s v="Not Specified"/>
    <s v="Not Specified"/>
    <s v="Not Specified"/>
    <n v="50"/>
    <x v="0"/>
    <x v="2"/>
  </r>
  <r>
    <x v="0"/>
    <x v="0"/>
    <x v="308"/>
    <x v="3"/>
    <x v="10"/>
    <x v="379"/>
    <x v="13"/>
    <x v="30"/>
    <x v="17"/>
    <x v="314"/>
    <x v="390"/>
    <s v="Wide Feet so Somewhat Tight"/>
    <n v="1461196800"/>
    <s v="Not Specified"/>
    <s v="Not Specified"/>
    <n v="3"/>
    <n v="371"/>
    <x v="0"/>
    <x v="2"/>
  </r>
  <r>
    <x v="4"/>
    <x v="0"/>
    <x v="309"/>
    <x v="3"/>
    <x v="10"/>
    <x v="380"/>
    <x v="13"/>
    <x v="16"/>
    <x v="17"/>
    <x v="5"/>
    <x v="391"/>
    <s v="Four Stars"/>
    <n v="1461110400"/>
    <s v="Not Specified"/>
    <s v="Not Specified"/>
    <s v="Not Specified"/>
    <n v="19"/>
    <x v="0"/>
    <x v="2"/>
  </r>
  <r>
    <x v="4"/>
    <x v="0"/>
    <x v="42"/>
    <x v="3"/>
    <x v="10"/>
    <x v="30"/>
    <x v="13"/>
    <x v="14"/>
    <x v="17"/>
    <x v="5"/>
    <x v="49"/>
    <s v="Four Stars"/>
    <n v="1461024000"/>
    <s v="Not Specified"/>
    <s v="Not Specified"/>
    <n v="2"/>
    <n v="60"/>
    <x v="0"/>
    <x v="2"/>
  </r>
  <r>
    <x v="0"/>
    <x v="0"/>
    <x v="43"/>
    <x v="3"/>
    <x v="10"/>
    <x v="31"/>
    <x v="13"/>
    <x v="15"/>
    <x v="17"/>
    <x v="28"/>
    <x v="50"/>
    <s v="Five Stars"/>
    <n v="1460937600"/>
    <s v="Not Specified"/>
    <s v="Not Specified"/>
    <s v="Not Specified"/>
    <n v="22"/>
    <x v="0"/>
    <x v="2"/>
  </r>
  <r>
    <x v="1"/>
    <x v="0"/>
    <x v="44"/>
    <x v="3"/>
    <x v="10"/>
    <x v="32"/>
    <x v="13"/>
    <x v="16"/>
    <x v="17"/>
    <x v="29"/>
    <x v="51"/>
    <s v="LOOKS GOOD, FEELS ICKY!"/>
    <n v="1459728000"/>
    <s v="Not Specified"/>
    <s v="Not Specified"/>
    <n v="2"/>
    <n v="272"/>
    <x v="1"/>
    <x v="2"/>
  </r>
  <r>
    <x v="0"/>
    <x v="0"/>
    <x v="45"/>
    <x v="3"/>
    <x v="5"/>
    <x v="33"/>
    <x v="13"/>
    <x v="17"/>
    <x v="18"/>
    <x v="30"/>
    <x v="52"/>
    <s v="Love it!! Definetly recommend it"/>
    <n v="1459382400"/>
    <s v="Not Specified"/>
    <s v="Not Specified"/>
    <s v="Not Specified"/>
    <n v="123"/>
    <x v="0"/>
    <x v="2"/>
  </r>
  <r>
    <x v="0"/>
    <x v="0"/>
    <x v="46"/>
    <x v="3"/>
    <x v="5"/>
    <x v="34"/>
    <x v="13"/>
    <x v="18"/>
    <x v="19"/>
    <x v="31"/>
    <x v="53"/>
    <s v="Five Stars"/>
    <n v="1459123200"/>
    <s v="Not Specified"/>
    <s v="Not Specified"/>
    <s v="Not Specified"/>
    <n v="9"/>
    <x v="0"/>
    <x v="2"/>
  </r>
  <r>
    <x v="2"/>
    <x v="0"/>
    <x v="46"/>
    <x v="3"/>
    <x v="5"/>
    <x v="35"/>
    <x v="13"/>
    <x v="19"/>
    <x v="19"/>
    <x v="5"/>
    <x v="54"/>
    <s v="Cheap"/>
    <n v="1459123200"/>
    <s v="Not Specified"/>
    <s v="Not Specified"/>
    <s v="Not Specified"/>
    <n v="167"/>
    <x v="2"/>
    <x v="2"/>
  </r>
  <r>
    <x v="4"/>
    <x v="0"/>
    <x v="47"/>
    <x v="3"/>
    <x v="5"/>
    <x v="36"/>
    <x v="13"/>
    <x v="20"/>
    <x v="19"/>
    <x v="32"/>
    <x v="55"/>
    <s v="Pretty comfortable pair of running shoes"/>
    <n v="1458777600"/>
    <s v="Not Specified"/>
    <s v="Not Specified"/>
    <s v="Not Specified"/>
    <n v="132"/>
    <x v="0"/>
    <x v="2"/>
  </r>
  <r>
    <x v="1"/>
    <x v="0"/>
    <x v="6"/>
    <x v="3"/>
    <x v="5"/>
    <x v="37"/>
    <x v="13"/>
    <x v="21"/>
    <x v="17"/>
    <x v="33"/>
    <x v="56"/>
    <s v="I always get a half size up in my tennis ..."/>
    <n v="1458691200"/>
    <s v="Not Specified"/>
    <s v="Not Specified"/>
    <n v="7"/>
    <n v="108"/>
    <x v="1"/>
    <x v="2"/>
  </r>
  <r>
    <x v="1"/>
    <x v="0"/>
    <x v="6"/>
    <x v="3"/>
    <x v="5"/>
    <x v="37"/>
    <x v="14"/>
    <x v="21"/>
    <x v="17"/>
    <x v="33"/>
    <x v="56"/>
    <s v="I always get a half size up in my tennis ..."/>
    <n v="1458691200"/>
    <s v="Not Specified"/>
    <s v="Not Specified"/>
    <n v="7"/>
    <n v="108"/>
    <x v="1"/>
    <x v="2"/>
  </r>
  <r>
    <x v="0"/>
    <x v="0"/>
    <x v="48"/>
    <x v="3"/>
    <x v="5"/>
    <x v="38"/>
    <x v="14"/>
    <x v="22"/>
    <x v="20"/>
    <x v="34"/>
    <x v="57"/>
    <s v="Love them! So light feeling"/>
    <n v="1458432000"/>
    <s v="Not Specified"/>
    <s v="Not Specified"/>
    <s v="Not Specified"/>
    <n v="75"/>
    <x v="0"/>
    <x v="2"/>
  </r>
  <r>
    <x v="0"/>
    <x v="0"/>
    <x v="49"/>
    <x v="3"/>
    <x v="5"/>
    <x v="39"/>
    <x v="14"/>
    <x v="23"/>
    <x v="19"/>
    <x v="35"/>
    <x v="53"/>
    <s v="Five Stars"/>
    <n v="1458259200"/>
    <s v="Not Specified"/>
    <s v="Not Specified"/>
    <s v="Not Specified"/>
    <n v="9"/>
    <x v="0"/>
    <x v="2"/>
  </r>
  <r>
    <x v="4"/>
    <x v="0"/>
    <x v="313"/>
    <x v="3"/>
    <x v="5"/>
    <x v="384"/>
    <x v="14"/>
    <x v="21"/>
    <x v="17"/>
    <x v="317"/>
    <x v="395"/>
    <s v="you feel like you have a lot of room"/>
    <n v="1458086400"/>
    <s v="Not Specified"/>
    <s v="Not Specified"/>
    <s v="Not Specified"/>
    <n v="213"/>
    <x v="0"/>
    <x v="2"/>
  </r>
  <r>
    <x v="0"/>
    <x v="0"/>
    <x v="314"/>
    <x v="3"/>
    <x v="5"/>
    <x v="385"/>
    <x v="14"/>
    <x v="21"/>
    <x v="17"/>
    <x v="5"/>
    <x v="396"/>
    <s v="Exactly What I Was Looking For"/>
    <n v="1457827200"/>
    <s v="Not Specified"/>
    <s v="Not Specified"/>
    <n v="22"/>
    <n v="412"/>
    <x v="0"/>
    <x v="2"/>
  </r>
  <r>
    <x v="0"/>
    <x v="0"/>
    <x v="315"/>
    <x v="3"/>
    <x v="5"/>
    <x v="386"/>
    <x v="14"/>
    <x v="26"/>
    <x v="17"/>
    <x v="5"/>
    <x v="397"/>
    <s v="Five Stars"/>
    <n v="1457222400"/>
    <s v="Not Specified"/>
    <s v="Not Specified"/>
    <s v="Not Specified"/>
    <n v="17"/>
    <x v="0"/>
    <x v="2"/>
  </r>
  <r>
    <x v="0"/>
    <x v="0"/>
    <x v="316"/>
    <x v="3"/>
    <x v="5"/>
    <x v="387"/>
    <x v="14"/>
    <x v="19"/>
    <x v="19"/>
    <x v="318"/>
    <x v="398"/>
    <s v="Good shoes, tolerable price."/>
    <n v="1456876800"/>
    <s v="Not Specified"/>
    <s v="Not Specified"/>
    <s v="Not Specified"/>
    <n v="55"/>
    <x v="0"/>
    <x v="2"/>
  </r>
  <r>
    <x v="0"/>
    <x v="0"/>
    <x v="319"/>
    <x v="1"/>
    <x v="1"/>
    <x v="390"/>
    <x v="14"/>
    <x v="31"/>
    <x v="17"/>
    <x v="151"/>
    <x v="13"/>
    <s v="Five Stars"/>
    <n v="1526428800"/>
    <s v="Not Specified"/>
    <s v="Not Specified"/>
    <s v="Not Specified"/>
    <n v="11"/>
    <x v="0"/>
    <x v="2"/>
  </r>
  <r>
    <x v="1"/>
    <x v="0"/>
    <x v="320"/>
    <x v="1"/>
    <x v="1"/>
    <x v="391"/>
    <x v="14"/>
    <x v="21"/>
    <x v="21"/>
    <x v="5"/>
    <x v="401"/>
    <s v="Three Stars"/>
    <n v="1526342400"/>
    <s v="Not Specified"/>
    <s v="Not Specified"/>
    <s v="Not Specified"/>
    <n v="39"/>
    <x v="1"/>
    <x v="2"/>
  </r>
  <r>
    <x v="1"/>
    <x v="0"/>
    <x v="320"/>
    <x v="1"/>
    <x v="1"/>
    <x v="392"/>
    <x v="14"/>
    <x v="17"/>
    <x v="21"/>
    <x v="321"/>
    <x v="402"/>
    <s v="somewhat large fit"/>
    <n v="1526342400"/>
    <s v="Not Specified"/>
    <s v="Not Specified"/>
    <s v="Not Specified"/>
    <n v="173"/>
    <x v="1"/>
    <x v="2"/>
  </r>
  <r>
    <x v="0"/>
    <x v="0"/>
    <x v="317"/>
    <x v="1"/>
    <x v="1"/>
    <x v="388"/>
    <x v="14"/>
    <x v="21"/>
    <x v="36"/>
    <x v="319"/>
    <x v="399"/>
    <s v="Five Stars"/>
    <n v="1525478400"/>
    <s v="Not Specified"/>
    <s v="Not Specified"/>
    <s v="Not Specified"/>
    <n v="71"/>
    <x v="0"/>
    <x v="2"/>
  </r>
  <r>
    <x v="0"/>
    <x v="0"/>
    <x v="318"/>
    <x v="1"/>
    <x v="1"/>
    <x v="389"/>
    <x v="14"/>
    <x v="15"/>
    <x v="34"/>
    <x v="320"/>
    <x v="400"/>
    <s v="Five Stars"/>
    <n v="1525305600"/>
    <s v="Not Specified"/>
    <s v="Not Specified"/>
    <s v="Not Specified"/>
    <n v="90"/>
    <x v="0"/>
    <x v="2"/>
  </r>
  <r>
    <x v="1"/>
    <x v="0"/>
    <x v="310"/>
    <x v="1"/>
    <x v="10"/>
    <x v="381"/>
    <x v="14"/>
    <x v="38"/>
    <x v="29"/>
    <x v="5"/>
    <x v="392"/>
    <s v="Three Stars"/>
    <n v="1525046400"/>
    <s v="Not Specified"/>
    <s v="Not Specified"/>
    <s v="Not Specified"/>
    <n v="14"/>
    <x v="1"/>
    <x v="2"/>
  </r>
  <r>
    <x v="0"/>
    <x v="0"/>
    <x v="311"/>
    <x v="1"/>
    <x v="10"/>
    <x v="382"/>
    <x v="14"/>
    <x v="16"/>
    <x v="31"/>
    <x v="315"/>
    <x v="393"/>
    <s v="Five Stars"/>
    <n v="1524700800"/>
    <s v="Not Specified"/>
    <s v="Not Specified"/>
    <s v="Not Specified"/>
    <n v="43"/>
    <x v="0"/>
    <x v="2"/>
  </r>
  <r>
    <x v="0"/>
    <x v="0"/>
    <x v="312"/>
    <x v="1"/>
    <x v="10"/>
    <x v="383"/>
    <x v="14"/>
    <x v="16"/>
    <x v="17"/>
    <x v="316"/>
    <x v="394"/>
    <s v="Great Shoe"/>
    <n v="1524528000"/>
    <s v="Not Specified"/>
    <s v="Not Specified"/>
    <s v="Not Specified"/>
    <n v="160"/>
    <x v="0"/>
    <x v="2"/>
  </r>
  <r>
    <x v="0"/>
    <x v="0"/>
    <x v="50"/>
    <x v="1"/>
    <x v="10"/>
    <x v="40"/>
    <x v="14"/>
    <x v="14"/>
    <x v="17"/>
    <x v="36"/>
    <x v="58"/>
    <s v="Love these shoes"/>
    <n v="1524355200"/>
    <s v="Not Specified"/>
    <s v="Not Specified"/>
    <s v="Not Specified"/>
    <n v="148"/>
    <x v="0"/>
    <x v="2"/>
  </r>
  <r>
    <x v="1"/>
    <x v="0"/>
    <x v="51"/>
    <x v="1"/>
    <x v="10"/>
    <x v="41"/>
    <x v="14"/>
    <x v="17"/>
    <x v="21"/>
    <x v="37"/>
    <x v="59"/>
    <s v="Its not as comfortable as I was expecting"/>
    <n v="1524096000"/>
    <s v="Not Specified"/>
    <s v="Not Specified"/>
    <s v="Not Specified"/>
    <n v="125"/>
    <x v="1"/>
    <x v="2"/>
  </r>
  <r>
    <x v="0"/>
    <x v="0"/>
    <x v="52"/>
    <x v="1"/>
    <x v="10"/>
    <x v="42"/>
    <x v="14"/>
    <x v="16"/>
    <x v="17"/>
    <x v="38"/>
    <x v="60"/>
    <s v="Very Comfortable"/>
    <n v="1524009600"/>
    <s v="Not Specified"/>
    <s v="Not Specified"/>
    <s v="Not Specified"/>
    <n v="123"/>
    <x v="0"/>
    <x v="2"/>
  </r>
  <r>
    <x v="0"/>
    <x v="0"/>
    <x v="52"/>
    <x v="1"/>
    <x v="10"/>
    <x v="43"/>
    <x v="14"/>
    <x v="14"/>
    <x v="21"/>
    <x v="5"/>
    <x v="61"/>
    <s v="The color pattern and fit is what I liked the most what I liked the least is that ..."/>
    <n v="1524009600"/>
    <s v="Not Specified"/>
    <s v="Not Specified"/>
    <s v="Not Specified"/>
    <n v="155"/>
    <x v="0"/>
    <x v="2"/>
  </r>
  <r>
    <x v="0"/>
    <x v="0"/>
    <x v="53"/>
    <x v="1"/>
    <x v="10"/>
    <x v="44"/>
    <x v="14"/>
    <x v="24"/>
    <x v="12"/>
    <x v="39"/>
    <x v="62"/>
    <s v="Great shoe for the price!"/>
    <n v="1523836800"/>
    <s v="Not Specified"/>
    <s v="Not Specified"/>
    <s v="Not Specified"/>
    <n v="158"/>
    <x v="0"/>
    <x v="2"/>
  </r>
  <r>
    <x v="0"/>
    <x v="0"/>
    <x v="54"/>
    <x v="1"/>
    <x v="10"/>
    <x v="45"/>
    <x v="14"/>
    <x v="17"/>
    <x v="17"/>
    <x v="40"/>
    <x v="63"/>
    <s v="Great shoe!"/>
    <n v="1523750400"/>
    <s v="Not Specified"/>
    <s v="Not Specified"/>
    <s v="Not Specified"/>
    <n v="774"/>
    <x v="0"/>
    <x v="2"/>
  </r>
  <r>
    <x v="1"/>
    <x v="0"/>
    <x v="55"/>
    <x v="1"/>
    <x v="10"/>
    <x v="46"/>
    <x v="14"/>
    <x v="15"/>
    <x v="21"/>
    <x v="41"/>
    <x v="64"/>
    <s v="Three Stars"/>
    <n v="1523577600"/>
    <s v="Not Specified"/>
    <s v="Not Specified"/>
    <s v="Not Specified"/>
    <n v="85"/>
    <x v="1"/>
    <x v="2"/>
  </r>
  <r>
    <x v="1"/>
    <x v="0"/>
    <x v="56"/>
    <x v="1"/>
    <x v="10"/>
    <x v="47"/>
    <x v="14"/>
    <x v="14"/>
    <x v="23"/>
    <x v="42"/>
    <x v="65"/>
    <s v="Three Stars"/>
    <n v="1523232000"/>
    <s v="Not Specified"/>
    <s v="Not Specified"/>
    <s v="Not Specified"/>
    <n v="4"/>
    <x v="1"/>
    <x v="2"/>
  </r>
  <r>
    <x v="0"/>
    <x v="0"/>
    <x v="56"/>
    <x v="1"/>
    <x v="10"/>
    <x v="48"/>
    <x v="14"/>
    <x v="14"/>
    <x v="17"/>
    <x v="43"/>
    <x v="66"/>
    <s v="Five Stars"/>
    <n v="1523232000"/>
    <s v="Not Specified"/>
    <s v="Not Specified"/>
    <s v="Not Specified"/>
    <n v="7"/>
    <x v="0"/>
    <x v="2"/>
  </r>
  <r>
    <x v="0"/>
    <x v="0"/>
    <x v="57"/>
    <x v="1"/>
    <x v="10"/>
    <x v="49"/>
    <x v="14"/>
    <x v="15"/>
    <x v="17"/>
    <x v="44"/>
    <x v="67"/>
    <s v="Love these shoes"/>
    <n v="1523145600"/>
    <s v="Not Specified"/>
    <s v="Not Specified"/>
    <s v="Not Specified"/>
    <n v="157"/>
    <x v="0"/>
    <x v="2"/>
  </r>
  <r>
    <x v="0"/>
    <x v="0"/>
    <x v="58"/>
    <x v="1"/>
    <x v="10"/>
    <x v="50"/>
    <x v="14"/>
    <x v="25"/>
    <x v="23"/>
    <x v="45"/>
    <x v="68"/>
    <s v="Five Stars"/>
    <n v="1523059200"/>
    <s v="Not Specified"/>
    <s v="Not Specified"/>
    <s v="Not Specified"/>
    <n v="0"/>
    <x v="0"/>
    <x v="2"/>
  </r>
  <r>
    <x v="0"/>
    <x v="0"/>
    <x v="59"/>
    <x v="1"/>
    <x v="10"/>
    <x v="51"/>
    <x v="14"/>
    <x v="17"/>
    <x v="17"/>
    <x v="46"/>
    <x v="69"/>
    <s v="Great cross trainer"/>
    <n v="1522800000"/>
    <s v="Not Specified"/>
    <s v="Not Specified"/>
    <s v="Not Specified"/>
    <n v="35"/>
    <x v="0"/>
    <x v="2"/>
  </r>
  <r>
    <x v="4"/>
    <x v="0"/>
    <x v="60"/>
    <x v="1"/>
    <x v="10"/>
    <x v="52"/>
    <x v="14"/>
    <x v="21"/>
    <x v="23"/>
    <x v="47"/>
    <x v="70"/>
    <s v="They are comfortable for the most but just a bit narrow"/>
    <n v="1522713600"/>
    <s v="Not Specified"/>
    <s v="Not Specified"/>
    <s v="Not Specified"/>
    <n v="213"/>
    <x v="0"/>
    <x v="2"/>
  </r>
  <r>
    <x v="0"/>
    <x v="0"/>
    <x v="60"/>
    <x v="1"/>
    <x v="10"/>
    <x v="53"/>
    <x v="14"/>
    <x v="17"/>
    <x v="17"/>
    <x v="48"/>
    <x v="71"/>
    <s v="staple sneakers"/>
    <n v="1522713600"/>
    <s v="Not Specified"/>
    <s v="Not Specified"/>
    <s v="Not Specified"/>
    <n v="105"/>
    <x v="0"/>
    <x v="2"/>
  </r>
  <r>
    <x v="0"/>
    <x v="0"/>
    <x v="61"/>
    <x v="1"/>
    <x v="5"/>
    <x v="54"/>
    <x v="14"/>
    <x v="21"/>
    <x v="17"/>
    <x v="49"/>
    <x v="72"/>
    <s v="Great looking shoe"/>
    <n v="1522454400"/>
    <s v="Not Specified"/>
    <s v="Not Specified"/>
    <s v="Not Specified"/>
    <n v="48"/>
    <x v="0"/>
    <x v="2"/>
  </r>
  <r>
    <x v="0"/>
    <x v="0"/>
    <x v="62"/>
    <x v="1"/>
    <x v="5"/>
    <x v="55"/>
    <x v="14"/>
    <x v="14"/>
    <x v="24"/>
    <x v="50"/>
    <x v="73"/>
    <s v="Great shoes."/>
    <n v="1522195200"/>
    <s v="Not Specified"/>
    <s v="Not Specified"/>
    <s v="Not Specified"/>
    <n v="90"/>
    <x v="0"/>
    <x v="2"/>
  </r>
  <r>
    <x v="1"/>
    <x v="0"/>
    <x v="63"/>
    <x v="1"/>
    <x v="5"/>
    <x v="56"/>
    <x v="14"/>
    <x v="21"/>
    <x v="23"/>
    <x v="51"/>
    <x v="74"/>
    <s v="Style 10/10, Comfort 3/10"/>
    <n v="1522108800"/>
    <s v="Not Specified"/>
    <s v="Not Specified"/>
    <s v="Not Specified"/>
    <n v="121"/>
    <x v="1"/>
    <x v="2"/>
  </r>
  <r>
    <x v="0"/>
    <x v="0"/>
    <x v="64"/>
    <x v="1"/>
    <x v="5"/>
    <x v="57"/>
    <x v="14"/>
    <x v="17"/>
    <x v="21"/>
    <x v="52"/>
    <x v="75"/>
    <s v="these shoes are great! Very lightweight and fits comfortably on my feet ..."/>
    <n v="1521676800"/>
    <s v="Not Specified"/>
    <s v="Not Specified"/>
    <s v="Not Specified"/>
    <n v="277"/>
    <x v="0"/>
    <x v="2"/>
  </r>
  <r>
    <x v="0"/>
    <x v="0"/>
    <x v="64"/>
    <x v="1"/>
    <x v="5"/>
    <x v="58"/>
    <x v="14"/>
    <x v="16"/>
    <x v="17"/>
    <x v="53"/>
    <x v="76"/>
    <s v="Great shoes. Fit perfectly"/>
    <n v="1521676800"/>
    <s v="Not Specified"/>
    <s v="Not Specified"/>
    <s v="Not Specified"/>
    <n v="129"/>
    <x v="0"/>
    <x v="2"/>
  </r>
  <r>
    <x v="0"/>
    <x v="0"/>
    <x v="65"/>
    <x v="1"/>
    <x v="5"/>
    <x v="59"/>
    <x v="14"/>
    <x v="26"/>
    <x v="23"/>
    <x v="54"/>
    <x v="77"/>
    <s v="Five Stars"/>
    <n v="1521590400"/>
    <s v="Not Specified"/>
    <s v="Not Specified"/>
    <s v="Not Specified"/>
    <n v="56"/>
    <x v="0"/>
    <x v="2"/>
  </r>
  <r>
    <x v="0"/>
    <x v="0"/>
    <x v="66"/>
    <x v="1"/>
    <x v="5"/>
    <x v="60"/>
    <x v="14"/>
    <x v="15"/>
    <x v="17"/>
    <x v="55"/>
    <x v="78"/>
    <s v="Perfect. Lightweight and comfortable all day"/>
    <n v="1521504000"/>
    <s v="Not Specified"/>
    <s v="Not Specified"/>
    <s v="Not Specified"/>
    <n v="137"/>
    <x v="0"/>
    <x v="2"/>
  </r>
  <r>
    <x v="0"/>
    <x v="0"/>
    <x v="67"/>
    <x v="1"/>
    <x v="5"/>
    <x v="61"/>
    <x v="14"/>
    <x v="21"/>
    <x v="17"/>
    <x v="56"/>
    <x v="79"/>
    <s v="My knees feel better so so hard so good"/>
    <n v="1521417600"/>
    <s v="Not Specified"/>
    <s v="Not Specified"/>
    <s v="Not Specified"/>
    <n v="211"/>
    <x v="0"/>
    <x v="2"/>
  </r>
  <r>
    <x v="0"/>
    <x v="0"/>
    <x v="67"/>
    <x v="1"/>
    <x v="5"/>
    <x v="62"/>
    <x v="14"/>
    <x v="21"/>
    <x v="24"/>
    <x v="57"/>
    <x v="80"/>
    <s v="Five Stars"/>
    <n v="1521417600"/>
    <s v="Not Specified"/>
    <s v="Not Specified"/>
    <s v="Not Specified"/>
    <n v="15"/>
    <x v="0"/>
    <x v="2"/>
  </r>
  <r>
    <x v="4"/>
    <x v="0"/>
    <x v="68"/>
    <x v="1"/>
    <x v="5"/>
    <x v="63"/>
    <x v="14"/>
    <x v="27"/>
    <x v="25"/>
    <x v="58"/>
    <x v="81"/>
    <s v="Comfortable, lightweight Xtrainer"/>
    <n v="1521244800"/>
    <s v="Not Specified"/>
    <s v="Not Specified"/>
    <s v="Not Specified"/>
    <n v="127"/>
    <x v="0"/>
    <x v="2"/>
  </r>
  <r>
    <x v="0"/>
    <x v="0"/>
    <x v="69"/>
    <x v="1"/>
    <x v="5"/>
    <x v="64"/>
    <x v="14"/>
    <x v="22"/>
    <x v="17"/>
    <x v="59"/>
    <x v="82"/>
    <s v="Great shoe!"/>
    <n v="1520899200"/>
    <s v="Not Specified"/>
    <s v="Not Specified"/>
    <s v="Not Specified"/>
    <n v="174"/>
    <x v="0"/>
    <x v="2"/>
  </r>
  <r>
    <x v="3"/>
    <x v="0"/>
    <x v="70"/>
    <x v="1"/>
    <x v="5"/>
    <x v="65"/>
    <x v="14"/>
    <x v="16"/>
    <x v="26"/>
    <x v="60"/>
    <x v="83"/>
    <s v="Returned...looked cheap"/>
    <n v="1520726400"/>
    <s v="Not Specified"/>
    <s v="Not Specified"/>
    <s v="Not Specified"/>
    <n v="22"/>
    <x v="2"/>
    <x v="2"/>
  </r>
  <r>
    <x v="0"/>
    <x v="0"/>
    <x v="71"/>
    <x v="1"/>
    <x v="5"/>
    <x v="66"/>
    <x v="14"/>
    <x v="17"/>
    <x v="17"/>
    <x v="5"/>
    <x v="84"/>
    <s v="Fits to size"/>
    <n v="1520208000"/>
    <s v="Not Specified"/>
    <s v="Not Specified"/>
    <s v="Not Specified"/>
    <n v="22"/>
    <x v="0"/>
    <x v="2"/>
  </r>
  <r>
    <x v="0"/>
    <x v="0"/>
    <x v="72"/>
    <x v="1"/>
    <x v="5"/>
    <x v="67"/>
    <x v="14"/>
    <x v="25"/>
    <x v="17"/>
    <x v="61"/>
    <x v="85"/>
    <s v="Very comfortable shoes. This is my second pair of this ..."/>
    <n v="1519948800"/>
    <s v="Not Specified"/>
    <s v="Not Specified"/>
    <s v="Not Specified"/>
    <n v="100"/>
    <x v="0"/>
    <x v="2"/>
  </r>
  <r>
    <x v="0"/>
    <x v="0"/>
    <x v="73"/>
    <x v="1"/>
    <x v="8"/>
    <x v="68"/>
    <x v="14"/>
    <x v="22"/>
    <x v="17"/>
    <x v="62"/>
    <x v="86"/>
    <s v="Sleek and sporty"/>
    <n v="1519776000"/>
    <s v="Not Specified"/>
    <s v="Not Specified"/>
    <s v="Not Specified"/>
    <n v="58"/>
    <x v="0"/>
    <x v="2"/>
  </r>
  <r>
    <x v="0"/>
    <x v="0"/>
    <x v="74"/>
    <x v="1"/>
    <x v="8"/>
    <x v="69"/>
    <x v="14"/>
    <x v="21"/>
    <x v="17"/>
    <x v="5"/>
    <x v="87"/>
    <s v="I love the shoes and the description and photos were accurate"/>
    <n v="1519689600"/>
    <s v="Not Specified"/>
    <s v="Not Specified"/>
    <s v="Not Specified"/>
    <n v="269"/>
    <x v="0"/>
    <x v="2"/>
  </r>
  <r>
    <x v="0"/>
    <x v="0"/>
    <x v="74"/>
    <x v="1"/>
    <x v="8"/>
    <x v="70"/>
    <x v="14"/>
    <x v="21"/>
    <x v="21"/>
    <x v="63"/>
    <x v="88"/>
    <s v="Great fit!"/>
    <n v="1519689600"/>
    <s v="Not Specified"/>
    <s v="Not Specified"/>
    <s v="Not Specified"/>
    <n v="152"/>
    <x v="0"/>
    <x v="2"/>
  </r>
  <r>
    <x v="0"/>
    <x v="0"/>
    <x v="74"/>
    <x v="1"/>
    <x v="8"/>
    <x v="71"/>
    <x v="14"/>
    <x v="16"/>
    <x v="17"/>
    <x v="64"/>
    <x v="89"/>
    <s v="Lightweight"/>
    <n v="1519689600"/>
    <s v="Not Specified"/>
    <s v="Not Specified"/>
    <s v="Not Specified"/>
    <n v="46"/>
    <x v="0"/>
    <x v="2"/>
  </r>
  <r>
    <x v="3"/>
    <x v="0"/>
    <x v="75"/>
    <x v="1"/>
    <x v="8"/>
    <x v="72"/>
    <x v="14"/>
    <x v="21"/>
    <x v="17"/>
    <x v="65"/>
    <x v="90"/>
    <s v="Squeaky soles"/>
    <n v="1519516800"/>
    <s v="Not Specified"/>
    <s v="Not Specified"/>
    <s v="Not Specified"/>
    <n v="282"/>
    <x v="2"/>
    <x v="2"/>
  </r>
  <r>
    <x v="2"/>
    <x v="0"/>
    <x v="75"/>
    <x v="1"/>
    <x v="8"/>
    <x v="73"/>
    <x v="14"/>
    <x v="17"/>
    <x v="17"/>
    <x v="5"/>
    <x v="91"/>
    <s v="Two Stars"/>
    <n v="1519516800"/>
    <s v="Not Specified"/>
    <s v="Not Specified"/>
    <s v="Not Specified"/>
    <n v="89"/>
    <x v="2"/>
    <x v="2"/>
  </r>
  <r>
    <x v="0"/>
    <x v="0"/>
    <x v="76"/>
    <x v="1"/>
    <x v="8"/>
    <x v="74"/>
    <x v="14"/>
    <x v="15"/>
    <x v="17"/>
    <x v="66"/>
    <x v="92"/>
    <s v="Comfortable and"/>
    <n v="1519171200"/>
    <s v="Not Specified"/>
    <s v="Not Specified"/>
    <s v="Not Specified"/>
    <n v="45"/>
    <x v="0"/>
    <x v="2"/>
  </r>
  <r>
    <x v="0"/>
    <x v="0"/>
    <x v="77"/>
    <x v="1"/>
    <x v="8"/>
    <x v="75"/>
    <x v="14"/>
    <x v="22"/>
    <x v="23"/>
    <x v="67"/>
    <x v="93"/>
    <s v="Their Cute and Pink"/>
    <n v="1519084800"/>
    <s v="Not Specified"/>
    <s v="Not Specified"/>
    <s v="Not Specified"/>
    <n v="47"/>
    <x v="0"/>
    <x v="2"/>
  </r>
  <r>
    <x v="0"/>
    <x v="0"/>
    <x v="78"/>
    <x v="1"/>
    <x v="8"/>
    <x v="76"/>
    <x v="14"/>
    <x v="21"/>
    <x v="21"/>
    <x v="68"/>
    <x v="94"/>
    <s v="Five Stars"/>
    <n v="1518566400"/>
    <s v="Not Specified"/>
    <s v="Not Specified"/>
    <s v="Not Specified"/>
    <n v="46"/>
    <x v="0"/>
    <x v="2"/>
  </r>
  <r>
    <x v="0"/>
    <x v="0"/>
    <x v="78"/>
    <x v="1"/>
    <x v="8"/>
    <x v="77"/>
    <x v="14"/>
    <x v="14"/>
    <x v="17"/>
    <x v="5"/>
    <x v="95"/>
    <s v="Smooth and confortable."/>
    <n v="1518566400"/>
    <s v="Not Specified"/>
    <s v="Not Specified"/>
    <s v="Not Specified"/>
    <n v="17"/>
    <x v="0"/>
    <x v="2"/>
  </r>
  <r>
    <x v="0"/>
    <x v="0"/>
    <x v="79"/>
    <x v="1"/>
    <x v="8"/>
    <x v="78"/>
    <x v="14"/>
    <x v="15"/>
    <x v="27"/>
    <x v="69"/>
    <x v="96"/>
    <s v="Five Stars"/>
    <n v="1518393600"/>
    <s v="Not Specified"/>
    <s v="Not Specified"/>
    <s v="Not Specified"/>
    <n v="19"/>
    <x v="0"/>
    <x v="2"/>
  </r>
  <r>
    <x v="0"/>
    <x v="0"/>
    <x v="80"/>
    <x v="1"/>
    <x v="8"/>
    <x v="79"/>
    <x v="14"/>
    <x v="21"/>
    <x v="44"/>
    <x v="70"/>
    <x v="97"/>
    <s v="decent arch support and comfortably to wear all day doing regular activity and sprinting"/>
    <n v="1517443200"/>
    <s v="Not Specified"/>
    <s v="Not Specified"/>
    <s v="Not Specified"/>
    <n v="102"/>
    <x v="0"/>
    <x v="2"/>
  </r>
  <r>
    <x v="0"/>
    <x v="0"/>
    <x v="80"/>
    <x v="1"/>
    <x v="8"/>
    <x v="80"/>
    <x v="14"/>
    <x v="14"/>
    <x v="17"/>
    <x v="71"/>
    <x v="98"/>
    <s v="Five Stars"/>
    <n v="1517443200"/>
    <s v="Not Specified"/>
    <s v="Not Specified"/>
    <s v="Not Specified"/>
    <n v="19"/>
    <x v="0"/>
    <x v="2"/>
  </r>
  <r>
    <x v="0"/>
    <x v="0"/>
    <x v="81"/>
    <x v="1"/>
    <x v="2"/>
    <x v="81"/>
    <x v="14"/>
    <x v="26"/>
    <x v="28"/>
    <x v="72"/>
    <x v="99"/>
    <s v="Good shoes"/>
    <n v="1517184000"/>
    <s v="Not Specified"/>
    <s v="Not Specified"/>
    <s v="Not Specified"/>
    <n v="132"/>
    <x v="0"/>
    <x v="2"/>
  </r>
  <r>
    <x v="4"/>
    <x v="0"/>
    <x v="2"/>
    <x v="1"/>
    <x v="2"/>
    <x v="82"/>
    <x v="14"/>
    <x v="16"/>
    <x v="17"/>
    <x v="73"/>
    <x v="100"/>
    <s v="Good shoes"/>
    <n v="1516838400"/>
    <s v="Not Specified"/>
    <s v="Not Specified"/>
    <s v="Not Specified"/>
    <n v="860"/>
    <x v="0"/>
    <x v="2"/>
  </r>
  <r>
    <x v="0"/>
    <x v="0"/>
    <x v="82"/>
    <x v="1"/>
    <x v="2"/>
    <x v="83"/>
    <x v="14"/>
    <x v="22"/>
    <x v="29"/>
    <x v="74"/>
    <x v="101"/>
    <s v="Five Stars"/>
    <n v="1516233600"/>
    <s v="Not Specified"/>
    <s v="Not Specified"/>
    <s v="Not Specified"/>
    <n v="16"/>
    <x v="0"/>
    <x v="2"/>
  </r>
  <r>
    <x v="0"/>
    <x v="0"/>
    <x v="83"/>
    <x v="1"/>
    <x v="2"/>
    <x v="84"/>
    <x v="14"/>
    <x v="44"/>
    <x v="25"/>
    <x v="75"/>
    <x v="102"/>
    <s v="Five Stars"/>
    <n v="1515628800"/>
    <s v="Not Specified"/>
    <s v="Not Specified"/>
    <s v="Not Specified"/>
    <n v="81"/>
    <x v="0"/>
    <x v="2"/>
  </r>
  <r>
    <x v="3"/>
    <x v="0"/>
    <x v="84"/>
    <x v="1"/>
    <x v="2"/>
    <x v="85"/>
    <x v="14"/>
    <x v="24"/>
    <x v="30"/>
    <x v="76"/>
    <x v="103"/>
    <s v="One Star"/>
    <n v="1515542400"/>
    <s v="Not Specified"/>
    <s v="Not Specified"/>
    <s v="Not Specified"/>
    <n v="27"/>
    <x v="2"/>
    <x v="2"/>
  </r>
  <r>
    <x v="0"/>
    <x v="0"/>
    <x v="84"/>
    <x v="1"/>
    <x v="2"/>
    <x v="86"/>
    <x v="14"/>
    <x v="16"/>
    <x v="17"/>
    <x v="77"/>
    <x v="104"/>
    <s v="Glad I read the reviews and ordered a half size ..."/>
    <n v="1515542400"/>
    <s v="Not Specified"/>
    <s v="Not Specified"/>
    <n v="2"/>
    <n v="617"/>
    <x v="0"/>
    <x v="2"/>
  </r>
  <r>
    <x v="1"/>
    <x v="0"/>
    <x v="85"/>
    <x v="1"/>
    <x v="2"/>
    <x v="87"/>
    <x v="14"/>
    <x v="16"/>
    <x v="21"/>
    <x v="78"/>
    <x v="105"/>
    <s v="Not in perfect condition"/>
    <n v="1515456000"/>
    <s v="Not Specified"/>
    <s v="Not Specified"/>
    <s v="Not Specified"/>
    <n v="54"/>
    <x v="1"/>
    <x v="2"/>
  </r>
  <r>
    <x v="0"/>
    <x v="0"/>
    <x v="86"/>
    <x v="1"/>
    <x v="2"/>
    <x v="88"/>
    <x v="14"/>
    <x v="17"/>
    <x v="17"/>
    <x v="79"/>
    <x v="106"/>
    <s v="Very comfortable, cute, and long-lasting"/>
    <n v="1515369600"/>
    <s v="Not Specified"/>
    <s v="Not Specified"/>
    <s v="Not Specified"/>
    <n v="715"/>
    <x v="0"/>
    <x v="2"/>
  </r>
  <r>
    <x v="0"/>
    <x v="0"/>
    <x v="86"/>
    <x v="1"/>
    <x v="2"/>
    <x v="89"/>
    <x v="14"/>
    <x v="24"/>
    <x v="31"/>
    <x v="80"/>
    <x v="107"/>
    <s v="Super light-weight, nice tread and arch support - love them so far!"/>
    <n v="1515369600"/>
    <s v="Not Specified"/>
    <s v="Not Specified"/>
    <s v="Not Specified"/>
    <n v="1003"/>
    <x v="0"/>
    <x v="2"/>
  </r>
  <r>
    <x v="0"/>
    <x v="0"/>
    <x v="87"/>
    <x v="1"/>
    <x v="2"/>
    <x v="90"/>
    <x v="14"/>
    <x v="21"/>
    <x v="23"/>
    <x v="81"/>
    <x v="108"/>
    <s v="Five Stars"/>
    <n v="1515283200"/>
    <s v="Not Specified"/>
    <s v="Not Specified"/>
    <s v="Not Specified"/>
    <n v="51"/>
    <x v="0"/>
    <x v="2"/>
  </r>
  <r>
    <x v="0"/>
    <x v="0"/>
    <x v="88"/>
    <x v="2"/>
    <x v="11"/>
    <x v="91"/>
    <x v="14"/>
    <x v="42"/>
    <x v="25"/>
    <x v="5"/>
    <x v="109"/>
    <s v="My wife loves these shoes. We have both been ..."/>
    <n v="1514505600"/>
    <s v="Not Specified"/>
    <s v="Not Specified"/>
    <s v="Not Specified"/>
    <n v="240"/>
    <x v="0"/>
    <x v="2"/>
  </r>
  <r>
    <x v="0"/>
    <x v="0"/>
    <x v="89"/>
    <x v="2"/>
    <x v="11"/>
    <x v="92"/>
    <x v="14"/>
    <x v="15"/>
    <x v="27"/>
    <x v="82"/>
    <x v="110"/>
    <s v="New Favorite Shoes"/>
    <n v="1514419200"/>
    <s v="Not Specified"/>
    <s v="Not Specified"/>
    <s v="Not Specified"/>
    <n v="68"/>
    <x v="0"/>
    <x v="2"/>
  </r>
  <r>
    <x v="2"/>
    <x v="0"/>
    <x v="90"/>
    <x v="2"/>
    <x v="11"/>
    <x v="93"/>
    <x v="14"/>
    <x v="25"/>
    <x v="29"/>
    <x v="83"/>
    <x v="111"/>
    <s v="Foam compresses"/>
    <n v="1513468800"/>
    <s v="Not Specified"/>
    <s v="Not Specified"/>
    <s v="Not Specified"/>
    <n v="263"/>
    <x v="2"/>
    <x v="2"/>
  </r>
  <r>
    <x v="0"/>
    <x v="0"/>
    <x v="90"/>
    <x v="2"/>
    <x v="11"/>
    <x v="94"/>
    <x v="14"/>
    <x v="21"/>
    <x v="17"/>
    <x v="84"/>
    <x v="112"/>
    <s v="Five Stars"/>
    <n v="1513468800"/>
    <s v="Not Specified"/>
    <s v="Not Specified"/>
    <s v="Not Specified"/>
    <n v="14"/>
    <x v="0"/>
    <x v="2"/>
  </r>
  <r>
    <x v="1"/>
    <x v="0"/>
    <x v="91"/>
    <x v="2"/>
    <x v="11"/>
    <x v="95"/>
    <x v="14"/>
    <x v="17"/>
    <x v="23"/>
    <x v="85"/>
    <x v="113"/>
    <s v="I usually wear a 9 but could have easily ordered a 8"/>
    <n v="1512432000"/>
    <s v="Not Specified"/>
    <s v="Not Specified"/>
    <s v="Not Specified"/>
    <n v="757"/>
    <x v="1"/>
    <x v="2"/>
  </r>
  <r>
    <x v="0"/>
    <x v="0"/>
    <x v="91"/>
    <x v="2"/>
    <x v="11"/>
    <x v="96"/>
    <x v="14"/>
    <x v="21"/>
    <x v="24"/>
    <x v="86"/>
    <x v="114"/>
    <s v="Five Stars"/>
    <n v="1512432000"/>
    <s v="Not Specified"/>
    <s v="Not Specified"/>
    <s v="Not Specified"/>
    <n v="5"/>
    <x v="0"/>
    <x v="2"/>
  </r>
  <r>
    <x v="0"/>
    <x v="0"/>
    <x v="92"/>
    <x v="2"/>
    <x v="11"/>
    <x v="97"/>
    <x v="14"/>
    <x v="26"/>
    <x v="24"/>
    <x v="5"/>
    <x v="115"/>
    <s v="Five Stars"/>
    <n v="1512345600"/>
    <s v="Not Specified"/>
    <s v="Not Specified"/>
    <s v="Not Specified"/>
    <n v="1"/>
    <x v="0"/>
    <x v="2"/>
  </r>
  <r>
    <x v="0"/>
    <x v="0"/>
    <x v="93"/>
    <x v="2"/>
    <x v="7"/>
    <x v="98"/>
    <x v="14"/>
    <x v="17"/>
    <x v="23"/>
    <x v="87"/>
    <x v="116"/>
    <s v="Five Stars"/>
    <n v="1512000000"/>
    <s v="Not Specified"/>
    <s v="Not Specified"/>
    <s v="Not Specified"/>
    <n v="10"/>
    <x v="0"/>
    <x v="2"/>
  </r>
  <r>
    <x v="1"/>
    <x v="0"/>
    <x v="93"/>
    <x v="2"/>
    <x v="7"/>
    <x v="99"/>
    <x v="14"/>
    <x v="17"/>
    <x v="17"/>
    <x v="5"/>
    <x v="117"/>
    <s v="Fits snug"/>
    <n v="1512000000"/>
    <s v="Not Specified"/>
    <s v="Not Specified"/>
    <s v="Not Specified"/>
    <n v="192"/>
    <x v="1"/>
    <x v="2"/>
  </r>
  <r>
    <x v="1"/>
    <x v="0"/>
    <x v="94"/>
    <x v="2"/>
    <x v="7"/>
    <x v="100"/>
    <x v="14"/>
    <x v="24"/>
    <x v="12"/>
    <x v="88"/>
    <x v="118"/>
    <s v="Not sure why, but my mid section of my ..."/>
    <n v="1511827200"/>
    <s v="Not Specified"/>
    <s v="Not Specified"/>
    <s v="Not Specified"/>
    <n v="194"/>
    <x v="1"/>
    <x v="2"/>
  </r>
  <r>
    <x v="4"/>
    <x v="0"/>
    <x v="94"/>
    <x v="2"/>
    <x v="7"/>
    <x v="101"/>
    <x v="14"/>
    <x v="30"/>
    <x v="28"/>
    <x v="89"/>
    <x v="119"/>
    <s v="Love"/>
    <n v="1511827200"/>
    <s v="Not Specified"/>
    <s v="Not Specified"/>
    <s v="Not Specified"/>
    <n v="27"/>
    <x v="0"/>
    <x v="2"/>
  </r>
  <r>
    <x v="0"/>
    <x v="0"/>
    <x v="95"/>
    <x v="2"/>
    <x v="7"/>
    <x v="102"/>
    <x v="14"/>
    <x v="17"/>
    <x v="24"/>
    <x v="90"/>
    <x v="120"/>
    <s v="Five Stars"/>
    <n v="1511740800"/>
    <s v="Not Specified"/>
    <s v="Not Specified"/>
    <s v="Not Specified"/>
    <n v="8"/>
    <x v="0"/>
    <x v="2"/>
  </r>
  <r>
    <x v="0"/>
    <x v="0"/>
    <x v="95"/>
    <x v="2"/>
    <x v="7"/>
    <x v="102"/>
    <x v="14"/>
    <x v="17"/>
    <x v="27"/>
    <x v="90"/>
    <x v="120"/>
    <s v="Five Stars"/>
    <n v="1511740800"/>
    <s v="Not Specified"/>
    <s v="Not Specified"/>
    <s v="Not Specified"/>
    <n v="8"/>
    <x v="0"/>
    <x v="2"/>
  </r>
  <r>
    <x v="3"/>
    <x v="0"/>
    <x v="96"/>
    <x v="2"/>
    <x v="7"/>
    <x v="103"/>
    <x v="14"/>
    <x v="15"/>
    <x v="17"/>
    <x v="91"/>
    <x v="121"/>
    <s v="TOO NARROW!"/>
    <n v="1511049600"/>
    <s v="Not Specified"/>
    <s v="Not Specified"/>
    <s v="Not Specified"/>
    <n v="133"/>
    <x v="2"/>
    <x v="2"/>
  </r>
  <r>
    <x v="0"/>
    <x v="0"/>
    <x v="97"/>
    <x v="2"/>
    <x v="7"/>
    <x v="104"/>
    <x v="14"/>
    <x v="17"/>
    <x v="24"/>
    <x v="92"/>
    <x v="122"/>
    <s v="Consider sizing down 1 size"/>
    <n v="1510617600"/>
    <s v="Not Specified"/>
    <s v="Not Specified"/>
    <s v="Not Specified"/>
    <n v="232"/>
    <x v="0"/>
    <x v="2"/>
  </r>
  <r>
    <x v="4"/>
    <x v="0"/>
    <x v="98"/>
    <x v="2"/>
    <x v="7"/>
    <x v="105"/>
    <x v="14"/>
    <x v="21"/>
    <x v="32"/>
    <x v="93"/>
    <x v="123"/>
    <s v="Seem to Run Big"/>
    <n v="1510358400"/>
    <s v="Not Specified"/>
    <s v="Not Specified"/>
    <s v="Not Specified"/>
    <n v="104"/>
    <x v="0"/>
    <x v="2"/>
  </r>
  <r>
    <x v="0"/>
    <x v="0"/>
    <x v="99"/>
    <x v="2"/>
    <x v="7"/>
    <x v="106"/>
    <x v="14"/>
    <x v="30"/>
    <x v="28"/>
    <x v="94"/>
    <x v="124"/>
    <s v="Five Stars"/>
    <n v="1510272000"/>
    <s v="Not Specified"/>
    <s v="Not Specified"/>
    <s v="Not Specified"/>
    <n v="15"/>
    <x v="0"/>
    <x v="2"/>
  </r>
  <r>
    <x v="0"/>
    <x v="0"/>
    <x v="100"/>
    <x v="2"/>
    <x v="7"/>
    <x v="107"/>
    <x v="14"/>
    <x v="14"/>
    <x v="17"/>
    <x v="5"/>
    <x v="125"/>
    <s v="Perfect for trails"/>
    <n v="1510185600"/>
    <s v="Not Specified"/>
    <s v="Not Specified"/>
    <s v="Not Specified"/>
    <n v="278"/>
    <x v="0"/>
    <x v="2"/>
  </r>
  <r>
    <x v="4"/>
    <x v="0"/>
    <x v="101"/>
    <x v="2"/>
    <x v="7"/>
    <x v="108"/>
    <x v="14"/>
    <x v="17"/>
    <x v="23"/>
    <x v="95"/>
    <x v="126"/>
    <s v="Four Stars"/>
    <n v="1510012800"/>
    <s v="Not Specified"/>
    <s v="Not Specified"/>
    <s v="Not Specified"/>
    <n v="8"/>
    <x v="0"/>
    <x v="2"/>
  </r>
  <r>
    <x v="2"/>
    <x v="0"/>
    <x v="102"/>
    <x v="2"/>
    <x v="7"/>
    <x v="109"/>
    <x v="14"/>
    <x v="14"/>
    <x v="33"/>
    <x v="5"/>
    <x v="127"/>
    <s v="Zumba) - and really wanted to like them, since I loved the color and the ..."/>
    <n v="1509840000"/>
    <s v="Not Specified"/>
    <s v="Not Specified"/>
    <n v="6"/>
    <n v="467"/>
    <x v="2"/>
    <x v="2"/>
  </r>
  <r>
    <x v="0"/>
    <x v="0"/>
    <x v="103"/>
    <x v="2"/>
    <x v="7"/>
    <x v="110"/>
    <x v="14"/>
    <x v="22"/>
    <x v="23"/>
    <x v="96"/>
    <x v="128"/>
    <s v="Five Stars"/>
    <n v="1509753600"/>
    <s v="Not Specified"/>
    <s v="Not Specified"/>
    <s v="Not Specified"/>
    <n v="39"/>
    <x v="0"/>
    <x v="2"/>
  </r>
  <r>
    <x v="1"/>
    <x v="0"/>
    <x v="103"/>
    <x v="2"/>
    <x v="7"/>
    <x v="111"/>
    <x v="14"/>
    <x v="16"/>
    <x v="33"/>
    <x v="97"/>
    <x v="129"/>
    <s v="Three Stars"/>
    <n v="1509753600"/>
    <s v="Not Specified"/>
    <s v="Not Specified"/>
    <s v="Not Specified"/>
    <n v="38"/>
    <x v="1"/>
    <x v="2"/>
  </r>
  <r>
    <x v="4"/>
    <x v="0"/>
    <x v="104"/>
    <x v="2"/>
    <x v="7"/>
    <x v="112"/>
    <x v="14"/>
    <x v="21"/>
    <x v="23"/>
    <x v="98"/>
    <x v="130"/>
    <s v="Size problem"/>
    <n v="1509667200"/>
    <s v="Not Specified"/>
    <s v="Not Specified"/>
    <s v="Not Specified"/>
    <n v="23"/>
    <x v="0"/>
    <x v="2"/>
  </r>
  <r>
    <x v="0"/>
    <x v="0"/>
    <x v="105"/>
    <x v="2"/>
    <x v="7"/>
    <x v="113"/>
    <x v="14"/>
    <x v="21"/>
    <x v="24"/>
    <x v="99"/>
    <x v="116"/>
    <s v="Five Stars"/>
    <n v="1509580800"/>
    <s v="Not Specified"/>
    <s v="Not Specified"/>
    <s v="Not Specified"/>
    <n v="10"/>
    <x v="0"/>
    <x v="2"/>
  </r>
  <r>
    <x v="4"/>
    <x v="0"/>
    <x v="106"/>
    <x v="2"/>
    <x v="3"/>
    <x v="114"/>
    <x v="14"/>
    <x v="15"/>
    <x v="34"/>
    <x v="100"/>
    <x v="131"/>
    <s v="True to size, would recommend"/>
    <n v="1509408000"/>
    <s v="Not Specified"/>
    <s v="Not Specified"/>
    <s v="Not Specified"/>
    <n v="152"/>
    <x v="0"/>
    <x v="2"/>
  </r>
  <r>
    <x v="0"/>
    <x v="0"/>
    <x v="107"/>
    <x v="2"/>
    <x v="3"/>
    <x v="115"/>
    <x v="14"/>
    <x v="22"/>
    <x v="23"/>
    <x v="101"/>
    <x v="132"/>
    <s v="Best birthday present"/>
    <n v="1509235200"/>
    <s v="Not Specified"/>
    <s v="Not Specified"/>
    <s v="Not Specified"/>
    <n v="21"/>
    <x v="0"/>
    <x v="2"/>
  </r>
  <r>
    <x v="0"/>
    <x v="0"/>
    <x v="108"/>
    <x v="2"/>
    <x v="3"/>
    <x v="116"/>
    <x v="14"/>
    <x v="30"/>
    <x v="17"/>
    <x v="102"/>
    <x v="133"/>
    <s v="Purchased these for my wife as she has a similar ..."/>
    <n v="1508976000"/>
    <s v="Not Specified"/>
    <s v="Not Specified"/>
    <s v="Not Specified"/>
    <n v="185"/>
    <x v="0"/>
    <x v="2"/>
  </r>
  <r>
    <x v="0"/>
    <x v="0"/>
    <x v="108"/>
    <x v="2"/>
    <x v="3"/>
    <x v="117"/>
    <x v="14"/>
    <x v="14"/>
    <x v="24"/>
    <x v="103"/>
    <x v="134"/>
    <s v="I have pretty high arches and my calves always hurt at the ..."/>
    <n v="1508976000"/>
    <s v="Not Specified"/>
    <s v="Not Specified"/>
    <s v="Not Specified"/>
    <n v="351"/>
    <x v="0"/>
    <x v="2"/>
  </r>
  <r>
    <x v="0"/>
    <x v="0"/>
    <x v="12"/>
    <x v="2"/>
    <x v="3"/>
    <x v="118"/>
    <x v="14"/>
    <x v="21"/>
    <x v="35"/>
    <x v="104"/>
    <x v="135"/>
    <s v="Five Stars"/>
    <n v="1508889600"/>
    <s v="Not Specified"/>
    <s v="Not Specified"/>
    <s v="Not Specified"/>
    <n v="11"/>
    <x v="0"/>
    <x v="2"/>
  </r>
  <r>
    <x v="0"/>
    <x v="0"/>
    <x v="109"/>
    <x v="2"/>
    <x v="3"/>
    <x v="119"/>
    <x v="14"/>
    <x v="15"/>
    <x v="33"/>
    <x v="105"/>
    <x v="136"/>
    <s v="Five Stars"/>
    <n v="1508803200"/>
    <s v="Not Specified"/>
    <s v="Not Specified"/>
    <s v="Not Specified"/>
    <n v="35"/>
    <x v="0"/>
    <x v="2"/>
  </r>
  <r>
    <x v="0"/>
    <x v="0"/>
    <x v="110"/>
    <x v="2"/>
    <x v="3"/>
    <x v="120"/>
    <x v="14"/>
    <x v="21"/>
    <x v="36"/>
    <x v="106"/>
    <x v="137"/>
    <s v="Five Stars"/>
    <n v="1508630400"/>
    <s v="Not Specified"/>
    <s v="Not Specified"/>
    <s v="Not Specified"/>
    <n v="14"/>
    <x v="0"/>
    <x v="2"/>
  </r>
  <r>
    <x v="1"/>
    <x v="0"/>
    <x v="111"/>
    <x v="2"/>
    <x v="3"/>
    <x v="121"/>
    <x v="14"/>
    <x v="17"/>
    <x v="23"/>
    <x v="107"/>
    <x v="138"/>
    <s v="They are really light and not as sturdy as what I was looking for but over all ..."/>
    <n v="1508284800"/>
    <s v="Not Specified"/>
    <s v="Not Specified"/>
    <s v="Not Specified"/>
    <n v="201"/>
    <x v="1"/>
    <x v="2"/>
  </r>
  <r>
    <x v="0"/>
    <x v="0"/>
    <x v="112"/>
    <x v="2"/>
    <x v="3"/>
    <x v="122"/>
    <x v="14"/>
    <x v="15"/>
    <x v="24"/>
    <x v="5"/>
    <x v="139"/>
    <s v="Five Stars"/>
    <n v="1507852800"/>
    <s v="Not Specified"/>
    <s v="Not Specified"/>
    <s v="Not Specified"/>
    <n v="25"/>
    <x v="0"/>
    <x v="2"/>
  </r>
  <r>
    <x v="1"/>
    <x v="0"/>
    <x v="113"/>
    <x v="2"/>
    <x v="3"/>
    <x v="123"/>
    <x v="14"/>
    <x v="31"/>
    <x v="17"/>
    <x v="108"/>
    <x v="140"/>
    <s v="l always buy Nike shoes and been happy so far"/>
    <n v="1507593600"/>
    <s v="Not Specified"/>
    <s v="Not Specified"/>
    <s v="Not Specified"/>
    <n v="192"/>
    <x v="1"/>
    <x v="2"/>
  </r>
  <r>
    <x v="0"/>
    <x v="0"/>
    <x v="114"/>
    <x v="2"/>
    <x v="3"/>
    <x v="124"/>
    <x v="14"/>
    <x v="24"/>
    <x v="12"/>
    <x v="109"/>
    <x v="141"/>
    <s v="Honestly Fantastic Shoes"/>
    <n v="1506988800"/>
    <s v="Not Specified"/>
    <s v="Not Specified"/>
    <s v="Not Specified"/>
    <n v="230"/>
    <x v="0"/>
    <x v="2"/>
  </r>
  <r>
    <x v="0"/>
    <x v="0"/>
    <x v="115"/>
    <x v="2"/>
    <x v="3"/>
    <x v="125"/>
    <x v="14"/>
    <x v="15"/>
    <x v="24"/>
    <x v="5"/>
    <x v="142"/>
    <s v="Absolutely love these shoes and color"/>
    <n v="1506902400"/>
    <s v="Not Specified"/>
    <s v="Not Specified"/>
    <s v="Not Specified"/>
    <n v="171"/>
    <x v="0"/>
    <x v="2"/>
  </r>
  <r>
    <x v="0"/>
    <x v="0"/>
    <x v="116"/>
    <x v="2"/>
    <x v="0"/>
    <x v="126"/>
    <x v="14"/>
    <x v="17"/>
    <x v="12"/>
    <x v="110"/>
    <x v="143"/>
    <s v="Five Stars"/>
    <n v="1506470400"/>
    <s v="Not Specified"/>
    <s v="Not Specified"/>
    <s v="Not Specified"/>
    <n v="12"/>
    <x v="0"/>
    <x v="2"/>
  </r>
  <r>
    <x v="0"/>
    <x v="0"/>
    <x v="116"/>
    <x v="2"/>
    <x v="0"/>
    <x v="127"/>
    <x v="14"/>
    <x v="32"/>
    <x v="37"/>
    <x v="111"/>
    <x v="144"/>
    <s v="Nike runs small"/>
    <n v="1506470400"/>
    <s v="Not Specified"/>
    <s v="Not Specified"/>
    <s v="Not Specified"/>
    <n v="70"/>
    <x v="0"/>
    <x v="2"/>
  </r>
  <r>
    <x v="0"/>
    <x v="0"/>
    <x v="33"/>
    <x v="2"/>
    <x v="0"/>
    <x v="128"/>
    <x v="14"/>
    <x v="16"/>
    <x v="17"/>
    <x v="112"/>
    <x v="145"/>
    <s v="Five Stars"/>
    <n v="1506384000"/>
    <s v="Not Specified"/>
    <s v="Not Specified"/>
    <s v="Not Specified"/>
    <n v="9"/>
    <x v="0"/>
    <x v="2"/>
  </r>
  <r>
    <x v="0"/>
    <x v="0"/>
    <x v="117"/>
    <x v="2"/>
    <x v="0"/>
    <x v="129"/>
    <x v="14"/>
    <x v="22"/>
    <x v="17"/>
    <x v="113"/>
    <x v="146"/>
    <s v="Five Stars"/>
    <n v="1506297600"/>
    <s v="Not Specified"/>
    <s v="Not Specified"/>
    <s v="Not Specified"/>
    <n v="50"/>
    <x v="0"/>
    <x v="2"/>
  </r>
  <r>
    <x v="0"/>
    <x v="0"/>
    <x v="118"/>
    <x v="2"/>
    <x v="0"/>
    <x v="130"/>
    <x v="14"/>
    <x v="22"/>
    <x v="12"/>
    <x v="5"/>
    <x v="147"/>
    <s v="Very Happy Customer"/>
    <n v="1505865600"/>
    <s v="Not Specified"/>
    <s v="Not Specified"/>
    <s v="Not Specified"/>
    <n v="370"/>
    <x v="0"/>
    <x v="2"/>
  </r>
  <r>
    <x v="0"/>
    <x v="0"/>
    <x v="119"/>
    <x v="2"/>
    <x v="0"/>
    <x v="131"/>
    <x v="14"/>
    <x v="21"/>
    <x v="17"/>
    <x v="114"/>
    <x v="148"/>
    <s v="and very comfortable."/>
    <n v="1505692800"/>
    <s v="Not Specified"/>
    <s v="Not Specified"/>
    <s v="Not Specified"/>
    <n v="49"/>
    <x v="0"/>
    <x v="2"/>
  </r>
  <r>
    <x v="0"/>
    <x v="0"/>
    <x v="120"/>
    <x v="2"/>
    <x v="0"/>
    <x v="132"/>
    <x v="14"/>
    <x v="22"/>
    <x v="33"/>
    <x v="5"/>
    <x v="149"/>
    <s v="nice sneakers. Fit as expected"/>
    <n v="1505520000"/>
    <s v="Not Specified"/>
    <s v="Not Specified"/>
    <s v="Not Specified"/>
    <n v="40"/>
    <x v="0"/>
    <x v="2"/>
  </r>
  <r>
    <x v="0"/>
    <x v="0"/>
    <x v="121"/>
    <x v="2"/>
    <x v="0"/>
    <x v="133"/>
    <x v="14"/>
    <x v="15"/>
    <x v="34"/>
    <x v="115"/>
    <x v="150"/>
    <s v="5 stars"/>
    <n v="1505347200"/>
    <s v="Not Specified"/>
    <s v="Not Specified"/>
    <s v="Not Specified"/>
    <n v="23"/>
    <x v="0"/>
    <x v="2"/>
  </r>
  <r>
    <x v="0"/>
    <x v="0"/>
    <x v="122"/>
    <x v="2"/>
    <x v="0"/>
    <x v="134"/>
    <x v="14"/>
    <x v="21"/>
    <x v="38"/>
    <x v="116"/>
    <x v="151"/>
    <s v="Five Stars"/>
    <n v="1505260800"/>
    <s v="Not Specified"/>
    <s v="Not Specified"/>
    <s v="Not Specified"/>
    <n v="28"/>
    <x v="0"/>
    <x v="2"/>
  </r>
  <r>
    <x v="0"/>
    <x v="0"/>
    <x v="123"/>
    <x v="2"/>
    <x v="0"/>
    <x v="135"/>
    <x v="14"/>
    <x v="17"/>
    <x v="23"/>
    <x v="5"/>
    <x v="152"/>
    <s v="Five Stars"/>
    <n v="1505001600"/>
    <s v="Not Specified"/>
    <s v="Not Specified"/>
    <s v="Not Specified"/>
    <n v="48"/>
    <x v="0"/>
    <x v="2"/>
  </r>
  <r>
    <x v="0"/>
    <x v="0"/>
    <x v="124"/>
    <x v="2"/>
    <x v="0"/>
    <x v="136"/>
    <x v="14"/>
    <x v="21"/>
    <x v="33"/>
    <x v="117"/>
    <x v="153"/>
    <s v="These shoes fit like a glove"/>
    <n v="1504742400"/>
    <s v="Not Specified"/>
    <s v="Not Specified"/>
    <s v="Not Specified"/>
    <n v="119"/>
    <x v="0"/>
    <x v="2"/>
  </r>
  <r>
    <x v="0"/>
    <x v="0"/>
    <x v="125"/>
    <x v="2"/>
    <x v="0"/>
    <x v="137"/>
    <x v="14"/>
    <x v="22"/>
    <x v="23"/>
    <x v="118"/>
    <x v="154"/>
    <s v="Five Stars"/>
    <n v="1504569600"/>
    <s v="Not Specified"/>
    <s v="Not Specified"/>
    <s v="Not Specified"/>
    <n v="16"/>
    <x v="0"/>
    <x v="2"/>
  </r>
  <r>
    <x v="0"/>
    <x v="0"/>
    <x v="126"/>
    <x v="2"/>
    <x v="0"/>
    <x v="138"/>
    <x v="14"/>
    <x v="22"/>
    <x v="17"/>
    <x v="119"/>
    <x v="155"/>
    <s v="Five Stars"/>
    <n v="1504483200"/>
    <s v="Not Specified"/>
    <s v="Not Specified"/>
    <s v="Not Specified"/>
    <n v="12"/>
    <x v="0"/>
    <x v="2"/>
  </r>
  <r>
    <x v="4"/>
    <x v="0"/>
    <x v="127"/>
    <x v="2"/>
    <x v="4"/>
    <x v="139"/>
    <x v="14"/>
    <x v="21"/>
    <x v="33"/>
    <x v="120"/>
    <x v="156"/>
    <s v="Nike always makes a good shoe."/>
    <n v="1503964800"/>
    <s v="Not Specified"/>
    <s v="Not Specified"/>
    <s v="Not Specified"/>
    <n v="118"/>
    <x v="0"/>
    <x v="2"/>
  </r>
  <r>
    <x v="3"/>
    <x v="0"/>
    <x v="127"/>
    <x v="2"/>
    <x v="4"/>
    <x v="140"/>
    <x v="14"/>
    <x v="31"/>
    <x v="17"/>
    <x v="121"/>
    <x v="157"/>
    <s v="One Star"/>
    <n v="1503964800"/>
    <s v="Not Specified"/>
    <s v="Not Specified"/>
    <s v="Not Specified"/>
    <n v="52"/>
    <x v="2"/>
    <x v="2"/>
  </r>
  <r>
    <x v="0"/>
    <x v="0"/>
    <x v="127"/>
    <x v="2"/>
    <x v="4"/>
    <x v="141"/>
    <x v="14"/>
    <x v="17"/>
    <x v="17"/>
    <x v="122"/>
    <x v="158"/>
    <s v="Five Stars"/>
    <n v="1503964800"/>
    <s v="Not Specified"/>
    <s v="Not Specified"/>
    <s v="Not Specified"/>
    <n v="30"/>
    <x v="0"/>
    <x v="2"/>
  </r>
  <r>
    <x v="0"/>
    <x v="0"/>
    <x v="128"/>
    <x v="2"/>
    <x v="4"/>
    <x v="142"/>
    <x v="14"/>
    <x v="15"/>
    <x v="12"/>
    <x v="123"/>
    <x v="159"/>
    <s v=" Shoes"/>
    <n v="1503792000"/>
    <s v="Not Specified"/>
    <s v="Not Specified"/>
    <s v="Not Specified"/>
    <n v="17"/>
    <x v="0"/>
    <x v="2"/>
  </r>
  <r>
    <x v="4"/>
    <x v="0"/>
    <x v="129"/>
    <x v="2"/>
    <x v="4"/>
    <x v="143"/>
    <x v="14"/>
    <x v="17"/>
    <x v="31"/>
    <x v="124"/>
    <x v="160"/>
    <s v="Love these shoes"/>
    <n v="1503532800"/>
    <s v="Not Specified"/>
    <s v="Not Specified"/>
    <s v="Not Specified"/>
    <n v="225"/>
    <x v="0"/>
    <x v="2"/>
  </r>
  <r>
    <x v="3"/>
    <x v="0"/>
    <x v="129"/>
    <x v="2"/>
    <x v="4"/>
    <x v="144"/>
    <x v="14"/>
    <x v="22"/>
    <x v="29"/>
    <x v="125"/>
    <x v="161"/>
    <s v="I loved these shoes"/>
    <n v="1503532800"/>
    <s v="Not Specified"/>
    <s v="Not Specified"/>
    <s v="Not Specified"/>
    <n v="213"/>
    <x v="2"/>
    <x v="2"/>
  </r>
  <r>
    <x v="0"/>
    <x v="0"/>
    <x v="130"/>
    <x v="2"/>
    <x v="4"/>
    <x v="145"/>
    <x v="14"/>
    <x v="30"/>
    <x v="24"/>
    <x v="126"/>
    <x v="162"/>
    <s v="perfect"/>
    <n v="1503273600"/>
    <s v="Not Specified"/>
    <s v="Not Specified"/>
    <s v="Not Specified"/>
    <n v="55"/>
    <x v="0"/>
    <x v="2"/>
  </r>
  <r>
    <x v="0"/>
    <x v="0"/>
    <x v="131"/>
    <x v="2"/>
    <x v="4"/>
    <x v="146"/>
    <x v="14"/>
    <x v="14"/>
    <x v="17"/>
    <x v="127"/>
    <x v="163"/>
    <s v="Five Stars"/>
    <n v="1503187200"/>
    <s v="Not Specified"/>
    <s v="Not Specified"/>
    <s v="Not Specified"/>
    <n v="10"/>
    <x v="0"/>
    <x v="2"/>
  </r>
  <r>
    <x v="1"/>
    <x v="0"/>
    <x v="132"/>
    <x v="2"/>
    <x v="4"/>
    <x v="147"/>
    <x v="14"/>
    <x v="30"/>
    <x v="39"/>
    <x v="128"/>
    <x v="164"/>
    <s v="found a Ryka pair I liked"/>
    <n v="1502928000"/>
    <s v="Not Specified"/>
    <s v="Not Specified"/>
    <s v="Not Specified"/>
    <n v="50"/>
    <x v="1"/>
    <x v="2"/>
  </r>
  <r>
    <x v="0"/>
    <x v="0"/>
    <x v="132"/>
    <x v="2"/>
    <x v="4"/>
    <x v="148"/>
    <x v="14"/>
    <x v="15"/>
    <x v="17"/>
    <x v="129"/>
    <x v="165"/>
    <s v="Five Stars"/>
    <n v="1502928000"/>
    <s v="Not Specified"/>
    <s v="Not Specified"/>
    <s v="Not Specified"/>
    <n v="37"/>
    <x v="0"/>
    <x v="2"/>
  </r>
  <r>
    <x v="0"/>
    <x v="0"/>
    <x v="133"/>
    <x v="2"/>
    <x v="4"/>
    <x v="149"/>
    <x v="14"/>
    <x v="3"/>
    <x v="26"/>
    <x v="5"/>
    <x v="166"/>
    <s v="Five Stars"/>
    <n v="1502755200"/>
    <s v="Not Specified"/>
    <s v="Not Specified"/>
    <s v="Not Specified"/>
    <n v="16"/>
    <x v="0"/>
    <x v="2"/>
  </r>
  <r>
    <x v="0"/>
    <x v="0"/>
    <x v="134"/>
    <x v="2"/>
    <x v="4"/>
    <x v="150"/>
    <x v="14"/>
    <x v="21"/>
    <x v="17"/>
    <x v="130"/>
    <x v="167"/>
    <s v="the best sneakers by far"/>
    <n v="1502668800"/>
    <s v="Not Specified"/>
    <s v="Not Specified"/>
    <s v="Not Specified"/>
    <n v="145"/>
    <x v="0"/>
    <x v="2"/>
  </r>
  <r>
    <x v="0"/>
    <x v="0"/>
    <x v="135"/>
    <x v="2"/>
    <x v="4"/>
    <x v="151"/>
    <x v="14"/>
    <x v="17"/>
    <x v="17"/>
    <x v="131"/>
    <x v="168"/>
    <s v="Classically comfortable and durable"/>
    <n v="1502496000"/>
    <s v="Not Specified"/>
    <s v="Not Specified"/>
    <s v="Not Specified"/>
    <n v="230"/>
    <x v="0"/>
    <x v="2"/>
  </r>
  <r>
    <x v="4"/>
    <x v="0"/>
    <x v="136"/>
    <x v="2"/>
    <x v="4"/>
    <x v="152"/>
    <x v="14"/>
    <x v="30"/>
    <x v="17"/>
    <x v="132"/>
    <x v="169"/>
    <s v="Four Stars"/>
    <n v="1502409600"/>
    <s v="Not Specified"/>
    <s v="Not Specified"/>
    <s v="Not Specified"/>
    <n v="59"/>
    <x v="0"/>
    <x v="2"/>
  </r>
  <r>
    <x v="1"/>
    <x v="0"/>
    <x v="137"/>
    <x v="2"/>
    <x v="4"/>
    <x v="153"/>
    <x v="14"/>
    <x v="17"/>
    <x v="17"/>
    <x v="133"/>
    <x v="170"/>
    <s v="the Nike Womens Flex Trainer 6 is way better looking and costs about the same"/>
    <n v="1502150400"/>
    <s v="Not Specified"/>
    <s v="Not Specified"/>
    <s v="Not Specified"/>
    <n v="138"/>
    <x v="1"/>
    <x v="2"/>
  </r>
  <r>
    <x v="0"/>
    <x v="0"/>
    <x v="137"/>
    <x v="2"/>
    <x v="4"/>
    <x v="154"/>
    <x v="14"/>
    <x v="25"/>
    <x v="17"/>
    <x v="134"/>
    <x v="171"/>
    <s v="Five Stars"/>
    <n v="1502150400"/>
    <s v="Not Specified"/>
    <s v="Not Specified"/>
    <s v="Not Specified"/>
    <n v="27"/>
    <x v="0"/>
    <x v="2"/>
  </r>
  <r>
    <x v="0"/>
    <x v="0"/>
    <x v="138"/>
    <x v="2"/>
    <x v="4"/>
    <x v="155"/>
    <x v="14"/>
    <x v="21"/>
    <x v="44"/>
    <x v="135"/>
    <x v="172"/>
    <s v="Five Stars"/>
    <n v="1502064000"/>
    <s v="Not Specified"/>
    <s v="Not Specified"/>
    <s v="Not Specified"/>
    <n v="10"/>
    <x v="0"/>
    <x v="2"/>
  </r>
  <r>
    <x v="0"/>
    <x v="0"/>
    <x v="139"/>
    <x v="2"/>
    <x v="4"/>
    <x v="156"/>
    <x v="14"/>
    <x v="22"/>
    <x v="23"/>
    <x v="136"/>
    <x v="173"/>
    <s v="Love the color and fit"/>
    <n v="1501804800"/>
    <s v="Not Specified"/>
    <s v="Not Specified"/>
    <s v="Not Specified"/>
    <n v="114"/>
    <x v="0"/>
    <x v="2"/>
  </r>
  <r>
    <x v="1"/>
    <x v="0"/>
    <x v="140"/>
    <x v="2"/>
    <x v="4"/>
    <x v="157"/>
    <x v="14"/>
    <x v="33"/>
    <x v="17"/>
    <x v="137"/>
    <x v="174"/>
    <s v="OK"/>
    <n v="1501632000"/>
    <s v="Not Specified"/>
    <s v="Not Specified"/>
    <s v="Not Specified"/>
    <n v="264"/>
    <x v="1"/>
    <x v="2"/>
  </r>
  <r>
    <x v="0"/>
    <x v="0"/>
    <x v="141"/>
    <x v="2"/>
    <x v="9"/>
    <x v="158"/>
    <x v="14"/>
    <x v="17"/>
    <x v="17"/>
    <x v="5"/>
    <x v="175"/>
    <s v="Great fit!"/>
    <n v="1500508800"/>
    <s v="Not Specified"/>
    <s v="Not Specified"/>
    <s v="Not Specified"/>
    <n v="34"/>
    <x v="0"/>
    <x v="2"/>
  </r>
  <r>
    <x v="0"/>
    <x v="0"/>
    <x v="142"/>
    <x v="2"/>
    <x v="9"/>
    <x v="159"/>
    <x v="14"/>
    <x v="21"/>
    <x v="33"/>
    <x v="138"/>
    <x v="176"/>
    <s v="Very satisfied with the seller - delivered on time"/>
    <n v="1500336000"/>
    <s v="Not Specified"/>
    <s v="Not Specified"/>
    <s v="Not Specified"/>
    <n v="124"/>
    <x v="0"/>
    <x v="2"/>
  </r>
  <r>
    <x v="4"/>
    <x v="0"/>
    <x v="142"/>
    <x v="2"/>
    <x v="9"/>
    <x v="160"/>
    <x v="14"/>
    <x v="22"/>
    <x v="26"/>
    <x v="139"/>
    <x v="177"/>
    <s v="Four Stars"/>
    <n v="1500336000"/>
    <s v="Not Specified"/>
    <s v="Not Specified"/>
    <s v="Not Specified"/>
    <n v="28"/>
    <x v="0"/>
    <x v="2"/>
  </r>
  <r>
    <x v="0"/>
    <x v="0"/>
    <x v="142"/>
    <x v="2"/>
    <x v="9"/>
    <x v="161"/>
    <x v="14"/>
    <x v="14"/>
    <x v="17"/>
    <x v="140"/>
    <x v="178"/>
    <s v="Comfortable shoe for both workout sessions and walking"/>
    <n v="1500336000"/>
    <s v="Not Specified"/>
    <s v="Not Specified"/>
    <s v="Not Specified"/>
    <n v="184"/>
    <x v="0"/>
    <x v="2"/>
  </r>
  <r>
    <x v="0"/>
    <x v="0"/>
    <x v="142"/>
    <x v="2"/>
    <x v="9"/>
    <x v="162"/>
    <x v="14"/>
    <x v="16"/>
    <x v="17"/>
    <x v="141"/>
    <x v="68"/>
    <s v="Five Stars"/>
    <n v="1500336000"/>
    <s v="Not Specified"/>
    <s v="Not Specified"/>
    <s v="Not Specified"/>
    <n v="0"/>
    <x v="0"/>
    <x v="2"/>
  </r>
  <r>
    <x v="0"/>
    <x v="0"/>
    <x v="142"/>
    <x v="2"/>
    <x v="9"/>
    <x v="163"/>
    <x v="14"/>
    <x v="17"/>
    <x v="12"/>
    <x v="142"/>
    <x v="65"/>
    <s v="Five Stars"/>
    <n v="1500336000"/>
    <s v="Not Specified"/>
    <s v="Not Specified"/>
    <s v="Not Specified"/>
    <n v="4"/>
    <x v="0"/>
    <x v="2"/>
  </r>
  <r>
    <x v="0"/>
    <x v="0"/>
    <x v="142"/>
    <x v="2"/>
    <x v="9"/>
    <x v="164"/>
    <x v="14"/>
    <x v="17"/>
    <x v="39"/>
    <x v="5"/>
    <x v="179"/>
    <s v="These are the best shoes I have ever use for my workouts"/>
    <n v="1500336000"/>
    <s v="Not Specified"/>
    <s v="Not Specified"/>
    <s v="Not Specified"/>
    <n v="99"/>
    <x v="0"/>
    <x v="2"/>
  </r>
  <r>
    <x v="0"/>
    <x v="0"/>
    <x v="142"/>
    <x v="2"/>
    <x v="9"/>
    <x v="165"/>
    <x v="14"/>
    <x v="15"/>
    <x v="17"/>
    <x v="143"/>
    <x v="180"/>
    <s v="I love these shoes"/>
    <n v="1500336000"/>
    <s v="Not Specified"/>
    <s v="Not Specified"/>
    <s v="Not Specified"/>
    <n v="178"/>
    <x v="0"/>
    <x v="2"/>
  </r>
  <r>
    <x v="0"/>
    <x v="0"/>
    <x v="143"/>
    <x v="2"/>
    <x v="9"/>
    <x v="166"/>
    <x v="14"/>
    <x v="16"/>
    <x v="28"/>
    <x v="144"/>
    <x v="181"/>
    <s v="Five Stars"/>
    <n v="1500076800"/>
    <s v="Not Specified"/>
    <s v="Not Specified"/>
    <s v="Not Specified"/>
    <n v="30"/>
    <x v="0"/>
    <x v="2"/>
  </r>
  <r>
    <x v="1"/>
    <x v="0"/>
    <x v="143"/>
    <x v="2"/>
    <x v="9"/>
    <x v="167"/>
    <x v="14"/>
    <x v="21"/>
    <x v="23"/>
    <x v="145"/>
    <x v="182"/>
    <s v="Low cut heels"/>
    <n v="1500076800"/>
    <s v="Not Specified"/>
    <s v="Not Specified"/>
    <s v="Not Specified"/>
    <n v="130"/>
    <x v="1"/>
    <x v="2"/>
  </r>
  <r>
    <x v="0"/>
    <x v="0"/>
    <x v="144"/>
    <x v="2"/>
    <x v="9"/>
    <x v="168"/>
    <x v="14"/>
    <x v="30"/>
    <x v="30"/>
    <x v="146"/>
    <x v="183"/>
    <s v="Perfect"/>
    <n v="1499558400"/>
    <s v="Not Specified"/>
    <s v="Not Specified"/>
    <s v="Not Specified"/>
    <n v="112"/>
    <x v="0"/>
    <x v="2"/>
  </r>
  <r>
    <x v="0"/>
    <x v="0"/>
    <x v="145"/>
    <x v="2"/>
    <x v="9"/>
    <x v="169"/>
    <x v="14"/>
    <x v="34"/>
    <x v="25"/>
    <x v="147"/>
    <x v="184"/>
    <s v="Exactly what I wanted"/>
    <n v="1499472000"/>
    <s v="Not Specified"/>
    <s v="Not Specified"/>
    <s v="Not Specified"/>
    <n v="22"/>
    <x v="0"/>
    <x v="2"/>
  </r>
  <r>
    <x v="4"/>
    <x v="0"/>
    <x v="146"/>
    <x v="2"/>
    <x v="9"/>
    <x v="170"/>
    <x v="14"/>
    <x v="15"/>
    <x v="17"/>
    <x v="148"/>
    <x v="185"/>
    <s v="Light shoes"/>
    <n v="1499385600"/>
    <s v="Not Specified"/>
    <s v="Not Specified"/>
    <s v="Not Specified"/>
    <n v="453"/>
    <x v="0"/>
    <x v="2"/>
  </r>
  <r>
    <x v="1"/>
    <x v="1"/>
    <x v="147"/>
    <x v="2"/>
    <x v="9"/>
    <x v="171"/>
    <x v="14"/>
    <x v="24"/>
    <x v="12"/>
    <x v="149"/>
    <x v="186"/>
    <s v="Good indoor training shoes"/>
    <n v="1498867200"/>
    <s v="Not Specified"/>
    <s v="Not Specified"/>
    <s v="Not Specified"/>
    <n v="566"/>
    <x v="1"/>
    <x v="2"/>
  </r>
  <r>
    <x v="0"/>
    <x v="0"/>
    <x v="148"/>
    <x v="2"/>
    <x v="6"/>
    <x v="172"/>
    <x v="14"/>
    <x v="15"/>
    <x v="17"/>
    <x v="150"/>
    <x v="187"/>
    <s v="So Perf."/>
    <n v="1498780800"/>
    <s v="Not Specified"/>
    <s v="Not Specified"/>
    <s v="Not Specified"/>
    <n v="5"/>
    <x v="0"/>
    <x v="2"/>
  </r>
  <r>
    <x v="0"/>
    <x v="0"/>
    <x v="149"/>
    <x v="2"/>
    <x v="6"/>
    <x v="173"/>
    <x v="14"/>
    <x v="22"/>
    <x v="32"/>
    <x v="151"/>
    <x v="188"/>
    <s v="Five Stars"/>
    <n v="1498608000"/>
    <s v="Not Specified"/>
    <s v="Not Specified"/>
    <s v="Not Specified"/>
    <n v="18"/>
    <x v="0"/>
    <x v="2"/>
  </r>
  <r>
    <x v="0"/>
    <x v="0"/>
    <x v="150"/>
    <x v="2"/>
    <x v="6"/>
    <x v="174"/>
    <x v="14"/>
    <x v="15"/>
    <x v="34"/>
    <x v="152"/>
    <x v="189"/>
    <s v="Five Stars"/>
    <n v="1498435200"/>
    <s v="Not Specified"/>
    <s v="Not Specified"/>
    <s v="Not Specified"/>
    <n v="8"/>
    <x v="0"/>
    <x v="2"/>
  </r>
  <r>
    <x v="0"/>
    <x v="0"/>
    <x v="151"/>
    <x v="2"/>
    <x v="6"/>
    <x v="175"/>
    <x v="14"/>
    <x v="17"/>
    <x v="24"/>
    <x v="5"/>
    <x v="190"/>
    <s v="Great work out shoe"/>
    <n v="1498003200"/>
    <s v="Not Specified"/>
    <s v="Not Specified"/>
    <s v="Not Specified"/>
    <n v="141"/>
    <x v="0"/>
    <x v="2"/>
  </r>
  <r>
    <x v="0"/>
    <x v="0"/>
    <x v="152"/>
    <x v="2"/>
    <x v="6"/>
    <x v="176"/>
    <x v="14"/>
    <x v="44"/>
    <x v="25"/>
    <x v="153"/>
    <x v="191"/>
    <s v="I love these shoes so much that I reordered another pair ..."/>
    <n v="1497916800"/>
    <s v="Not Specified"/>
    <s v="Not Specified"/>
    <s v="Not Specified"/>
    <n v="275"/>
    <x v="0"/>
    <x v="2"/>
  </r>
  <r>
    <x v="0"/>
    <x v="0"/>
    <x v="152"/>
    <x v="2"/>
    <x v="6"/>
    <x v="177"/>
    <x v="14"/>
    <x v="15"/>
    <x v="17"/>
    <x v="154"/>
    <x v="192"/>
    <s v="Comfortable, light weight, nice."/>
    <n v="1497916800"/>
    <s v="Not Specified"/>
    <s v="Not Specified"/>
    <s v="Not Specified"/>
    <n v="69"/>
    <x v="0"/>
    <x v="2"/>
  </r>
  <r>
    <x v="4"/>
    <x v="0"/>
    <x v="153"/>
    <x v="2"/>
    <x v="6"/>
    <x v="178"/>
    <x v="14"/>
    <x v="15"/>
    <x v="17"/>
    <x v="155"/>
    <x v="193"/>
    <s v="Four Stars"/>
    <n v="1497830400"/>
    <s v="Not Specified"/>
    <s v="Not Specified"/>
    <s v="Not Specified"/>
    <n v="12"/>
    <x v="0"/>
    <x v="2"/>
  </r>
  <r>
    <x v="0"/>
    <x v="0"/>
    <x v="153"/>
    <x v="2"/>
    <x v="6"/>
    <x v="179"/>
    <x v="14"/>
    <x v="25"/>
    <x v="17"/>
    <x v="156"/>
    <x v="194"/>
    <s v="I feel like this pair of shoes was made for my feet"/>
    <n v="1497830400"/>
    <s v="Not Specified"/>
    <s v="Not Specified"/>
    <s v="Not Specified"/>
    <n v="108"/>
    <x v="0"/>
    <x v="2"/>
  </r>
  <r>
    <x v="0"/>
    <x v="0"/>
    <x v="153"/>
    <x v="2"/>
    <x v="6"/>
    <x v="180"/>
    <x v="14"/>
    <x v="17"/>
    <x v="17"/>
    <x v="5"/>
    <x v="195"/>
    <s v="Awesome shoes!!!"/>
    <n v="1497830400"/>
    <s v="Not Specified"/>
    <s v="Not Specified"/>
    <s v="Not Specified"/>
    <n v="76"/>
    <x v="0"/>
    <x v="2"/>
  </r>
  <r>
    <x v="1"/>
    <x v="0"/>
    <x v="15"/>
    <x v="2"/>
    <x v="6"/>
    <x v="181"/>
    <x v="14"/>
    <x v="16"/>
    <x v="17"/>
    <x v="157"/>
    <x v="196"/>
    <s v="Just wasn't what i was looking for"/>
    <n v="1497571200"/>
    <s v="Not Specified"/>
    <s v="Not Specified"/>
    <s v="Not Specified"/>
    <n v="468"/>
    <x v="1"/>
    <x v="2"/>
  </r>
  <r>
    <x v="0"/>
    <x v="0"/>
    <x v="154"/>
    <x v="2"/>
    <x v="6"/>
    <x v="182"/>
    <x v="14"/>
    <x v="22"/>
    <x v="17"/>
    <x v="158"/>
    <x v="197"/>
    <s v="So comfortable, I don't even feel like I have a ..."/>
    <n v="1497484800"/>
    <s v="Not Specified"/>
    <s v="Not Specified"/>
    <s v="Not Specified"/>
    <n v="125"/>
    <x v="0"/>
    <x v="2"/>
  </r>
  <r>
    <x v="0"/>
    <x v="0"/>
    <x v="154"/>
    <x v="2"/>
    <x v="6"/>
    <x v="183"/>
    <x v="14"/>
    <x v="17"/>
    <x v="30"/>
    <x v="159"/>
    <x v="198"/>
    <s v="Five Stars"/>
    <n v="1497484800"/>
    <s v="Not Specified"/>
    <s v="Not Specified"/>
    <s v="Not Specified"/>
    <n v="56"/>
    <x v="0"/>
    <x v="2"/>
  </r>
  <r>
    <x v="0"/>
    <x v="0"/>
    <x v="155"/>
    <x v="2"/>
    <x v="6"/>
    <x v="184"/>
    <x v="14"/>
    <x v="15"/>
    <x v="18"/>
    <x v="5"/>
    <x v="199"/>
    <s v="Five Stars"/>
    <n v="1497398400"/>
    <s v="Not Specified"/>
    <s v="Not Specified"/>
    <s v="Not Specified"/>
    <n v="21"/>
    <x v="0"/>
    <x v="2"/>
  </r>
  <r>
    <x v="0"/>
    <x v="0"/>
    <x v="156"/>
    <x v="2"/>
    <x v="6"/>
    <x v="185"/>
    <x v="14"/>
    <x v="22"/>
    <x v="32"/>
    <x v="160"/>
    <x v="200"/>
    <s v="Five Stars"/>
    <n v="1497312000"/>
    <s v="Not Specified"/>
    <s v="Not Specified"/>
    <s v="Not Specified"/>
    <n v="64"/>
    <x v="0"/>
    <x v="2"/>
  </r>
  <r>
    <x v="0"/>
    <x v="0"/>
    <x v="157"/>
    <x v="2"/>
    <x v="6"/>
    <x v="186"/>
    <x v="14"/>
    <x v="22"/>
    <x v="24"/>
    <x v="161"/>
    <x v="201"/>
    <s v="Five Stars"/>
    <n v="1496880000"/>
    <s v="Not Specified"/>
    <s v="Not Specified"/>
    <s v="Not Specified"/>
    <n v="27"/>
    <x v="0"/>
    <x v="2"/>
  </r>
  <r>
    <x v="3"/>
    <x v="0"/>
    <x v="158"/>
    <x v="2"/>
    <x v="6"/>
    <x v="187"/>
    <x v="14"/>
    <x v="42"/>
    <x v="25"/>
    <x v="162"/>
    <x v="202"/>
    <s v="Falling apart already!!"/>
    <n v="1496620800"/>
    <s v="Not Specified"/>
    <s v="Not Specified"/>
    <s v="Not Specified"/>
    <n v="75"/>
    <x v="2"/>
    <x v="2"/>
  </r>
  <r>
    <x v="0"/>
    <x v="0"/>
    <x v="159"/>
    <x v="2"/>
    <x v="6"/>
    <x v="188"/>
    <x v="14"/>
    <x v="21"/>
    <x v="17"/>
    <x v="163"/>
    <x v="203"/>
    <s v="Five Stars"/>
    <n v="1496361600"/>
    <s v="Not Specified"/>
    <s v="Not Specified"/>
    <s v="Not Specified"/>
    <n v="91"/>
    <x v="0"/>
    <x v="2"/>
  </r>
  <r>
    <x v="0"/>
    <x v="0"/>
    <x v="160"/>
    <x v="2"/>
    <x v="1"/>
    <x v="189"/>
    <x v="14"/>
    <x v="14"/>
    <x v="17"/>
    <x v="164"/>
    <x v="135"/>
    <s v="Five Stars"/>
    <n v="1496102400"/>
    <s v="Not Specified"/>
    <s v="Not Specified"/>
    <s v="Not Specified"/>
    <n v="11"/>
    <x v="0"/>
    <x v="2"/>
  </r>
  <r>
    <x v="0"/>
    <x v="0"/>
    <x v="160"/>
    <x v="2"/>
    <x v="1"/>
    <x v="190"/>
    <x v="14"/>
    <x v="30"/>
    <x v="26"/>
    <x v="165"/>
    <x v="204"/>
    <s v="love the fit"/>
    <n v="1496102400"/>
    <s v="Not Specified"/>
    <s v="Not Specified"/>
    <s v="Not Specified"/>
    <n v="61"/>
    <x v="0"/>
    <x v="2"/>
  </r>
  <r>
    <x v="4"/>
    <x v="0"/>
    <x v="161"/>
    <x v="2"/>
    <x v="1"/>
    <x v="191"/>
    <x v="14"/>
    <x v="44"/>
    <x v="25"/>
    <x v="166"/>
    <x v="205"/>
    <s v="Nike"/>
    <n v="1496016000"/>
    <s v="Not Specified"/>
    <s v="Not Specified"/>
    <s v="Not Specified"/>
    <n v="65"/>
    <x v="0"/>
    <x v="2"/>
  </r>
  <r>
    <x v="1"/>
    <x v="0"/>
    <x v="162"/>
    <x v="2"/>
    <x v="1"/>
    <x v="192"/>
    <x v="14"/>
    <x v="30"/>
    <x v="17"/>
    <x v="167"/>
    <x v="206"/>
    <s v="Nope"/>
    <n v="1495670400"/>
    <s v="Not Specified"/>
    <s v="Not Specified"/>
    <s v="Not Specified"/>
    <n v="40"/>
    <x v="1"/>
    <x v="2"/>
  </r>
  <r>
    <x v="0"/>
    <x v="0"/>
    <x v="163"/>
    <x v="2"/>
    <x v="1"/>
    <x v="193"/>
    <x v="14"/>
    <x v="21"/>
    <x v="17"/>
    <x v="168"/>
    <x v="207"/>
    <s v="It is comfortable."/>
    <n v="1495411200"/>
    <s v="Not Specified"/>
    <s v="Not Specified"/>
    <s v="Not Specified"/>
    <n v="45"/>
    <x v="0"/>
    <x v="2"/>
  </r>
  <r>
    <x v="0"/>
    <x v="0"/>
    <x v="163"/>
    <x v="2"/>
    <x v="1"/>
    <x v="194"/>
    <x v="14"/>
    <x v="17"/>
    <x v="17"/>
    <x v="169"/>
    <x v="208"/>
    <s v="Perfect cross trainers"/>
    <n v="1495411200"/>
    <s v="Not Specified"/>
    <s v="Not Specified"/>
    <s v="Not Specified"/>
    <n v="86"/>
    <x v="0"/>
    <x v="2"/>
  </r>
  <r>
    <x v="0"/>
    <x v="1"/>
    <x v="164"/>
    <x v="2"/>
    <x v="1"/>
    <x v="195"/>
    <x v="14"/>
    <x v="45"/>
    <x v="25"/>
    <x v="170"/>
    <x v="209"/>
    <s v="Great training shoes"/>
    <n v="1495152000"/>
    <s v="Not Specified"/>
    <s v="Not Specified"/>
    <n v="2"/>
    <n v="109"/>
    <x v="0"/>
    <x v="2"/>
  </r>
  <r>
    <x v="0"/>
    <x v="1"/>
    <x v="164"/>
    <x v="2"/>
    <x v="1"/>
    <x v="195"/>
    <x v="14"/>
    <x v="30"/>
    <x v="28"/>
    <x v="170"/>
    <x v="210"/>
    <s v="Amazing training Sneakers."/>
    <n v="1495152000"/>
    <s v="Not Specified"/>
    <s v="Not Specified"/>
    <n v="4"/>
    <n v="274"/>
    <x v="0"/>
    <x v="2"/>
  </r>
  <r>
    <x v="4"/>
    <x v="0"/>
    <x v="165"/>
    <x v="2"/>
    <x v="1"/>
    <x v="196"/>
    <x v="14"/>
    <x v="15"/>
    <x v="17"/>
    <x v="171"/>
    <x v="211"/>
    <s v="HIIT shoes"/>
    <n v="1495065600"/>
    <s v="Not Specified"/>
    <s v="Not Specified"/>
    <s v="Not Specified"/>
    <n v="20"/>
    <x v="0"/>
    <x v="2"/>
  </r>
  <r>
    <x v="4"/>
    <x v="0"/>
    <x v="166"/>
    <x v="2"/>
    <x v="1"/>
    <x v="197"/>
    <x v="14"/>
    <x v="15"/>
    <x v="34"/>
    <x v="172"/>
    <x v="212"/>
    <s v="Four Stars"/>
    <n v="1494806400"/>
    <s v="Not Specified"/>
    <s v="Not Specified"/>
    <s v="Not Specified"/>
    <n v="40"/>
    <x v="0"/>
    <x v="2"/>
  </r>
  <r>
    <x v="1"/>
    <x v="0"/>
    <x v="167"/>
    <x v="2"/>
    <x v="1"/>
    <x v="198"/>
    <x v="14"/>
    <x v="17"/>
    <x v="17"/>
    <x v="173"/>
    <x v="213"/>
    <s v="Lack support but overall good shoe"/>
    <n v="1494374400"/>
    <s v="Not Specified"/>
    <s v="Not Specified"/>
    <s v="Not Specified"/>
    <n v="170"/>
    <x v="1"/>
    <x v="2"/>
  </r>
  <r>
    <x v="0"/>
    <x v="0"/>
    <x v="168"/>
    <x v="2"/>
    <x v="1"/>
    <x v="199"/>
    <x v="14"/>
    <x v="26"/>
    <x v="40"/>
    <x v="174"/>
    <x v="214"/>
    <s v="Adorable shoes"/>
    <n v="1494115200"/>
    <s v="Not Specified"/>
    <s v="Not Specified"/>
    <s v="Not Specified"/>
    <n v="193"/>
    <x v="0"/>
    <x v="2"/>
  </r>
  <r>
    <x v="0"/>
    <x v="0"/>
    <x v="169"/>
    <x v="2"/>
    <x v="1"/>
    <x v="200"/>
    <x v="14"/>
    <x v="34"/>
    <x v="25"/>
    <x v="175"/>
    <x v="215"/>
    <s v="Wide sneaker for wide feet"/>
    <n v="1494028800"/>
    <s v="Not Specified"/>
    <s v="Not Specified"/>
    <s v="Not Specified"/>
    <n v="126"/>
    <x v="0"/>
    <x v="2"/>
  </r>
  <r>
    <x v="0"/>
    <x v="0"/>
    <x v="170"/>
    <x v="2"/>
    <x v="1"/>
    <x v="201"/>
    <x v="14"/>
    <x v="21"/>
    <x v="44"/>
    <x v="176"/>
    <x v="216"/>
    <s v="I've been using these to exercise and they are nice a roomy and allow my feet to breath"/>
    <n v="1493942400"/>
    <s v="Not Specified"/>
    <s v="Not Specified"/>
    <s v="Not Specified"/>
    <n v="110"/>
    <x v="0"/>
    <x v="2"/>
  </r>
  <r>
    <x v="0"/>
    <x v="0"/>
    <x v="171"/>
    <x v="2"/>
    <x v="1"/>
    <x v="202"/>
    <x v="14"/>
    <x v="16"/>
    <x v="17"/>
    <x v="177"/>
    <x v="217"/>
    <s v="Five Stars"/>
    <n v="1493769600"/>
    <s v="Not Specified"/>
    <s v="Not Specified"/>
    <s v="Not Specified"/>
    <n v="42"/>
    <x v="0"/>
    <x v="2"/>
  </r>
  <r>
    <x v="0"/>
    <x v="0"/>
    <x v="171"/>
    <x v="2"/>
    <x v="1"/>
    <x v="203"/>
    <x v="14"/>
    <x v="21"/>
    <x v="17"/>
    <x v="178"/>
    <x v="218"/>
    <s v="Five Stars"/>
    <n v="1493769600"/>
    <s v="Not Specified"/>
    <s v="Not Specified"/>
    <s v="Not Specified"/>
    <n v="12"/>
    <x v="0"/>
    <x v="2"/>
  </r>
  <r>
    <x v="4"/>
    <x v="0"/>
    <x v="172"/>
    <x v="2"/>
    <x v="1"/>
    <x v="204"/>
    <x v="14"/>
    <x v="26"/>
    <x v="40"/>
    <x v="179"/>
    <x v="219"/>
    <s v="Great training shoes"/>
    <n v="1493683200"/>
    <s v="Not Specified"/>
    <s v="Not Specified"/>
    <s v="Not Specified"/>
    <n v="86"/>
    <x v="0"/>
    <x v="2"/>
  </r>
  <r>
    <x v="0"/>
    <x v="0"/>
    <x v="173"/>
    <x v="2"/>
    <x v="1"/>
    <x v="205"/>
    <x v="14"/>
    <x v="26"/>
    <x v="41"/>
    <x v="180"/>
    <x v="220"/>
    <s v="Five Stars"/>
    <n v="1493596800"/>
    <s v="Not Specified"/>
    <s v="Not Specified"/>
    <s v="Not Specified"/>
    <n v="89"/>
    <x v="0"/>
    <x v="2"/>
  </r>
  <r>
    <x v="0"/>
    <x v="0"/>
    <x v="174"/>
    <x v="2"/>
    <x v="10"/>
    <x v="206"/>
    <x v="14"/>
    <x v="22"/>
    <x v="18"/>
    <x v="181"/>
    <x v="221"/>
    <s v="Five Stars"/>
    <n v="1493337600"/>
    <s v="Not Specified"/>
    <s v="Not Specified"/>
    <s v="Not Specified"/>
    <n v="12"/>
    <x v="0"/>
    <x v="2"/>
  </r>
  <r>
    <x v="4"/>
    <x v="0"/>
    <x v="175"/>
    <x v="2"/>
    <x v="10"/>
    <x v="207"/>
    <x v="14"/>
    <x v="45"/>
    <x v="25"/>
    <x v="5"/>
    <x v="222"/>
    <s v="Four Stars"/>
    <n v="1493251200"/>
    <s v="Not Specified"/>
    <s v="Not Specified"/>
    <s v="Not Specified"/>
    <n v="58"/>
    <x v="0"/>
    <x v="2"/>
  </r>
  <r>
    <x v="4"/>
    <x v="0"/>
    <x v="175"/>
    <x v="2"/>
    <x v="10"/>
    <x v="208"/>
    <x v="14"/>
    <x v="43"/>
    <x v="25"/>
    <x v="182"/>
    <x v="223"/>
    <s v="and they were great! Super comfortable"/>
    <n v="1493251200"/>
    <s v="Not Specified"/>
    <s v="Not Specified"/>
    <s v="Not Specified"/>
    <n v="199"/>
    <x v="0"/>
    <x v="2"/>
  </r>
  <r>
    <x v="0"/>
    <x v="0"/>
    <x v="176"/>
    <x v="2"/>
    <x v="10"/>
    <x v="209"/>
    <x v="14"/>
    <x v="22"/>
    <x v="17"/>
    <x v="183"/>
    <x v="224"/>
    <s v="Five Stars"/>
    <n v="1493164800"/>
    <s v="Not Specified"/>
    <s v="Not Specified"/>
    <s v="Not Specified"/>
    <n v="28"/>
    <x v="0"/>
    <x v="2"/>
  </r>
  <r>
    <x v="0"/>
    <x v="0"/>
    <x v="177"/>
    <x v="2"/>
    <x v="10"/>
    <x v="210"/>
    <x v="14"/>
    <x v="44"/>
    <x v="25"/>
    <x v="184"/>
    <x v="225"/>
    <s v="I love these shoes my second pair of 40 plus $ ..."/>
    <n v="1493078400"/>
    <s v="Not Specified"/>
    <s v="Not Specified"/>
    <s v="Not Specified"/>
    <n v="235"/>
    <x v="0"/>
    <x v="2"/>
  </r>
  <r>
    <x v="4"/>
    <x v="0"/>
    <x v="178"/>
    <x v="2"/>
    <x v="10"/>
    <x v="211"/>
    <x v="14"/>
    <x v="15"/>
    <x v="17"/>
    <x v="185"/>
    <x v="226"/>
    <s v="They fit as expected and perfect for training"/>
    <n v="1492992000"/>
    <s v="Not Specified"/>
    <s v="Not Specified"/>
    <s v="Not Specified"/>
    <n v="140"/>
    <x v="0"/>
    <x v="2"/>
  </r>
  <r>
    <x v="0"/>
    <x v="0"/>
    <x v="178"/>
    <x v="2"/>
    <x v="10"/>
    <x v="212"/>
    <x v="14"/>
    <x v="14"/>
    <x v="34"/>
    <x v="5"/>
    <x v="227"/>
    <s v="Five Stars"/>
    <n v="1492992000"/>
    <s v="Not Specified"/>
    <s v="Not Specified"/>
    <s v="Not Specified"/>
    <n v="39"/>
    <x v="0"/>
    <x v="2"/>
  </r>
  <r>
    <x v="0"/>
    <x v="0"/>
    <x v="179"/>
    <x v="2"/>
    <x v="10"/>
    <x v="213"/>
    <x v="14"/>
    <x v="21"/>
    <x v="17"/>
    <x v="5"/>
    <x v="228"/>
    <s v="Five Stars"/>
    <n v="1492646400"/>
    <s v="Not Specified"/>
    <s v="Not Specified"/>
    <s v="Not Specified"/>
    <n v="7"/>
    <x v="0"/>
    <x v="2"/>
  </r>
  <r>
    <x v="0"/>
    <x v="0"/>
    <x v="180"/>
    <x v="2"/>
    <x v="10"/>
    <x v="214"/>
    <x v="14"/>
    <x v="17"/>
    <x v="17"/>
    <x v="5"/>
    <x v="229"/>
    <s v="Five Stars"/>
    <n v="1492560000"/>
    <s v="Not Specified"/>
    <s v="Not Specified"/>
    <s v="Not Specified"/>
    <n v="9"/>
    <x v="0"/>
    <x v="2"/>
  </r>
  <r>
    <x v="0"/>
    <x v="1"/>
    <x v="16"/>
    <x v="2"/>
    <x v="10"/>
    <x v="215"/>
    <x v="14"/>
    <x v="15"/>
    <x v="17"/>
    <x v="186"/>
    <x v="230"/>
    <s v="Very Good For Everyday"/>
    <n v="1492473600"/>
    <s v="Not Specified"/>
    <s v="Not Specified"/>
    <s v="Not Specified"/>
    <n v="115"/>
    <x v="0"/>
    <x v="2"/>
  </r>
  <r>
    <x v="0"/>
    <x v="0"/>
    <x v="181"/>
    <x v="2"/>
    <x v="10"/>
    <x v="216"/>
    <x v="14"/>
    <x v="21"/>
    <x v="17"/>
    <x v="187"/>
    <x v="231"/>
    <s v="Great shoes"/>
    <n v="1492387200"/>
    <s v="Not Specified"/>
    <s v="Not Specified"/>
    <s v="Not Specified"/>
    <n v="62"/>
    <x v="0"/>
    <x v="2"/>
  </r>
  <r>
    <x v="0"/>
    <x v="0"/>
    <x v="182"/>
    <x v="2"/>
    <x v="10"/>
    <x v="217"/>
    <x v="14"/>
    <x v="24"/>
    <x v="12"/>
    <x v="188"/>
    <x v="232"/>
    <s v="Love these shoes"/>
    <n v="1492214400"/>
    <s v="Not Specified"/>
    <s v="Not Specified"/>
    <s v="Not Specified"/>
    <n v="112"/>
    <x v="0"/>
    <x v="2"/>
  </r>
  <r>
    <x v="0"/>
    <x v="0"/>
    <x v="183"/>
    <x v="2"/>
    <x v="10"/>
    <x v="218"/>
    <x v="14"/>
    <x v="22"/>
    <x v="17"/>
    <x v="5"/>
    <x v="233"/>
    <s v="Five Stars"/>
    <n v="1492128000"/>
    <s v="Not Specified"/>
    <s v="Not Specified"/>
    <s v="Not Specified"/>
    <n v="38"/>
    <x v="0"/>
    <x v="2"/>
  </r>
  <r>
    <x v="4"/>
    <x v="0"/>
    <x v="184"/>
    <x v="2"/>
    <x v="10"/>
    <x v="219"/>
    <x v="14"/>
    <x v="25"/>
    <x v="17"/>
    <x v="189"/>
    <x v="234"/>
    <s v="Super comfortable. I joined Cross Fit and this is ..."/>
    <n v="1491868800"/>
    <s v="Not Specified"/>
    <s v="Not Specified"/>
    <s v="Not Specified"/>
    <n v="67"/>
    <x v="0"/>
    <x v="2"/>
  </r>
  <r>
    <x v="0"/>
    <x v="0"/>
    <x v="184"/>
    <x v="2"/>
    <x v="10"/>
    <x v="220"/>
    <x v="14"/>
    <x v="37"/>
    <x v="25"/>
    <x v="190"/>
    <x v="235"/>
    <s v="Five Stars"/>
    <n v="1491868800"/>
    <s v="Not Specified"/>
    <s v="Not Specified"/>
    <s v="Not Specified"/>
    <n v="13"/>
    <x v="0"/>
    <x v="2"/>
  </r>
  <r>
    <x v="0"/>
    <x v="0"/>
    <x v="185"/>
    <x v="2"/>
    <x v="10"/>
    <x v="221"/>
    <x v="14"/>
    <x v="22"/>
    <x v="29"/>
    <x v="191"/>
    <x v="236"/>
    <s v="Sooo comfortable"/>
    <n v="1491782400"/>
    <s v="Not Specified"/>
    <s v="Not Specified"/>
    <s v="Not Specified"/>
    <n v="49"/>
    <x v="0"/>
    <x v="2"/>
  </r>
  <r>
    <x v="0"/>
    <x v="0"/>
    <x v="185"/>
    <x v="2"/>
    <x v="10"/>
    <x v="222"/>
    <x v="14"/>
    <x v="16"/>
    <x v="28"/>
    <x v="192"/>
    <x v="237"/>
    <s v="So happy."/>
    <n v="1491782400"/>
    <s v="Not Specified"/>
    <s v="Not Specified"/>
    <s v="Not Specified"/>
    <n v="17"/>
    <x v="0"/>
    <x v="2"/>
  </r>
  <r>
    <x v="4"/>
    <x v="0"/>
    <x v="185"/>
    <x v="2"/>
    <x v="10"/>
    <x v="223"/>
    <x v="14"/>
    <x v="25"/>
    <x v="29"/>
    <x v="193"/>
    <x v="238"/>
    <s v="the shoe is nice and provides well for my HIIT and Grit classes ..."/>
    <n v="1491782400"/>
    <s v="Not Specified"/>
    <s v="Not Specified"/>
    <s v="Not Specified"/>
    <n v="177"/>
    <x v="0"/>
    <x v="2"/>
  </r>
  <r>
    <x v="0"/>
    <x v="0"/>
    <x v="186"/>
    <x v="2"/>
    <x v="10"/>
    <x v="224"/>
    <x v="14"/>
    <x v="21"/>
    <x v="17"/>
    <x v="5"/>
    <x v="239"/>
    <s v="Look amazing, runs slightly big."/>
    <n v="1491609600"/>
    <s v="Not Specified"/>
    <s v="Not Specified"/>
    <s v="Not Specified"/>
    <n v="163"/>
    <x v="0"/>
    <x v="2"/>
  </r>
  <r>
    <x v="4"/>
    <x v="0"/>
    <x v="18"/>
    <x v="2"/>
    <x v="10"/>
    <x v="225"/>
    <x v="14"/>
    <x v="30"/>
    <x v="17"/>
    <x v="5"/>
    <x v="240"/>
    <s v="Four Stars"/>
    <n v="1491350400"/>
    <s v="Not Specified"/>
    <s v="Not Specified"/>
    <s v="Not Specified"/>
    <n v="17"/>
    <x v="0"/>
    <x v="2"/>
  </r>
  <r>
    <x v="0"/>
    <x v="0"/>
    <x v="18"/>
    <x v="2"/>
    <x v="10"/>
    <x v="226"/>
    <x v="14"/>
    <x v="17"/>
    <x v="17"/>
    <x v="194"/>
    <x v="241"/>
    <s v="Five Stars"/>
    <n v="1491350400"/>
    <s v="Not Specified"/>
    <s v="Not Specified"/>
    <s v="Not Specified"/>
    <n v="30"/>
    <x v="0"/>
    <x v="2"/>
  </r>
  <r>
    <x v="0"/>
    <x v="0"/>
    <x v="187"/>
    <x v="2"/>
    <x v="10"/>
    <x v="227"/>
    <x v="14"/>
    <x v="30"/>
    <x v="40"/>
    <x v="195"/>
    <x v="242"/>
    <s v="Five Stars"/>
    <n v="1491264000"/>
    <s v="Not Specified"/>
    <s v="Not Specified"/>
    <s v="Not Specified"/>
    <n v="38"/>
    <x v="0"/>
    <x v="2"/>
  </r>
  <r>
    <x v="0"/>
    <x v="0"/>
    <x v="188"/>
    <x v="2"/>
    <x v="10"/>
    <x v="228"/>
    <x v="14"/>
    <x v="16"/>
    <x v="26"/>
    <x v="196"/>
    <x v="243"/>
    <s v="Five Stars"/>
    <n v="1491091200"/>
    <s v="Not Specified"/>
    <s v="Not Specified"/>
    <s v="Not Specified"/>
    <n v="39"/>
    <x v="0"/>
    <x v="2"/>
  </r>
  <r>
    <x v="4"/>
    <x v="0"/>
    <x v="189"/>
    <x v="2"/>
    <x v="5"/>
    <x v="229"/>
    <x v="14"/>
    <x v="16"/>
    <x v="17"/>
    <x v="197"/>
    <x v="244"/>
    <s v="Decent little shoe for the price."/>
    <n v="1490832000"/>
    <s v="Not Specified"/>
    <s v="Not Specified"/>
    <s v="Not Specified"/>
    <n v="87"/>
    <x v="0"/>
    <x v="2"/>
  </r>
  <r>
    <x v="0"/>
    <x v="0"/>
    <x v="190"/>
    <x v="2"/>
    <x v="5"/>
    <x v="230"/>
    <x v="14"/>
    <x v="22"/>
    <x v="29"/>
    <x v="198"/>
    <x v="245"/>
    <s v="Attractive and fit well"/>
    <n v="1490745600"/>
    <s v="Not Specified"/>
    <s v="Not Specified"/>
    <s v="Not Specified"/>
    <n v="120"/>
    <x v="0"/>
    <x v="2"/>
  </r>
  <r>
    <x v="2"/>
    <x v="0"/>
    <x v="191"/>
    <x v="2"/>
    <x v="5"/>
    <x v="231"/>
    <x v="14"/>
    <x v="30"/>
    <x v="18"/>
    <x v="199"/>
    <x v="246"/>
    <s v="Runs large"/>
    <n v="1490486400"/>
    <s v="Not Specified"/>
    <s v="Not Specified"/>
    <s v="Not Specified"/>
    <n v="178"/>
    <x v="2"/>
    <x v="2"/>
  </r>
  <r>
    <x v="3"/>
    <x v="0"/>
    <x v="192"/>
    <x v="2"/>
    <x v="5"/>
    <x v="232"/>
    <x v="14"/>
    <x v="44"/>
    <x v="25"/>
    <x v="200"/>
    <x v="247"/>
    <s v="One Star"/>
    <n v="1490400000"/>
    <s v="Not Specified"/>
    <s v="Not Specified"/>
    <s v="Not Specified"/>
    <n v="84"/>
    <x v="2"/>
    <x v="2"/>
  </r>
  <r>
    <x v="0"/>
    <x v="0"/>
    <x v="19"/>
    <x v="2"/>
    <x v="5"/>
    <x v="233"/>
    <x v="14"/>
    <x v="22"/>
    <x v="17"/>
    <x v="5"/>
    <x v="248"/>
    <s v="Five Stars"/>
    <n v="1490313600"/>
    <s v="Not Specified"/>
    <s v="Not Specified"/>
    <s v="Not Specified"/>
    <n v="10"/>
    <x v="0"/>
    <x v="2"/>
  </r>
  <r>
    <x v="0"/>
    <x v="0"/>
    <x v="19"/>
    <x v="2"/>
    <x v="5"/>
    <x v="234"/>
    <x v="14"/>
    <x v="17"/>
    <x v="17"/>
    <x v="201"/>
    <x v="249"/>
    <s v="I love the fit and they provide support for walking"/>
    <n v="1490313600"/>
    <s v="Not Specified"/>
    <s v="Not Specified"/>
    <s v="Not Specified"/>
    <n v="225"/>
    <x v="0"/>
    <x v="2"/>
  </r>
  <r>
    <x v="0"/>
    <x v="0"/>
    <x v="193"/>
    <x v="2"/>
    <x v="5"/>
    <x v="235"/>
    <x v="14"/>
    <x v="21"/>
    <x v="37"/>
    <x v="202"/>
    <x v="250"/>
    <s v="Good Shoes!"/>
    <n v="1490227200"/>
    <s v="Not Specified"/>
    <s v="Not Specified"/>
    <n v="3"/>
    <n v="401"/>
    <x v="0"/>
    <x v="2"/>
  </r>
  <r>
    <x v="0"/>
    <x v="0"/>
    <x v="194"/>
    <x v="2"/>
    <x v="5"/>
    <x v="236"/>
    <x v="14"/>
    <x v="17"/>
    <x v="30"/>
    <x v="203"/>
    <x v="251"/>
    <s v="Great shoes"/>
    <n v="1490054400"/>
    <s v="Not Specified"/>
    <s v="Not Specified"/>
    <s v="Not Specified"/>
    <n v="110"/>
    <x v="0"/>
    <x v="2"/>
  </r>
  <r>
    <x v="4"/>
    <x v="0"/>
    <x v="195"/>
    <x v="2"/>
    <x v="5"/>
    <x v="237"/>
    <x v="14"/>
    <x v="30"/>
    <x v="26"/>
    <x v="204"/>
    <x v="252"/>
    <s v="Good shoe"/>
    <n v="1489968000"/>
    <s v="Not Specified"/>
    <s v="Not Specified"/>
    <s v="Not Specified"/>
    <n v="23"/>
    <x v="0"/>
    <x v="2"/>
  </r>
  <r>
    <x v="0"/>
    <x v="0"/>
    <x v="196"/>
    <x v="2"/>
    <x v="5"/>
    <x v="238"/>
    <x v="14"/>
    <x v="15"/>
    <x v="17"/>
    <x v="205"/>
    <x v="253"/>
    <s v="Five Stars"/>
    <n v="1489795200"/>
    <s v="Not Specified"/>
    <s v="Not Specified"/>
    <s v="Not Specified"/>
    <n v="40"/>
    <x v="0"/>
    <x v="2"/>
  </r>
  <r>
    <x v="0"/>
    <x v="0"/>
    <x v="196"/>
    <x v="2"/>
    <x v="5"/>
    <x v="239"/>
    <x v="14"/>
    <x v="15"/>
    <x v="30"/>
    <x v="206"/>
    <x v="254"/>
    <s v="Love These Shoes!"/>
    <n v="1489795200"/>
    <s v="Not Specified"/>
    <s v="Not Specified"/>
    <n v="8"/>
    <n v="267"/>
    <x v="0"/>
    <x v="2"/>
  </r>
  <r>
    <x v="1"/>
    <x v="0"/>
    <x v="197"/>
    <x v="2"/>
    <x v="5"/>
    <x v="240"/>
    <x v="14"/>
    <x v="30"/>
    <x v="26"/>
    <x v="207"/>
    <x v="255"/>
    <s v="Not my favorites..."/>
    <n v="1489708800"/>
    <s v="Not Specified"/>
    <s v="Not Specified"/>
    <s v="Not Specified"/>
    <n v="143"/>
    <x v="1"/>
    <x v="2"/>
  </r>
  <r>
    <x v="4"/>
    <x v="0"/>
    <x v="198"/>
    <x v="2"/>
    <x v="5"/>
    <x v="241"/>
    <x v="14"/>
    <x v="15"/>
    <x v="34"/>
    <x v="208"/>
    <x v="256"/>
    <s v="Perfect for the gym"/>
    <n v="1489536000"/>
    <s v="Not Specified"/>
    <s v="Not Specified"/>
    <s v="Not Specified"/>
    <n v="118"/>
    <x v="0"/>
    <x v="2"/>
  </r>
  <r>
    <x v="1"/>
    <x v="0"/>
    <x v="198"/>
    <x v="2"/>
    <x v="5"/>
    <x v="242"/>
    <x v="14"/>
    <x v="22"/>
    <x v="29"/>
    <x v="209"/>
    <x v="257"/>
    <s v="Meh"/>
    <n v="1489536000"/>
    <s v="Not Specified"/>
    <s v="Not Specified"/>
    <n v="2"/>
    <n v="150"/>
    <x v="1"/>
    <x v="2"/>
  </r>
  <r>
    <x v="0"/>
    <x v="0"/>
    <x v="198"/>
    <x v="2"/>
    <x v="5"/>
    <x v="243"/>
    <x v="14"/>
    <x v="15"/>
    <x v="34"/>
    <x v="210"/>
    <x v="258"/>
    <s v="Five Stars"/>
    <n v="1489536000"/>
    <s v="Not Specified"/>
    <s v="Not Specified"/>
    <s v="Not Specified"/>
    <n v="40"/>
    <x v="0"/>
    <x v="2"/>
  </r>
  <r>
    <x v="0"/>
    <x v="0"/>
    <x v="199"/>
    <x v="2"/>
    <x v="5"/>
    <x v="244"/>
    <x v="14"/>
    <x v="16"/>
    <x v="40"/>
    <x v="211"/>
    <x v="259"/>
    <s v="Five Stars"/>
    <n v="1489449600"/>
    <s v="Not Specified"/>
    <s v="Not Specified"/>
    <s v="Not Specified"/>
    <n v="33"/>
    <x v="0"/>
    <x v="2"/>
  </r>
  <r>
    <x v="0"/>
    <x v="0"/>
    <x v="200"/>
    <x v="2"/>
    <x v="5"/>
    <x v="245"/>
    <x v="14"/>
    <x v="17"/>
    <x v="34"/>
    <x v="212"/>
    <x v="260"/>
    <s v="Hurry before they're gone!"/>
    <n v="1489363200"/>
    <s v="Not Specified"/>
    <s v="Not Specified"/>
    <s v="Not Specified"/>
    <n v="297"/>
    <x v="0"/>
    <x v="2"/>
  </r>
  <r>
    <x v="0"/>
    <x v="0"/>
    <x v="201"/>
    <x v="2"/>
    <x v="5"/>
    <x v="246"/>
    <x v="14"/>
    <x v="22"/>
    <x v="17"/>
    <x v="213"/>
    <x v="261"/>
    <s v="Amazing"/>
    <n v="1489276800"/>
    <s v="Not Specified"/>
    <s v="Not Specified"/>
    <s v="Not Specified"/>
    <n v="81"/>
    <x v="0"/>
    <x v="2"/>
  </r>
  <r>
    <x v="0"/>
    <x v="0"/>
    <x v="202"/>
    <x v="2"/>
    <x v="5"/>
    <x v="247"/>
    <x v="14"/>
    <x v="30"/>
    <x v="17"/>
    <x v="214"/>
    <x v="262"/>
    <s v="Five Stars"/>
    <n v="1488931200"/>
    <s v="Not Specified"/>
    <s v="Not Specified"/>
    <s v="Not Specified"/>
    <n v="13"/>
    <x v="0"/>
    <x v="2"/>
  </r>
  <r>
    <x v="4"/>
    <x v="0"/>
    <x v="202"/>
    <x v="2"/>
    <x v="5"/>
    <x v="248"/>
    <x v="14"/>
    <x v="16"/>
    <x v="40"/>
    <x v="5"/>
    <x v="263"/>
    <s v="Not quite wide enough"/>
    <n v="1488931200"/>
    <s v="Not Specified"/>
    <s v="Not Specified"/>
    <s v="Not Specified"/>
    <n v="182"/>
    <x v="0"/>
    <x v="2"/>
  </r>
  <r>
    <x v="4"/>
    <x v="0"/>
    <x v="202"/>
    <x v="2"/>
    <x v="5"/>
    <x v="248"/>
    <x v="14"/>
    <x v="16"/>
    <x v="26"/>
    <x v="5"/>
    <x v="263"/>
    <s v="Not quite wide enough"/>
    <n v="1488931200"/>
    <s v="Not Specified"/>
    <s v="Not Specified"/>
    <s v="Not Specified"/>
    <n v="182"/>
    <x v="0"/>
    <x v="2"/>
  </r>
  <r>
    <x v="0"/>
    <x v="0"/>
    <x v="203"/>
    <x v="2"/>
    <x v="5"/>
    <x v="249"/>
    <x v="14"/>
    <x v="21"/>
    <x v="17"/>
    <x v="215"/>
    <x v="264"/>
    <s v="Five Stars"/>
    <n v="1488758400"/>
    <s v="Not Specified"/>
    <s v="Not Specified"/>
    <s v="Not Specified"/>
    <n v="10"/>
    <x v="0"/>
    <x v="2"/>
  </r>
  <r>
    <x v="0"/>
    <x v="1"/>
    <x v="204"/>
    <x v="2"/>
    <x v="8"/>
    <x v="250"/>
    <x v="14"/>
    <x v="24"/>
    <x v="12"/>
    <x v="216"/>
    <x v="265"/>
    <s v="Simple look, outstanding comfort!"/>
    <n v="1488067200"/>
    <s v="Not Specified"/>
    <s v="Not Specified"/>
    <s v="Not Specified"/>
    <n v="206"/>
    <x v="0"/>
    <x v="2"/>
  </r>
  <r>
    <x v="4"/>
    <x v="0"/>
    <x v="205"/>
    <x v="2"/>
    <x v="8"/>
    <x v="251"/>
    <x v="14"/>
    <x v="14"/>
    <x v="17"/>
    <x v="217"/>
    <x v="266"/>
    <s v="My second favorite."/>
    <n v="1487894400"/>
    <s v="Not Specified"/>
    <s v="Not Specified"/>
    <s v="Not Specified"/>
    <n v="171"/>
    <x v="0"/>
    <x v="2"/>
  </r>
  <r>
    <x v="0"/>
    <x v="0"/>
    <x v="205"/>
    <x v="2"/>
    <x v="8"/>
    <x v="252"/>
    <x v="14"/>
    <x v="14"/>
    <x v="17"/>
    <x v="218"/>
    <x v="267"/>
    <s v="Five Stars"/>
    <n v="1487894400"/>
    <s v="Not Specified"/>
    <s v="Not Specified"/>
    <s v="Not Specified"/>
    <n v="12"/>
    <x v="0"/>
    <x v="2"/>
  </r>
  <r>
    <x v="4"/>
    <x v="0"/>
    <x v="21"/>
    <x v="2"/>
    <x v="8"/>
    <x v="253"/>
    <x v="14"/>
    <x v="15"/>
    <x v="39"/>
    <x v="219"/>
    <x v="268"/>
    <s v="Fit to actual size."/>
    <n v="1487635200"/>
    <s v="Not Specified"/>
    <s v="Not Specified"/>
    <s v="Not Specified"/>
    <n v="126"/>
    <x v="0"/>
    <x v="2"/>
  </r>
  <r>
    <x v="0"/>
    <x v="0"/>
    <x v="21"/>
    <x v="2"/>
    <x v="8"/>
    <x v="254"/>
    <x v="14"/>
    <x v="17"/>
    <x v="17"/>
    <x v="220"/>
    <x v="269"/>
    <s v="Five Stars"/>
    <n v="1487635200"/>
    <s v="Not Specified"/>
    <s v="Not Specified"/>
    <s v="Not Specified"/>
    <n v="56"/>
    <x v="0"/>
    <x v="2"/>
  </r>
  <r>
    <x v="1"/>
    <x v="0"/>
    <x v="206"/>
    <x v="2"/>
    <x v="8"/>
    <x v="255"/>
    <x v="14"/>
    <x v="14"/>
    <x v="34"/>
    <x v="5"/>
    <x v="270"/>
    <s v="Too small, flimsy upper"/>
    <n v="1487203200"/>
    <s v="Not Specified"/>
    <s v="Not Specified"/>
    <s v="Not Specified"/>
    <n v="198"/>
    <x v="1"/>
    <x v="2"/>
  </r>
  <r>
    <x v="0"/>
    <x v="0"/>
    <x v="207"/>
    <x v="2"/>
    <x v="8"/>
    <x v="256"/>
    <x v="14"/>
    <x v="22"/>
    <x v="40"/>
    <x v="221"/>
    <x v="271"/>
    <s v="Great for kickboxing"/>
    <n v="1487116800"/>
    <s v="Not Specified"/>
    <s v="Not Specified"/>
    <n v="5"/>
    <n v="388"/>
    <x v="0"/>
    <x v="2"/>
  </r>
  <r>
    <x v="0"/>
    <x v="0"/>
    <x v="208"/>
    <x v="2"/>
    <x v="8"/>
    <x v="257"/>
    <x v="14"/>
    <x v="16"/>
    <x v="17"/>
    <x v="222"/>
    <x v="272"/>
    <s v="These shoes are great for walking - so very comfortable"/>
    <n v="1486944000"/>
    <s v="Not Specified"/>
    <s v="Not Specified"/>
    <s v="Not Specified"/>
    <n v="87"/>
    <x v="0"/>
    <x v="2"/>
  </r>
  <r>
    <x v="0"/>
    <x v="0"/>
    <x v="209"/>
    <x v="2"/>
    <x v="8"/>
    <x v="258"/>
    <x v="14"/>
    <x v="15"/>
    <x v="17"/>
    <x v="223"/>
    <x v="273"/>
    <s v="Good choice for training shoe"/>
    <n v="1486857600"/>
    <s v="Not Specified"/>
    <s v="Not Specified"/>
    <s v="Not Specified"/>
    <n v="140"/>
    <x v="0"/>
    <x v="2"/>
  </r>
  <r>
    <x v="0"/>
    <x v="0"/>
    <x v="210"/>
    <x v="2"/>
    <x v="8"/>
    <x v="259"/>
    <x v="14"/>
    <x v="26"/>
    <x v="17"/>
    <x v="224"/>
    <x v="274"/>
    <s v="Five Stars"/>
    <n v="1486771200"/>
    <s v="Not Specified"/>
    <s v="Not Specified"/>
    <s v="Not Specified"/>
    <n v="28"/>
    <x v="0"/>
    <x v="2"/>
  </r>
  <r>
    <x v="4"/>
    <x v="0"/>
    <x v="22"/>
    <x v="2"/>
    <x v="8"/>
    <x v="260"/>
    <x v="14"/>
    <x v="15"/>
    <x v="40"/>
    <x v="225"/>
    <x v="275"/>
    <s v="They are slightly longer in look then I was would like but I think that is typical of cross trainers"/>
    <n v="1486512000"/>
    <s v="Not Specified"/>
    <s v="Not Specified"/>
    <n v="4"/>
    <n v="570"/>
    <x v="0"/>
    <x v="2"/>
  </r>
  <r>
    <x v="4"/>
    <x v="0"/>
    <x v="211"/>
    <x v="2"/>
    <x v="8"/>
    <x v="261"/>
    <x v="14"/>
    <x v="15"/>
    <x v="20"/>
    <x v="226"/>
    <x v="276"/>
    <s v="I love them but they are definitely bright orange/coral and not ..."/>
    <n v="1486339200"/>
    <s v="Not Specified"/>
    <s v="Not Specified"/>
    <s v="Not Specified"/>
    <n v="316"/>
    <x v="0"/>
    <x v="2"/>
  </r>
  <r>
    <x v="2"/>
    <x v="0"/>
    <x v="212"/>
    <x v="2"/>
    <x v="8"/>
    <x v="262"/>
    <x v="14"/>
    <x v="16"/>
    <x v="26"/>
    <x v="5"/>
    <x v="277"/>
    <s v="Color was not at all what i expected. It ..."/>
    <n v="1485993600"/>
    <s v="Not Specified"/>
    <s v="Not Specified"/>
    <s v="Not Specified"/>
    <n v="107"/>
    <x v="2"/>
    <x v="2"/>
  </r>
  <r>
    <x v="0"/>
    <x v="0"/>
    <x v="23"/>
    <x v="2"/>
    <x v="8"/>
    <x v="25"/>
    <x v="14"/>
    <x v="26"/>
    <x v="17"/>
    <x v="23"/>
    <x v="278"/>
    <s v="Super cute and on sale!!"/>
    <n v="1485907200"/>
    <s v="Not Specified"/>
    <s v="Not Specified"/>
    <s v="Not Specified"/>
    <n v="122"/>
    <x v="0"/>
    <x v="2"/>
  </r>
  <r>
    <x v="1"/>
    <x v="0"/>
    <x v="213"/>
    <x v="2"/>
    <x v="2"/>
    <x v="263"/>
    <x v="14"/>
    <x v="22"/>
    <x v="30"/>
    <x v="227"/>
    <x v="279"/>
    <s v="Three Stars"/>
    <n v="1485820800"/>
    <s v="Not Specified"/>
    <s v="Not Specified"/>
    <n v="3"/>
    <n v="7"/>
    <x v="1"/>
    <x v="2"/>
  </r>
  <r>
    <x v="0"/>
    <x v="0"/>
    <x v="214"/>
    <x v="2"/>
    <x v="2"/>
    <x v="264"/>
    <x v="14"/>
    <x v="14"/>
    <x v="34"/>
    <x v="5"/>
    <x v="280"/>
    <s v="then you should pretty much know your size"/>
    <n v="1485302400"/>
    <s v="Not Specified"/>
    <s v="Not Specified"/>
    <s v="Not Specified"/>
    <n v="521"/>
    <x v="0"/>
    <x v="2"/>
  </r>
  <r>
    <x v="0"/>
    <x v="0"/>
    <x v="215"/>
    <x v="2"/>
    <x v="2"/>
    <x v="265"/>
    <x v="14"/>
    <x v="16"/>
    <x v="40"/>
    <x v="228"/>
    <x v="281"/>
    <s v="Nice Support"/>
    <n v="1485043200"/>
    <s v="Not Specified"/>
    <s v="Not Specified"/>
    <s v="Not Specified"/>
    <n v="90"/>
    <x v="0"/>
    <x v="2"/>
  </r>
  <r>
    <x v="0"/>
    <x v="0"/>
    <x v="216"/>
    <x v="2"/>
    <x v="2"/>
    <x v="266"/>
    <x v="14"/>
    <x v="17"/>
    <x v="34"/>
    <x v="229"/>
    <x v="282"/>
    <s v="Good Sneaker"/>
    <n v="1484870400"/>
    <s v="Not Specified"/>
    <s v="Not Specified"/>
    <s v="Not Specified"/>
    <n v="40"/>
    <x v="0"/>
    <x v="2"/>
  </r>
  <r>
    <x v="0"/>
    <x v="0"/>
    <x v="217"/>
    <x v="2"/>
    <x v="2"/>
    <x v="267"/>
    <x v="14"/>
    <x v="21"/>
    <x v="44"/>
    <x v="230"/>
    <x v="283"/>
    <s v="Satisfied"/>
    <n v="1484697600"/>
    <s v="Not Specified"/>
    <s v="Not Specified"/>
    <s v="Not Specified"/>
    <n v="105"/>
    <x v="0"/>
    <x v="2"/>
  </r>
  <r>
    <x v="2"/>
    <x v="0"/>
    <x v="217"/>
    <x v="2"/>
    <x v="2"/>
    <x v="268"/>
    <x v="14"/>
    <x v="21"/>
    <x v="17"/>
    <x v="231"/>
    <x v="284"/>
    <s v="Too large"/>
    <n v="1484697600"/>
    <s v="Not Specified"/>
    <s v="Not Specified"/>
    <s v="Not Specified"/>
    <n v="118"/>
    <x v="2"/>
    <x v="2"/>
  </r>
  <r>
    <x v="0"/>
    <x v="0"/>
    <x v="217"/>
    <x v="2"/>
    <x v="2"/>
    <x v="269"/>
    <x v="14"/>
    <x v="14"/>
    <x v="18"/>
    <x v="232"/>
    <x v="285"/>
    <s v="colors look great together."/>
    <n v="1484697600"/>
    <s v="Not Specified"/>
    <s v="Not Specified"/>
    <s v="Not Specified"/>
    <n v="88"/>
    <x v="0"/>
    <x v="2"/>
  </r>
  <r>
    <x v="0"/>
    <x v="0"/>
    <x v="217"/>
    <x v="2"/>
    <x v="2"/>
    <x v="270"/>
    <x v="14"/>
    <x v="22"/>
    <x v="12"/>
    <x v="5"/>
    <x v="286"/>
    <s v="Five Stars"/>
    <n v="1484697600"/>
    <s v="Not Specified"/>
    <s v="Not Specified"/>
    <s v="Not Specified"/>
    <n v="11"/>
    <x v="0"/>
    <x v="2"/>
  </r>
  <r>
    <x v="4"/>
    <x v="0"/>
    <x v="217"/>
    <x v="2"/>
    <x v="2"/>
    <x v="271"/>
    <x v="14"/>
    <x v="15"/>
    <x v="17"/>
    <x v="233"/>
    <x v="287"/>
    <s v="but if I wear thick socks they are fine. Also"/>
    <n v="1484697600"/>
    <s v="Not Specified"/>
    <s v="Not Specified"/>
    <s v="Not Specified"/>
    <n v="316"/>
    <x v="0"/>
    <x v="2"/>
  </r>
  <r>
    <x v="3"/>
    <x v="0"/>
    <x v="218"/>
    <x v="2"/>
    <x v="2"/>
    <x v="272"/>
    <x v="14"/>
    <x v="22"/>
    <x v="29"/>
    <x v="234"/>
    <x v="288"/>
    <s v="Poor quality for Nike"/>
    <n v="1484438400"/>
    <s v="Not Specified"/>
    <s v="Not Specified"/>
    <n v="19"/>
    <n v="69"/>
    <x v="2"/>
    <x v="2"/>
  </r>
  <r>
    <x v="4"/>
    <x v="0"/>
    <x v="219"/>
    <x v="2"/>
    <x v="2"/>
    <x v="273"/>
    <x v="14"/>
    <x v="16"/>
    <x v="42"/>
    <x v="5"/>
    <x v="289"/>
    <s v="4/5"/>
    <n v="1484265600"/>
    <s v="Not Specified"/>
    <s v="Not Specified"/>
    <s v="Not Specified"/>
    <n v="187"/>
    <x v="0"/>
    <x v="2"/>
  </r>
  <r>
    <x v="0"/>
    <x v="0"/>
    <x v="220"/>
    <x v="2"/>
    <x v="2"/>
    <x v="274"/>
    <x v="14"/>
    <x v="21"/>
    <x v="33"/>
    <x v="235"/>
    <x v="290"/>
    <s v="LOVE!"/>
    <n v="1484179200"/>
    <s v="Not Specified"/>
    <s v="Not Specified"/>
    <s v="Not Specified"/>
    <n v="216"/>
    <x v="0"/>
    <x v="2"/>
  </r>
  <r>
    <x v="0"/>
    <x v="0"/>
    <x v="220"/>
    <x v="2"/>
    <x v="2"/>
    <x v="275"/>
    <x v="14"/>
    <x v="15"/>
    <x v="17"/>
    <x v="236"/>
    <x v="291"/>
    <s v="Five Stars"/>
    <n v="1484179200"/>
    <s v="Not Specified"/>
    <s v="Not Specified"/>
    <s v="Not Specified"/>
    <n v="20"/>
    <x v="0"/>
    <x v="2"/>
  </r>
  <r>
    <x v="0"/>
    <x v="0"/>
    <x v="221"/>
    <x v="2"/>
    <x v="2"/>
    <x v="276"/>
    <x v="14"/>
    <x v="22"/>
    <x v="37"/>
    <x v="5"/>
    <x v="240"/>
    <s v="Five Stars"/>
    <n v="1484006400"/>
    <s v="Not Specified"/>
    <s v="Not Specified"/>
    <s v="Not Specified"/>
    <n v="17"/>
    <x v="0"/>
    <x v="2"/>
  </r>
  <r>
    <x v="0"/>
    <x v="0"/>
    <x v="222"/>
    <x v="2"/>
    <x v="2"/>
    <x v="277"/>
    <x v="14"/>
    <x v="22"/>
    <x v="42"/>
    <x v="5"/>
    <x v="292"/>
    <s v="Correct size"/>
    <n v="1483747200"/>
    <s v="Not Specified"/>
    <s v="Not Specified"/>
    <s v="Not Specified"/>
    <n v="92"/>
    <x v="0"/>
    <x v="2"/>
  </r>
  <r>
    <x v="0"/>
    <x v="0"/>
    <x v="222"/>
    <x v="2"/>
    <x v="2"/>
    <x v="278"/>
    <x v="14"/>
    <x v="26"/>
    <x v="42"/>
    <x v="237"/>
    <x v="293"/>
    <s v="Perfect for the gym"/>
    <n v="1483747200"/>
    <s v="Not Specified"/>
    <s v="Not Specified"/>
    <s v="Not Specified"/>
    <n v="182"/>
    <x v="0"/>
    <x v="2"/>
  </r>
  <r>
    <x v="4"/>
    <x v="0"/>
    <x v="223"/>
    <x v="2"/>
    <x v="2"/>
    <x v="279"/>
    <x v="14"/>
    <x v="14"/>
    <x v="42"/>
    <x v="5"/>
    <x v="294"/>
    <s v="... opened the box to see the color is exactly like the image shows"/>
    <n v="1483660800"/>
    <s v="Not Specified"/>
    <s v="Not Specified"/>
    <s v="Not Specified"/>
    <n v="219"/>
    <x v="0"/>
    <x v="2"/>
  </r>
  <r>
    <x v="3"/>
    <x v="0"/>
    <x v="224"/>
    <x v="2"/>
    <x v="2"/>
    <x v="280"/>
    <x v="14"/>
    <x v="16"/>
    <x v="18"/>
    <x v="238"/>
    <x v="295"/>
    <s v="I ordered the Nike Women's Flex Supreme TR3 instead and love them!"/>
    <n v="1483488000"/>
    <s v="Not Specified"/>
    <s v="Not Specified"/>
    <s v="Not Specified"/>
    <n v="258"/>
    <x v="2"/>
    <x v="2"/>
  </r>
  <r>
    <x v="0"/>
    <x v="0"/>
    <x v="224"/>
    <x v="2"/>
    <x v="2"/>
    <x v="281"/>
    <x v="14"/>
    <x v="22"/>
    <x v="12"/>
    <x v="239"/>
    <x v="296"/>
    <s v="so light &amp; comfortable!"/>
    <n v="1483488000"/>
    <s v="Not Specified"/>
    <s v="Not Specified"/>
    <s v="Not Specified"/>
    <n v="69"/>
    <x v="0"/>
    <x v="2"/>
  </r>
  <r>
    <x v="0"/>
    <x v="0"/>
    <x v="225"/>
    <x v="2"/>
    <x v="2"/>
    <x v="282"/>
    <x v="14"/>
    <x v="14"/>
    <x v="42"/>
    <x v="240"/>
    <x v="297"/>
    <s v="Five Stars"/>
    <n v="1483228800"/>
    <s v="Not Specified"/>
    <s v="Not Specified"/>
    <s v="Not Specified"/>
    <n v="32"/>
    <x v="0"/>
    <x v="2"/>
  </r>
  <r>
    <x v="0"/>
    <x v="0"/>
    <x v="225"/>
    <x v="2"/>
    <x v="2"/>
    <x v="283"/>
    <x v="14"/>
    <x v="16"/>
    <x v="17"/>
    <x v="241"/>
    <x v="298"/>
    <s v="Five Stars"/>
    <n v="1483228800"/>
    <s v="Not Specified"/>
    <s v="Not Specified"/>
    <s v="Not Specified"/>
    <n v="36"/>
    <x v="0"/>
    <x v="2"/>
  </r>
  <r>
    <x v="0"/>
    <x v="0"/>
    <x v="226"/>
    <x v="3"/>
    <x v="11"/>
    <x v="284"/>
    <x v="14"/>
    <x v="15"/>
    <x v="17"/>
    <x v="242"/>
    <x v="299"/>
    <s v="these were a perfect fit. They are light and very comfortable"/>
    <n v="1483142400"/>
    <s v="Not Specified"/>
    <s v="Not Specified"/>
    <s v="Not Specified"/>
    <n v="169"/>
    <x v="0"/>
    <x v="2"/>
  </r>
  <r>
    <x v="0"/>
    <x v="0"/>
    <x v="227"/>
    <x v="3"/>
    <x v="11"/>
    <x v="285"/>
    <x v="14"/>
    <x v="15"/>
    <x v="17"/>
    <x v="243"/>
    <x v="300"/>
    <s v="Five Stars"/>
    <n v="1482969600"/>
    <s v="Not Specified"/>
    <s v="Not Specified"/>
    <s v="Not Specified"/>
    <n v="37"/>
    <x v="0"/>
    <x v="2"/>
  </r>
  <r>
    <x v="0"/>
    <x v="0"/>
    <x v="227"/>
    <x v="3"/>
    <x v="11"/>
    <x v="286"/>
    <x v="14"/>
    <x v="17"/>
    <x v="42"/>
    <x v="5"/>
    <x v="301"/>
    <s v="Five Stars"/>
    <n v="1482969600"/>
    <s v="Not Specified"/>
    <s v="Not Specified"/>
    <s v="Not Specified"/>
    <n v="45"/>
    <x v="0"/>
    <x v="2"/>
  </r>
  <r>
    <x v="0"/>
    <x v="0"/>
    <x v="228"/>
    <x v="3"/>
    <x v="11"/>
    <x v="287"/>
    <x v="14"/>
    <x v="15"/>
    <x v="17"/>
    <x v="5"/>
    <x v="120"/>
    <s v="Just what I wanted!"/>
    <n v="1482883200"/>
    <s v="Not Specified"/>
    <s v="Not Specified"/>
    <s v="Not Specified"/>
    <n v="8"/>
    <x v="0"/>
    <x v="2"/>
  </r>
  <r>
    <x v="0"/>
    <x v="0"/>
    <x v="228"/>
    <x v="3"/>
    <x v="11"/>
    <x v="288"/>
    <x v="14"/>
    <x v="21"/>
    <x v="18"/>
    <x v="244"/>
    <x v="302"/>
    <s v="Bought these for my daughter and she loves them. ..."/>
    <n v="1482883200"/>
    <s v="Not Specified"/>
    <s v="Not Specified"/>
    <s v="Not Specified"/>
    <n v="134"/>
    <x v="0"/>
    <x v="2"/>
  </r>
  <r>
    <x v="0"/>
    <x v="0"/>
    <x v="229"/>
    <x v="3"/>
    <x v="11"/>
    <x v="289"/>
    <x v="14"/>
    <x v="16"/>
    <x v="17"/>
    <x v="245"/>
    <x v="303"/>
    <s v="Five Stars"/>
    <n v="1482796800"/>
    <s v="Not Specified"/>
    <s v="Not Specified"/>
    <s v="Not Specified"/>
    <n v="32"/>
    <x v="0"/>
    <x v="2"/>
  </r>
  <r>
    <x v="2"/>
    <x v="0"/>
    <x v="230"/>
    <x v="3"/>
    <x v="11"/>
    <x v="290"/>
    <x v="14"/>
    <x v="30"/>
    <x v="28"/>
    <x v="246"/>
    <x v="304"/>
    <s v="Tried one in the store and bought it online but ..."/>
    <n v="1482624000"/>
    <s v="Not Specified"/>
    <s v="Not Specified"/>
    <n v="2"/>
    <n v="108"/>
    <x v="2"/>
    <x v="2"/>
  </r>
  <r>
    <x v="0"/>
    <x v="0"/>
    <x v="231"/>
    <x v="3"/>
    <x v="11"/>
    <x v="291"/>
    <x v="14"/>
    <x v="30"/>
    <x v="37"/>
    <x v="247"/>
    <x v="305"/>
    <s v="I had the older generation of this shoe that survived ..."/>
    <n v="1482451200"/>
    <s v="Not Specified"/>
    <s v="Not Specified"/>
    <s v="Not Specified"/>
    <n v="198"/>
    <x v="0"/>
    <x v="2"/>
  </r>
  <r>
    <x v="0"/>
    <x v="0"/>
    <x v="232"/>
    <x v="3"/>
    <x v="11"/>
    <x v="292"/>
    <x v="14"/>
    <x v="38"/>
    <x v="29"/>
    <x v="5"/>
    <x v="306"/>
    <s v="Five Stars"/>
    <n v="1482364800"/>
    <s v="Not Specified"/>
    <s v="Not Specified"/>
    <s v="Not Specified"/>
    <n v="105"/>
    <x v="0"/>
    <x v="2"/>
  </r>
  <r>
    <x v="2"/>
    <x v="0"/>
    <x v="233"/>
    <x v="3"/>
    <x v="11"/>
    <x v="293"/>
    <x v="14"/>
    <x v="15"/>
    <x v="34"/>
    <x v="248"/>
    <x v="307"/>
    <s v="Not true to size"/>
    <n v="1481846400"/>
    <s v="Not Specified"/>
    <s v="Not Specified"/>
    <s v="Not Specified"/>
    <n v="63"/>
    <x v="2"/>
    <x v="2"/>
  </r>
  <r>
    <x v="3"/>
    <x v="0"/>
    <x v="234"/>
    <x v="3"/>
    <x v="11"/>
    <x v="294"/>
    <x v="14"/>
    <x v="14"/>
    <x v="42"/>
    <x v="5"/>
    <x v="308"/>
    <s v="One Star"/>
    <n v="1481760000"/>
    <s v="Not Specified"/>
    <s v="Not Specified"/>
    <s v="Not Specified"/>
    <n v="11"/>
    <x v="2"/>
    <x v="2"/>
  </r>
  <r>
    <x v="0"/>
    <x v="0"/>
    <x v="235"/>
    <x v="3"/>
    <x v="11"/>
    <x v="295"/>
    <x v="14"/>
    <x v="42"/>
    <x v="25"/>
    <x v="249"/>
    <x v="309"/>
    <s v="Nice"/>
    <n v="1481500800"/>
    <s v="Not Specified"/>
    <s v="Not Specified"/>
    <s v="Not Specified"/>
    <n v="15"/>
    <x v="0"/>
    <x v="2"/>
  </r>
  <r>
    <x v="0"/>
    <x v="0"/>
    <x v="235"/>
    <x v="3"/>
    <x v="11"/>
    <x v="296"/>
    <x v="14"/>
    <x v="22"/>
    <x v="17"/>
    <x v="250"/>
    <x v="310"/>
    <s v="Great"/>
    <n v="1481500800"/>
    <s v="Not Specified"/>
    <s v="Not Specified"/>
    <n v="3"/>
    <n v="362"/>
    <x v="0"/>
    <x v="2"/>
  </r>
  <r>
    <x v="4"/>
    <x v="0"/>
    <x v="236"/>
    <x v="3"/>
    <x v="11"/>
    <x v="297"/>
    <x v="14"/>
    <x v="14"/>
    <x v="42"/>
    <x v="251"/>
    <x v="311"/>
    <s v="Four Stars"/>
    <n v="1481155200"/>
    <s v="Not Specified"/>
    <s v="Not Specified"/>
    <s v="Not Specified"/>
    <n v="36"/>
    <x v="0"/>
    <x v="2"/>
  </r>
  <r>
    <x v="4"/>
    <x v="0"/>
    <x v="237"/>
    <x v="3"/>
    <x v="11"/>
    <x v="298"/>
    <x v="14"/>
    <x v="26"/>
    <x v="40"/>
    <x v="252"/>
    <x v="312"/>
    <s v="Four Stars"/>
    <n v="1480809600"/>
    <s v="Not Specified"/>
    <s v="Not Specified"/>
    <s v="Not Specified"/>
    <n v="36"/>
    <x v="0"/>
    <x v="2"/>
  </r>
  <r>
    <x v="4"/>
    <x v="0"/>
    <x v="238"/>
    <x v="3"/>
    <x v="11"/>
    <x v="299"/>
    <x v="14"/>
    <x v="34"/>
    <x v="25"/>
    <x v="5"/>
    <x v="313"/>
    <s v="Four Stars"/>
    <n v="1480636800"/>
    <s v="Not Specified"/>
    <s v="Not Specified"/>
    <n v="2"/>
    <n v="29"/>
    <x v="0"/>
    <x v="2"/>
  </r>
  <r>
    <x v="0"/>
    <x v="0"/>
    <x v="238"/>
    <x v="3"/>
    <x v="11"/>
    <x v="300"/>
    <x v="14"/>
    <x v="17"/>
    <x v="17"/>
    <x v="253"/>
    <x v="314"/>
    <s v="Five Stars"/>
    <n v="1480636800"/>
    <s v="Not Specified"/>
    <s v="Not Specified"/>
    <s v="Not Specified"/>
    <n v="43"/>
    <x v="0"/>
    <x v="2"/>
  </r>
  <r>
    <x v="0"/>
    <x v="0"/>
    <x v="239"/>
    <x v="3"/>
    <x v="11"/>
    <x v="301"/>
    <x v="14"/>
    <x v="21"/>
    <x v="44"/>
    <x v="83"/>
    <x v="315"/>
    <s v="Five Stars"/>
    <n v="1480550400"/>
    <s v="Not Specified"/>
    <s v="Not Specified"/>
    <s v="Not Specified"/>
    <n v="93"/>
    <x v="0"/>
    <x v="2"/>
  </r>
  <r>
    <x v="0"/>
    <x v="0"/>
    <x v="240"/>
    <x v="3"/>
    <x v="7"/>
    <x v="302"/>
    <x v="14"/>
    <x v="21"/>
    <x v="17"/>
    <x v="233"/>
    <x v="316"/>
    <s v="Five Stars"/>
    <n v="1480291200"/>
    <s v="Not Specified"/>
    <s v="Not Specified"/>
    <s v="Not Specified"/>
    <n v="90"/>
    <x v="0"/>
    <x v="2"/>
  </r>
  <r>
    <x v="0"/>
    <x v="0"/>
    <x v="241"/>
    <x v="3"/>
    <x v="7"/>
    <x v="303"/>
    <x v="14"/>
    <x v="30"/>
    <x v="41"/>
    <x v="254"/>
    <x v="317"/>
    <s v="Love them"/>
    <n v="1480204800"/>
    <s v="Not Specified"/>
    <s v="Not Specified"/>
    <s v="Not Specified"/>
    <n v="338"/>
    <x v="0"/>
    <x v="2"/>
  </r>
  <r>
    <x v="0"/>
    <x v="0"/>
    <x v="242"/>
    <x v="3"/>
    <x v="7"/>
    <x v="304"/>
    <x v="14"/>
    <x v="15"/>
    <x v="17"/>
    <x v="255"/>
    <x v="318"/>
    <s v="Super light weight versatile"/>
    <n v="1479859200"/>
    <s v="Not Specified"/>
    <s v="Not Specified"/>
    <s v="Not Specified"/>
    <n v="76"/>
    <x v="0"/>
    <x v="2"/>
  </r>
  <r>
    <x v="4"/>
    <x v="1"/>
    <x v="243"/>
    <x v="3"/>
    <x v="7"/>
    <x v="305"/>
    <x v="14"/>
    <x v="26"/>
    <x v="37"/>
    <x v="256"/>
    <x v="319"/>
    <s v="very comfortable but limited use"/>
    <n v="1479686400"/>
    <s v="Not Specified"/>
    <s v="Not Specified"/>
    <s v="Not Specified"/>
    <n v="767"/>
    <x v="0"/>
    <x v="2"/>
  </r>
  <r>
    <x v="4"/>
    <x v="0"/>
    <x v="244"/>
    <x v="3"/>
    <x v="7"/>
    <x v="306"/>
    <x v="14"/>
    <x v="21"/>
    <x v="44"/>
    <x v="257"/>
    <x v="320"/>
    <s v="Four Stars"/>
    <n v="1479254400"/>
    <s v="Not Specified"/>
    <s v="Not Specified"/>
    <s v="Not Specified"/>
    <n v="49"/>
    <x v="0"/>
    <x v="2"/>
  </r>
  <r>
    <x v="0"/>
    <x v="0"/>
    <x v="244"/>
    <x v="3"/>
    <x v="7"/>
    <x v="307"/>
    <x v="14"/>
    <x v="21"/>
    <x v="17"/>
    <x v="5"/>
    <x v="321"/>
    <s v="Five Stars"/>
    <n v="1479254400"/>
    <s v="Not Specified"/>
    <s v="Not Specified"/>
    <s v="Not Specified"/>
    <n v="9"/>
    <x v="0"/>
    <x v="2"/>
  </r>
  <r>
    <x v="1"/>
    <x v="0"/>
    <x v="245"/>
    <x v="3"/>
    <x v="7"/>
    <x v="308"/>
    <x v="14"/>
    <x v="15"/>
    <x v="34"/>
    <x v="258"/>
    <x v="322"/>
    <s v="Not for aerobic exercise"/>
    <n v="1479081600"/>
    <s v="Not Specified"/>
    <s v="Not Specified"/>
    <s v="Not Specified"/>
    <n v="92"/>
    <x v="1"/>
    <x v="2"/>
  </r>
  <r>
    <x v="0"/>
    <x v="0"/>
    <x v="246"/>
    <x v="3"/>
    <x v="7"/>
    <x v="309"/>
    <x v="14"/>
    <x v="22"/>
    <x v="24"/>
    <x v="259"/>
    <x v="323"/>
    <s v="Favorite Nikes ever"/>
    <n v="1478822400"/>
    <s v="Not Specified"/>
    <s v="Not Specified"/>
    <s v="Not Specified"/>
    <n v="133"/>
    <x v="0"/>
    <x v="2"/>
  </r>
  <r>
    <x v="4"/>
    <x v="0"/>
    <x v="246"/>
    <x v="3"/>
    <x v="7"/>
    <x v="310"/>
    <x v="14"/>
    <x v="16"/>
    <x v="28"/>
    <x v="260"/>
    <x v="324"/>
    <s v="Four Stars"/>
    <n v="1478822400"/>
    <s v="Not Specified"/>
    <s v="Not Specified"/>
    <s v="Not Specified"/>
    <n v="25"/>
    <x v="0"/>
    <x v="2"/>
  </r>
  <r>
    <x v="0"/>
    <x v="0"/>
    <x v="247"/>
    <x v="3"/>
    <x v="7"/>
    <x v="311"/>
    <x v="14"/>
    <x v="14"/>
    <x v="17"/>
    <x v="5"/>
    <x v="325"/>
    <s v="... of shoes for cross training and these were the best!"/>
    <n v="1478649600"/>
    <s v="Not Specified"/>
    <s v="Not Specified"/>
    <s v="Not Specified"/>
    <n v="64"/>
    <x v="0"/>
    <x v="2"/>
  </r>
  <r>
    <x v="4"/>
    <x v="0"/>
    <x v="248"/>
    <x v="3"/>
    <x v="7"/>
    <x v="312"/>
    <x v="14"/>
    <x v="26"/>
    <x v="40"/>
    <x v="261"/>
    <x v="326"/>
    <s v="Overall, a grwat shoe."/>
    <n v="1478563200"/>
    <s v="Not Specified"/>
    <s v="Not Specified"/>
    <s v="Not Specified"/>
    <n v="83"/>
    <x v="0"/>
    <x v="2"/>
  </r>
  <r>
    <x v="0"/>
    <x v="0"/>
    <x v="249"/>
    <x v="3"/>
    <x v="7"/>
    <x v="313"/>
    <x v="14"/>
    <x v="30"/>
    <x v="17"/>
    <x v="262"/>
    <x v="327"/>
    <s v="These are as far as comfort goes the most comfortable pair of sneakers I have I suffer from sciatica ..."/>
    <n v="1478476800"/>
    <s v="Not Specified"/>
    <s v="Not Specified"/>
    <n v="3"/>
    <n v="235"/>
    <x v="0"/>
    <x v="2"/>
  </r>
  <r>
    <x v="1"/>
    <x v="0"/>
    <x v="250"/>
    <x v="3"/>
    <x v="7"/>
    <x v="314"/>
    <x v="14"/>
    <x v="21"/>
    <x v="40"/>
    <x v="263"/>
    <x v="328"/>
    <s v="They feel good but I will not recommended if you need Wide ..."/>
    <n v="1478390400"/>
    <s v="Not Specified"/>
    <s v="Not Specified"/>
    <s v="Not Specified"/>
    <n v="115"/>
    <x v="1"/>
    <x v="2"/>
  </r>
  <r>
    <x v="1"/>
    <x v="0"/>
    <x v="251"/>
    <x v="3"/>
    <x v="3"/>
    <x v="315"/>
    <x v="14"/>
    <x v="30"/>
    <x v="28"/>
    <x v="264"/>
    <x v="329"/>
    <s v="Get a half-size or more larger than usual."/>
    <n v="1477785600"/>
    <s v="Not Specified"/>
    <s v="Not Specified"/>
    <s v="Not Specified"/>
    <n v="228"/>
    <x v="1"/>
    <x v="2"/>
  </r>
  <r>
    <x v="0"/>
    <x v="0"/>
    <x v="252"/>
    <x v="3"/>
    <x v="3"/>
    <x v="316"/>
    <x v="14"/>
    <x v="17"/>
    <x v="23"/>
    <x v="265"/>
    <x v="330"/>
    <s v="Love them! Very comfortable and great for weight training"/>
    <n v="1477699200"/>
    <s v="Not Specified"/>
    <s v="Not Specified"/>
    <s v="Not Specified"/>
    <n v="59"/>
    <x v="0"/>
    <x v="2"/>
  </r>
  <r>
    <x v="1"/>
    <x v="0"/>
    <x v="253"/>
    <x v="3"/>
    <x v="3"/>
    <x v="317"/>
    <x v="14"/>
    <x v="21"/>
    <x v="17"/>
    <x v="266"/>
    <x v="331"/>
    <s v="Not as expected"/>
    <n v="1477440000"/>
    <s v="Not Specified"/>
    <s v="Not Specified"/>
    <s v="Not Specified"/>
    <n v="333"/>
    <x v="1"/>
    <x v="2"/>
  </r>
  <r>
    <x v="0"/>
    <x v="0"/>
    <x v="254"/>
    <x v="3"/>
    <x v="3"/>
    <x v="318"/>
    <x v="14"/>
    <x v="24"/>
    <x v="12"/>
    <x v="267"/>
    <x v="332"/>
    <s v="Five Stars"/>
    <n v="1477353600"/>
    <s v="Not Specified"/>
    <s v="Not Specified"/>
    <s v="Not Specified"/>
    <n v="33"/>
    <x v="0"/>
    <x v="2"/>
  </r>
  <r>
    <x v="0"/>
    <x v="1"/>
    <x v="255"/>
    <x v="3"/>
    <x v="3"/>
    <x v="319"/>
    <x v="14"/>
    <x v="14"/>
    <x v="30"/>
    <x v="5"/>
    <x v="333"/>
    <s v="Really Comfortable Shoes"/>
    <n v="1477267200"/>
    <s v="Not Specified"/>
    <s v="Not Specified"/>
    <s v="Not Specified"/>
    <n v="86"/>
    <x v="0"/>
    <x v="2"/>
  </r>
  <r>
    <x v="0"/>
    <x v="0"/>
    <x v="255"/>
    <x v="3"/>
    <x v="3"/>
    <x v="320"/>
    <x v="14"/>
    <x v="14"/>
    <x v="32"/>
    <x v="268"/>
    <x v="334"/>
    <s v="Five Stars"/>
    <n v="1477267200"/>
    <s v="Not Specified"/>
    <s v="Not Specified"/>
    <s v="Not Specified"/>
    <n v="24"/>
    <x v="0"/>
    <x v="2"/>
  </r>
  <r>
    <x v="0"/>
    <x v="0"/>
    <x v="256"/>
    <x v="3"/>
    <x v="3"/>
    <x v="321"/>
    <x v="14"/>
    <x v="26"/>
    <x v="17"/>
    <x v="5"/>
    <x v="335"/>
    <s v="Worth it."/>
    <n v="1476835200"/>
    <s v="Not Specified"/>
    <s v="Not Specified"/>
    <s v="Not Specified"/>
    <n v="35"/>
    <x v="0"/>
    <x v="2"/>
  </r>
  <r>
    <x v="0"/>
    <x v="0"/>
    <x v="4"/>
    <x v="3"/>
    <x v="3"/>
    <x v="322"/>
    <x v="14"/>
    <x v="16"/>
    <x v="28"/>
    <x v="269"/>
    <x v="336"/>
    <s v="Great sneakers!"/>
    <n v="1476662400"/>
    <s v="Not Specified"/>
    <s v="Not Specified"/>
    <n v="5"/>
    <n v="106"/>
    <x v="0"/>
    <x v="2"/>
  </r>
  <r>
    <x v="0"/>
    <x v="0"/>
    <x v="257"/>
    <x v="3"/>
    <x v="3"/>
    <x v="323"/>
    <x v="14"/>
    <x v="16"/>
    <x v="17"/>
    <x v="270"/>
    <x v="337"/>
    <s v="Lightweight yet supportive"/>
    <n v="1476489600"/>
    <s v="Not Specified"/>
    <s v="Not Specified"/>
    <s v="Not Specified"/>
    <n v="57"/>
    <x v="0"/>
    <x v="2"/>
  </r>
  <r>
    <x v="4"/>
    <x v="0"/>
    <x v="258"/>
    <x v="3"/>
    <x v="3"/>
    <x v="324"/>
    <x v="14"/>
    <x v="15"/>
    <x v="40"/>
    <x v="271"/>
    <x v="338"/>
    <s v="but like them so far"/>
    <n v="1476144000"/>
    <s v="Not Specified"/>
    <s v="Not Specified"/>
    <s v="Not Specified"/>
    <n v="181"/>
    <x v="0"/>
    <x v="2"/>
  </r>
  <r>
    <x v="1"/>
    <x v="0"/>
    <x v="259"/>
    <x v="3"/>
    <x v="3"/>
    <x v="325"/>
    <x v="14"/>
    <x v="30"/>
    <x v="20"/>
    <x v="272"/>
    <x v="339"/>
    <s v="Great red color"/>
    <n v="1475971200"/>
    <s v="Not Specified"/>
    <s v="Not Specified"/>
    <s v="Not Specified"/>
    <n v="68"/>
    <x v="1"/>
    <x v="2"/>
  </r>
  <r>
    <x v="4"/>
    <x v="0"/>
    <x v="260"/>
    <x v="3"/>
    <x v="3"/>
    <x v="326"/>
    <x v="14"/>
    <x v="14"/>
    <x v="17"/>
    <x v="273"/>
    <x v="340"/>
    <s v="they'll work great!: )"/>
    <n v="1475625600"/>
    <s v="Not Specified"/>
    <s v="Not Specified"/>
    <s v="Not Specified"/>
    <n v="100"/>
    <x v="0"/>
    <x v="2"/>
  </r>
  <r>
    <x v="1"/>
    <x v="0"/>
    <x v="261"/>
    <x v="3"/>
    <x v="3"/>
    <x v="327"/>
    <x v="14"/>
    <x v="16"/>
    <x v="20"/>
    <x v="274"/>
    <x v="341"/>
    <s v="Shoes looked great but too narrow for most feet"/>
    <n v="1475280000"/>
    <s v="Not Specified"/>
    <s v="Not Specified"/>
    <s v="Not Specified"/>
    <n v="59"/>
    <x v="1"/>
    <x v="2"/>
  </r>
  <r>
    <x v="0"/>
    <x v="0"/>
    <x v="262"/>
    <x v="3"/>
    <x v="0"/>
    <x v="328"/>
    <x v="14"/>
    <x v="30"/>
    <x v="18"/>
    <x v="275"/>
    <x v="342"/>
    <s v="I love these shoes"/>
    <n v="1474848000"/>
    <s v="Not Specified"/>
    <s v="Not Specified"/>
    <s v="Not Specified"/>
    <n v="107"/>
    <x v="0"/>
    <x v="2"/>
  </r>
  <r>
    <x v="0"/>
    <x v="0"/>
    <x v="263"/>
    <x v="3"/>
    <x v="0"/>
    <x v="329"/>
    <x v="14"/>
    <x v="14"/>
    <x v="34"/>
    <x v="276"/>
    <x v="343"/>
    <s v="Five Stars"/>
    <n v="1474588800"/>
    <s v="Not Specified"/>
    <s v="Not Specified"/>
    <s v="Not Specified"/>
    <n v="12"/>
    <x v="0"/>
    <x v="2"/>
  </r>
  <r>
    <x v="0"/>
    <x v="0"/>
    <x v="264"/>
    <x v="3"/>
    <x v="0"/>
    <x v="330"/>
    <x v="14"/>
    <x v="42"/>
    <x v="25"/>
    <x v="5"/>
    <x v="344"/>
    <s v="Very comfortable shoes. I have wide feet with falling arches"/>
    <n v="1474156800"/>
    <s v="Not Specified"/>
    <s v="Not Specified"/>
    <n v="3"/>
    <n v="140"/>
    <x v="0"/>
    <x v="2"/>
  </r>
  <r>
    <x v="3"/>
    <x v="0"/>
    <x v="265"/>
    <x v="3"/>
    <x v="0"/>
    <x v="331"/>
    <x v="14"/>
    <x v="21"/>
    <x v="23"/>
    <x v="277"/>
    <x v="345"/>
    <s v="Did not fit my feet"/>
    <n v="1473638400"/>
    <s v="Not Specified"/>
    <s v="Not Specified"/>
    <s v="Not Specified"/>
    <n v="148"/>
    <x v="2"/>
    <x v="2"/>
  </r>
  <r>
    <x v="3"/>
    <x v="0"/>
    <x v="266"/>
    <x v="3"/>
    <x v="0"/>
    <x v="332"/>
    <x v="14"/>
    <x v="22"/>
    <x v="17"/>
    <x v="278"/>
    <x v="346"/>
    <s v="Poor Quality. Don't buy."/>
    <n v="1473552000"/>
    <s v="Not Specified"/>
    <s v="Not Specified"/>
    <n v="14"/>
    <n v="258"/>
    <x v="2"/>
    <x v="2"/>
  </r>
  <r>
    <x v="0"/>
    <x v="0"/>
    <x v="267"/>
    <x v="3"/>
    <x v="0"/>
    <x v="333"/>
    <x v="14"/>
    <x v="21"/>
    <x v="17"/>
    <x v="279"/>
    <x v="347"/>
    <s v="Five Stars"/>
    <n v="1473379200"/>
    <s v="Not Specified"/>
    <s v="Not Specified"/>
    <s v="Not Specified"/>
    <n v="49"/>
    <x v="0"/>
    <x v="2"/>
  </r>
  <r>
    <x v="4"/>
    <x v="0"/>
    <x v="268"/>
    <x v="3"/>
    <x v="0"/>
    <x v="334"/>
    <x v="14"/>
    <x v="17"/>
    <x v="17"/>
    <x v="280"/>
    <x v="348"/>
    <s v="Does the job!"/>
    <n v="1473120000"/>
    <s v="Not Specified"/>
    <s v="Not Specified"/>
    <n v="2"/>
    <n v="248"/>
    <x v="0"/>
    <x v="2"/>
  </r>
  <r>
    <x v="4"/>
    <x v="0"/>
    <x v="269"/>
    <x v="3"/>
    <x v="0"/>
    <x v="335"/>
    <x v="14"/>
    <x v="22"/>
    <x v="32"/>
    <x v="5"/>
    <x v="349"/>
    <s v="I liked these shoes a lot"/>
    <n v="1472774400"/>
    <s v="Not Specified"/>
    <s v="Not Specified"/>
    <s v="Not Specified"/>
    <n v="177"/>
    <x v="0"/>
    <x v="2"/>
  </r>
  <r>
    <x v="0"/>
    <x v="0"/>
    <x v="270"/>
    <x v="3"/>
    <x v="4"/>
    <x v="336"/>
    <x v="14"/>
    <x v="16"/>
    <x v="17"/>
    <x v="5"/>
    <x v="350"/>
    <s v="Five Stars"/>
    <n v="1472428800"/>
    <s v="Not Specified"/>
    <s v="Not Specified"/>
    <s v="Not Specified"/>
    <n v="13"/>
    <x v="0"/>
    <x v="2"/>
  </r>
  <r>
    <x v="0"/>
    <x v="0"/>
    <x v="271"/>
    <x v="3"/>
    <x v="4"/>
    <x v="337"/>
    <x v="14"/>
    <x v="21"/>
    <x v="30"/>
    <x v="5"/>
    <x v="351"/>
    <s v="Five Stars"/>
    <n v="1472256000"/>
    <s v="Not Specified"/>
    <s v="Not Specified"/>
    <s v="Not Specified"/>
    <n v="62"/>
    <x v="0"/>
    <x v="2"/>
  </r>
  <r>
    <x v="0"/>
    <x v="0"/>
    <x v="271"/>
    <x v="3"/>
    <x v="4"/>
    <x v="338"/>
    <x v="14"/>
    <x v="30"/>
    <x v="17"/>
    <x v="5"/>
    <x v="352"/>
    <s v="... crossfit and find that these shoes help give me good support with my endurance workouts"/>
    <n v="1472256000"/>
    <s v="Not Specified"/>
    <s v="Not Specified"/>
    <n v="5"/>
    <n v="112"/>
    <x v="0"/>
    <x v="2"/>
  </r>
  <r>
    <x v="1"/>
    <x v="0"/>
    <x v="272"/>
    <x v="3"/>
    <x v="4"/>
    <x v="339"/>
    <x v="14"/>
    <x v="21"/>
    <x v="17"/>
    <x v="5"/>
    <x v="353"/>
    <s v="Unnacceptable. Zero support"/>
    <n v="1472169600"/>
    <s v="Not Specified"/>
    <s v="Not Specified"/>
    <n v="2"/>
    <n v="256"/>
    <x v="1"/>
    <x v="2"/>
  </r>
  <r>
    <x v="0"/>
    <x v="0"/>
    <x v="273"/>
    <x v="3"/>
    <x v="4"/>
    <x v="340"/>
    <x v="14"/>
    <x v="21"/>
    <x v="32"/>
    <x v="281"/>
    <x v="354"/>
    <s v="Great for walking!"/>
    <n v="1471910400"/>
    <s v="Not Specified"/>
    <s v="Not Specified"/>
    <s v="Not Specified"/>
    <n v="93"/>
    <x v="0"/>
    <x v="2"/>
  </r>
  <r>
    <x v="0"/>
    <x v="0"/>
    <x v="274"/>
    <x v="3"/>
    <x v="4"/>
    <x v="341"/>
    <x v="14"/>
    <x v="16"/>
    <x v="17"/>
    <x v="282"/>
    <x v="355"/>
    <s v="Simply Supreme."/>
    <n v="1471651200"/>
    <s v="Not Specified"/>
    <s v="Not Specified"/>
    <s v="Not Specified"/>
    <n v="1225"/>
    <x v="0"/>
    <x v="2"/>
  </r>
  <r>
    <x v="0"/>
    <x v="0"/>
    <x v="275"/>
    <x v="3"/>
    <x v="4"/>
    <x v="342"/>
    <x v="14"/>
    <x v="26"/>
    <x v="17"/>
    <x v="283"/>
    <x v="356"/>
    <s v="Soooo comfortable....."/>
    <n v="1471219200"/>
    <s v="Not Specified"/>
    <s v="Not Specified"/>
    <s v="Not Specified"/>
    <n v="246"/>
    <x v="0"/>
    <x v="2"/>
  </r>
  <r>
    <x v="0"/>
    <x v="0"/>
    <x v="275"/>
    <x v="3"/>
    <x v="4"/>
    <x v="343"/>
    <x v="14"/>
    <x v="24"/>
    <x v="12"/>
    <x v="284"/>
    <x v="357"/>
    <s v="Five Stars"/>
    <n v="1471219200"/>
    <s v="Not Specified"/>
    <s v="Not Specified"/>
    <s v="Not Specified"/>
    <n v="40"/>
    <x v="0"/>
    <x v="2"/>
  </r>
  <r>
    <x v="0"/>
    <x v="0"/>
    <x v="276"/>
    <x v="3"/>
    <x v="4"/>
    <x v="344"/>
    <x v="14"/>
    <x v="22"/>
    <x v="41"/>
    <x v="285"/>
    <x v="358"/>
    <s v="BEST SHOES EVER!"/>
    <n v="1471132800"/>
    <s v="Not Specified"/>
    <s v="Not Specified"/>
    <s v="Not Specified"/>
    <n v="224"/>
    <x v="0"/>
    <x v="2"/>
  </r>
  <r>
    <x v="0"/>
    <x v="0"/>
    <x v="277"/>
    <x v="3"/>
    <x v="4"/>
    <x v="345"/>
    <x v="14"/>
    <x v="22"/>
    <x v="17"/>
    <x v="286"/>
    <x v="359"/>
    <s v="... me the motivation to workout because they feel so good and are great for any training"/>
    <n v="1470614400"/>
    <s v="Not Specified"/>
    <s v="Not Specified"/>
    <s v="Not Specified"/>
    <n v="105"/>
    <x v="0"/>
    <x v="2"/>
  </r>
  <r>
    <x v="1"/>
    <x v="0"/>
    <x v="278"/>
    <x v="3"/>
    <x v="4"/>
    <x v="346"/>
    <x v="14"/>
    <x v="16"/>
    <x v="17"/>
    <x v="287"/>
    <x v="360"/>
    <s v="Hurt my knees and back running"/>
    <n v="1470355200"/>
    <s v="Not Specified"/>
    <s v="Not Specified"/>
    <n v="2"/>
    <n v="772"/>
    <x v="1"/>
    <x v="2"/>
  </r>
  <r>
    <x v="0"/>
    <x v="0"/>
    <x v="279"/>
    <x v="3"/>
    <x v="9"/>
    <x v="347"/>
    <x v="14"/>
    <x v="33"/>
    <x v="17"/>
    <x v="288"/>
    <x v="361"/>
    <s v="Very comfortable shoes. Love"/>
    <n v="1469577600"/>
    <s v="Not Specified"/>
    <s v="Not Specified"/>
    <s v="Not Specified"/>
    <n v="37"/>
    <x v="0"/>
    <x v="2"/>
  </r>
  <r>
    <x v="0"/>
    <x v="1"/>
    <x v="280"/>
    <x v="3"/>
    <x v="9"/>
    <x v="348"/>
    <x v="14"/>
    <x v="16"/>
    <x v="26"/>
    <x v="289"/>
    <x v="362"/>
    <s v="Great shoes"/>
    <n v="1469145600"/>
    <s v="Not Specified"/>
    <s v="Not Specified"/>
    <s v="Not Specified"/>
    <n v="427"/>
    <x v="0"/>
    <x v="2"/>
  </r>
  <r>
    <x v="1"/>
    <x v="0"/>
    <x v="281"/>
    <x v="3"/>
    <x v="9"/>
    <x v="349"/>
    <x v="14"/>
    <x v="30"/>
    <x v="17"/>
    <x v="290"/>
    <x v="363"/>
    <s v="large shoe"/>
    <n v="1469059200"/>
    <s v="Not Specified"/>
    <s v="Not Specified"/>
    <s v="Not Specified"/>
    <n v="50"/>
    <x v="1"/>
    <x v="2"/>
  </r>
  <r>
    <x v="0"/>
    <x v="0"/>
    <x v="282"/>
    <x v="3"/>
    <x v="9"/>
    <x v="350"/>
    <x v="14"/>
    <x v="16"/>
    <x v="17"/>
    <x v="291"/>
    <x v="364"/>
    <s v="Five Stars"/>
    <n v="1468886400"/>
    <s v="Not Specified"/>
    <s v="Not Specified"/>
    <s v="Not Specified"/>
    <n v="20"/>
    <x v="0"/>
    <x v="2"/>
  </r>
  <r>
    <x v="0"/>
    <x v="0"/>
    <x v="283"/>
    <x v="3"/>
    <x v="9"/>
    <x v="351"/>
    <x v="14"/>
    <x v="21"/>
    <x v="18"/>
    <x v="292"/>
    <x v="365"/>
    <s v="My wife loves these shoes."/>
    <n v="1468800000"/>
    <s v="Not Specified"/>
    <s v="Not Specified"/>
    <s v="Not Specified"/>
    <n v="306"/>
    <x v="0"/>
    <x v="2"/>
  </r>
  <r>
    <x v="0"/>
    <x v="0"/>
    <x v="284"/>
    <x v="3"/>
    <x v="9"/>
    <x v="352"/>
    <x v="14"/>
    <x v="17"/>
    <x v="17"/>
    <x v="293"/>
    <x v="366"/>
    <s v="Love Love Love"/>
    <n v="1468368000"/>
    <s v="Not Specified"/>
    <s v="Not Specified"/>
    <s v="Not Specified"/>
    <n v="188"/>
    <x v="0"/>
    <x v="2"/>
  </r>
  <r>
    <x v="0"/>
    <x v="0"/>
    <x v="285"/>
    <x v="3"/>
    <x v="9"/>
    <x v="353"/>
    <x v="14"/>
    <x v="26"/>
    <x v="17"/>
    <x v="5"/>
    <x v="367"/>
    <s v="PERFECT"/>
    <n v="1467331200"/>
    <s v="Not Specified"/>
    <s v="Not Specified"/>
    <s v="Not Specified"/>
    <n v="62"/>
    <x v="0"/>
    <x v="2"/>
  </r>
  <r>
    <x v="0"/>
    <x v="0"/>
    <x v="285"/>
    <x v="3"/>
    <x v="9"/>
    <x v="354"/>
    <x v="14"/>
    <x v="16"/>
    <x v="32"/>
    <x v="294"/>
    <x v="368"/>
    <s v="Nice shoe"/>
    <n v="1467331200"/>
    <s v="Not Specified"/>
    <s v="Not Specified"/>
    <n v="5"/>
    <n v="378"/>
    <x v="0"/>
    <x v="2"/>
  </r>
  <r>
    <x v="0"/>
    <x v="0"/>
    <x v="286"/>
    <x v="3"/>
    <x v="6"/>
    <x v="355"/>
    <x v="14"/>
    <x v="15"/>
    <x v="17"/>
    <x v="295"/>
    <x v="369"/>
    <s v="I am so happy with this purchase"/>
    <n v="1467072000"/>
    <s v="Not Specified"/>
    <s v="Not Specified"/>
    <n v="7"/>
    <n v="288"/>
    <x v="0"/>
    <x v="2"/>
  </r>
  <r>
    <x v="0"/>
    <x v="0"/>
    <x v="287"/>
    <x v="3"/>
    <x v="6"/>
    <x v="356"/>
    <x v="14"/>
    <x v="16"/>
    <x v="41"/>
    <x v="296"/>
    <x v="370"/>
    <s v="Five Stars"/>
    <n v="1466812800"/>
    <s v="Not Specified"/>
    <s v="Not Specified"/>
    <s v="Not Specified"/>
    <n v="60"/>
    <x v="0"/>
    <x v="2"/>
  </r>
  <r>
    <x v="1"/>
    <x v="0"/>
    <x v="288"/>
    <x v="3"/>
    <x v="6"/>
    <x v="357"/>
    <x v="14"/>
    <x v="30"/>
    <x v="18"/>
    <x v="5"/>
    <x v="371"/>
    <s v="Cute"/>
    <n v="1466467200"/>
    <s v="Not Specified"/>
    <s v="Not Specified"/>
    <n v="2"/>
    <n v="236"/>
    <x v="1"/>
    <x v="2"/>
  </r>
  <r>
    <x v="0"/>
    <x v="0"/>
    <x v="289"/>
    <x v="3"/>
    <x v="6"/>
    <x v="358"/>
    <x v="14"/>
    <x v="21"/>
    <x v="17"/>
    <x v="297"/>
    <x v="372"/>
    <s v="Love"/>
    <n v="1466294400"/>
    <s v="Not Specified"/>
    <s v="Not Specified"/>
    <n v="3"/>
    <n v="308"/>
    <x v="0"/>
    <x v="2"/>
  </r>
  <r>
    <x v="0"/>
    <x v="1"/>
    <x v="290"/>
    <x v="3"/>
    <x v="6"/>
    <x v="359"/>
    <x v="14"/>
    <x v="21"/>
    <x v="20"/>
    <x v="5"/>
    <x v="373"/>
    <s v="Absolutely Perfect Shoe!!"/>
    <n v="1466035200"/>
    <s v="Not Specified"/>
    <s v="Not Specified"/>
    <n v="3"/>
    <n v="370"/>
    <x v="0"/>
    <x v="2"/>
  </r>
  <r>
    <x v="0"/>
    <x v="0"/>
    <x v="291"/>
    <x v="3"/>
    <x v="6"/>
    <x v="360"/>
    <x v="14"/>
    <x v="31"/>
    <x v="17"/>
    <x v="298"/>
    <x v="374"/>
    <s v="Comfortable and lightweight"/>
    <n v="1465516800"/>
    <s v="Not Specified"/>
    <s v="Not Specified"/>
    <n v="10"/>
    <n v="204"/>
    <x v="0"/>
    <x v="2"/>
  </r>
  <r>
    <x v="0"/>
    <x v="0"/>
    <x v="292"/>
    <x v="3"/>
    <x v="6"/>
    <x v="361"/>
    <x v="14"/>
    <x v="14"/>
    <x v="17"/>
    <x v="299"/>
    <x v="321"/>
    <s v="Five Stars"/>
    <n v="1465084800"/>
    <s v="Not Specified"/>
    <s v="Not Specified"/>
    <s v="Not Specified"/>
    <n v="9"/>
    <x v="0"/>
    <x v="2"/>
  </r>
  <r>
    <x v="0"/>
    <x v="0"/>
    <x v="293"/>
    <x v="3"/>
    <x v="6"/>
    <x v="362"/>
    <x v="14"/>
    <x v="14"/>
    <x v="32"/>
    <x v="300"/>
    <x v="375"/>
    <s v="Awesome shoes!"/>
    <n v="1464825600"/>
    <s v="Not Specified"/>
    <s v="Not Specified"/>
    <s v="Not Specified"/>
    <n v="237"/>
    <x v="0"/>
    <x v="2"/>
  </r>
  <r>
    <x v="0"/>
    <x v="0"/>
    <x v="294"/>
    <x v="3"/>
    <x v="1"/>
    <x v="363"/>
    <x v="14"/>
    <x v="17"/>
    <x v="18"/>
    <x v="301"/>
    <x v="376"/>
    <s v="Five Stars"/>
    <n v="1464480000"/>
    <s v="Not Specified"/>
    <s v="Not Specified"/>
    <s v="Not Specified"/>
    <n v="11"/>
    <x v="0"/>
    <x v="2"/>
  </r>
  <r>
    <x v="0"/>
    <x v="0"/>
    <x v="295"/>
    <x v="3"/>
    <x v="1"/>
    <x v="364"/>
    <x v="14"/>
    <x v="39"/>
    <x v="19"/>
    <x v="5"/>
    <x v="228"/>
    <s v="Five Stars"/>
    <n v="1464393600"/>
    <s v="Not Specified"/>
    <s v="Not Specified"/>
    <s v="Not Specified"/>
    <n v="7"/>
    <x v="0"/>
    <x v="2"/>
  </r>
  <r>
    <x v="0"/>
    <x v="1"/>
    <x v="296"/>
    <x v="3"/>
    <x v="1"/>
    <x v="365"/>
    <x v="14"/>
    <x v="2"/>
    <x v="7"/>
    <x v="302"/>
    <x v="377"/>
    <s v="Time to leave the fad of the month for something that works."/>
    <n v="1464048000"/>
    <s v="Not Specified"/>
    <s v="Not Specified"/>
    <n v="8"/>
    <n v="629"/>
    <x v="0"/>
    <x v="2"/>
  </r>
  <r>
    <x v="4"/>
    <x v="0"/>
    <x v="296"/>
    <x v="3"/>
    <x v="1"/>
    <x v="366"/>
    <x v="14"/>
    <x v="21"/>
    <x v="18"/>
    <x v="303"/>
    <x v="378"/>
    <s v="A little annoying because I have to pay attention but they are ..."/>
    <n v="1464048000"/>
    <s v="Not Specified"/>
    <s v="Not Specified"/>
    <s v="Not Specified"/>
    <n v="148"/>
    <x v="0"/>
    <x v="2"/>
  </r>
  <r>
    <x v="0"/>
    <x v="0"/>
    <x v="297"/>
    <x v="3"/>
    <x v="1"/>
    <x v="367"/>
    <x v="14"/>
    <x v="26"/>
    <x v="17"/>
    <x v="304"/>
    <x v="248"/>
    <s v="Five Stars"/>
    <n v="1463702400"/>
    <s v="Not Specified"/>
    <s v="Not Specified"/>
    <s v="Not Specified"/>
    <n v="10"/>
    <x v="0"/>
    <x v="2"/>
  </r>
  <r>
    <x v="0"/>
    <x v="1"/>
    <x v="298"/>
    <x v="3"/>
    <x v="1"/>
    <x v="368"/>
    <x v="14"/>
    <x v="17"/>
    <x v="34"/>
    <x v="305"/>
    <x v="379"/>
    <s v="and the toe area is pretty wide plus plenty long even with socks"/>
    <n v="1463529600"/>
    <s v="Not Specified"/>
    <s v="Not Specified"/>
    <s v="Not Specified"/>
    <n v="247"/>
    <x v="0"/>
    <x v="2"/>
  </r>
  <r>
    <x v="0"/>
    <x v="0"/>
    <x v="299"/>
    <x v="3"/>
    <x v="1"/>
    <x v="369"/>
    <x v="14"/>
    <x v="22"/>
    <x v="20"/>
    <x v="5"/>
    <x v="380"/>
    <s v="Five Stars"/>
    <n v="1463356800"/>
    <s v="Not Specified"/>
    <s v="Not Specified"/>
    <s v="Not Specified"/>
    <n v="76"/>
    <x v="0"/>
    <x v="2"/>
  </r>
  <r>
    <x v="0"/>
    <x v="0"/>
    <x v="300"/>
    <x v="3"/>
    <x v="1"/>
    <x v="370"/>
    <x v="14"/>
    <x v="15"/>
    <x v="32"/>
    <x v="306"/>
    <x v="381"/>
    <s v="Great and comfy for sports"/>
    <n v="1463270400"/>
    <s v="Not Specified"/>
    <s v="Not Specified"/>
    <s v="Not Specified"/>
    <n v="27"/>
    <x v="0"/>
    <x v="2"/>
  </r>
  <r>
    <x v="4"/>
    <x v="0"/>
    <x v="301"/>
    <x v="3"/>
    <x v="1"/>
    <x v="371"/>
    <x v="14"/>
    <x v="40"/>
    <x v="43"/>
    <x v="307"/>
    <x v="382"/>
    <s v="A bit pointier toe than depicted..."/>
    <n v="1462924800"/>
    <s v="Not Specified"/>
    <s v="Not Specified"/>
    <s v="Not Specified"/>
    <n v="468"/>
    <x v="0"/>
    <x v="2"/>
  </r>
  <r>
    <x v="0"/>
    <x v="1"/>
    <x v="302"/>
    <x v="3"/>
    <x v="1"/>
    <x v="372"/>
    <x v="14"/>
    <x v="17"/>
    <x v="18"/>
    <x v="5"/>
    <x v="383"/>
    <s v="Best shoes ever!!!"/>
    <n v="1462838400"/>
    <s v="Not Specified"/>
    <s v="Not Specified"/>
    <s v="Not Specified"/>
    <n v="166"/>
    <x v="0"/>
    <x v="2"/>
  </r>
  <r>
    <x v="0"/>
    <x v="0"/>
    <x v="303"/>
    <x v="3"/>
    <x v="1"/>
    <x v="373"/>
    <x v="14"/>
    <x v="21"/>
    <x v="17"/>
    <x v="308"/>
    <x v="384"/>
    <s v="Five Stars"/>
    <n v="1462752000"/>
    <s v="Not Specified"/>
    <s v="Not Specified"/>
    <s v="Not Specified"/>
    <n v="33"/>
    <x v="0"/>
    <x v="2"/>
  </r>
  <r>
    <x v="0"/>
    <x v="0"/>
    <x v="304"/>
    <x v="3"/>
    <x v="1"/>
    <x v="374"/>
    <x v="14"/>
    <x v="26"/>
    <x v="17"/>
    <x v="309"/>
    <x v="385"/>
    <s v="Fits wonderful"/>
    <n v="1462665600"/>
    <s v="Not Specified"/>
    <s v="Not Specified"/>
    <s v="Not Specified"/>
    <n v="62"/>
    <x v="0"/>
    <x v="2"/>
  </r>
  <r>
    <x v="4"/>
    <x v="0"/>
    <x v="305"/>
    <x v="3"/>
    <x v="1"/>
    <x v="375"/>
    <x v="14"/>
    <x v="41"/>
    <x v="19"/>
    <x v="310"/>
    <x v="386"/>
    <s v="Four Stars"/>
    <n v="1462579200"/>
    <s v="Not Specified"/>
    <s v="Not Specified"/>
    <s v="Not Specified"/>
    <n v="25"/>
    <x v="0"/>
    <x v="2"/>
  </r>
  <r>
    <x v="4"/>
    <x v="0"/>
    <x v="306"/>
    <x v="3"/>
    <x v="1"/>
    <x v="376"/>
    <x v="14"/>
    <x v="21"/>
    <x v="17"/>
    <x v="311"/>
    <x v="387"/>
    <s v="Comfortable and lightweight"/>
    <n v="1462320000"/>
    <s v="Not Specified"/>
    <s v="Not Specified"/>
    <n v="20"/>
    <n v="1368"/>
    <x v="0"/>
    <x v="2"/>
  </r>
  <r>
    <x v="0"/>
    <x v="0"/>
    <x v="306"/>
    <x v="3"/>
    <x v="1"/>
    <x v="377"/>
    <x v="14"/>
    <x v="41"/>
    <x v="19"/>
    <x v="312"/>
    <x v="388"/>
    <s v="nice"/>
    <n v="1462320000"/>
    <s v="Not Specified"/>
    <s v="Not Specified"/>
    <s v="Not Specified"/>
    <n v="57"/>
    <x v="0"/>
    <x v="2"/>
  </r>
  <r>
    <x v="0"/>
    <x v="0"/>
    <x v="307"/>
    <x v="3"/>
    <x v="10"/>
    <x v="378"/>
    <x v="14"/>
    <x v="16"/>
    <x v="17"/>
    <x v="313"/>
    <x v="389"/>
    <s v="Five Stars"/>
    <n v="1461369600"/>
    <s v="Not Specified"/>
    <s v="Not Specified"/>
    <s v="Not Specified"/>
    <n v="50"/>
    <x v="0"/>
    <x v="2"/>
  </r>
  <r>
    <x v="0"/>
    <x v="0"/>
    <x v="308"/>
    <x v="3"/>
    <x v="10"/>
    <x v="379"/>
    <x v="14"/>
    <x v="30"/>
    <x v="17"/>
    <x v="314"/>
    <x v="390"/>
    <s v="Wide Feet so Somewhat Tight"/>
    <n v="1461196800"/>
    <s v="Not Specified"/>
    <s v="Not Specified"/>
    <n v="3"/>
    <n v="371"/>
    <x v="0"/>
    <x v="2"/>
  </r>
  <r>
    <x v="4"/>
    <x v="0"/>
    <x v="309"/>
    <x v="3"/>
    <x v="10"/>
    <x v="380"/>
    <x v="14"/>
    <x v="16"/>
    <x v="17"/>
    <x v="5"/>
    <x v="391"/>
    <s v="Four Stars"/>
    <n v="1461110400"/>
    <s v="Not Specified"/>
    <s v="Not Specified"/>
    <s v="Not Specified"/>
    <n v="19"/>
    <x v="0"/>
    <x v="2"/>
  </r>
  <r>
    <x v="4"/>
    <x v="0"/>
    <x v="42"/>
    <x v="3"/>
    <x v="10"/>
    <x v="30"/>
    <x v="14"/>
    <x v="14"/>
    <x v="17"/>
    <x v="5"/>
    <x v="49"/>
    <s v="Four Stars"/>
    <n v="1461024000"/>
    <s v="Not Specified"/>
    <s v="Not Specified"/>
    <n v="2"/>
    <n v="60"/>
    <x v="0"/>
    <x v="2"/>
  </r>
  <r>
    <x v="0"/>
    <x v="0"/>
    <x v="43"/>
    <x v="3"/>
    <x v="10"/>
    <x v="31"/>
    <x v="14"/>
    <x v="15"/>
    <x v="17"/>
    <x v="28"/>
    <x v="50"/>
    <s v="Five Stars"/>
    <n v="1460937600"/>
    <s v="Not Specified"/>
    <s v="Not Specified"/>
    <s v="Not Specified"/>
    <n v="22"/>
    <x v="0"/>
    <x v="2"/>
  </r>
  <r>
    <x v="1"/>
    <x v="0"/>
    <x v="44"/>
    <x v="3"/>
    <x v="10"/>
    <x v="32"/>
    <x v="14"/>
    <x v="16"/>
    <x v="17"/>
    <x v="29"/>
    <x v="51"/>
    <s v="LOOKS GOOD, FEELS ICKY!"/>
    <n v="1459728000"/>
    <s v="Not Specified"/>
    <s v="Not Specified"/>
    <n v="2"/>
    <n v="272"/>
    <x v="1"/>
    <x v="2"/>
  </r>
  <r>
    <x v="0"/>
    <x v="0"/>
    <x v="45"/>
    <x v="3"/>
    <x v="5"/>
    <x v="33"/>
    <x v="14"/>
    <x v="17"/>
    <x v="18"/>
    <x v="30"/>
    <x v="52"/>
    <s v="Love it!! Definetly recommend it"/>
    <n v="1459382400"/>
    <s v="Not Specified"/>
    <s v="Not Specified"/>
    <s v="Not Specified"/>
    <n v="123"/>
    <x v="0"/>
    <x v="2"/>
  </r>
  <r>
    <x v="0"/>
    <x v="0"/>
    <x v="46"/>
    <x v="3"/>
    <x v="5"/>
    <x v="34"/>
    <x v="14"/>
    <x v="18"/>
    <x v="19"/>
    <x v="31"/>
    <x v="53"/>
    <s v="Five Stars"/>
    <n v="1459123200"/>
    <s v="Not Specified"/>
    <s v="Not Specified"/>
    <s v="Not Specified"/>
    <n v="9"/>
    <x v="0"/>
    <x v="2"/>
  </r>
  <r>
    <x v="2"/>
    <x v="0"/>
    <x v="46"/>
    <x v="3"/>
    <x v="5"/>
    <x v="35"/>
    <x v="14"/>
    <x v="19"/>
    <x v="19"/>
    <x v="5"/>
    <x v="54"/>
    <s v="Cheap"/>
    <n v="1459123200"/>
    <s v="Not Specified"/>
    <s v="Not Specified"/>
    <s v="Not Specified"/>
    <n v="167"/>
    <x v="2"/>
    <x v="2"/>
  </r>
  <r>
    <x v="4"/>
    <x v="0"/>
    <x v="47"/>
    <x v="3"/>
    <x v="5"/>
    <x v="36"/>
    <x v="14"/>
    <x v="20"/>
    <x v="19"/>
    <x v="32"/>
    <x v="55"/>
    <s v="Pretty comfortable pair of running shoes"/>
    <n v="1458777600"/>
    <s v="Not Specified"/>
    <s v="Not Specified"/>
    <s v="Not Specified"/>
    <n v="132"/>
    <x v="0"/>
    <x v="2"/>
  </r>
  <r>
    <x v="4"/>
    <x v="0"/>
    <x v="47"/>
    <x v="3"/>
    <x v="5"/>
    <x v="36"/>
    <x v="15"/>
    <x v="20"/>
    <x v="19"/>
    <x v="32"/>
    <x v="55"/>
    <s v="Pretty comfortable pair of running shoes"/>
    <n v="1458777600"/>
    <s v="Not Specified"/>
    <s v="Not Specified"/>
    <s v="Not Specified"/>
    <n v="132"/>
    <x v="0"/>
    <x v="2"/>
  </r>
  <r>
    <x v="1"/>
    <x v="0"/>
    <x v="6"/>
    <x v="3"/>
    <x v="5"/>
    <x v="37"/>
    <x v="15"/>
    <x v="21"/>
    <x v="17"/>
    <x v="33"/>
    <x v="56"/>
    <s v="I always get a half size up in my tennis ..."/>
    <n v="1458691200"/>
    <s v="Not Specified"/>
    <s v="Not Specified"/>
    <n v="7"/>
    <n v="108"/>
    <x v="1"/>
    <x v="2"/>
  </r>
  <r>
    <x v="0"/>
    <x v="0"/>
    <x v="48"/>
    <x v="3"/>
    <x v="5"/>
    <x v="38"/>
    <x v="15"/>
    <x v="22"/>
    <x v="20"/>
    <x v="34"/>
    <x v="57"/>
    <s v="Love them! So light feeling"/>
    <n v="1458432000"/>
    <s v="Not Specified"/>
    <s v="Not Specified"/>
    <s v="Not Specified"/>
    <n v="75"/>
    <x v="0"/>
    <x v="2"/>
  </r>
  <r>
    <x v="0"/>
    <x v="0"/>
    <x v="49"/>
    <x v="3"/>
    <x v="5"/>
    <x v="39"/>
    <x v="15"/>
    <x v="23"/>
    <x v="19"/>
    <x v="35"/>
    <x v="53"/>
    <s v="Five Stars"/>
    <n v="1458259200"/>
    <s v="Not Specified"/>
    <s v="Not Specified"/>
    <s v="Not Specified"/>
    <n v="9"/>
    <x v="0"/>
    <x v="2"/>
  </r>
  <r>
    <x v="4"/>
    <x v="0"/>
    <x v="313"/>
    <x v="3"/>
    <x v="5"/>
    <x v="384"/>
    <x v="15"/>
    <x v="21"/>
    <x v="17"/>
    <x v="317"/>
    <x v="395"/>
    <s v="you feel like you have a lot of room"/>
    <n v="1458086400"/>
    <s v="Not Specified"/>
    <s v="Not Specified"/>
    <s v="Not Specified"/>
    <n v="213"/>
    <x v="0"/>
    <x v="2"/>
  </r>
  <r>
    <x v="0"/>
    <x v="0"/>
    <x v="314"/>
    <x v="3"/>
    <x v="5"/>
    <x v="385"/>
    <x v="15"/>
    <x v="21"/>
    <x v="17"/>
    <x v="5"/>
    <x v="396"/>
    <s v="Exactly What I Was Looking For"/>
    <n v="1457827200"/>
    <s v="Not Specified"/>
    <s v="Not Specified"/>
    <n v="22"/>
    <n v="412"/>
    <x v="0"/>
    <x v="2"/>
  </r>
  <r>
    <x v="0"/>
    <x v="0"/>
    <x v="315"/>
    <x v="3"/>
    <x v="5"/>
    <x v="386"/>
    <x v="15"/>
    <x v="26"/>
    <x v="17"/>
    <x v="5"/>
    <x v="397"/>
    <s v="Five Stars"/>
    <n v="1457222400"/>
    <s v="Not Specified"/>
    <s v="Not Specified"/>
    <s v="Not Specified"/>
    <n v="17"/>
    <x v="0"/>
    <x v="2"/>
  </r>
  <r>
    <x v="0"/>
    <x v="0"/>
    <x v="316"/>
    <x v="3"/>
    <x v="5"/>
    <x v="387"/>
    <x v="15"/>
    <x v="19"/>
    <x v="19"/>
    <x v="318"/>
    <x v="398"/>
    <s v="Good shoes, tolerable price."/>
    <n v="1456876800"/>
    <s v="Not Specified"/>
    <s v="Not Specified"/>
    <s v="Not Specified"/>
    <n v="55"/>
    <x v="0"/>
    <x v="2"/>
  </r>
  <r>
    <x v="0"/>
    <x v="0"/>
    <x v="321"/>
    <x v="1"/>
    <x v="1"/>
    <x v="393"/>
    <x v="15"/>
    <x v="24"/>
    <x v="21"/>
    <x v="322"/>
    <x v="403"/>
    <s v="LOVE my new sneakers!"/>
    <n v="1526947200"/>
    <s v="Not Specified"/>
    <s v="Not Specified"/>
    <s v="Not Specified"/>
    <n v="372"/>
    <x v="0"/>
    <x v="2"/>
  </r>
  <r>
    <x v="0"/>
    <x v="0"/>
    <x v="319"/>
    <x v="1"/>
    <x v="1"/>
    <x v="394"/>
    <x v="15"/>
    <x v="30"/>
    <x v="17"/>
    <x v="323"/>
    <x v="404"/>
    <s v="Very confortable!"/>
    <n v="1526428800"/>
    <s v="Not Specified"/>
    <s v="Not Specified"/>
    <s v="Not Specified"/>
    <n v="17"/>
    <x v="0"/>
    <x v="2"/>
  </r>
  <r>
    <x v="0"/>
    <x v="0"/>
    <x v="319"/>
    <x v="1"/>
    <x v="1"/>
    <x v="390"/>
    <x v="15"/>
    <x v="31"/>
    <x v="17"/>
    <x v="151"/>
    <x v="13"/>
    <s v="Five Stars"/>
    <n v="1526428800"/>
    <s v="Not Specified"/>
    <s v="Not Specified"/>
    <s v="Not Specified"/>
    <n v="11"/>
    <x v="0"/>
    <x v="2"/>
  </r>
  <r>
    <x v="1"/>
    <x v="0"/>
    <x v="320"/>
    <x v="1"/>
    <x v="1"/>
    <x v="391"/>
    <x v="15"/>
    <x v="21"/>
    <x v="21"/>
    <x v="5"/>
    <x v="401"/>
    <s v="Three Stars"/>
    <n v="1526342400"/>
    <s v="Not Specified"/>
    <s v="Not Specified"/>
    <s v="Not Specified"/>
    <n v="39"/>
    <x v="1"/>
    <x v="2"/>
  </r>
  <r>
    <x v="1"/>
    <x v="0"/>
    <x v="320"/>
    <x v="1"/>
    <x v="1"/>
    <x v="392"/>
    <x v="15"/>
    <x v="17"/>
    <x v="21"/>
    <x v="321"/>
    <x v="402"/>
    <s v="somewhat large fit"/>
    <n v="1526342400"/>
    <s v="Not Specified"/>
    <s v="Not Specified"/>
    <s v="Not Specified"/>
    <n v="173"/>
    <x v="1"/>
    <x v="2"/>
  </r>
  <r>
    <x v="0"/>
    <x v="0"/>
    <x v="317"/>
    <x v="1"/>
    <x v="1"/>
    <x v="388"/>
    <x v="15"/>
    <x v="21"/>
    <x v="36"/>
    <x v="319"/>
    <x v="399"/>
    <s v="Five Stars"/>
    <n v="1525478400"/>
    <s v="Not Specified"/>
    <s v="Not Specified"/>
    <s v="Not Specified"/>
    <n v="71"/>
    <x v="0"/>
    <x v="2"/>
  </r>
  <r>
    <x v="0"/>
    <x v="0"/>
    <x v="318"/>
    <x v="1"/>
    <x v="1"/>
    <x v="389"/>
    <x v="15"/>
    <x v="15"/>
    <x v="34"/>
    <x v="320"/>
    <x v="400"/>
    <s v="Five Stars"/>
    <n v="1525305600"/>
    <s v="Not Specified"/>
    <s v="Not Specified"/>
    <s v="Not Specified"/>
    <n v="90"/>
    <x v="0"/>
    <x v="2"/>
  </r>
  <r>
    <x v="1"/>
    <x v="0"/>
    <x v="310"/>
    <x v="1"/>
    <x v="10"/>
    <x v="381"/>
    <x v="15"/>
    <x v="38"/>
    <x v="29"/>
    <x v="5"/>
    <x v="392"/>
    <s v="Three Stars"/>
    <n v="1525046400"/>
    <s v="Not Specified"/>
    <s v="Not Specified"/>
    <s v="Not Specified"/>
    <n v="14"/>
    <x v="1"/>
    <x v="2"/>
  </r>
  <r>
    <x v="0"/>
    <x v="0"/>
    <x v="311"/>
    <x v="1"/>
    <x v="10"/>
    <x v="382"/>
    <x v="15"/>
    <x v="16"/>
    <x v="31"/>
    <x v="315"/>
    <x v="393"/>
    <s v="Five Stars"/>
    <n v="1524700800"/>
    <s v="Not Specified"/>
    <s v="Not Specified"/>
    <s v="Not Specified"/>
    <n v="43"/>
    <x v="0"/>
    <x v="2"/>
  </r>
  <r>
    <x v="0"/>
    <x v="0"/>
    <x v="312"/>
    <x v="1"/>
    <x v="10"/>
    <x v="383"/>
    <x v="15"/>
    <x v="16"/>
    <x v="17"/>
    <x v="316"/>
    <x v="394"/>
    <s v="Great Shoe"/>
    <n v="1524528000"/>
    <s v="Not Specified"/>
    <s v="Not Specified"/>
    <s v="Not Specified"/>
    <n v="160"/>
    <x v="0"/>
    <x v="2"/>
  </r>
  <r>
    <x v="0"/>
    <x v="0"/>
    <x v="50"/>
    <x v="1"/>
    <x v="10"/>
    <x v="40"/>
    <x v="15"/>
    <x v="14"/>
    <x v="17"/>
    <x v="36"/>
    <x v="58"/>
    <s v="Love these shoes"/>
    <n v="1524355200"/>
    <s v="Not Specified"/>
    <s v="Not Specified"/>
    <s v="Not Specified"/>
    <n v="148"/>
    <x v="0"/>
    <x v="2"/>
  </r>
  <r>
    <x v="1"/>
    <x v="0"/>
    <x v="51"/>
    <x v="1"/>
    <x v="10"/>
    <x v="41"/>
    <x v="15"/>
    <x v="17"/>
    <x v="21"/>
    <x v="37"/>
    <x v="59"/>
    <s v="Its not as comfortable as I was expecting"/>
    <n v="1524096000"/>
    <s v="Not Specified"/>
    <s v="Not Specified"/>
    <s v="Not Specified"/>
    <n v="125"/>
    <x v="1"/>
    <x v="2"/>
  </r>
  <r>
    <x v="0"/>
    <x v="0"/>
    <x v="52"/>
    <x v="1"/>
    <x v="10"/>
    <x v="42"/>
    <x v="15"/>
    <x v="16"/>
    <x v="17"/>
    <x v="38"/>
    <x v="60"/>
    <s v="Very Comfortable"/>
    <n v="1524009600"/>
    <s v="Not Specified"/>
    <s v="Not Specified"/>
    <s v="Not Specified"/>
    <n v="123"/>
    <x v="0"/>
    <x v="2"/>
  </r>
  <r>
    <x v="0"/>
    <x v="0"/>
    <x v="52"/>
    <x v="1"/>
    <x v="10"/>
    <x v="43"/>
    <x v="15"/>
    <x v="14"/>
    <x v="21"/>
    <x v="5"/>
    <x v="61"/>
    <s v="The color pattern and fit is what I liked the most what I liked the least is that ..."/>
    <n v="1524009600"/>
    <s v="Not Specified"/>
    <s v="Not Specified"/>
    <s v="Not Specified"/>
    <n v="155"/>
    <x v="0"/>
    <x v="2"/>
  </r>
  <r>
    <x v="0"/>
    <x v="0"/>
    <x v="53"/>
    <x v="1"/>
    <x v="10"/>
    <x v="44"/>
    <x v="15"/>
    <x v="24"/>
    <x v="12"/>
    <x v="39"/>
    <x v="62"/>
    <s v="Great shoe for the price!"/>
    <n v="1523836800"/>
    <s v="Not Specified"/>
    <s v="Not Specified"/>
    <s v="Not Specified"/>
    <n v="158"/>
    <x v="0"/>
    <x v="2"/>
  </r>
  <r>
    <x v="0"/>
    <x v="0"/>
    <x v="54"/>
    <x v="1"/>
    <x v="10"/>
    <x v="45"/>
    <x v="15"/>
    <x v="17"/>
    <x v="17"/>
    <x v="40"/>
    <x v="63"/>
    <s v="Great shoe!"/>
    <n v="1523750400"/>
    <s v="Not Specified"/>
    <s v="Not Specified"/>
    <n v="2"/>
    <n v="774"/>
    <x v="0"/>
    <x v="2"/>
  </r>
  <r>
    <x v="1"/>
    <x v="0"/>
    <x v="55"/>
    <x v="1"/>
    <x v="10"/>
    <x v="46"/>
    <x v="15"/>
    <x v="15"/>
    <x v="21"/>
    <x v="41"/>
    <x v="64"/>
    <s v="Three Stars"/>
    <n v="1523577600"/>
    <s v="Not Specified"/>
    <s v="Not Specified"/>
    <s v="Not Specified"/>
    <n v="85"/>
    <x v="1"/>
    <x v="2"/>
  </r>
  <r>
    <x v="1"/>
    <x v="0"/>
    <x v="56"/>
    <x v="1"/>
    <x v="10"/>
    <x v="47"/>
    <x v="15"/>
    <x v="14"/>
    <x v="23"/>
    <x v="42"/>
    <x v="65"/>
    <s v="Three Stars"/>
    <n v="1523232000"/>
    <s v="Not Specified"/>
    <s v="Not Specified"/>
    <s v="Not Specified"/>
    <n v="4"/>
    <x v="1"/>
    <x v="2"/>
  </r>
  <r>
    <x v="0"/>
    <x v="0"/>
    <x v="56"/>
    <x v="1"/>
    <x v="10"/>
    <x v="48"/>
    <x v="15"/>
    <x v="14"/>
    <x v="17"/>
    <x v="43"/>
    <x v="66"/>
    <s v="Five Stars"/>
    <n v="1523232000"/>
    <s v="Not Specified"/>
    <s v="Not Specified"/>
    <s v="Not Specified"/>
    <n v="7"/>
    <x v="0"/>
    <x v="2"/>
  </r>
  <r>
    <x v="0"/>
    <x v="0"/>
    <x v="57"/>
    <x v="1"/>
    <x v="10"/>
    <x v="49"/>
    <x v="15"/>
    <x v="15"/>
    <x v="17"/>
    <x v="44"/>
    <x v="67"/>
    <s v="Love these shoes"/>
    <n v="1523145600"/>
    <s v="Not Specified"/>
    <s v="Not Specified"/>
    <s v="Not Specified"/>
    <n v="157"/>
    <x v="0"/>
    <x v="2"/>
  </r>
  <r>
    <x v="0"/>
    <x v="0"/>
    <x v="58"/>
    <x v="1"/>
    <x v="10"/>
    <x v="50"/>
    <x v="15"/>
    <x v="25"/>
    <x v="23"/>
    <x v="45"/>
    <x v="68"/>
    <s v="Five Stars"/>
    <n v="1523059200"/>
    <s v="Not Specified"/>
    <s v="Not Specified"/>
    <s v="Not Specified"/>
    <n v="0"/>
    <x v="0"/>
    <x v="2"/>
  </r>
  <r>
    <x v="0"/>
    <x v="0"/>
    <x v="59"/>
    <x v="1"/>
    <x v="10"/>
    <x v="51"/>
    <x v="15"/>
    <x v="17"/>
    <x v="17"/>
    <x v="46"/>
    <x v="69"/>
    <s v="Great cross trainer"/>
    <n v="1522800000"/>
    <s v="Not Specified"/>
    <s v="Not Specified"/>
    <s v="Not Specified"/>
    <n v="35"/>
    <x v="0"/>
    <x v="2"/>
  </r>
  <r>
    <x v="4"/>
    <x v="0"/>
    <x v="60"/>
    <x v="1"/>
    <x v="10"/>
    <x v="52"/>
    <x v="15"/>
    <x v="21"/>
    <x v="23"/>
    <x v="47"/>
    <x v="70"/>
    <s v="They are comfortable for the most but just a bit narrow"/>
    <n v="1522713600"/>
    <s v="Not Specified"/>
    <s v="Not Specified"/>
    <s v="Not Specified"/>
    <n v="213"/>
    <x v="0"/>
    <x v="2"/>
  </r>
  <r>
    <x v="0"/>
    <x v="0"/>
    <x v="60"/>
    <x v="1"/>
    <x v="10"/>
    <x v="53"/>
    <x v="15"/>
    <x v="17"/>
    <x v="17"/>
    <x v="48"/>
    <x v="71"/>
    <s v="staple sneakers"/>
    <n v="1522713600"/>
    <s v="Not Specified"/>
    <s v="Not Specified"/>
    <s v="Not Specified"/>
    <n v="105"/>
    <x v="0"/>
    <x v="2"/>
  </r>
  <r>
    <x v="0"/>
    <x v="0"/>
    <x v="61"/>
    <x v="1"/>
    <x v="5"/>
    <x v="54"/>
    <x v="15"/>
    <x v="21"/>
    <x v="17"/>
    <x v="49"/>
    <x v="72"/>
    <s v="Great looking shoe"/>
    <n v="1522454400"/>
    <s v="Not Specified"/>
    <s v="Not Specified"/>
    <s v="Not Specified"/>
    <n v="48"/>
    <x v="0"/>
    <x v="2"/>
  </r>
  <r>
    <x v="0"/>
    <x v="0"/>
    <x v="62"/>
    <x v="1"/>
    <x v="5"/>
    <x v="55"/>
    <x v="15"/>
    <x v="14"/>
    <x v="24"/>
    <x v="50"/>
    <x v="73"/>
    <s v="Great shoes."/>
    <n v="1522195200"/>
    <s v="Not Specified"/>
    <s v="Not Specified"/>
    <s v="Not Specified"/>
    <n v="90"/>
    <x v="0"/>
    <x v="2"/>
  </r>
  <r>
    <x v="1"/>
    <x v="0"/>
    <x v="63"/>
    <x v="1"/>
    <x v="5"/>
    <x v="56"/>
    <x v="15"/>
    <x v="21"/>
    <x v="23"/>
    <x v="51"/>
    <x v="74"/>
    <s v="Style 10/10, Comfort 3/10"/>
    <n v="1522108800"/>
    <s v="Not Specified"/>
    <s v="Not Specified"/>
    <s v="Not Specified"/>
    <n v="121"/>
    <x v="1"/>
    <x v="2"/>
  </r>
  <r>
    <x v="0"/>
    <x v="0"/>
    <x v="64"/>
    <x v="1"/>
    <x v="5"/>
    <x v="57"/>
    <x v="15"/>
    <x v="17"/>
    <x v="21"/>
    <x v="52"/>
    <x v="75"/>
    <s v="these shoes are great! Very lightweight and fits comfortably on my feet ..."/>
    <n v="1521676800"/>
    <s v="Not Specified"/>
    <s v="Not Specified"/>
    <n v="2"/>
    <n v="277"/>
    <x v="0"/>
    <x v="2"/>
  </r>
  <r>
    <x v="0"/>
    <x v="0"/>
    <x v="64"/>
    <x v="1"/>
    <x v="5"/>
    <x v="58"/>
    <x v="15"/>
    <x v="16"/>
    <x v="17"/>
    <x v="53"/>
    <x v="76"/>
    <s v="Great shoes. Fit perfectly"/>
    <n v="1521676800"/>
    <s v="Not Specified"/>
    <s v="Not Specified"/>
    <s v="Not Specified"/>
    <n v="129"/>
    <x v="0"/>
    <x v="2"/>
  </r>
  <r>
    <x v="0"/>
    <x v="0"/>
    <x v="65"/>
    <x v="1"/>
    <x v="5"/>
    <x v="59"/>
    <x v="15"/>
    <x v="26"/>
    <x v="23"/>
    <x v="54"/>
    <x v="77"/>
    <s v="Five Stars"/>
    <n v="1521590400"/>
    <s v="Not Specified"/>
    <s v="Not Specified"/>
    <s v="Not Specified"/>
    <n v="56"/>
    <x v="0"/>
    <x v="2"/>
  </r>
  <r>
    <x v="0"/>
    <x v="0"/>
    <x v="66"/>
    <x v="1"/>
    <x v="5"/>
    <x v="60"/>
    <x v="15"/>
    <x v="15"/>
    <x v="17"/>
    <x v="55"/>
    <x v="78"/>
    <s v="Perfect. Lightweight and comfortable all day"/>
    <n v="1521504000"/>
    <s v="Not Specified"/>
    <s v="Not Specified"/>
    <s v="Not Specified"/>
    <n v="137"/>
    <x v="0"/>
    <x v="2"/>
  </r>
  <r>
    <x v="0"/>
    <x v="0"/>
    <x v="67"/>
    <x v="1"/>
    <x v="5"/>
    <x v="61"/>
    <x v="15"/>
    <x v="21"/>
    <x v="17"/>
    <x v="56"/>
    <x v="79"/>
    <s v="My knees feel better so so hard so good"/>
    <n v="1521417600"/>
    <s v="Not Specified"/>
    <s v="Not Specified"/>
    <s v="Not Specified"/>
    <n v="211"/>
    <x v="0"/>
    <x v="2"/>
  </r>
  <r>
    <x v="0"/>
    <x v="0"/>
    <x v="67"/>
    <x v="1"/>
    <x v="5"/>
    <x v="62"/>
    <x v="15"/>
    <x v="21"/>
    <x v="24"/>
    <x v="57"/>
    <x v="80"/>
    <s v="Five Stars"/>
    <n v="1521417600"/>
    <s v="Not Specified"/>
    <s v="Not Specified"/>
    <s v="Not Specified"/>
    <n v="15"/>
    <x v="0"/>
    <x v="2"/>
  </r>
  <r>
    <x v="4"/>
    <x v="0"/>
    <x v="68"/>
    <x v="1"/>
    <x v="5"/>
    <x v="63"/>
    <x v="15"/>
    <x v="46"/>
    <x v="25"/>
    <x v="58"/>
    <x v="81"/>
    <s v="Comfortable, lightweight Xtrainer"/>
    <n v="1521244800"/>
    <s v="Not Specified"/>
    <s v="Not Specified"/>
    <s v="Not Specified"/>
    <n v="127"/>
    <x v="0"/>
    <x v="2"/>
  </r>
  <r>
    <x v="0"/>
    <x v="0"/>
    <x v="69"/>
    <x v="1"/>
    <x v="5"/>
    <x v="64"/>
    <x v="15"/>
    <x v="22"/>
    <x v="17"/>
    <x v="59"/>
    <x v="82"/>
    <s v="Great shoe!"/>
    <n v="1520899200"/>
    <s v="Not Specified"/>
    <s v="Not Specified"/>
    <s v="Not Specified"/>
    <n v="174"/>
    <x v="0"/>
    <x v="2"/>
  </r>
  <r>
    <x v="3"/>
    <x v="0"/>
    <x v="70"/>
    <x v="1"/>
    <x v="5"/>
    <x v="65"/>
    <x v="15"/>
    <x v="16"/>
    <x v="26"/>
    <x v="60"/>
    <x v="83"/>
    <s v="Returned...looked cheap"/>
    <n v="1520726400"/>
    <s v="Not Specified"/>
    <s v="Not Specified"/>
    <s v="Not Specified"/>
    <n v="22"/>
    <x v="2"/>
    <x v="2"/>
  </r>
  <r>
    <x v="0"/>
    <x v="0"/>
    <x v="71"/>
    <x v="1"/>
    <x v="5"/>
    <x v="66"/>
    <x v="15"/>
    <x v="17"/>
    <x v="17"/>
    <x v="5"/>
    <x v="84"/>
    <s v="Fits to size"/>
    <n v="1520208000"/>
    <s v="Not Specified"/>
    <s v="Not Specified"/>
    <s v="Not Specified"/>
    <n v="22"/>
    <x v="0"/>
    <x v="2"/>
  </r>
  <r>
    <x v="0"/>
    <x v="0"/>
    <x v="72"/>
    <x v="1"/>
    <x v="5"/>
    <x v="67"/>
    <x v="15"/>
    <x v="25"/>
    <x v="17"/>
    <x v="61"/>
    <x v="85"/>
    <s v="Very comfortable shoes. This is my second pair of this ..."/>
    <n v="1519948800"/>
    <s v="Not Specified"/>
    <s v="Not Specified"/>
    <s v="Not Specified"/>
    <n v="100"/>
    <x v="0"/>
    <x v="2"/>
  </r>
  <r>
    <x v="0"/>
    <x v="0"/>
    <x v="73"/>
    <x v="1"/>
    <x v="8"/>
    <x v="68"/>
    <x v="15"/>
    <x v="22"/>
    <x v="17"/>
    <x v="62"/>
    <x v="86"/>
    <s v="Sleek and sporty"/>
    <n v="1519776000"/>
    <s v="Not Specified"/>
    <s v="Not Specified"/>
    <s v="Not Specified"/>
    <n v="58"/>
    <x v="0"/>
    <x v="2"/>
  </r>
  <r>
    <x v="0"/>
    <x v="0"/>
    <x v="74"/>
    <x v="1"/>
    <x v="8"/>
    <x v="69"/>
    <x v="15"/>
    <x v="21"/>
    <x v="17"/>
    <x v="5"/>
    <x v="87"/>
    <s v="I love the shoes and the description and photos were accurate"/>
    <n v="1519689600"/>
    <s v="Not Specified"/>
    <s v="Not Specified"/>
    <s v="Not Specified"/>
    <n v="269"/>
    <x v="0"/>
    <x v="2"/>
  </r>
  <r>
    <x v="0"/>
    <x v="0"/>
    <x v="74"/>
    <x v="1"/>
    <x v="8"/>
    <x v="70"/>
    <x v="15"/>
    <x v="21"/>
    <x v="21"/>
    <x v="63"/>
    <x v="88"/>
    <s v="Great fit!"/>
    <n v="1519689600"/>
    <s v="Not Specified"/>
    <s v="Not Specified"/>
    <s v="Not Specified"/>
    <n v="152"/>
    <x v="0"/>
    <x v="2"/>
  </r>
  <r>
    <x v="0"/>
    <x v="0"/>
    <x v="74"/>
    <x v="1"/>
    <x v="8"/>
    <x v="71"/>
    <x v="15"/>
    <x v="16"/>
    <x v="17"/>
    <x v="64"/>
    <x v="89"/>
    <s v="Lightweight"/>
    <n v="1519689600"/>
    <s v="Not Specified"/>
    <s v="Not Specified"/>
    <s v="Not Specified"/>
    <n v="46"/>
    <x v="0"/>
    <x v="2"/>
  </r>
  <r>
    <x v="3"/>
    <x v="0"/>
    <x v="75"/>
    <x v="1"/>
    <x v="8"/>
    <x v="72"/>
    <x v="15"/>
    <x v="21"/>
    <x v="17"/>
    <x v="65"/>
    <x v="90"/>
    <s v="Squeaky soles"/>
    <n v="1519516800"/>
    <s v="Not Specified"/>
    <s v="Not Specified"/>
    <s v="Not Specified"/>
    <n v="282"/>
    <x v="2"/>
    <x v="2"/>
  </r>
  <r>
    <x v="2"/>
    <x v="0"/>
    <x v="75"/>
    <x v="1"/>
    <x v="8"/>
    <x v="73"/>
    <x v="15"/>
    <x v="17"/>
    <x v="17"/>
    <x v="5"/>
    <x v="91"/>
    <s v="Two Stars"/>
    <n v="1519516800"/>
    <s v="Not Specified"/>
    <s v="Not Specified"/>
    <s v="Not Specified"/>
    <n v="89"/>
    <x v="2"/>
    <x v="2"/>
  </r>
  <r>
    <x v="0"/>
    <x v="0"/>
    <x v="76"/>
    <x v="1"/>
    <x v="8"/>
    <x v="74"/>
    <x v="15"/>
    <x v="15"/>
    <x v="17"/>
    <x v="66"/>
    <x v="92"/>
    <s v="Comfortable and"/>
    <n v="1519171200"/>
    <s v="Not Specified"/>
    <s v="Not Specified"/>
    <s v="Not Specified"/>
    <n v="45"/>
    <x v="0"/>
    <x v="2"/>
  </r>
  <r>
    <x v="0"/>
    <x v="0"/>
    <x v="77"/>
    <x v="1"/>
    <x v="8"/>
    <x v="75"/>
    <x v="15"/>
    <x v="22"/>
    <x v="23"/>
    <x v="67"/>
    <x v="93"/>
    <s v="Their Cute and Pink"/>
    <n v="1519084800"/>
    <s v="Not Specified"/>
    <s v="Not Specified"/>
    <s v="Not Specified"/>
    <n v="47"/>
    <x v="0"/>
    <x v="2"/>
  </r>
  <r>
    <x v="0"/>
    <x v="0"/>
    <x v="78"/>
    <x v="1"/>
    <x v="8"/>
    <x v="76"/>
    <x v="15"/>
    <x v="21"/>
    <x v="21"/>
    <x v="68"/>
    <x v="94"/>
    <s v="Five Stars"/>
    <n v="1518566400"/>
    <s v="Not Specified"/>
    <s v="Not Specified"/>
    <s v="Not Specified"/>
    <n v="46"/>
    <x v="0"/>
    <x v="2"/>
  </r>
  <r>
    <x v="0"/>
    <x v="0"/>
    <x v="78"/>
    <x v="1"/>
    <x v="8"/>
    <x v="77"/>
    <x v="15"/>
    <x v="14"/>
    <x v="17"/>
    <x v="5"/>
    <x v="95"/>
    <s v="Smooth and confortable."/>
    <n v="1518566400"/>
    <s v="Not Specified"/>
    <s v="Not Specified"/>
    <s v="Not Specified"/>
    <n v="17"/>
    <x v="0"/>
    <x v="2"/>
  </r>
  <r>
    <x v="0"/>
    <x v="0"/>
    <x v="79"/>
    <x v="1"/>
    <x v="8"/>
    <x v="78"/>
    <x v="15"/>
    <x v="15"/>
    <x v="27"/>
    <x v="69"/>
    <x v="96"/>
    <s v="Five Stars"/>
    <n v="1518393600"/>
    <s v="Not Specified"/>
    <s v="Not Specified"/>
    <s v="Not Specified"/>
    <n v="19"/>
    <x v="0"/>
    <x v="2"/>
  </r>
  <r>
    <x v="0"/>
    <x v="0"/>
    <x v="80"/>
    <x v="1"/>
    <x v="8"/>
    <x v="79"/>
    <x v="15"/>
    <x v="21"/>
    <x v="44"/>
    <x v="70"/>
    <x v="97"/>
    <s v="decent arch support and comfortably to wear all day doing regular activity and sprinting"/>
    <n v="1517443200"/>
    <s v="Not Specified"/>
    <s v="Not Specified"/>
    <s v="Not Specified"/>
    <n v="102"/>
    <x v="0"/>
    <x v="2"/>
  </r>
  <r>
    <x v="0"/>
    <x v="0"/>
    <x v="80"/>
    <x v="1"/>
    <x v="8"/>
    <x v="80"/>
    <x v="15"/>
    <x v="14"/>
    <x v="17"/>
    <x v="71"/>
    <x v="98"/>
    <s v="Five Stars"/>
    <n v="1517443200"/>
    <s v="Not Specified"/>
    <s v="Not Specified"/>
    <s v="Not Specified"/>
    <n v="19"/>
    <x v="0"/>
    <x v="2"/>
  </r>
  <r>
    <x v="0"/>
    <x v="0"/>
    <x v="81"/>
    <x v="1"/>
    <x v="2"/>
    <x v="81"/>
    <x v="15"/>
    <x v="26"/>
    <x v="28"/>
    <x v="72"/>
    <x v="99"/>
    <s v="Good shoes"/>
    <n v="1517184000"/>
    <s v="Not Specified"/>
    <s v="Not Specified"/>
    <s v="Not Specified"/>
    <n v="132"/>
    <x v="0"/>
    <x v="2"/>
  </r>
  <r>
    <x v="4"/>
    <x v="0"/>
    <x v="2"/>
    <x v="1"/>
    <x v="2"/>
    <x v="82"/>
    <x v="15"/>
    <x v="16"/>
    <x v="17"/>
    <x v="73"/>
    <x v="100"/>
    <s v="Good shoes"/>
    <n v="1516838400"/>
    <s v="Not Specified"/>
    <s v="Not Specified"/>
    <s v="Not Specified"/>
    <n v="860"/>
    <x v="0"/>
    <x v="2"/>
  </r>
  <r>
    <x v="0"/>
    <x v="0"/>
    <x v="82"/>
    <x v="1"/>
    <x v="2"/>
    <x v="83"/>
    <x v="15"/>
    <x v="22"/>
    <x v="29"/>
    <x v="74"/>
    <x v="101"/>
    <s v="Five Stars"/>
    <n v="1516233600"/>
    <s v="Not Specified"/>
    <s v="Not Specified"/>
    <s v="Not Specified"/>
    <n v="16"/>
    <x v="0"/>
    <x v="2"/>
  </r>
  <r>
    <x v="0"/>
    <x v="0"/>
    <x v="83"/>
    <x v="1"/>
    <x v="2"/>
    <x v="84"/>
    <x v="15"/>
    <x v="44"/>
    <x v="25"/>
    <x v="75"/>
    <x v="102"/>
    <s v="Five Stars"/>
    <n v="1515628800"/>
    <s v="Not Specified"/>
    <s v="Not Specified"/>
    <s v="Not Specified"/>
    <n v="81"/>
    <x v="0"/>
    <x v="2"/>
  </r>
  <r>
    <x v="3"/>
    <x v="0"/>
    <x v="84"/>
    <x v="1"/>
    <x v="2"/>
    <x v="85"/>
    <x v="15"/>
    <x v="24"/>
    <x v="30"/>
    <x v="76"/>
    <x v="103"/>
    <s v="One Star"/>
    <n v="1515542400"/>
    <s v="Not Specified"/>
    <s v="Not Specified"/>
    <s v="Not Specified"/>
    <n v="27"/>
    <x v="2"/>
    <x v="2"/>
  </r>
  <r>
    <x v="1"/>
    <x v="0"/>
    <x v="85"/>
    <x v="1"/>
    <x v="2"/>
    <x v="87"/>
    <x v="15"/>
    <x v="16"/>
    <x v="21"/>
    <x v="78"/>
    <x v="105"/>
    <s v="Not in perfect condition"/>
    <n v="1515456000"/>
    <s v="Not Specified"/>
    <s v="Not Specified"/>
    <s v="Not Specified"/>
    <n v="54"/>
    <x v="1"/>
    <x v="2"/>
  </r>
  <r>
    <x v="0"/>
    <x v="0"/>
    <x v="86"/>
    <x v="1"/>
    <x v="2"/>
    <x v="88"/>
    <x v="15"/>
    <x v="17"/>
    <x v="17"/>
    <x v="79"/>
    <x v="106"/>
    <s v="Very comfortable, cute, and long-lasting"/>
    <n v="1515369600"/>
    <s v="Not Specified"/>
    <s v="Not Specified"/>
    <s v="Not Specified"/>
    <n v="715"/>
    <x v="0"/>
    <x v="2"/>
  </r>
  <r>
    <x v="0"/>
    <x v="0"/>
    <x v="86"/>
    <x v="1"/>
    <x v="2"/>
    <x v="89"/>
    <x v="15"/>
    <x v="24"/>
    <x v="31"/>
    <x v="80"/>
    <x v="107"/>
    <s v="Super light-weight, nice tread and arch support - love them so far!"/>
    <n v="1515369600"/>
    <s v="Not Specified"/>
    <s v="Not Specified"/>
    <s v="Not Specified"/>
    <n v="1003"/>
    <x v="0"/>
    <x v="2"/>
  </r>
  <r>
    <x v="0"/>
    <x v="0"/>
    <x v="87"/>
    <x v="1"/>
    <x v="2"/>
    <x v="90"/>
    <x v="15"/>
    <x v="21"/>
    <x v="23"/>
    <x v="81"/>
    <x v="108"/>
    <s v="Five Stars"/>
    <n v="1515283200"/>
    <s v="Not Specified"/>
    <s v="Not Specified"/>
    <s v="Not Specified"/>
    <n v="51"/>
    <x v="0"/>
    <x v="2"/>
  </r>
  <r>
    <x v="0"/>
    <x v="0"/>
    <x v="88"/>
    <x v="2"/>
    <x v="11"/>
    <x v="91"/>
    <x v="15"/>
    <x v="42"/>
    <x v="25"/>
    <x v="5"/>
    <x v="109"/>
    <s v="My wife loves these shoes. We have both been ..."/>
    <n v="1514505600"/>
    <s v="Not Specified"/>
    <s v="Not Specified"/>
    <s v="Not Specified"/>
    <n v="240"/>
    <x v="0"/>
    <x v="2"/>
  </r>
  <r>
    <x v="0"/>
    <x v="0"/>
    <x v="89"/>
    <x v="2"/>
    <x v="11"/>
    <x v="92"/>
    <x v="15"/>
    <x v="15"/>
    <x v="27"/>
    <x v="82"/>
    <x v="110"/>
    <s v="New Favorite Shoes"/>
    <n v="1514419200"/>
    <s v="Not Specified"/>
    <s v="Not Specified"/>
    <s v="Not Specified"/>
    <n v="68"/>
    <x v="0"/>
    <x v="2"/>
  </r>
  <r>
    <x v="2"/>
    <x v="0"/>
    <x v="90"/>
    <x v="2"/>
    <x v="11"/>
    <x v="93"/>
    <x v="15"/>
    <x v="25"/>
    <x v="29"/>
    <x v="83"/>
    <x v="111"/>
    <s v="Foam compresses"/>
    <n v="1513468800"/>
    <s v="Not Specified"/>
    <s v="Not Specified"/>
    <s v="Not Specified"/>
    <n v="263"/>
    <x v="2"/>
    <x v="2"/>
  </r>
  <r>
    <x v="0"/>
    <x v="0"/>
    <x v="90"/>
    <x v="2"/>
    <x v="11"/>
    <x v="94"/>
    <x v="15"/>
    <x v="21"/>
    <x v="17"/>
    <x v="84"/>
    <x v="112"/>
    <s v="Five Stars"/>
    <n v="1513468800"/>
    <s v="Not Specified"/>
    <s v="Not Specified"/>
    <s v="Not Specified"/>
    <n v="14"/>
    <x v="0"/>
    <x v="2"/>
  </r>
  <r>
    <x v="1"/>
    <x v="0"/>
    <x v="91"/>
    <x v="2"/>
    <x v="11"/>
    <x v="95"/>
    <x v="15"/>
    <x v="17"/>
    <x v="23"/>
    <x v="85"/>
    <x v="113"/>
    <s v="I usually wear a 9 but could have easily ordered a 8"/>
    <n v="1512432000"/>
    <s v="Not Specified"/>
    <s v="Not Specified"/>
    <s v="Not Specified"/>
    <n v="757"/>
    <x v="1"/>
    <x v="2"/>
  </r>
  <r>
    <x v="0"/>
    <x v="0"/>
    <x v="91"/>
    <x v="2"/>
    <x v="11"/>
    <x v="96"/>
    <x v="15"/>
    <x v="21"/>
    <x v="24"/>
    <x v="86"/>
    <x v="114"/>
    <s v="Five Stars"/>
    <n v="1512432000"/>
    <s v="Not Specified"/>
    <s v="Not Specified"/>
    <s v="Not Specified"/>
    <n v="5"/>
    <x v="0"/>
    <x v="2"/>
  </r>
  <r>
    <x v="0"/>
    <x v="0"/>
    <x v="92"/>
    <x v="2"/>
    <x v="11"/>
    <x v="97"/>
    <x v="15"/>
    <x v="26"/>
    <x v="24"/>
    <x v="5"/>
    <x v="115"/>
    <s v="Five Stars"/>
    <n v="1512345600"/>
    <s v="Not Specified"/>
    <s v="Not Specified"/>
    <s v="Not Specified"/>
    <n v="1"/>
    <x v="0"/>
    <x v="2"/>
  </r>
  <r>
    <x v="0"/>
    <x v="0"/>
    <x v="93"/>
    <x v="2"/>
    <x v="7"/>
    <x v="98"/>
    <x v="15"/>
    <x v="17"/>
    <x v="23"/>
    <x v="87"/>
    <x v="116"/>
    <s v="Five Stars"/>
    <n v="1512000000"/>
    <s v="Not Specified"/>
    <s v="Not Specified"/>
    <s v="Not Specified"/>
    <n v="10"/>
    <x v="0"/>
    <x v="2"/>
  </r>
  <r>
    <x v="1"/>
    <x v="0"/>
    <x v="93"/>
    <x v="2"/>
    <x v="7"/>
    <x v="99"/>
    <x v="15"/>
    <x v="17"/>
    <x v="17"/>
    <x v="5"/>
    <x v="117"/>
    <s v="Fits snug"/>
    <n v="1512000000"/>
    <s v="Not Specified"/>
    <s v="Not Specified"/>
    <s v="Not Specified"/>
    <n v="192"/>
    <x v="1"/>
    <x v="2"/>
  </r>
  <r>
    <x v="1"/>
    <x v="0"/>
    <x v="94"/>
    <x v="2"/>
    <x v="7"/>
    <x v="100"/>
    <x v="15"/>
    <x v="24"/>
    <x v="12"/>
    <x v="88"/>
    <x v="118"/>
    <s v="Not sure why, but my mid section of my ..."/>
    <n v="1511827200"/>
    <s v="Not Specified"/>
    <s v="Not Specified"/>
    <s v="Not Specified"/>
    <n v="194"/>
    <x v="1"/>
    <x v="2"/>
  </r>
  <r>
    <x v="4"/>
    <x v="0"/>
    <x v="94"/>
    <x v="2"/>
    <x v="7"/>
    <x v="101"/>
    <x v="15"/>
    <x v="30"/>
    <x v="28"/>
    <x v="89"/>
    <x v="119"/>
    <s v="Love"/>
    <n v="1511827200"/>
    <s v="Not Specified"/>
    <s v="Not Specified"/>
    <s v="Not Specified"/>
    <n v="27"/>
    <x v="0"/>
    <x v="2"/>
  </r>
  <r>
    <x v="0"/>
    <x v="0"/>
    <x v="95"/>
    <x v="2"/>
    <x v="7"/>
    <x v="102"/>
    <x v="15"/>
    <x v="17"/>
    <x v="24"/>
    <x v="90"/>
    <x v="120"/>
    <s v="Five Stars"/>
    <n v="1511740800"/>
    <s v="Not Specified"/>
    <s v="Not Specified"/>
    <s v="Not Specified"/>
    <n v="8"/>
    <x v="0"/>
    <x v="2"/>
  </r>
  <r>
    <x v="0"/>
    <x v="0"/>
    <x v="95"/>
    <x v="2"/>
    <x v="7"/>
    <x v="102"/>
    <x v="15"/>
    <x v="17"/>
    <x v="27"/>
    <x v="90"/>
    <x v="120"/>
    <s v="Five Stars"/>
    <n v="1511740800"/>
    <s v="Not Specified"/>
    <s v="Not Specified"/>
    <s v="Not Specified"/>
    <n v="8"/>
    <x v="0"/>
    <x v="2"/>
  </r>
  <r>
    <x v="3"/>
    <x v="0"/>
    <x v="96"/>
    <x v="2"/>
    <x v="7"/>
    <x v="103"/>
    <x v="15"/>
    <x v="15"/>
    <x v="17"/>
    <x v="91"/>
    <x v="121"/>
    <s v="TOO NARROW!"/>
    <n v="1511049600"/>
    <s v="Not Specified"/>
    <s v="Not Specified"/>
    <s v="Not Specified"/>
    <n v="133"/>
    <x v="2"/>
    <x v="2"/>
  </r>
  <r>
    <x v="0"/>
    <x v="0"/>
    <x v="97"/>
    <x v="2"/>
    <x v="7"/>
    <x v="104"/>
    <x v="15"/>
    <x v="17"/>
    <x v="24"/>
    <x v="92"/>
    <x v="122"/>
    <s v="Consider sizing down 1 size"/>
    <n v="1510617600"/>
    <s v="Not Specified"/>
    <s v="Not Specified"/>
    <s v="Not Specified"/>
    <n v="232"/>
    <x v="0"/>
    <x v="2"/>
  </r>
  <r>
    <x v="4"/>
    <x v="0"/>
    <x v="98"/>
    <x v="2"/>
    <x v="7"/>
    <x v="105"/>
    <x v="15"/>
    <x v="21"/>
    <x v="32"/>
    <x v="93"/>
    <x v="123"/>
    <s v="Seem to Run Big"/>
    <n v="1510358400"/>
    <s v="Not Specified"/>
    <s v="Not Specified"/>
    <s v="Not Specified"/>
    <n v="104"/>
    <x v="0"/>
    <x v="2"/>
  </r>
  <r>
    <x v="0"/>
    <x v="0"/>
    <x v="99"/>
    <x v="2"/>
    <x v="7"/>
    <x v="106"/>
    <x v="15"/>
    <x v="30"/>
    <x v="28"/>
    <x v="94"/>
    <x v="124"/>
    <s v="Five Stars"/>
    <n v="1510272000"/>
    <s v="Not Specified"/>
    <s v="Not Specified"/>
    <s v="Not Specified"/>
    <n v="15"/>
    <x v="0"/>
    <x v="2"/>
  </r>
  <r>
    <x v="0"/>
    <x v="0"/>
    <x v="100"/>
    <x v="2"/>
    <x v="7"/>
    <x v="107"/>
    <x v="15"/>
    <x v="14"/>
    <x v="17"/>
    <x v="5"/>
    <x v="125"/>
    <s v="Perfect for trails"/>
    <n v="1510185600"/>
    <s v="Not Specified"/>
    <s v="Not Specified"/>
    <s v="Not Specified"/>
    <n v="278"/>
    <x v="0"/>
    <x v="2"/>
  </r>
  <r>
    <x v="4"/>
    <x v="0"/>
    <x v="101"/>
    <x v="2"/>
    <x v="7"/>
    <x v="108"/>
    <x v="15"/>
    <x v="17"/>
    <x v="23"/>
    <x v="95"/>
    <x v="126"/>
    <s v="Four Stars"/>
    <n v="1510012800"/>
    <s v="Not Specified"/>
    <s v="Not Specified"/>
    <s v="Not Specified"/>
    <n v="8"/>
    <x v="0"/>
    <x v="2"/>
  </r>
  <r>
    <x v="2"/>
    <x v="0"/>
    <x v="102"/>
    <x v="2"/>
    <x v="7"/>
    <x v="109"/>
    <x v="15"/>
    <x v="14"/>
    <x v="33"/>
    <x v="5"/>
    <x v="127"/>
    <s v="Zumba) - and really wanted to like them, since I loved the color and the ..."/>
    <n v="1509840000"/>
    <s v="Not Specified"/>
    <s v="Not Specified"/>
    <n v="6"/>
    <n v="467"/>
    <x v="2"/>
    <x v="2"/>
  </r>
  <r>
    <x v="0"/>
    <x v="0"/>
    <x v="103"/>
    <x v="2"/>
    <x v="7"/>
    <x v="110"/>
    <x v="15"/>
    <x v="22"/>
    <x v="23"/>
    <x v="96"/>
    <x v="128"/>
    <s v="Five Stars"/>
    <n v="1509753600"/>
    <s v="Not Specified"/>
    <s v="Not Specified"/>
    <s v="Not Specified"/>
    <n v="39"/>
    <x v="0"/>
    <x v="2"/>
  </r>
  <r>
    <x v="1"/>
    <x v="0"/>
    <x v="103"/>
    <x v="2"/>
    <x v="7"/>
    <x v="111"/>
    <x v="15"/>
    <x v="16"/>
    <x v="33"/>
    <x v="97"/>
    <x v="129"/>
    <s v="Three Stars"/>
    <n v="1509753600"/>
    <s v="Not Specified"/>
    <s v="Not Specified"/>
    <s v="Not Specified"/>
    <n v="38"/>
    <x v="1"/>
    <x v="2"/>
  </r>
  <r>
    <x v="4"/>
    <x v="0"/>
    <x v="104"/>
    <x v="2"/>
    <x v="7"/>
    <x v="112"/>
    <x v="15"/>
    <x v="21"/>
    <x v="23"/>
    <x v="98"/>
    <x v="130"/>
    <s v="Size problem"/>
    <n v="1509667200"/>
    <s v="Not Specified"/>
    <s v="Not Specified"/>
    <s v="Not Specified"/>
    <n v="23"/>
    <x v="0"/>
    <x v="2"/>
  </r>
  <r>
    <x v="0"/>
    <x v="0"/>
    <x v="105"/>
    <x v="2"/>
    <x v="7"/>
    <x v="113"/>
    <x v="15"/>
    <x v="21"/>
    <x v="24"/>
    <x v="99"/>
    <x v="116"/>
    <s v="Five Stars"/>
    <n v="1509580800"/>
    <s v="Not Specified"/>
    <s v="Not Specified"/>
    <s v="Not Specified"/>
    <n v="10"/>
    <x v="0"/>
    <x v="2"/>
  </r>
  <r>
    <x v="4"/>
    <x v="0"/>
    <x v="106"/>
    <x v="2"/>
    <x v="3"/>
    <x v="114"/>
    <x v="15"/>
    <x v="15"/>
    <x v="34"/>
    <x v="100"/>
    <x v="131"/>
    <s v="True to size, would recommend"/>
    <n v="1509408000"/>
    <s v="Not Specified"/>
    <s v="Not Specified"/>
    <s v="Not Specified"/>
    <n v="152"/>
    <x v="0"/>
    <x v="2"/>
  </r>
  <r>
    <x v="0"/>
    <x v="0"/>
    <x v="107"/>
    <x v="2"/>
    <x v="3"/>
    <x v="115"/>
    <x v="15"/>
    <x v="22"/>
    <x v="23"/>
    <x v="101"/>
    <x v="132"/>
    <s v="Best birthday present"/>
    <n v="1509235200"/>
    <s v="Not Specified"/>
    <s v="Not Specified"/>
    <s v="Not Specified"/>
    <n v="21"/>
    <x v="0"/>
    <x v="2"/>
  </r>
  <r>
    <x v="0"/>
    <x v="0"/>
    <x v="108"/>
    <x v="2"/>
    <x v="3"/>
    <x v="116"/>
    <x v="15"/>
    <x v="30"/>
    <x v="17"/>
    <x v="102"/>
    <x v="133"/>
    <s v="Purchased these for my wife as she has a similar ..."/>
    <n v="1508976000"/>
    <s v="Not Specified"/>
    <s v="Not Specified"/>
    <s v="Not Specified"/>
    <n v="185"/>
    <x v="0"/>
    <x v="2"/>
  </r>
  <r>
    <x v="0"/>
    <x v="0"/>
    <x v="108"/>
    <x v="2"/>
    <x v="3"/>
    <x v="117"/>
    <x v="15"/>
    <x v="14"/>
    <x v="24"/>
    <x v="103"/>
    <x v="134"/>
    <s v="I have pretty high arches and my calves always hurt at the ..."/>
    <n v="1508976000"/>
    <s v="Not Specified"/>
    <s v="Not Specified"/>
    <s v="Not Specified"/>
    <n v="351"/>
    <x v="0"/>
    <x v="2"/>
  </r>
  <r>
    <x v="0"/>
    <x v="0"/>
    <x v="12"/>
    <x v="2"/>
    <x v="3"/>
    <x v="118"/>
    <x v="15"/>
    <x v="21"/>
    <x v="35"/>
    <x v="104"/>
    <x v="135"/>
    <s v="Five Stars"/>
    <n v="1508889600"/>
    <s v="Not Specified"/>
    <s v="Not Specified"/>
    <s v="Not Specified"/>
    <n v="11"/>
    <x v="0"/>
    <x v="2"/>
  </r>
  <r>
    <x v="0"/>
    <x v="0"/>
    <x v="109"/>
    <x v="2"/>
    <x v="3"/>
    <x v="119"/>
    <x v="15"/>
    <x v="15"/>
    <x v="33"/>
    <x v="105"/>
    <x v="136"/>
    <s v="Five Stars"/>
    <n v="1508803200"/>
    <s v="Not Specified"/>
    <s v="Not Specified"/>
    <s v="Not Specified"/>
    <n v="35"/>
    <x v="0"/>
    <x v="2"/>
  </r>
  <r>
    <x v="0"/>
    <x v="0"/>
    <x v="110"/>
    <x v="2"/>
    <x v="3"/>
    <x v="120"/>
    <x v="15"/>
    <x v="21"/>
    <x v="36"/>
    <x v="106"/>
    <x v="137"/>
    <s v="Five Stars"/>
    <n v="1508630400"/>
    <s v="Not Specified"/>
    <s v="Not Specified"/>
    <s v="Not Specified"/>
    <n v="14"/>
    <x v="0"/>
    <x v="2"/>
  </r>
  <r>
    <x v="1"/>
    <x v="0"/>
    <x v="111"/>
    <x v="2"/>
    <x v="3"/>
    <x v="121"/>
    <x v="15"/>
    <x v="17"/>
    <x v="23"/>
    <x v="107"/>
    <x v="138"/>
    <s v="They are really light and not as sturdy as what I was looking for but over all ..."/>
    <n v="1508284800"/>
    <s v="Not Specified"/>
    <s v="Not Specified"/>
    <s v="Not Specified"/>
    <n v="201"/>
    <x v="1"/>
    <x v="2"/>
  </r>
  <r>
    <x v="0"/>
    <x v="0"/>
    <x v="112"/>
    <x v="2"/>
    <x v="3"/>
    <x v="122"/>
    <x v="15"/>
    <x v="15"/>
    <x v="24"/>
    <x v="5"/>
    <x v="139"/>
    <s v="Five Stars"/>
    <n v="1507852800"/>
    <s v="Not Specified"/>
    <s v="Not Specified"/>
    <s v="Not Specified"/>
    <n v="25"/>
    <x v="0"/>
    <x v="2"/>
  </r>
  <r>
    <x v="1"/>
    <x v="0"/>
    <x v="113"/>
    <x v="2"/>
    <x v="3"/>
    <x v="123"/>
    <x v="15"/>
    <x v="31"/>
    <x v="17"/>
    <x v="108"/>
    <x v="140"/>
    <s v="l always buy Nike shoes and been happy so far"/>
    <n v="1507593600"/>
    <s v="Not Specified"/>
    <s v="Not Specified"/>
    <s v="Not Specified"/>
    <n v="192"/>
    <x v="1"/>
    <x v="2"/>
  </r>
  <r>
    <x v="0"/>
    <x v="0"/>
    <x v="114"/>
    <x v="2"/>
    <x v="3"/>
    <x v="124"/>
    <x v="15"/>
    <x v="24"/>
    <x v="12"/>
    <x v="109"/>
    <x v="141"/>
    <s v="Honestly Fantastic Shoes"/>
    <n v="1506988800"/>
    <s v="Not Specified"/>
    <s v="Not Specified"/>
    <s v="Not Specified"/>
    <n v="230"/>
    <x v="0"/>
    <x v="2"/>
  </r>
  <r>
    <x v="0"/>
    <x v="0"/>
    <x v="115"/>
    <x v="2"/>
    <x v="3"/>
    <x v="125"/>
    <x v="15"/>
    <x v="15"/>
    <x v="24"/>
    <x v="5"/>
    <x v="142"/>
    <s v="Absolutely love these shoes and color"/>
    <n v="1506902400"/>
    <s v="Not Specified"/>
    <s v="Not Specified"/>
    <s v="Not Specified"/>
    <n v="171"/>
    <x v="0"/>
    <x v="2"/>
  </r>
  <r>
    <x v="0"/>
    <x v="0"/>
    <x v="116"/>
    <x v="2"/>
    <x v="0"/>
    <x v="126"/>
    <x v="15"/>
    <x v="17"/>
    <x v="12"/>
    <x v="110"/>
    <x v="143"/>
    <s v="Five Stars"/>
    <n v="1506470400"/>
    <s v="Not Specified"/>
    <s v="Not Specified"/>
    <s v="Not Specified"/>
    <n v="12"/>
    <x v="0"/>
    <x v="2"/>
  </r>
  <r>
    <x v="0"/>
    <x v="0"/>
    <x v="116"/>
    <x v="2"/>
    <x v="0"/>
    <x v="127"/>
    <x v="15"/>
    <x v="32"/>
    <x v="37"/>
    <x v="111"/>
    <x v="144"/>
    <s v="Nike runs small"/>
    <n v="1506470400"/>
    <s v="Not Specified"/>
    <s v="Not Specified"/>
    <s v="Not Specified"/>
    <n v="70"/>
    <x v="0"/>
    <x v="2"/>
  </r>
  <r>
    <x v="0"/>
    <x v="0"/>
    <x v="33"/>
    <x v="2"/>
    <x v="0"/>
    <x v="128"/>
    <x v="15"/>
    <x v="16"/>
    <x v="17"/>
    <x v="112"/>
    <x v="145"/>
    <s v="Five Stars"/>
    <n v="1506384000"/>
    <s v="Not Specified"/>
    <s v="Not Specified"/>
    <s v="Not Specified"/>
    <n v="9"/>
    <x v="0"/>
    <x v="2"/>
  </r>
  <r>
    <x v="0"/>
    <x v="0"/>
    <x v="117"/>
    <x v="2"/>
    <x v="0"/>
    <x v="129"/>
    <x v="15"/>
    <x v="22"/>
    <x v="17"/>
    <x v="113"/>
    <x v="146"/>
    <s v="Five Stars"/>
    <n v="1506297600"/>
    <s v="Not Specified"/>
    <s v="Not Specified"/>
    <s v="Not Specified"/>
    <n v="50"/>
    <x v="0"/>
    <x v="2"/>
  </r>
  <r>
    <x v="0"/>
    <x v="0"/>
    <x v="118"/>
    <x v="2"/>
    <x v="0"/>
    <x v="130"/>
    <x v="15"/>
    <x v="22"/>
    <x v="12"/>
    <x v="5"/>
    <x v="147"/>
    <s v="Very Happy Customer"/>
    <n v="1505865600"/>
    <s v="Not Specified"/>
    <s v="Not Specified"/>
    <s v="Not Specified"/>
    <n v="370"/>
    <x v="0"/>
    <x v="2"/>
  </r>
  <r>
    <x v="0"/>
    <x v="0"/>
    <x v="119"/>
    <x v="2"/>
    <x v="0"/>
    <x v="131"/>
    <x v="15"/>
    <x v="21"/>
    <x v="17"/>
    <x v="114"/>
    <x v="148"/>
    <s v="and very comfortable."/>
    <n v="1505692800"/>
    <s v="Not Specified"/>
    <s v="Not Specified"/>
    <s v="Not Specified"/>
    <n v="49"/>
    <x v="0"/>
    <x v="2"/>
  </r>
  <r>
    <x v="0"/>
    <x v="0"/>
    <x v="120"/>
    <x v="2"/>
    <x v="0"/>
    <x v="132"/>
    <x v="15"/>
    <x v="22"/>
    <x v="33"/>
    <x v="5"/>
    <x v="149"/>
    <s v="nice sneakers. Fit as expected"/>
    <n v="1505520000"/>
    <s v="Not Specified"/>
    <s v="Not Specified"/>
    <s v="Not Specified"/>
    <n v="40"/>
    <x v="0"/>
    <x v="2"/>
  </r>
  <r>
    <x v="0"/>
    <x v="0"/>
    <x v="121"/>
    <x v="2"/>
    <x v="0"/>
    <x v="133"/>
    <x v="15"/>
    <x v="15"/>
    <x v="34"/>
    <x v="115"/>
    <x v="150"/>
    <s v="5 stars"/>
    <n v="1505347200"/>
    <s v="Not Specified"/>
    <s v="Not Specified"/>
    <s v="Not Specified"/>
    <n v="23"/>
    <x v="0"/>
    <x v="2"/>
  </r>
  <r>
    <x v="0"/>
    <x v="0"/>
    <x v="122"/>
    <x v="2"/>
    <x v="0"/>
    <x v="134"/>
    <x v="15"/>
    <x v="21"/>
    <x v="38"/>
    <x v="116"/>
    <x v="151"/>
    <s v="Five Stars"/>
    <n v="1505260800"/>
    <s v="Not Specified"/>
    <s v="Not Specified"/>
    <s v="Not Specified"/>
    <n v="28"/>
    <x v="0"/>
    <x v="2"/>
  </r>
  <r>
    <x v="0"/>
    <x v="0"/>
    <x v="123"/>
    <x v="2"/>
    <x v="0"/>
    <x v="135"/>
    <x v="15"/>
    <x v="17"/>
    <x v="23"/>
    <x v="5"/>
    <x v="152"/>
    <s v="Five Stars"/>
    <n v="1505001600"/>
    <s v="Not Specified"/>
    <s v="Not Specified"/>
    <s v="Not Specified"/>
    <n v="48"/>
    <x v="0"/>
    <x v="2"/>
  </r>
  <r>
    <x v="0"/>
    <x v="0"/>
    <x v="124"/>
    <x v="2"/>
    <x v="0"/>
    <x v="136"/>
    <x v="15"/>
    <x v="21"/>
    <x v="33"/>
    <x v="117"/>
    <x v="153"/>
    <s v="These shoes fit like a glove"/>
    <n v="1504742400"/>
    <s v="Not Specified"/>
    <s v="Not Specified"/>
    <s v="Not Specified"/>
    <n v="119"/>
    <x v="0"/>
    <x v="2"/>
  </r>
  <r>
    <x v="0"/>
    <x v="0"/>
    <x v="125"/>
    <x v="2"/>
    <x v="0"/>
    <x v="137"/>
    <x v="15"/>
    <x v="22"/>
    <x v="23"/>
    <x v="118"/>
    <x v="154"/>
    <s v="Five Stars"/>
    <n v="1504569600"/>
    <s v="Not Specified"/>
    <s v="Not Specified"/>
    <s v="Not Specified"/>
    <n v="16"/>
    <x v="0"/>
    <x v="2"/>
  </r>
  <r>
    <x v="0"/>
    <x v="0"/>
    <x v="126"/>
    <x v="2"/>
    <x v="0"/>
    <x v="138"/>
    <x v="15"/>
    <x v="22"/>
    <x v="17"/>
    <x v="119"/>
    <x v="155"/>
    <s v="Five Stars"/>
    <n v="1504483200"/>
    <s v="Not Specified"/>
    <s v="Not Specified"/>
    <s v="Not Specified"/>
    <n v="12"/>
    <x v="0"/>
    <x v="2"/>
  </r>
  <r>
    <x v="4"/>
    <x v="0"/>
    <x v="127"/>
    <x v="2"/>
    <x v="4"/>
    <x v="139"/>
    <x v="15"/>
    <x v="21"/>
    <x v="33"/>
    <x v="120"/>
    <x v="156"/>
    <s v="Nike always makes a good shoe."/>
    <n v="1503964800"/>
    <s v="Not Specified"/>
    <s v="Not Specified"/>
    <s v="Not Specified"/>
    <n v="118"/>
    <x v="0"/>
    <x v="2"/>
  </r>
  <r>
    <x v="3"/>
    <x v="0"/>
    <x v="127"/>
    <x v="2"/>
    <x v="4"/>
    <x v="140"/>
    <x v="15"/>
    <x v="31"/>
    <x v="17"/>
    <x v="121"/>
    <x v="157"/>
    <s v="One Star"/>
    <n v="1503964800"/>
    <s v="Not Specified"/>
    <s v="Not Specified"/>
    <s v="Not Specified"/>
    <n v="52"/>
    <x v="2"/>
    <x v="2"/>
  </r>
  <r>
    <x v="0"/>
    <x v="0"/>
    <x v="127"/>
    <x v="2"/>
    <x v="4"/>
    <x v="141"/>
    <x v="15"/>
    <x v="17"/>
    <x v="17"/>
    <x v="122"/>
    <x v="158"/>
    <s v="Five Stars"/>
    <n v="1503964800"/>
    <s v="Not Specified"/>
    <s v="Not Specified"/>
    <s v="Not Specified"/>
    <n v="30"/>
    <x v="0"/>
    <x v="2"/>
  </r>
  <r>
    <x v="0"/>
    <x v="0"/>
    <x v="128"/>
    <x v="2"/>
    <x v="4"/>
    <x v="142"/>
    <x v="15"/>
    <x v="15"/>
    <x v="12"/>
    <x v="123"/>
    <x v="159"/>
    <s v=" Shoes"/>
    <n v="1503792000"/>
    <s v="Not Specified"/>
    <s v="Not Specified"/>
    <s v="Not Specified"/>
    <n v="17"/>
    <x v="0"/>
    <x v="2"/>
  </r>
  <r>
    <x v="4"/>
    <x v="0"/>
    <x v="129"/>
    <x v="2"/>
    <x v="4"/>
    <x v="143"/>
    <x v="15"/>
    <x v="17"/>
    <x v="31"/>
    <x v="124"/>
    <x v="160"/>
    <s v="Love these shoes"/>
    <n v="1503532800"/>
    <s v="Not Specified"/>
    <s v="Not Specified"/>
    <s v="Not Specified"/>
    <n v="225"/>
    <x v="0"/>
    <x v="2"/>
  </r>
  <r>
    <x v="3"/>
    <x v="0"/>
    <x v="129"/>
    <x v="2"/>
    <x v="4"/>
    <x v="144"/>
    <x v="15"/>
    <x v="22"/>
    <x v="29"/>
    <x v="125"/>
    <x v="161"/>
    <s v="I loved these shoes"/>
    <n v="1503532800"/>
    <s v="Not Specified"/>
    <s v="Not Specified"/>
    <s v="Not Specified"/>
    <n v="213"/>
    <x v="2"/>
    <x v="2"/>
  </r>
  <r>
    <x v="0"/>
    <x v="0"/>
    <x v="130"/>
    <x v="2"/>
    <x v="4"/>
    <x v="145"/>
    <x v="15"/>
    <x v="30"/>
    <x v="24"/>
    <x v="126"/>
    <x v="162"/>
    <s v="perfect"/>
    <n v="1503273600"/>
    <s v="Not Specified"/>
    <s v="Not Specified"/>
    <s v="Not Specified"/>
    <n v="55"/>
    <x v="0"/>
    <x v="2"/>
  </r>
  <r>
    <x v="0"/>
    <x v="0"/>
    <x v="131"/>
    <x v="2"/>
    <x v="4"/>
    <x v="146"/>
    <x v="15"/>
    <x v="14"/>
    <x v="17"/>
    <x v="127"/>
    <x v="163"/>
    <s v="Five Stars"/>
    <n v="1503187200"/>
    <s v="Not Specified"/>
    <s v="Not Specified"/>
    <s v="Not Specified"/>
    <n v="10"/>
    <x v="0"/>
    <x v="2"/>
  </r>
  <r>
    <x v="1"/>
    <x v="0"/>
    <x v="132"/>
    <x v="2"/>
    <x v="4"/>
    <x v="147"/>
    <x v="15"/>
    <x v="30"/>
    <x v="39"/>
    <x v="128"/>
    <x v="164"/>
    <s v="found a Ryka pair I liked"/>
    <n v="1502928000"/>
    <s v="Not Specified"/>
    <s v="Not Specified"/>
    <s v="Not Specified"/>
    <n v="50"/>
    <x v="1"/>
    <x v="2"/>
  </r>
  <r>
    <x v="0"/>
    <x v="0"/>
    <x v="132"/>
    <x v="2"/>
    <x v="4"/>
    <x v="148"/>
    <x v="15"/>
    <x v="15"/>
    <x v="17"/>
    <x v="129"/>
    <x v="165"/>
    <s v="Five Stars"/>
    <n v="1502928000"/>
    <s v="Not Specified"/>
    <s v="Not Specified"/>
    <s v="Not Specified"/>
    <n v="37"/>
    <x v="0"/>
    <x v="2"/>
  </r>
  <r>
    <x v="0"/>
    <x v="0"/>
    <x v="133"/>
    <x v="2"/>
    <x v="4"/>
    <x v="149"/>
    <x v="15"/>
    <x v="3"/>
    <x v="26"/>
    <x v="5"/>
    <x v="166"/>
    <s v="Five Stars"/>
    <n v="1502755200"/>
    <s v="Not Specified"/>
    <s v="Not Specified"/>
    <s v="Not Specified"/>
    <n v="16"/>
    <x v="0"/>
    <x v="2"/>
  </r>
  <r>
    <x v="0"/>
    <x v="0"/>
    <x v="134"/>
    <x v="2"/>
    <x v="4"/>
    <x v="150"/>
    <x v="15"/>
    <x v="21"/>
    <x v="17"/>
    <x v="130"/>
    <x v="167"/>
    <s v="the best sneakers by far"/>
    <n v="1502668800"/>
    <s v="Not Specified"/>
    <s v="Not Specified"/>
    <s v="Not Specified"/>
    <n v="145"/>
    <x v="0"/>
    <x v="2"/>
  </r>
  <r>
    <x v="0"/>
    <x v="0"/>
    <x v="135"/>
    <x v="2"/>
    <x v="4"/>
    <x v="151"/>
    <x v="15"/>
    <x v="17"/>
    <x v="17"/>
    <x v="131"/>
    <x v="168"/>
    <s v="Classically comfortable and durable"/>
    <n v="1502496000"/>
    <s v="Not Specified"/>
    <s v="Not Specified"/>
    <s v="Not Specified"/>
    <n v="230"/>
    <x v="0"/>
    <x v="2"/>
  </r>
  <r>
    <x v="4"/>
    <x v="0"/>
    <x v="136"/>
    <x v="2"/>
    <x v="4"/>
    <x v="152"/>
    <x v="15"/>
    <x v="30"/>
    <x v="17"/>
    <x v="132"/>
    <x v="169"/>
    <s v="Four Stars"/>
    <n v="1502409600"/>
    <s v="Not Specified"/>
    <s v="Not Specified"/>
    <s v="Not Specified"/>
    <n v="59"/>
    <x v="0"/>
    <x v="2"/>
  </r>
  <r>
    <x v="1"/>
    <x v="0"/>
    <x v="137"/>
    <x v="2"/>
    <x v="4"/>
    <x v="153"/>
    <x v="15"/>
    <x v="17"/>
    <x v="17"/>
    <x v="133"/>
    <x v="170"/>
    <s v="the Nike Womens Flex Trainer 6 is way better looking and costs about the same"/>
    <n v="1502150400"/>
    <s v="Not Specified"/>
    <s v="Not Specified"/>
    <s v="Not Specified"/>
    <n v="138"/>
    <x v="1"/>
    <x v="2"/>
  </r>
  <r>
    <x v="0"/>
    <x v="0"/>
    <x v="137"/>
    <x v="2"/>
    <x v="4"/>
    <x v="154"/>
    <x v="15"/>
    <x v="25"/>
    <x v="17"/>
    <x v="134"/>
    <x v="171"/>
    <s v="Five Stars"/>
    <n v="1502150400"/>
    <s v="Not Specified"/>
    <s v="Not Specified"/>
    <s v="Not Specified"/>
    <n v="27"/>
    <x v="0"/>
    <x v="2"/>
  </r>
  <r>
    <x v="0"/>
    <x v="0"/>
    <x v="138"/>
    <x v="2"/>
    <x v="4"/>
    <x v="155"/>
    <x v="15"/>
    <x v="21"/>
    <x v="44"/>
    <x v="135"/>
    <x v="172"/>
    <s v="Five Stars"/>
    <n v="1502064000"/>
    <s v="Not Specified"/>
    <s v="Not Specified"/>
    <s v="Not Specified"/>
    <n v="10"/>
    <x v="0"/>
    <x v="2"/>
  </r>
  <r>
    <x v="0"/>
    <x v="0"/>
    <x v="139"/>
    <x v="2"/>
    <x v="4"/>
    <x v="156"/>
    <x v="15"/>
    <x v="22"/>
    <x v="23"/>
    <x v="136"/>
    <x v="173"/>
    <s v="Love the color and fit"/>
    <n v="1501804800"/>
    <s v="Not Specified"/>
    <s v="Not Specified"/>
    <s v="Not Specified"/>
    <n v="114"/>
    <x v="0"/>
    <x v="2"/>
  </r>
  <r>
    <x v="1"/>
    <x v="0"/>
    <x v="140"/>
    <x v="2"/>
    <x v="4"/>
    <x v="157"/>
    <x v="15"/>
    <x v="33"/>
    <x v="17"/>
    <x v="137"/>
    <x v="174"/>
    <s v="OK"/>
    <n v="1501632000"/>
    <s v="Not Specified"/>
    <s v="Not Specified"/>
    <s v="Not Specified"/>
    <n v="264"/>
    <x v="1"/>
    <x v="2"/>
  </r>
  <r>
    <x v="0"/>
    <x v="0"/>
    <x v="141"/>
    <x v="2"/>
    <x v="9"/>
    <x v="158"/>
    <x v="15"/>
    <x v="17"/>
    <x v="17"/>
    <x v="5"/>
    <x v="175"/>
    <s v="Great fit!"/>
    <n v="1500508800"/>
    <s v="Not Specified"/>
    <s v="Not Specified"/>
    <s v="Not Specified"/>
    <n v="34"/>
    <x v="0"/>
    <x v="2"/>
  </r>
  <r>
    <x v="0"/>
    <x v="0"/>
    <x v="142"/>
    <x v="2"/>
    <x v="9"/>
    <x v="159"/>
    <x v="15"/>
    <x v="21"/>
    <x v="33"/>
    <x v="138"/>
    <x v="176"/>
    <s v="Very satisfied with the seller - delivered on time"/>
    <n v="1500336000"/>
    <s v="Not Specified"/>
    <s v="Not Specified"/>
    <s v="Not Specified"/>
    <n v="124"/>
    <x v="0"/>
    <x v="2"/>
  </r>
  <r>
    <x v="4"/>
    <x v="0"/>
    <x v="142"/>
    <x v="2"/>
    <x v="9"/>
    <x v="160"/>
    <x v="15"/>
    <x v="22"/>
    <x v="26"/>
    <x v="139"/>
    <x v="177"/>
    <s v="Four Stars"/>
    <n v="1500336000"/>
    <s v="Not Specified"/>
    <s v="Not Specified"/>
    <s v="Not Specified"/>
    <n v="28"/>
    <x v="0"/>
    <x v="2"/>
  </r>
  <r>
    <x v="0"/>
    <x v="0"/>
    <x v="142"/>
    <x v="2"/>
    <x v="9"/>
    <x v="161"/>
    <x v="15"/>
    <x v="14"/>
    <x v="17"/>
    <x v="140"/>
    <x v="178"/>
    <s v="Comfortable shoe for both workout sessions and walking"/>
    <n v="1500336000"/>
    <s v="Not Specified"/>
    <s v="Not Specified"/>
    <s v="Not Specified"/>
    <n v="184"/>
    <x v="0"/>
    <x v="2"/>
  </r>
  <r>
    <x v="0"/>
    <x v="0"/>
    <x v="142"/>
    <x v="2"/>
    <x v="9"/>
    <x v="162"/>
    <x v="15"/>
    <x v="16"/>
    <x v="17"/>
    <x v="141"/>
    <x v="68"/>
    <s v="Five Stars"/>
    <n v="1500336000"/>
    <s v="Not Specified"/>
    <s v="Not Specified"/>
    <s v="Not Specified"/>
    <n v="0"/>
    <x v="0"/>
    <x v="2"/>
  </r>
  <r>
    <x v="0"/>
    <x v="0"/>
    <x v="142"/>
    <x v="2"/>
    <x v="9"/>
    <x v="163"/>
    <x v="15"/>
    <x v="17"/>
    <x v="12"/>
    <x v="142"/>
    <x v="65"/>
    <s v="Five Stars"/>
    <n v="1500336000"/>
    <s v="Not Specified"/>
    <s v="Not Specified"/>
    <s v="Not Specified"/>
    <n v="4"/>
    <x v="0"/>
    <x v="2"/>
  </r>
  <r>
    <x v="0"/>
    <x v="0"/>
    <x v="142"/>
    <x v="2"/>
    <x v="9"/>
    <x v="164"/>
    <x v="15"/>
    <x v="17"/>
    <x v="39"/>
    <x v="5"/>
    <x v="179"/>
    <s v="These are the best shoes I have ever use for my workouts"/>
    <n v="1500336000"/>
    <s v="Not Specified"/>
    <s v="Not Specified"/>
    <s v="Not Specified"/>
    <n v="99"/>
    <x v="0"/>
    <x v="2"/>
  </r>
  <r>
    <x v="0"/>
    <x v="0"/>
    <x v="142"/>
    <x v="2"/>
    <x v="9"/>
    <x v="165"/>
    <x v="15"/>
    <x v="15"/>
    <x v="17"/>
    <x v="143"/>
    <x v="180"/>
    <s v="I love these shoes"/>
    <n v="1500336000"/>
    <s v="Not Specified"/>
    <s v="Not Specified"/>
    <s v="Not Specified"/>
    <n v="178"/>
    <x v="0"/>
    <x v="2"/>
  </r>
  <r>
    <x v="0"/>
    <x v="0"/>
    <x v="143"/>
    <x v="2"/>
    <x v="9"/>
    <x v="166"/>
    <x v="15"/>
    <x v="16"/>
    <x v="28"/>
    <x v="144"/>
    <x v="181"/>
    <s v="Five Stars"/>
    <n v="1500076800"/>
    <s v="Not Specified"/>
    <s v="Not Specified"/>
    <s v="Not Specified"/>
    <n v="30"/>
    <x v="0"/>
    <x v="2"/>
  </r>
  <r>
    <x v="1"/>
    <x v="0"/>
    <x v="143"/>
    <x v="2"/>
    <x v="9"/>
    <x v="167"/>
    <x v="15"/>
    <x v="21"/>
    <x v="23"/>
    <x v="145"/>
    <x v="182"/>
    <s v="Low cut heels"/>
    <n v="1500076800"/>
    <s v="Not Specified"/>
    <s v="Not Specified"/>
    <s v="Not Specified"/>
    <n v="130"/>
    <x v="1"/>
    <x v="2"/>
  </r>
  <r>
    <x v="0"/>
    <x v="0"/>
    <x v="144"/>
    <x v="2"/>
    <x v="9"/>
    <x v="168"/>
    <x v="15"/>
    <x v="30"/>
    <x v="30"/>
    <x v="146"/>
    <x v="183"/>
    <s v="Perfect"/>
    <n v="1499558400"/>
    <s v="Not Specified"/>
    <s v="Not Specified"/>
    <s v="Not Specified"/>
    <n v="112"/>
    <x v="0"/>
    <x v="2"/>
  </r>
  <r>
    <x v="0"/>
    <x v="0"/>
    <x v="145"/>
    <x v="2"/>
    <x v="9"/>
    <x v="169"/>
    <x v="15"/>
    <x v="34"/>
    <x v="25"/>
    <x v="147"/>
    <x v="184"/>
    <s v="Exactly what I wanted"/>
    <n v="1499472000"/>
    <s v="Not Specified"/>
    <s v="Not Specified"/>
    <s v="Not Specified"/>
    <n v="22"/>
    <x v="0"/>
    <x v="2"/>
  </r>
  <r>
    <x v="4"/>
    <x v="0"/>
    <x v="146"/>
    <x v="2"/>
    <x v="9"/>
    <x v="170"/>
    <x v="15"/>
    <x v="15"/>
    <x v="17"/>
    <x v="148"/>
    <x v="185"/>
    <s v="Light shoes"/>
    <n v="1499385600"/>
    <s v="Not Specified"/>
    <s v="Not Specified"/>
    <s v="Not Specified"/>
    <n v="453"/>
    <x v="0"/>
    <x v="2"/>
  </r>
  <r>
    <x v="1"/>
    <x v="1"/>
    <x v="147"/>
    <x v="2"/>
    <x v="9"/>
    <x v="171"/>
    <x v="15"/>
    <x v="24"/>
    <x v="12"/>
    <x v="149"/>
    <x v="186"/>
    <s v="Good indoor training shoes"/>
    <n v="1498867200"/>
    <s v="Not Specified"/>
    <s v="Not Specified"/>
    <s v="Not Specified"/>
    <n v="566"/>
    <x v="1"/>
    <x v="2"/>
  </r>
  <r>
    <x v="0"/>
    <x v="0"/>
    <x v="148"/>
    <x v="2"/>
    <x v="6"/>
    <x v="172"/>
    <x v="15"/>
    <x v="15"/>
    <x v="17"/>
    <x v="150"/>
    <x v="187"/>
    <s v="So Perf."/>
    <n v="1498780800"/>
    <s v="Not Specified"/>
    <s v="Not Specified"/>
    <s v="Not Specified"/>
    <n v="5"/>
    <x v="0"/>
    <x v="2"/>
  </r>
  <r>
    <x v="0"/>
    <x v="0"/>
    <x v="149"/>
    <x v="2"/>
    <x v="6"/>
    <x v="173"/>
    <x v="15"/>
    <x v="22"/>
    <x v="32"/>
    <x v="151"/>
    <x v="188"/>
    <s v="Five Stars"/>
    <n v="1498608000"/>
    <s v="Not Specified"/>
    <s v="Not Specified"/>
    <s v="Not Specified"/>
    <n v="18"/>
    <x v="0"/>
    <x v="2"/>
  </r>
  <r>
    <x v="0"/>
    <x v="0"/>
    <x v="150"/>
    <x v="2"/>
    <x v="6"/>
    <x v="174"/>
    <x v="15"/>
    <x v="15"/>
    <x v="34"/>
    <x v="152"/>
    <x v="189"/>
    <s v="Five Stars"/>
    <n v="1498435200"/>
    <s v="Not Specified"/>
    <s v="Not Specified"/>
    <s v="Not Specified"/>
    <n v="8"/>
    <x v="0"/>
    <x v="2"/>
  </r>
  <r>
    <x v="0"/>
    <x v="0"/>
    <x v="151"/>
    <x v="2"/>
    <x v="6"/>
    <x v="175"/>
    <x v="15"/>
    <x v="17"/>
    <x v="24"/>
    <x v="5"/>
    <x v="190"/>
    <s v="Great work out shoe"/>
    <n v="1498003200"/>
    <s v="Not Specified"/>
    <s v="Not Specified"/>
    <s v="Not Specified"/>
    <n v="141"/>
    <x v="0"/>
    <x v="2"/>
  </r>
  <r>
    <x v="0"/>
    <x v="0"/>
    <x v="152"/>
    <x v="2"/>
    <x v="6"/>
    <x v="176"/>
    <x v="15"/>
    <x v="44"/>
    <x v="25"/>
    <x v="153"/>
    <x v="191"/>
    <s v="I love these shoes so much that I reordered another pair ..."/>
    <n v="1497916800"/>
    <s v="Not Specified"/>
    <s v="Not Specified"/>
    <s v="Not Specified"/>
    <n v="275"/>
    <x v="0"/>
    <x v="2"/>
  </r>
  <r>
    <x v="0"/>
    <x v="0"/>
    <x v="152"/>
    <x v="2"/>
    <x v="6"/>
    <x v="177"/>
    <x v="15"/>
    <x v="15"/>
    <x v="17"/>
    <x v="154"/>
    <x v="192"/>
    <s v="Comfortable, light weight, nice."/>
    <n v="1497916800"/>
    <s v="Not Specified"/>
    <s v="Not Specified"/>
    <s v="Not Specified"/>
    <n v="69"/>
    <x v="0"/>
    <x v="2"/>
  </r>
  <r>
    <x v="4"/>
    <x v="0"/>
    <x v="153"/>
    <x v="2"/>
    <x v="6"/>
    <x v="178"/>
    <x v="15"/>
    <x v="15"/>
    <x v="17"/>
    <x v="155"/>
    <x v="193"/>
    <s v="Four Stars"/>
    <n v="1497830400"/>
    <s v="Not Specified"/>
    <s v="Not Specified"/>
    <s v="Not Specified"/>
    <n v="12"/>
    <x v="0"/>
    <x v="2"/>
  </r>
  <r>
    <x v="0"/>
    <x v="0"/>
    <x v="153"/>
    <x v="2"/>
    <x v="6"/>
    <x v="179"/>
    <x v="15"/>
    <x v="25"/>
    <x v="17"/>
    <x v="156"/>
    <x v="194"/>
    <s v="I feel like this pair of shoes was made for my feet"/>
    <n v="1497830400"/>
    <s v="Not Specified"/>
    <s v="Not Specified"/>
    <s v="Not Specified"/>
    <n v="108"/>
    <x v="0"/>
    <x v="2"/>
  </r>
  <r>
    <x v="0"/>
    <x v="0"/>
    <x v="153"/>
    <x v="2"/>
    <x v="6"/>
    <x v="180"/>
    <x v="15"/>
    <x v="17"/>
    <x v="17"/>
    <x v="5"/>
    <x v="195"/>
    <s v="Awesome shoes!!!"/>
    <n v="1497830400"/>
    <s v="Not Specified"/>
    <s v="Not Specified"/>
    <s v="Not Specified"/>
    <n v="76"/>
    <x v="0"/>
    <x v="2"/>
  </r>
  <r>
    <x v="1"/>
    <x v="0"/>
    <x v="15"/>
    <x v="2"/>
    <x v="6"/>
    <x v="181"/>
    <x v="15"/>
    <x v="16"/>
    <x v="17"/>
    <x v="157"/>
    <x v="196"/>
    <s v="Just wasn't what i was looking for"/>
    <n v="1497571200"/>
    <s v="Not Specified"/>
    <s v="Not Specified"/>
    <s v="Not Specified"/>
    <n v="468"/>
    <x v="1"/>
    <x v="2"/>
  </r>
  <r>
    <x v="0"/>
    <x v="0"/>
    <x v="154"/>
    <x v="2"/>
    <x v="6"/>
    <x v="182"/>
    <x v="15"/>
    <x v="22"/>
    <x v="17"/>
    <x v="158"/>
    <x v="197"/>
    <s v="So comfortable, I don't even feel like I have a ..."/>
    <n v="1497484800"/>
    <s v="Not Specified"/>
    <s v="Not Specified"/>
    <s v="Not Specified"/>
    <n v="125"/>
    <x v="0"/>
    <x v="2"/>
  </r>
  <r>
    <x v="0"/>
    <x v="0"/>
    <x v="154"/>
    <x v="2"/>
    <x v="6"/>
    <x v="183"/>
    <x v="15"/>
    <x v="17"/>
    <x v="30"/>
    <x v="159"/>
    <x v="198"/>
    <s v="Five Stars"/>
    <n v="1497484800"/>
    <s v="Not Specified"/>
    <s v="Not Specified"/>
    <s v="Not Specified"/>
    <n v="56"/>
    <x v="0"/>
    <x v="2"/>
  </r>
  <r>
    <x v="0"/>
    <x v="0"/>
    <x v="155"/>
    <x v="2"/>
    <x v="6"/>
    <x v="184"/>
    <x v="15"/>
    <x v="15"/>
    <x v="18"/>
    <x v="5"/>
    <x v="199"/>
    <s v="Five Stars"/>
    <n v="1497398400"/>
    <s v="Not Specified"/>
    <s v="Not Specified"/>
    <s v="Not Specified"/>
    <n v="21"/>
    <x v="0"/>
    <x v="2"/>
  </r>
  <r>
    <x v="0"/>
    <x v="0"/>
    <x v="156"/>
    <x v="2"/>
    <x v="6"/>
    <x v="185"/>
    <x v="15"/>
    <x v="22"/>
    <x v="32"/>
    <x v="160"/>
    <x v="200"/>
    <s v="Five Stars"/>
    <n v="1497312000"/>
    <s v="Not Specified"/>
    <s v="Not Specified"/>
    <s v="Not Specified"/>
    <n v="64"/>
    <x v="0"/>
    <x v="2"/>
  </r>
  <r>
    <x v="0"/>
    <x v="0"/>
    <x v="157"/>
    <x v="2"/>
    <x v="6"/>
    <x v="186"/>
    <x v="15"/>
    <x v="22"/>
    <x v="24"/>
    <x v="161"/>
    <x v="201"/>
    <s v="Five Stars"/>
    <n v="1496880000"/>
    <s v="Not Specified"/>
    <s v="Not Specified"/>
    <s v="Not Specified"/>
    <n v="27"/>
    <x v="0"/>
    <x v="2"/>
  </r>
  <r>
    <x v="3"/>
    <x v="0"/>
    <x v="158"/>
    <x v="2"/>
    <x v="6"/>
    <x v="187"/>
    <x v="15"/>
    <x v="42"/>
    <x v="25"/>
    <x v="162"/>
    <x v="202"/>
    <s v="Falling apart already!!"/>
    <n v="1496620800"/>
    <s v="Not Specified"/>
    <s v="Not Specified"/>
    <s v="Not Specified"/>
    <n v="75"/>
    <x v="2"/>
    <x v="2"/>
  </r>
  <r>
    <x v="0"/>
    <x v="0"/>
    <x v="159"/>
    <x v="2"/>
    <x v="6"/>
    <x v="188"/>
    <x v="15"/>
    <x v="21"/>
    <x v="17"/>
    <x v="163"/>
    <x v="203"/>
    <s v="Five Stars"/>
    <n v="1496361600"/>
    <s v="Not Specified"/>
    <s v="Not Specified"/>
    <s v="Not Specified"/>
    <n v="91"/>
    <x v="0"/>
    <x v="2"/>
  </r>
  <r>
    <x v="0"/>
    <x v="0"/>
    <x v="160"/>
    <x v="2"/>
    <x v="1"/>
    <x v="189"/>
    <x v="15"/>
    <x v="14"/>
    <x v="17"/>
    <x v="164"/>
    <x v="135"/>
    <s v="Five Stars"/>
    <n v="1496102400"/>
    <s v="Not Specified"/>
    <s v="Not Specified"/>
    <s v="Not Specified"/>
    <n v="11"/>
    <x v="0"/>
    <x v="2"/>
  </r>
  <r>
    <x v="0"/>
    <x v="0"/>
    <x v="160"/>
    <x v="2"/>
    <x v="1"/>
    <x v="190"/>
    <x v="15"/>
    <x v="30"/>
    <x v="26"/>
    <x v="165"/>
    <x v="204"/>
    <s v="love the fit"/>
    <n v="1496102400"/>
    <s v="Not Specified"/>
    <s v="Not Specified"/>
    <s v="Not Specified"/>
    <n v="61"/>
    <x v="0"/>
    <x v="2"/>
  </r>
  <r>
    <x v="4"/>
    <x v="0"/>
    <x v="161"/>
    <x v="2"/>
    <x v="1"/>
    <x v="191"/>
    <x v="15"/>
    <x v="44"/>
    <x v="25"/>
    <x v="166"/>
    <x v="205"/>
    <s v="Nike"/>
    <n v="1496016000"/>
    <s v="Not Specified"/>
    <s v="Not Specified"/>
    <s v="Not Specified"/>
    <n v="65"/>
    <x v="0"/>
    <x v="2"/>
  </r>
  <r>
    <x v="1"/>
    <x v="0"/>
    <x v="162"/>
    <x v="2"/>
    <x v="1"/>
    <x v="192"/>
    <x v="15"/>
    <x v="30"/>
    <x v="17"/>
    <x v="167"/>
    <x v="206"/>
    <s v="Nope"/>
    <n v="1495670400"/>
    <s v="Not Specified"/>
    <s v="Not Specified"/>
    <s v="Not Specified"/>
    <n v="40"/>
    <x v="1"/>
    <x v="2"/>
  </r>
  <r>
    <x v="0"/>
    <x v="0"/>
    <x v="163"/>
    <x v="2"/>
    <x v="1"/>
    <x v="193"/>
    <x v="15"/>
    <x v="21"/>
    <x v="17"/>
    <x v="168"/>
    <x v="207"/>
    <s v="It is comfortable."/>
    <n v="1495411200"/>
    <s v="Not Specified"/>
    <s v="Not Specified"/>
    <s v="Not Specified"/>
    <n v="45"/>
    <x v="0"/>
    <x v="2"/>
  </r>
  <r>
    <x v="0"/>
    <x v="0"/>
    <x v="163"/>
    <x v="2"/>
    <x v="1"/>
    <x v="194"/>
    <x v="15"/>
    <x v="17"/>
    <x v="17"/>
    <x v="169"/>
    <x v="208"/>
    <s v="Perfect cross trainers"/>
    <n v="1495411200"/>
    <s v="Not Specified"/>
    <s v="Not Specified"/>
    <s v="Not Specified"/>
    <n v="86"/>
    <x v="0"/>
    <x v="2"/>
  </r>
  <r>
    <x v="0"/>
    <x v="1"/>
    <x v="164"/>
    <x v="2"/>
    <x v="1"/>
    <x v="195"/>
    <x v="15"/>
    <x v="45"/>
    <x v="25"/>
    <x v="170"/>
    <x v="209"/>
    <s v="Great training shoes"/>
    <n v="1495152000"/>
    <s v="Not Specified"/>
    <s v="Not Specified"/>
    <n v="2"/>
    <n v="109"/>
    <x v="0"/>
    <x v="2"/>
  </r>
  <r>
    <x v="0"/>
    <x v="1"/>
    <x v="164"/>
    <x v="2"/>
    <x v="1"/>
    <x v="195"/>
    <x v="15"/>
    <x v="30"/>
    <x v="28"/>
    <x v="170"/>
    <x v="210"/>
    <s v="Amazing training Sneakers."/>
    <n v="1495152000"/>
    <s v="Not Specified"/>
    <s v="Not Specified"/>
    <n v="4"/>
    <n v="274"/>
    <x v="0"/>
    <x v="2"/>
  </r>
  <r>
    <x v="4"/>
    <x v="0"/>
    <x v="165"/>
    <x v="2"/>
    <x v="1"/>
    <x v="196"/>
    <x v="15"/>
    <x v="15"/>
    <x v="17"/>
    <x v="171"/>
    <x v="211"/>
    <s v="HIIT shoes"/>
    <n v="1495065600"/>
    <s v="Not Specified"/>
    <s v="Not Specified"/>
    <s v="Not Specified"/>
    <n v="20"/>
    <x v="0"/>
    <x v="2"/>
  </r>
  <r>
    <x v="4"/>
    <x v="0"/>
    <x v="166"/>
    <x v="2"/>
    <x v="1"/>
    <x v="197"/>
    <x v="15"/>
    <x v="15"/>
    <x v="34"/>
    <x v="172"/>
    <x v="212"/>
    <s v="Four Stars"/>
    <n v="1494806400"/>
    <s v="Not Specified"/>
    <s v="Not Specified"/>
    <s v="Not Specified"/>
    <n v="40"/>
    <x v="0"/>
    <x v="2"/>
  </r>
  <r>
    <x v="1"/>
    <x v="0"/>
    <x v="167"/>
    <x v="2"/>
    <x v="1"/>
    <x v="198"/>
    <x v="15"/>
    <x v="17"/>
    <x v="17"/>
    <x v="173"/>
    <x v="213"/>
    <s v="Lack support but overall good shoe"/>
    <n v="1494374400"/>
    <s v="Not Specified"/>
    <s v="Not Specified"/>
    <s v="Not Specified"/>
    <n v="170"/>
    <x v="1"/>
    <x v="2"/>
  </r>
  <r>
    <x v="0"/>
    <x v="0"/>
    <x v="168"/>
    <x v="2"/>
    <x v="1"/>
    <x v="199"/>
    <x v="15"/>
    <x v="26"/>
    <x v="40"/>
    <x v="174"/>
    <x v="214"/>
    <s v="Adorable shoes"/>
    <n v="1494115200"/>
    <s v="Not Specified"/>
    <s v="Not Specified"/>
    <s v="Not Specified"/>
    <n v="193"/>
    <x v="0"/>
    <x v="2"/>
  </r>
  <r>
    <x v="0"/>
    <x v="0"/>
    <x v="169"/>
    <x v="2"/>
    <x v="1"/>
    <x v="200"/>
    <x v="15"/>
    <x v="34"/>
    <x v="25"/>
    <x v="175"/>
    <x v="215"/>
    <s v="Wide sneaker for wide feet"/>
    <n v="1494028800"/>
    <s v="Not Specified"/>
    <s v="Not Specified"/>
    <s v="Not Specified"/>
    <n v="126"/>
    <x v="0"/>
    <x v="2"/>
  </r>
  <r>
    <x v="0"/>
    <x v="0"/>
    <x v="170"/>
    <x v="2"/>
    <x v="1"/>
    <x v="201"/>
    <x v="15"/>
    <x v="21"/>
    <x v="44"/>
    <x v="176"/>
    <x v="216"/>
    <s v="I've been using these to exercise and they are nice a roomy and allow my feet to breath"/>
    <n v="1493942400"/>
    <s v="Not Specified"/>
    <s v="Not Specified"/>
    <s v="Not Specified"/>
    <n v="110"/>
    <x v="0"/>
    <x v="2"/>
  </r>
  <r>
    <x v="0"/>
    <x v="0"/>
    <x v="171"/>
    <x v="2"/>
    <x v="1"/>
    <x v="202"/>
    <x v="15"/>
    <x v="16"/>
    <x v="17"/>
    <x v="177"/>
    <x v="217"/>
    <s v="Five Stars"/>
    <n v="1493769600"/>
    <s v="Not Specified"/>
    <s v="Not Specified"/>
    <s v="Not Specified"/>
    <n v="42"/>
    <x v="0"/>
    <x v="2"/>
  </r>
  <r>
    <x v="0"/>
    <x v="0"/>
    <x v="171"/>
    <x v="2"/>
    <x v="1"/>
    <x v="203"/>
    <x v="15"/>
    <x v="21"/>
    <x v="17"/>
    <x v="178"/>
    <x v="218"/>
    <s v="Five Stars"/>
    <n v="1493769600"/>
    <s v="Not Specified"/>
    <s v="Not Specified"/>
    <s v="Not Specified"/>
    <n v="12"/>
    <x v="0"/>
    <x v="2"/>
  </r>
  <r>
    <x v="4"/>
    <x v="0"/>
    <x v="172"/>
    <x v="2"/>
    <x v="1"/>
    <x v="204"/>
    <x v="15"/>
    <x v="26"/>
    <x v="40"/>
    <x v="179"/>
    <x v="219"/>
    <s v="Great training shoes"/>
    <n v="1493683200"/>
    <s v="Not Specified"/>
    <s v="Not Specified"/>
    <s v="Not Specified"/>
    <n v="86"/>
    <x v="0"/>
    <x v="2"/>
  </r>
  <r>
    <x v="0"/>
    <x v="0"/>
    <x v="173"/>
    <x v="2"/>
    <x v="1"/>
    <x v="205"/>
    <x v="15"/>
    <x v="26"/>
    <x v="41"/>
    <x v="180"/>
    <x v="220"/>
    <s v="Five Stars"/>
    <n v="1493596800"/>
    <s v="Not Specified"/>
    <s v="Not Specified"/>
    <s v="Not Specified"/>
    <n v="89"/>
    <x v="0"/>
    <x v="2"/>
  </r>
  <r>
    <x v="0"/>
    <x v="0"/>
    <x v="174"/>
    <x v="2"/>
    <x v="10"/>
    <x v="206"/>
    <x v="15"/>
    <x v="22"/>
    <x v="18"/>
    <x v="181"/>
    <x v="221"/>
    <s v="Five Stars"/>
    <n v="1493337600"/>
    <s v="Not Specified"/>
    <s v="Not Specified"/>
    <s v="Not Specified"/>
    <n v="12"/>
    <x v="0"/>
    <x v="2"/>
  </r>
  <r>
    <x v="4"/>
    <x v="0"/>
    <x v="175"/>
    <x v="2"/>
    <x v="10"/>
    <x v="207"/>
    <x v="15"/>
    <x v="45"/>
    <x v="25"/>
    <x v="5"/>
    <x v="222"/>
    <s v="Four Stars"/>
    <n v="1493251200"/>
    <s v="Not Specified"/>
    <s v="Not Specified"/>
    <s v="Not Specified"/>
    <n v="58"/>
    <x v="0"/>
    <x v="2"/>
  </r>
  <r>
    <x v="4"/>
    <x v="0"/>
    <x v="175"/>
    <x v="2"/>
    <x v="10"/>
    <x v="208"/>
    <x v="15"/>
    <x v="43"/>
    <x v="25"/>
    <x v="182"/>
    <x v="223"/>
    <s v="and they were great! Super comfortable"/>
    <n v="1493251200"/>
    <s v="Not Specified"/>
    <s v="Not Specified"/>
    <s v="Not Specified"/>
    <n v="199"/>
    <x v="0"/>
    <x v="2"/>
  </r>
  <r>
    <x v="0"/>
    <x v="0"/>
    <x v="176"/>
    <x v="2"/>
    <x v="10"/>
    <x v="209"/>
    <x v="15"/>
    <x v="22"/>
    <x v="17"/>
    <x v="183"/>
    <x v="224"/>
    <s v="Five Stars"/>
    <n v="1493164800"/>
    <s v="Not Specified"/>
    <s v="Not Specified"/>
    <s v="Not Specified"/>
    <n v="28"/>
    <x v="0"/>
    <x v="2"/>
  </r>
  <r>
    <x v="0"/>
    <x v="0"/>
    <x v="177"/>
    <x v="2"/>
    <x v="10"/>
    <x v="210"/>
    <x v="15"/>
    <x v="44"/>
    <x v="25"/>
    <x v="184"/>
    <x v="225"/>
    <s v="I love these shoes my second pair of 40 plus $ ..."/>
    <n v="1493078400"/>
    <s v="Not Specified"/>
    <s v="Not Specified"/>
    <s v="Not Specified"/>
    <n v="235"/>
    <x v="0"/>
    <x v="2"/>
  </r>
  <r>
    <x v="4"/>
    <x v="0"/>
    <x v="178"/>
    <x v="2"/>
    <x v="10"/>
    <x v="211"/>
    <x v="15"/>
    <x v="15"/>
    <x v="17"/>
    <x v="185"/>
    <x v="226"/>
    <s v="They fit as expected and perfect for training"/>
    <n v="1492992000"/>
    <s v="Not Specified"/>
    <s v="Not Specified"/>
    <s v="Not Specified"/>
    <n v="140"/>
    <x v="0"/>
    <x v="2"/>
  </r>
  <r>
    <x v="0"/>
    <x v="0"/>
    <x v="178"/>
    <x v="2"/>
    <x v="10"/>
    <x v="212"/>
    <x v="15"/>
    <x v="14"/>
    <x v="34"/>
    <x v="5"/>
    <x v="227"/>
    <s v="Five Stars"/>
    <n v="1492992000"/>
    <s v="Not Specified"/>
    <s v="Not Specified"/>
    <s v="Not Specified"/>
    <n v="39"/>
    <x v="0"/>
    <x v="2"/>
  </r>
  <r>
    <x v="0"/>
    <x v="0"/>
    <x v="179"/>
    <x v="2"/>
    <x v="10"/>
    <x v="213"/>
    <x v="15"/>
    <x v="21"/>
    <x v="17"/>
    <x v="5"/>
    <x v="228"/>
    <s v="Five Stars"/>
    <n v="1492646400"/>
    <s v="Not Specified"/>
    <s v="Not Specified"/>
    <s v="Not Specified"/>
    <n v="7"/>
    <x v="0"/>
    <x v="2"/>
  </r>
  <r>
    <x v="0"/>
    <x v="0"/>
    <x v="180"/>
    <x v="2"/>
    <x v="10"/>
    <x v="214"/>
    <x v="15"/>
    <x v="17"/>
    <x v="17"/>
    <x v="5"/>
    <x v="229"/>
    <s v="Five Stars"/>
    <n v="1492560000"/>
    <s v="Not Specified"/>
    <s v="Not Specified"/>
    <s v="Not Specified"/>
    <n v="9"/>
    <x v="0"/>
    <x v="2"/>
  </r>
  <r>
    <x v="0"/>
    <x v="1"/>
    <x v="16"/>
    <x v="2"/>
    <x v="10"/>
    <x v="215"/>
    <x v="15"/>
    <x v="15"/>
    <x v="17"/>
    <x v="186"/>
    <x v="230"/>
    <s v="Very Good For Everyday"/>
    <n v="1492473600"/>
    <s v="Not Specified"/>
    <s v="Not Specified"/>
    <s v="Not Specified"/>
    <n v="115"/>
    <x v="0"/>
    <x v="2"/>
  </r>
  <r>
    <x v="0"/>
    <x v="0"/>
    <x v="181"/>
    <x v="2"/>
    <x v="10"/>
    <x v="216"/>
    <x v="15"/>
    <x v="21"/>
    <x v="17"/>
    <x v="187"/>
    <x v="231"/>
    <s v="Great shoes"/>
    <n v="1492387200"/>
    <s v="Not Specified"/>
    <s v="Not Specified"/>
    <s v="Not Specified"/>
    <n v="62"/>
    <x v="0"/>
    <x v="2"/>
  </r>
  <r>
    <x v="0"/>
    <x v="0"/>
    <x v="182"/>
    <x v="2"/>
    <x v="10"/>
    <x v="217"/>
    <x v="15"/>
    <x v="24"/>
    <x v="12"/>
    <x v="188"/>
    <x v="232"/>
    <s v="Love these shoes"/>
    <n v="1492214400"/>
    <s v="Not Specified"/>
    <s v="Not Specified"/>
    <s v="Not Specified"/>
    <n v="112"/>
    <x v="0"/>
    <x v="2"/>
  </r>
  <r>
    <x v="0"/>
    <x v="0"/>
    <x v="183"/>
    <x v="2"/>
    <x v="10"/>
    <x v="218"/>
    <x v="15"/>
    <x v="22"/>
    <x v="17"/>
    <x v="5"/>
    <x v="233"/>
    <s v="Five Stars"/>
    <n v="1492128000"/>
    <s v="Not Specified"/>
    <s v="Not Specified"/>
    <s v="Not Specified"/>
    <n v="38"/>
    <x v="0"/>
    <x v="2"/>
  </r>
  <r>
    <x v="4"/>
    <x v="0"/>
    <x v="184"/>
    <x v="2"/>
    <x v="10"/>
    <x v="219"/>
    <x v="15"/>
    <x v="25"/>
    <x v="17"/>
    <x v="189"/>
    <x v="234"/>
    <s v="Super comfortable. I joined Cross Fit and this is ..."/>
    <n v="1491868800"/>
    <s v="Not Specified"/>
    <s v="Not Specified"/>
    <s v="Not Specified"/>
    <n v="67"/>
    <x v="0"/>
    <x v="2"/>
  </r>
  <r>
    <x v="0"/>
    <x v="0"/>
    <x v="184"/>
    <x v="2"/>
    <x v="10"/>
    <x v="220"/>
    <x v="15"/>
    <x v="47"/>
    <x v="25"/>
    <x v="190"/>
    <x v="235"/>
    <s v="Five Stars"/>
    <n v="1491868800"/>
    <s v="Not Specified"/>
    <s v="Not Specified"/>
    <s v="Not Specified"/>
    <n v="13"/>
    <x v="0"/>
    <x v="2"/>
  </r>
  <r>
    <x v="0"/>
    <x v="0"/>
    <x v="185"/>
    <x v="2"/>
    <x v="10"/>
    <x v="221"/>
    <x v="15"/>
    <x v="22"/>
    <x v="29"/>
    <x v="191"/>
    <x v="236"/>
    <s v="Sooo comfortable"/>
    <n v="1491782400"/>
    <s v="Not Specified"/>
    <s v="Not Specified"/>
    <s v="Not Specified"/>
    <n v="49"/>
    <x v="0"/>
    <x v="2"/>
  </r>
  <r>
    <x v="0"/>
    <x v="0"/>
    <x v="185"/>
    <x v="2"/>
    <x v="10"/>
    <x v="222"/>
    <x v="15"/>
    <x v="16"/>
    <x v="28"/>
    <x v="192"/>
    <x v="237"/>
    <s v="So happy."/>
    <n v="1491782400"/>
    <s v="Not Specified"/>
    <s v="Not Specified"/>
    <s v="Not Specified"/>
    <n v="17"/>
    <x v="0"/>
    <x v="2"/>
  </r>
  <r>
    <x v="4"/>
    <x v="0"/>
    <x v="185"/>
    <x v="2"/>
    <x v="10"/>
    <x v="223"/>
    <x v="15"/>
    <x v="25"/>
    <x v="29"/>
    <x v="193"/>
    <x v="238"/>
    <s v="the shoe is nice and provides well for my HIIT and Grit classes ..."/>
    <n v="1491782400"/>
    <s v="Not Specified"/>
    <s v="Not Specified"/>
    <s v="Not Specified"/>
    <n v="177"/>
    <x v="0"/>
    <x v="2"/>
  </r>
  <r>
    <x v="0"/>
    <x v="0"/>
    <x v="186"/>
    <x v="2"/>
    <x v="10"/>
    <x v="224"/>
    <x v="15"/>
    <x v="21"/>
    <x v="17"/>
    <x v="5"/>
    <x v="239"/>
    <s v="Look amazing, runs slightly big."/>
    <n v="1491609600"/>
    <s v="Not Specified"/>
    <s v="Not Specified"/>
    <s v="Not Specified"/>
    <n v="163"/>
    <x v="0"/>
    <x v="2"/>
  </r>
  <r>
    <x v="4"/>
    <x v="0"/>
    <x v="18"/>
    <x v="2"/>
    <x v="10"/>
    <x v="225"/>
    <x v="15"/>
    <x v="30"/>
    <x v="17"/>
    <x v="5"/>
    <x v="240"/>
    <s v="Four Stars"/>
    <n v="1491350400"/>
    <s v="Not Specified"/>
    <s v="Not Specified"/>
    <s v="Not Specified"/>
    <n v="17"/>
    <x v="0"/>
    <x v="2"/>
  </r>
  <r>
    <x v="0"/>
    <x v="0"/>
    <x v="18"/>
    <x v="2"/>
    <x v="10"/>
    <x v="226"/>
    <x v="15"/>
    <x v="17"/>
    <x v="17"/>
    <x v="194"/>
    <x v="241"/>
    <s v="Five Stars"/>
    <n v="1491350400"/>
    <s v="Not Specified"/>
    <s v="Not Specified"/>
    <s v="Not Specified"/>
    <n v="30"/>
    <x v="0"/>
    <x v="2"/>
  </r>
  <r>
    <x v="0"/>
    <x v="0"/>
    <x v="187"/>
    <x v="2"/>
    <x v="10"/>
    <x v="227"/>
    <x v="15"/>
    <x v="30"/>
    <x v="40"/>
    <x v="195"/>
    <x v="242"/>
    <s v="Five Stars"/>
    <n v="1491264000"/>
    <s v="Not Specified"/>
    <s v="Not Specified"/>
    <s v="Not Specified"/>
    <n v="38"/>
    <x v="0"/>
    <x v="2"/>
  </r>
  <r>
    <x v="0"/>
    <x v="0"/>
    <x v="188"/>
    <x v="2"/>
    <x v="10"/>
    <x v="228"/>
    <x v="15"/>
    <x v="16"/>
    <x v="26"/>
    <x v="196"/>
    <x v="243"/>
    <s v="Five Stars"/>
    <n v="1491091200"/>
    <s v="Not Specified"/>
    <s v="Not Specified"/>
    <s v="Not Specified"/>
    <n v="39"/>
    <x v="0"/>
    <x v="2"/>
  </r>
  <r>
    <x v="4"/>
    <x v="0"/>
    <x v="189"/>
    <x v="2"/>
    <x v="5"/>
    <x v="229"/>
    <x v="15"/>
    <x v="16"/>
    <x v="17"/>
    <x v="197"/>
    <x v="244"/>
    <s v="Decent little shoe for the price."/>
    <n v="1490832000"/>
    <s v="Not Specified"/>
    <s v="Not Specified"/>
    <s v="Not Specified"/>
    <n v="87"/>
    <x v="0"/>
    <x v="2"/>
  </r>
  <r>
    <x v="0"/>
    <x v="0"/>
    <x v="190"/>
    <x v="2"/>
    <x v="5"/>
    <x v="230"/>
    <x v="15"/>
    <x v="22"/>
    <x v="29"/>
    <x v="198"/>
    <x v="245"/>
    <s v="Attractive and fit well"/>
    <n v="1490745600"/>
    <s v="Not Specified"/>
    <s v="Not Specified"/>
    <s v="Not Specified"/>
    <n v="120"/>
    <x v="0"/>
    <x v="2"/>
  </r>
  <r>
    <x v="2"/>
    <x v="0"/>
    <x v="191"/>
    <x v="2"/>
    <x v="5"/>
    <x v="231"/>
    <x v="15"/>
    <x v="30"/>
    <x v="18"/>
    <x v="199"/>
    <x v="246"/>
    <s v="Runs large"/>
    <n v="1490486400"/>
    <s v="Not Specified"/>
    <s v="Not Specified"/>
    <s v="Not Specified"/>
    <n v="178"/>
    <x v="2"/>
    <x v="2"/>
  </r>
  <r>
    <x v="3"/>
    <x v="0"/>
    <x v="192"/>
    <x v="2"/>
    <x v="5"/>
    <x v="232"/>
    <x v="15"/>
    <x v="44"/>
    <x v="25"/>
    <x v="200"/>
    <x v="247"/>
    <s v="One Star"/>
    <n v="1490400000"/>
    <s v="Not Specified"/>
    <s v="Not Specified"/>
    <s v="Not Specified"/>
    <n v="84"/>
    <x v="2"/>
    <x v="2"/>
  </r>
  <r>
    <x v="0"/>
    <x v="0"/>
    <x v="19"/>
    <x v="2"/>
    <x v="5"/>
    <x v="233"/>
    <x v="15"/>
    <x v="22"/>
    <x v="17"/>
    <x v="5"/>
    <x v="248"/>
    <s v="Five Stars"/>
    <n v="1490313600"/>
    <s v="Not Specified"/>
    <s v="Not Specified"/>
    <s v="Not Specified"/>
    <n v="10"/>
    <x v="0"/>
    <x v="2"/>
  </r>
  <r>
    <x v="0"/>
    <x v="0"/>
    <x v="19"/>
    <x v="2"/>
    <x v="5"/>
    <x v="234"/>
    <x v="15"/>
    <x v="17"/>
    <x v="17"/>
    <x v="201"/>
    <x v="249"/>
    <s v="I love the fit and they provide support for walking"/>
    <n v="1490313600"/>
    <s v="Not Specified"/>
    <s v="Not Specified"/>
    <s v="Not Specified"/>
    <n v="225"/>
    <x v="0"/>
    <x v="2"/>
  </r>
  <r>
    <x v="0"/>
    <x v="0"/>
    <x v="193"/>
    <x v="2"/>
    <x v="5"/>
    <x v="235"/>
    <x v="15"/>
    <x v="21"/>
    <x v="37"/>
    <x v="202"/>
    <x v="250"/>
    <s v="Good Shoes!"/>
    <n v="1490227200"/>
    <s v="Not Specified"/>
    <s v="Not Specified"/>
    <n v="3"/>
    <n v="401"/>
    <x v="0"/>
    <x v="2"/>
  </r>
  <r>
    <x v="0"/>
    <x v="0"/>
    <x v="194"/>
    <x v="2"/>
    <x v="5"/>
    <x v="236"/>
    <x v="15"/>
    <x v="17"/>
    <x v="30"/>
    <x v="203"/>
    <x v="251"/>
    <s v="Great shoes"/>
    <n v="1490054400"/>
    <s v="Not Specified"/>
    <s v="Not Specified"/>
    <s v="Not Specified"/>
    <n v="110"/>
    <x v="0"/>
    <x v="2"/>
  </r>
  <r>
    <x v="4"/>
    <x v="0"/>
    <x v="195"/>
    <x v="2"/>
    <x v="5"/>
    <x v="237"/>
    <x v="15"/>
    <x v="30"/>
    <x v="26"/>
    <x v="204"/>
    <x v="252"/>
    <s v="Good shoe"/>
    <n v="1489968000"/>
    <s v="Not Specified"/>
    <s v="Not Specified"/>
    <s v="Not Specified"/>
    <n v="23"/>
    <x v="0"/>
    <x v="2"/>
  </r>
  <r>
    <x v="0"/>
    <x v="0"/>
    <x v="196"/>
    <x v="2"/>
    <x v="5"/>
    <x v="238"/>
    <x v="15"/>
    <x v="15"/>
    <x v="17"/>
    <x v="205"/>
    <x v="253"/>
    <s v="Five Stars"/>
    <n v="1489795200"/>
    <s v="Not Specified"/>
    <s v="Not Specified"/>
    <s v="Not Specified"/>
    <n v="40"/>
    <x v="0"/>
    <x v="2"/>
  </r>
  <r>
    <x v="0"/>
    <x v="0"/>
    <x v="196"/>
    <x v="2"/>
    <x v="5"/>
    <x v="239"/>
    <x v="15"/>
    <x v="15"/>
    <x v="30"/>
    <x v="206"/>
    <x v="254"/>
    <s v="Love These Shoes!"/>
    <n v="1489795200"/>
    <s v="Not Specified"/>
    <s v="Not Specified"/>
    <n v="8"/>
    <n v="267"/>
    <x v="0"/>
    <x v="2"/>
  </r>
  <r>
    <x v="1"/>
    <x v="0"/>
    <x v="197"/>
    <x v="2"/>
    <x v="5"/>
    <x v="240"/>
    <x v="15"/>
    <x v="30"/>
    <x v="26"/>
    <x v="233"/>
    <x v="255"/>
    <s v="Not my favorites..."/>
    <n v="1489708800"/>
    <s v="Not Specified"/>
    <s v="Not Specified"/>
    <s v="Not Specified"/>
    <n v="143"/>
    <x v="1"/>
    <x v="2"/>
  </r>
  <r>
    <x v="4"/>
    <x v="0"/>
    <x v="198"/>
    <x v="2"/>
    <x v="5"/>
    <x v="241"/>
    <x v="15"/>
    <x v="15"/>
    <x v="34"/>
    <x v="208"/>
    <x v="256"/>
    <s v="Perfect for the gym"/>
    <n v="1489536000"/>
    <s v="Not Specified"/>
    <s v="Not Specified"/>
    <s v="Not Specified"/>
    <n v="118"/>
    <x v="0"/>
    <x v="2"/>
  </r>
  <r>
    <x v="1"/>
    <x v="0"/>
    <x v="198"/>
    <x v="2"/>
    <x v="5"/>
    <x v="242"/>
    <x v="15"/>
    <x v="22"/>
    <x v="29"/>
    <x v="209"/>
    <x v="257"/>
    <s v="Meh"/>
    <n v="1489536000"/>
    <s v="Not Specified"/>
    <s v="Not Specified"/>
    <n v="2"/>
    <n v="150"/>
    <x v="1"/>
    <x v="2"/>
  </r>
  <r>
    <x v="0"/>
    <x v="0"/>
    <x v="198"/>
    <x v="2"/>
    <x v="5"/>
    <x v="243"/>
    <x v="15"/>
    <x v="15"/>
    <x v="34"/>
    <x v="210"/>
    <x v="258"/>
    <s v="Five Stars"/>
    <n v="1489536000"/>
    <s v="Not Specified"/>
    <s v="Not Specified"/>
    <s v="Not Specified"/>
    <n v="40"/>
    <x v="0"/>
    <x v="2"/>
  </r>
  <r>
    <x v="0"/>
    <x v="0"/>
    <x v="199"/>
    <x v="2"/>
    <x v="5"/>
    <x v="244"/>
    <x v="15"/>
    <x v="16"/>
    <x v="40"/>
    <x v="211"/>
    <x v="259"/>
    <s v="Five Stars"/>
    <n v="1489449600"/>
    <s v="Not Specified"/>
    <s v="Not Specified"/>
    <s v="Not Specified"/>
    <n v="33"/>
    <x v="0"/>
    <x v="2"/>
  </r>
  <r>
    <x v="0"/>
    <x v="0"/>
    <x v="200"/>
    <x v="2"/>
    <x v="5"/>
    <x v="245"/>
    <x v="15"/>
    <x v="17"/>
    <x v="34"/>
    <x v="212"/>
    <x v="260"/>
    <s v="Hurry before they're gone!"/>
    <n v="1489363200"/>
    <s v="Not Specified"/>
    <s v="Not Specified"/>
    <s v="Not Specified"/>
    <n v="297"/>
    <x v="0"/>
    <x v="2"/>
  </r>
  <r>
    <x v="0"/>
    <x v="0"/>
    <x v="201"/>
    <x v="2"/>
    <x v="5"/>
    <x v="246"/>
    <x v="15"/>
    <x v="22"/>
    <x v="17"/>
    <x v="213"/>
    <x v="261"/>
    <s v="Amazing"/>
    <n v="1489276800"/>
    <s v="Not Specified"/>
    <s v="Not Specified"/>
    <s v="Not Specified"/>
    <n v="81"/>
    <x v="0"/>
    <x v="2"/>
  </r>
  <r>
    <x v="0"/>
    <x v="0"/>
    <x v="202"/>
    <x v="2"/>
    <x v="5"/>
    <x v="247"/>
    <x v="15"/>
    <x v="30"/>
    <x v="17"/>
    <x v="214"/>
    <x v="262"/>
    <s v="Five Stars"/>
    <n v="1488931200"/>
    <s v="Not Specified"/>
    <s v="Not Specified"/>
    <s v="Not Specified"/>
    <n v="13"/>
    <x v="0"/>
    <x v="2"/>
  </r>
  <r>
    <x v="4"/>
    <x v="0"/>
    <x v="202"/>
    <x v="2"/>
    <x v="5"/>
    <x v="248"/>
    <x v="15"/>
    <x v="16"/>
    <x v="40"/>
    <x v="5"/>
    <x v="263"/>
    <s v="Not quite wide enough"/>
    <n v="1488931200"/>
    <s v="Not Specified"/>
    <s v="Not Specified"/>
    <s v="Not Specified"/>
    <n v="182"/>
    <x v="0"/>
    <x v="2"/>
  </r>
  <r>
    <x v="4"/>
    <x v="0"/>
    <x v="202"/>
    <x v="2"/>
    <x v="5"/>
    <x v="248"/>
    <x v="15"/>
    <x v="16"/>
    <x v="26"/>
    <x v="5"/>
    <x v="263"/>
    <s v="Not quite wide enough"/>
    <n v="1488931200"/>
    <s v="Not Specified"/>
    <s v="Not Specified"/>
    <s v="Not Specified"/>
    <n v="182"/>
    <x v="0"/>
    <x v="2"/>
  </r>
  <r>
    <x v="0"/>
    <x v="0"/>
    <x v="203"/>
    <x v="2"/>
    <x v="5"/>
    <x v="249"/>
    <x v="15"/>
    <x v="21"/>
    <x v="17"/>
    <x v="215"/>
    <x v="264"/>
    <s v="Five Stars"/>
    <n v="1488758400"/>
    <s v="Not Specified"/>
    <s v="Not Specified"/>
    <s v="Not Specified"/>
    <n v="10"/>
    <x v="0"/>
    <x v="2"/>
  </r>
  <r>
    <x v="0"/>
    <x v="1"/>
    <x v="204"/>
    <x v="2"/>
    <x v="8"/>
    <x v="250"/>
    <x v="15"/>
    <x v="24"/>
    <x v="12"/>
    <x v="216"/>
    <x v="265"/>
    <s v="Simple look, outstanding comfort!"/>
    <n v="1488067200"/>
    <s v="Not Specified"/>
    <s v="Not Specified"/>
    <s v="Not Specified"/>
    <n v="206"/>
    <x v="0"/>
    <x v="2"/>
  </r>
  <r>
    <x v="4"/>
    <x v="0"/>
    <x v="205"/>
    <x v="2"/>
    <x v="8"/>
    <x v="251"/>
    <x v="15"/>
    <x v="14"/>
    <x v="17"/>
    <x v="217"/>
    <x v="266"/>
    <s v="My second favorite."/>
    <n v="1487894400"/>
    <s v="Not Specified"/>
    <s v="Not Specified"/>
    <s v="Not Specified"/>
    <n v="171"/>
    <x v="0"/>
    <x v="2"/>
  </r>
  <r>
    <x v="0"/>
    <x v="0"/>
    <x v="205"/>
    <x v="2"/>
    <x v="8"/>
    <x v="252"/>
    <x v="15"/>
    <x v="14"/>
    <x v="17"/>
    <x v="218"/>
    <x v="267"/>
    <s v="Five Stars"/>
    <n v="1487894400"/>
    <s v="Not Specified"/>
    <s v="Not Specified"/>
    <s v="Not Specified"/>
    <n v="12"/>
    <x v="0"/>
    <x v="2"/>
  </r>
  <r>
    <x v="4"/>
    <x v="0"/>
    <x v="21"/>
    <x v="2"/>
    <x v="8"/>
    <x v="253"/>
    <x v="15"/>
    <x v="15"/>
    <x v="39"/>
    <x v="219"/>
    <x v="268"/>
    <s v="Fit to actual size."/>
    <n v="1487635200"/>
    <s v="Not Specified"/>
    <s v="Not Specified"/>
    <s v="Not Specified"/>
    <n v="126"/>
    <x v="0"/>
    <x v="2"/>
  </r>
  <r>
    <x v="0"/>
    <x v="0"/>
    <x v="21"/>
    <x v="2"/>
    <x v="8"/>
    <x v="254"/>
    <x v="15"/>
    <x v="17"/>
    <x v="17"/>
    <x v="220"/>
    <x v="269"/>
    <s v="Five Stars"/>
    <n v="1487635200"/>
    <s v="Not Specified"/>
    <s v="Not Specified"/>
    <s v="Not Specified"/>
    <n v="56"/>
    <x v="0"/>
    <x v="2"/>
  </r>
  <r>
    <x v="1"/>
    <x v="0"/>
    <x v="206"/>
    <x v="2"/>
    <x v="8"/>
    <x v="255"/>
    <x v="15"/>
    <x v="14"/>
    <x v="34"/>
    <x v="5"/>
    <x v="270"/>
    <s v="Too small, flimsy upper"/>
    <n v="1487203200"/>
    <s v="Not Specified"/>
    <s v="Not Specified"/>
    <s v="Not Specified"/>
    <n v="198"/>
    <x v="1"/>
    <x v="2"/>
  </r>
  <r>
    <x v="0"/>
    <x v="0"/>
    <x v="207"/>
    <x v="2"/>
    <x v="8"/>
    <x v="256"/>
    <x v="15"/>
    <x v="22"/>
    <x v="40"/>
    <x v="221"/>
    <x v="271"/>
    <s v="Great for kickboxing"/>
    <n v="1487116800"/>
    <s v="Not Specified"/>
    <s v="Not Specified"/>
    <n v="5"/>
    <n v="388"/>
    <x v="0"/>
    <x v="2"/>
  </r>
  <r>
    <x v="0"/>
    <x v="0"/>
    <x v="208"/>
    <x v="2"/>
    <x v="8"/>
    <x v="257"/>
    <x v="15"/>
    <x v="16"/>
    <x v="17"/>
    <x v="222"/>
    <x v="272"/>
    <s v="These shoes are great for walking - so very comfortable"/>
    <n v="1486944000"/>
    <s v="Not Specified"/>
    <s v="Not Specified"/>
    <s v="Not Specified"/>
    <n v="87"/>
    <x v="0"/>
    <x v="2"/>
  </r>
  <r>
    <x v="0"/>
    <x v="0"/>
    <x v="209"/>
    <x v="2"/>
    <x v="8"/>
    <x v="258"/>
    <x v="15"/>
    <x v="15"/>
    <x v="17"/>
    <x v="223"/>
    <x v="273"/>
    <s v="Good choice for training shoe"/>
    <n v="1486857600"/>
    <s v="Not Specified"/>
    <s v="Not Specified"/>
    <s v="Not Specified"/>
    <n v="140"/>
    <x v="0"/>
    <x v="2"/>
  </r>
  <r>
    <x v="0"/>
    <x v="0"/>
    <x v="210"/>
    <x v="2"/>
    <x v="8"/>
    <x v="259"/>
    <x v="15"/>
    <x v="26"/>
    <x v="17"/>
    <x v="224"/>
    <x v="274"/>
    <s v="Five Stars"/>
    <n v="1486771200"/>
    <s v="Not Specified"/>
    <s v="Not Specified"/>
    <s v="Not Specified"/>
    <n v="28"/>
    <x v="0"/>
    <x v="2"/>
  </r>
  <r>
    <x v="4"/>
    <x v="0"/>
    <x v="22"/>
    <x v="2"/>
    <x v="8"/>
    <x v="260"/>
    <x v="15"/>
    <x v="15"/>
    <x v="40"/>
    <x v="225"/>
    <x v="275"/>
    <s v="They are slightly longer in look then I was would like but I think that is typical of cross trainers"/>
    <n v="1486512000"/>
    <s v="Not Specified"/>
    <s v="Not Specified"/>
    <n v="4"/>
    <n v="570"/>
    <x v="0"/>
    <x v="2"/>
  </r>
  <r>
    <x v="4"/>
    <x v="0"/>
    <x v="211"/>
    <x v="2"/>
    <x v="8"/>
    <x v="261"/>
    <x v="15"/>
    <x v="15"/>
    <x v="20"/>
    <x v="226"/>
    <x v="276"/>
    <s v="I love them but they are definitely bright orange/coral and not ..."/>
    <n v="1486339200"/>
    <s v="Not Specified"/>
    <s v="Not Specified"/>
    <s v="Not Specified"/>
    <n v="316"/>
    <x v="0"/>
    <x v="2"/>
  </r>
  <r>
    <x v="2"/>
    <x v="0"/>
    <x v="212"/>
    <x v="2"/>
    <x v="8"/>
    <x v="262"/>
    <x v="15"/>
    <x v="16"/>
    <x v="26"/>
    <x v="5"/>
    <x v="277"/>
    <s v="Color was not at all what i expected. It ..."/>
    <n v="1485993600"/>
    <s v="Not Specified"/>
    <s v="Not Specified"/>
    <s v="Not Specified"/>
    <n v="107"/>
    <x v="2"/>
    <x v="2"/>
  </r>
  <r>
    <x v="0"/>
    <x v="0"/>
    <x v="23"/>
    <x v="2"/>
    <x v="8"/>
    <x v="25"/>
    <x v="15"/>
    <x v="26"/>
    <x v="17"/>
    <x v="23"/>
    <x v="278"/>
    <s v="Super cute and on sale!!"/>
    <n v="1485907200"/>
    <s v="Not Specified"/>
    <s v="Not Specified"/>
    <s v="Not Specified"/>
    <n v="122"/>
    <x v="0"/>
    <x v="2"/>
  </r>
  <r>
    <x v="1"/>
    <x v="0"/>
    <x v="213"/>
    <x v="2"/>
    <x v="2"/>
    <x v="263"/>
    <x v="15"/>
    <x v="22"/>
    <x v="30"/>
    <x v="227"/>
    <x v="279"/>
    <s v="Three Stars"/>
    <n v="1485820800"/>
    <s v="Not Specified"/>
    <s v="Not Specified"/>
    <n v="3"/>
    <n v="7"/>
    <x v="1"/>
    <x v="2"/>
  </r>
  <r>
    <x v="0"/>
    <x v="0"/>
    <x v="214"/>
    <x v="2"/>
    <x v="2"/>
    <x v="264"/>
    <x v="15"/>
    <x v="14"/>
    <x v="34"/>
    <x v="5"/>
    <x v="280"/>
    <s v="then you should pretty much know your size"/>
    <n v="1485302400"/>
    <s v="Not Specified"/>
    <s v="Not Specified"/>
    <s v="Not Specified"/>
    <n v="521"/>
    <x v="0"/>
    <x v="2"/>
  </r>
  <r>
    <x v="0"/>
    <x v="0"/>
    <x v="215"/>
    <x v="2"/>
    <x v="2"/>
    <x v="265"/>
    <x v="15"/>
    <x v="16"/>
    <x v="40"/>
    <x v="228"/>
    <x v="281"/>
    <s v="Nice Support"/>
    <n v="1485043200"/>
    <s v="Not Specified"/>
    <s v="Not Specified"/>
    <s v="Not Specified"/>
    <n v="90"/>
    <x v="0"/>
    <x v="2"/>
  </r>
  <r>
    <x v="0"/>
    <x v="0"/>
    <x v="216"/>
    <x v="2"/>
    <x v="2"/>
    <x v="266"/>
    <x v="15"/>
    <x v="17"/>
    <x v="34"/>
    <x v="229"/>
    <x v="282"/>
    <s v="Good Sneaker"/>
    <n v="1484870400"/>
    <s v="Not Specified"/>
    <s v="Not Specified"/>
    <s v="Not Specified"/>
    <n v="40"/>
    <x v="0"/>
    <x v="2"/>
  </r>
  <r>
    <x v="0"/>
    <x v="0"/>
    <x v="217"/>
    <x v="2"/>
    <x v="2"/>
    <x v="267"/>
    <x v="15"/>
    <x v="21"/>
    <x v="44"/>
    <x v="230"/>
    <x v="283"/>
    <s v="Satisfied"/>
    <n v="1484697600"/>
    <s v="Not Specified"/>
    <s v="Not Specified"/>
    <s v="Not Specified"/>
    <n v="105"/>
    <x v="0"/>
    <x v="2"/>
  </r>
  <r>
    <x v="2"/>
    <x v="0"/>
    <x v="217"/>
    <x v="2"/>
    <x v="2"/>
    <x v="268"/>
    <x v="15"/>
    <x v="21"/>
    <x v="17"/>
    <x v="231"/>
    <x v="284"/>
    <s v="Too large"/>
    <n v="1484697600"/>
    <s v="Not Specified"/>
    <s v="Not Specified"/>
    <s v="Not Specified"/>
    <n v="118"/>
    <x v="2"/>
    <x v="2"/>
  </r>
  <r>
    <x v="0"/>
    <x v="0"/>
    <x v="217"/>
    <x v="2"/>
    <x v="2"/>
    <x v="269"/>
    <x v="15"/>
    <x v="14"/>
    <x v="18"/>
    <x v="232"/>
    <x v="285"/>
    <s v="colors look great together."/>
    <n v="1484697600"/>
    <s v="Not Specified"/>
    <s v="Not Specified"/>
    <s v="Not Specified"/>
    <n v="88"/>
    <x v="0"/>
    <x v="2"/>
  </r>
  <r>
    <x v="0"/>
    <x v="0"/>
    <x v="217"/>
    <x v="2"/>
    <x v="2"/>
    <x v="270"/>
    <x v="15"/>
    <x v="22"/>
    <x v="12"/>
    <x v="5"/>
    <x v="286"/>
    <s v="Five Stars"/>
    <n v="1484697600"/>
    <s v="Not Specified"/>
    <s v="Not Specified"/>
    <s v="Not Specified"/>
    <n v="11"/>
    <x v="0"/>
    <x v="2"/>
  </r>
  <r>
    <x v="4"/>
    <x v="0"/>
    <x v="217"/>
    <x v="2"/>
    <x v="2"/>
    <x v="271"/>
    <x v="15"/>
    <x v="15"/>
    <x v="17"/>
    <x v="233"/>
    <x v="287"/>
    <s v="but if I wear thick socks they are fine. Also"/>
    <n v="1484697600"/>
    <s v="Not Specified"/>
    <s v="Not Specified"/>
    <s v="Not Specified"/>
    <n v="316"/>
    <x v="0"/>
    <x v="2"/>
  </r>
  <r>
    <x v="3"/>
    <x v="0"/>
    <x v="218"/>
    <x v="2"/>
    <x v="2"/>
    <x v="272"/>
    <x v="15"/>
    <x v="22"/>
    <x v="29"/>
    <x v="234"/>
    <x v="288"/>
    <s v="Poor quality for Nike"/>
    <n v="1484438400"/>
    <s v="Not Specified"/>
    <s v="Not Specified"/>
    <n v="20"/>
    <n v="69"/>
    <x v="2"/>
    <x v="2"/>
  </r>
  <r>
    <x v="4"/>
    <x v="0"/>
    <x v="219"/>
    <x v="2"/>
    <x v="2"/>
    <x v="273"/>
    <x v="15"/>
    <x v="16"/>
    <x v="42"/>
    <x v="5"/>
    <x v="289"/>
    <s v="4/5"/>
    <n v="1484265600"/>
    <s v="Not Specified"/>
    <s v="Not Specified"/>
    <s v="Not Specified"/>
    <n v="187"/>
    <x v="0"/>
    <x v="2"/>
  </r>
  <r>
    <x v="0"/>
    <x v="0"/>
    <x v="220"/>
    <x v="2"/>
    <x v="2"/>
    <x v="274"/>
    <x v="15"/>
    <x v="21"/>
    <x v="33"/>
    <x v="235"/>
    <x v="290"/>
    <s v="LOVE!"/>
    <n v="1484179200"/>
    <s v="Not Specified"/>
    <s v="Not Specified"/>
    <s v="Not Specified"/>
    <n v="216"/>
    <x v="0"/>
    <x v="2"/>
  </r>
  <r>
    <x v="0"/>
    <x v="0"/>
    <x v="220"/>
    <x v="2"/>
    <x v="2"/>
    <x v="275"/>
    <x v="15"/>
    <x v="15"/>
    <x v="17"/>
    <x v="236"/>
    <x v="291"/>
    <s v="Five Stars"/>
    <n v="1484179200"/>
    <s v="Not Specified"/>
    <s v="Not Specified"/>
    <s v="Not Specified"/>
    <n v="20"/>
    <x v="0"/>
    <x v="2"/>
  </r>
  <r>
    <x v="0"/>
    <x v="0"/>
    <x v="221"/>
    <x v="2"/>
    <x v="2"/>
    <x v="276"/>
    <x v="15"/>
    <x v="22"/>
    <x v="37"/>
    <x v="5"/>
    <x v="240"/>
    <s v="Five Stars"/>
    <n v="1484006400"/>
    <s v="Not Specified"/>
    <s v="Not Specified"/>
    <s v="Not Specified"/>
    <n v="17"/>
    <x v="0"/>
    <x v="2"/>
  </r>
  <r>
    <x v="0"/>
    <x v="0"/>
    <x v="222"/>
    <x v="2"/>
    <x v="2"/>
    <x v="277"/>
    <x v="15"/>
    <x v="22"/>
    <x v="42"/>
    <x v="5"/>
    <x v="292"/>
    <s v="Correct size"/>
    <n v="1483747200"/>
    <s v="Not Specified"/>
    <s v="Not Specified"/>
    <s v="Not Specified"/>
    <n v="92"/>
    <x v="0"/>
    <x v="2"/>
  </r>
  <r>
    <x v="0"/>
    <x v="0"/>
    <x v="222"/>
    <x v="2"/>
    <x v="2"/>
    <x v="278"/>
    <x v="15"/>
    <x v="26"/>
    <x v="42"/>
    <x v="237"/>
    <x v="293"/>
    <s v="Perfect for the gym"/>
    <n v="1483747200"/>
    <s v="Not Specified"/>
    <s v="Not Specified"/>
    <s v="Not Specified"/>
    <n v="182"/>
    <x v="0"/>
    <x v="2"/>
  </r>
  <r>
    <x v="4"/>
    <x v="0"/>
    <x v="223"/>
    <x v="2"/>
    <x v="2"/>
    <x v="279"/>
    <x v="15"/>
    <x v="14"/>
    <x v="42"/>
    <x v="5"/>
    <x v="294"/>
    <s v="... opened the box to see the color is exactly like the image shows"/>
    <n v="1483660800"/>
    <s v="Not Specified"/>
    <s v="Not Specified"/>
    <s v="Not Specified"/>
    <n v="219"/>
    <x v="0"/>
    <x v="2"/>
  </r>
  <r>
    <x v="3"/>
    <x v="0"/>
    <x v="224"/>
    <x v="2"/>
    <x v="2"/>
    <x v="280"/>
    <x v="15"/>
    <x v="16"/>
    <x v="18"/>
    <x v="238"/>
    <x v="295"/>
    <s v="I ordered the Nike Women's Flex Supreme TR3 instead and love them!"/>
    <n v="1483488000"/>
    <s v="Not Specified"/>
    <s v="Not Specified"/>
    <s v="Not Specified"/>
    <n v="258"/>
    <x v="2"/>
    <x v="2"/>
  </r>
  <r>
    <x v="0"/>
    <x v="0"/>
    <x v="224"/>
    <x v="2"/>
    <x v="2"/>
    <x v="281"/>
    <x v="15"/>
    <x v="22"/>
    <x v="12"/>
    <x v="239"/>
    <x v="296"/>
    <s v="so light &amp; comfortable!"/>
    <n v="1483488000"/>
    <s v="Not Specified"/>
    <s v="Not Specified"/>
    <s v="Not Specified"/>
    <n v="69"/>
    <x v="0"/>
    <x v="2"/>
  </r>
  <r>
    <x v="0"/>
    <x v="0"/>
    <x v="225"/>
    <x v="2"/>
    <x v="2"/>
    <x v="282"/>
    <x v="15"/>
    <x v="14"/>
    <x v="42"/>
    <x v="240"/>
    <x v="297"/>
    <s v="Five Stars"/>
    <n v="1483228800"/>
    <s v="Not Specified"/>
    <s v="Not Specified"/>
    <s v="Not Specified"/>
    <n v="32"/>
    <x v="0"/>
    <x v="2"/>
  </r>
  <r>
    <x v="0"/>
    <x v="0"/>
    <x v="225"/>
    <x v="2"/>
    <x v="2"/>
    <x v="283"/>
    <x v="15"/>
    <x v="16"/>
    <x v="17"/>
    <x v="241"/>
    <x v="298"/>
    <s v="Five Stars"/>
    <n v="1483228800"/>
    <s v="Not Specified"/>
    <s v="Not Specified"/>
    <s v="Not Specified"/>
    <n v="36"/>
    <x v="0"/>
    <x v="2"/>
  </r>
  <r>
    <x v="0"/>
    <x v="0"/>
    <x v="226"/>
    <x v="3"/>
    <x v="11"/>
    <x v="284"/>
    <x v="15"/>
    <x v="15"/>
    <x v="17"/>
    <x v="242"/>
    <x v="299"/>
    <s v="these were a perfect fit. They are light and very comfortable"/>
    <n v="1483142400"/>
    <s v="Not Specified"/>
    <s v="Not Specified"/>
    <s v="Not Specified"/>
    <n v="169"/>
    <x v="0"/>
    <x v="2"/>
  </r>
  <r>
    <x v="0"/>
    <x v="0"/>
    <x v="227"/>
    <x v="3"/>
    <x v="11"/>
    <x v="285"/>
    <x v="15"/>
    <x v="15"/>
    <x v="17"/>
    <x v="243"/>
    <x v="300"/>
    <s v="Five Stars"/>
    <n v="1482969600"/>
    <s v="Not Specified"/>
    <s v="Not Specified"/>
    <s v="Not Specified"/>
    <n v="37"/>
    <x v="0"/>
    <x v="2"/>
  </r>
  <r>
    <x v="0"/>
    <x v="0"/>
    <x v="227"/>
    <x v="3"/>
    <x v="11"/>
    <x v="286"/>
    <x v="15"/>
    <x v="17"/>
    <x v="42"/>
    <x v="5"/>
    <x v="301"/>
    <s v="Five Stars"/>
    <n v="1482969600"/>
    <s v="Not Specified"/>
    <s v="Not Specified"/>
    <s v="Not Specified"/>
    <n v="45"/>
    <x v="0"/>
    <x v="2"/>
  </r>
  <r>
    <x v="0"/>
    <x v="0"/>
    <x v="228"/>
    <x v="3"/>
    <x v="11"/>
    <x v="287"/>
    <x v="15"/>
    <x v="15"/>
    <x v="17"/>
    <x v="5"/>
    <x v="120"/>
    <s v="Just what I wanted!"/>
    <n v="1482883200"/>
    <s v="Not Specified"/>
    <s v="Not Specified"/>
    <s v="Not Specified"/>
    <n v="8"/>
    <x v="0"/>
    <x v="2"/>
  </r>
  <r>
    <x v="0"/>
    <x v="0"/>
    <x v="228"/>
    <x v="3"/>
    <x v="11"/>
    <x v="288"/>
    <x v="15"/>
    <x v="21"/>
    <x v="18"/>
    <x v="244"/>
    <x v="302"/>
    <s v="Bought these for my daughter and she loves them. ..."/>
    <n v="1482883200"/>
    <s v="Not Specified"/>
    <s v="Not Specified"/>
    <s v="Not Specified"/>
    <n v="134"/>
    <x v="0"/>
    <x v="2"/>
  </r>
  <r>
    <x v="0"/>
    <x v="0"/>
    <x v="229"/>
    <x v="3"/>
    <x v="11"/>
    <x v="289"/>
    <x v="15"/>
    <x v="16"/>
    <x v="17"/>
    <x v="245"/>
    <x v="303"/>
    <s v="Five Stars"/>
    <n v="1482796800"/>
    <s v="Not Specified"/>
    <s v="Not Specified"/>
    <s v="Not Specified"/>
    <n v="32"/>
    <x v="0"/>
    <x v="2"/>
  </r>
  <r>
    <x v="2"/>
    <x v="0"/>
    <x v="230"/>
    <x v="3"/>
    <x v="11"/>
    <x v="290"/>
    <x v="15"/>
    <x v="30"/>
    <x v="28"/>
    <x v="246"/>
    <x v="304"/>
    <s v="Tried one in the store and bought it online but ..."/>
    <n v="1482624000"/>
    <s v="Not Specified"/>
    <s v="Not Specified"/>
    <n v="2"/>
    <n v="108"/>
    <x v="2"/>
    <x v="2"/>
  </r>
  <r>
    <x v="0"/>
    <x v="0"/>
    <x v="231"/>
    <x v="3"/>
    <x v="11"/>
    <x v="291"/>
    <x v="15"/>
    <x v="30"/>
    <x v="37"/>
    <x v="247"/>
    <x v="305"/>
    <s v="I had the older generation of this shoe that survived ..."/>
    <n v="1482451200"/>
    <s v="Not Specified"/>
    <s v="Not Specified"/>
    <s v="Not Specified"/>
    <n v="198"/>
    <x v="0"/>
    <x v="2"/>
  </r>
  <r>
    <x v="0"/>
    <x v="0"/>
    <x v="232"/>
    <x v="3"/>
    <x v="11"/>
    <x v="292"/>
    <x v="15"/>
    <x v="38"/>
    <x v="29"/>
    <x v="5"/>
    <x v="306"/>
    <s v="Five Stars"/>
    <n v="1482364800"/>
    <s v="Not Specified"/>
    <s v="Not Specified"/>
    <s v="Not Specified"/>
    <n v="105"/>
    <x v="0"/>
    <x v="2"/>
  </r>
  <r>
    <x v="2"/>
    <x v="0"/>
    <x v="233"/>
    <x v="3"/>
    <x v="11"/>
    <x v="293"/>
    <x v="15"/>
    <x v="15"/>
    <x v="34"/>
    <x v="248"/>
    <x v="307"/>
    <s v="Not true to size"/>
    <n v="1481846400"/>
    <s v="Not Specified"/>
    <s v="Not Specified"/>
    <s v="Not Specified"/>
    <n v="63"/>
    <x v="2"/>
    <x v="2"/>
  </r>
  <r>
    <x v="3"/>
    <x v="0"/>
    <x v="234"/>
    <x v="3"/>
    <x v="11"/>
    <x v="294"/>
    <x v="15"/>
    <x v="14"/>
    <x v="42"/>
    <x v="5"/>
    <x v="308"/>
    <s v="One Star"/>
    <n v="1481760000"/>
    <s v="Not Specified"/>
    <s v="Not Specified"/>
    <s v="Not Specified"/>
    <n v="11"/>
    <x v="2"/>
    <x v="2"/>
  </r>
  <r>
    <x v="0"/>
    <x v="0"/>
    <x v="235"/>
    <x v="3"/>
    <x v="11"/>
    <x v="295"/>
    <x v="15"/>
    <x v="42"/>
    <x v="25"/>
    <x v="249"/>
    <x v="309"/>
    <s v="Nice"/>
    <n v="1481500800"/>
    <s v="Not Specified"/>
    <s v="Not Specified"/>
    <s v="Not Specified"/>
    <n v="15"/>
    <x v="0"/>
    <x v="2"/>
  </r>
  <r>
    <x v="0"/>
    <x v="0"/>
    <x v="235"/>
    <x v="3"/>
    <x v="11"/>
    <x v="296"/>
    <x v="15"/>
    <x v="22"/>
    <x v="17"/>
    <x v="250"/>
    <x v="310"/>
    <s v="Great"/>
    <n v="1481500800"/>
    <s v="Not Specified"/>
    <s v="Not Specified"/>
    <n v="3"/>
    <n v="362"/>
    <x v="0"/>
    <x v="2"/>
  </r>
  <r>
    <x v="4"/>
    <x v="0"/>
    <x v="236"/>
    <x v="3"/>
    <x v="11"/>
    <x v="297"/>
    <x v="15"/>
    <x v="14"/>
    <x v="42"/>
    <x v="251"/>
    <x v="311"/>
    <s v="Four Stars"/>
    <n v="1481155200"/>
    <s v="Not Specified"/>
    <s v="Not Specified"/>
    <s v="Not Specified"/>
    <n v="36"/>
    <x v="0"/>
    <x v="2"/>
  </r>
  <r>
    <x v="4"/>
    <x v="0"/>
    <x v="237"/>
    <x v="3"/>
    <x v="11"/>
    <x v="298"/>
    <x v="15"/>
    <x v="26"/>
    <x v="40"/>
    <x v="252"/>
    <x v="312"/>
    <s v="Four Stars"/>
    <n v="1480809600"/>
    <s v="Not Specified"/>
    <s v="Not Specified"/>
    <s v="Not Specified"/>
    <n v="36"/>
    <x v="0"/>
    <x v="2"/>
  </r>
  <r>
    <x v="4"/>
    <x v="0"/>
    <x v="238"/>
    <x v="3"/>
    <x v="11"/>
    <x v="299"/>
    <x v="15"/>
    <x v="34"/>
    <x v="25"/>
    <x v="5"/>
    <x v="313"/>
    <s v="Four Stars"/>
    <n v="1480636800"/>
    <s v="Not Specified"/>
    <s v="Not Specified"/>
    <n v="2"/>
    <n v="29"/>
    <x v="0"/>
    <x v="2"/>
  </r>
  <r>
    <x v="0"/>
    <x v="0"/>
    <x v="238"/>
    <x v="3"/>
    <x v="11"/>
    <x v="300"/>
    <x v="15"/>
    <x v="17"/>
    <x v="17"/>
    <x v="253"/>
    <x v="314"/>
    <s v="Five Stars"/>
    <n v="1480636800"/>
    <s v="Not Specified"/>
    <s v="Not Specified"/>
    <s v="Not Specified"/>
    <n v="43"/>
    <x v="0"/>
    <x v="2"/>
  </r>
  <r>
    <x v="0"/>
    <x v="0"/>
    <x v="239"/>
    <x v="3"/>
    <x v="11"/>
    <x v="301"/>
    <x v="15"/>
    <x v="21"/>
    <x v="44"/>
    <x v="83"/>
    <x v="315"/>
    <s v="Five Stars"/>
    <n v="1480550400"/>
    <s v="Not Specified"/>
    <s v="Not Specified"/>
    <s v="Not Specified"/>
    <n v="93"/>
    <x v="0"/>
    <x v="2"/>
  </r>
  <r>
    <x v="0"/>
    <x v="0"/>
    <x v="240"/>
    <x v="3"/>
    <x v="7"/>
    <x v="302"/>
    <x v="15"/>
    <x v="21"/>
    <x v="17"/>
    <x v="233"/>
    <x v="316"/>
    <s v="Five Stars"/>
    <n v="1480291200"/>
    <s v="Not Specified"/>
    <s v="Not Specified"/>
    <s v="Not Specified"/>
    <n v="90"/>
    <x v="0"/>
    <x v="2"/>
  </r>
  <r>
    <x v="0"/>
    <x v="0"/>
    <x v="241"/>
    <x v="3"/>
    <x v="7"/>
    <x v="303"/>
    <x v="15"/>
    <x v="30"/>
    <x v="41"/>
    <x v="254"/>
    <x v="317"/>
    <s v="Love them"/>
    <n v="1480204800"/>
    <s v="Not Specified"/>
    <s v="Not Specified"/>
    <s v="Not Specified"/>
    <n v="338"/>
    <x v="0"/>
    <x v="2"/>
  </r>
  <r>
    <x v="0"/>
    <x v="0"/>
    <x v="242"/>
    <x v="3"/>
    <x v="7"/>
    <x v="304"/>
    <x v="15"/>
    <x v="15"/>
    <x v="17"/>
    <x v="255"/>
    <x v="318"/>
    <s v="Super light weight versatile"/>
    <n v="1479859200"/>
    <s v="Not Specified"/>
    <s v="Not Specified"/>
    <s v="Not Specified"/>
    <n v="76"/>
    <x v="0"/>
    <x v="2"/>
  </r>
  <r>
    <x v="4"/>
    <x v="1"/>
    <x v="243"/>
    <x v="3"/>
    <x v="7"/>
    <x v="305"/>
    <x v="15"/>
    <x v="26"/>
    <x v="37"/>
    <x v="256"/>
    <x v="319"/>
    <s v="very comfortable but limited use"/>
    <n v="1479686400"/>
    <s v="Not Specified"/>
    <s v="Not Specified"/>
    <s v="Not Specified"/>
    <n v="767"/>
    <x v="0"/>
    <x v="2"/>
  </r>
  <r>
    <x v="4"/>
    <x v="0"/>
    <x v="244"/>
    <x v="3"/>
    <x v="7"/>
    <x v="306"/>
    <x v="15"/>
    <x v="21"/>
    <x v="44"/>
    <x v="257"/>
    <x v="320"/>
    <s v="Four Stars"/>
    <n v="1479254400"/>
    <s v="Not Specified"/>
    <s v="Not Specified"/>
    <s v="Not Specified"/>
    <n v="49"/>
    <x v="0"/>
    <x v="2"/>
  </r>
  <r>
    <x v="0"/>
    <x v="0"/>
    <x v="244"/>
    <x v="3"/>
    <x v="7"/>
    <x v="307"/>
    <x v="15"/>
    <x v="21"/>
    <x v="17"/>
    <x v="5"/>
    <x v="321"/>
    <s v="Five Stars"/>
    <n v="1479254400"/>
    <s v="Not Specified"/>
    <s v="Not Specified"/>
    <s v="Not Specified"/>
    <n v="9"/>
    <x v="0"/>
    <x v="2"/>
  </r>
  <r>
    <x v="1"/>
    <x v="0"/>
    <x v="245"/>
    <x v="3"/>
    <x v="7"/>
    <x v="308"/>
    <x v="15"/>
    <x v="15"/>
    <x v="34"/>
    <x v="258"/>
    <x v="322"/>
    <s v="Not for aerobic exercise"/>
    <n v="1479081600"/>
    <s v="Not Specified"/>
    <s v="Not Specified"/>
    <s v="Not Specified"/>
    <n v="92"/>
    <x v="1"/>
    <x v="2"/>
  </r>
  <r>
    <x v="0"/>
    <x v="0"/>
    <x v="246"/>
    <x v="3"/>
    <x v="7"/>
    <x v="309"/>
    <x v="15"/>
    <x v="22"/>
    <x v="24"/>
    <x v="259"/>
    <x v="323"/>
    <s v="Favorite Nikes ever"/>
    <n v="1478822400"/>
    <s v="Not Specified"/>
    <s v="Not Specified"/>
    <s v="Not Specified"/>
    <n v="133"/>
    <x v="0"/>
    <x v="2"/>
  </r>
  <r>
    <x v="4"/>
    <x v="0"/>
    <x v="246"/>
    <x v="3"/>
    <x v="7"/>
    <x v="310"/>
    <x v="15"/>
    <x v="16"/>
    <x v="28"/>
    <x v="260"/>
    <x v="324"/>
    <s v="Four Stars"/>
    <n v="1478822400"/>
    <s v="Not Specified"/>
    <s v="Not Specified"/>
    <s v="Not Specified"/>
    <n v="25"/>
    <x v="0"/>
    <x v="2"/>
  </r>
  <r>
    <x v="0"/>
    <x v="0"/>
    <x v="247"/>
    <x v="3"/>
    <x v="7"/>
    <x v="311"/>
    <x v="15"/>
    <x v="14"/>
    <x v="17"/>
    <x v="5"/>
    <x v="325"/>
    <s v="... of shoes for cross training and these were the best!"/>
    <n v="1478649600"/>
    <s v="Not Specified"/>
    <s v="Not Specified"/>
    <s v="Not Specified"/>
    <n v="64"/>
    <x v="0"/>
    <x v="2"/>
  </r>
  <r>
    <x v="4"/>
    <x v="0"/>
    <x v="248"/>
    <x v="3"/>
    <x v="7"/>
    <x v="312"/>
    <x v="15"/>
    <x v="26"/>
    <x v="40"/>
    <x v="261"/>
    <x v="326"/>
    <s v="Overall, a grwat shoe."/>
    <n v="1478563200"/>
    <s v="Not Specified"/>
    <s v="Not Specified"/>
    <s v="Not Specified"/>
    <n v="83"/>
    <x v="0"/>
    <x v="2"/>
  </r>
  <r>
    <x v="0"/>
    <x v="0"/>
    <x v="249"/>
    <x v="3"/>
    <x v="7"/>
    <x v="313"/>
    <x v="15"/>
    <x v="30"/>
    <x v="17"/>
    <x v="262"/>
    <x v="327"/>
    <s v="These are as far as comfort goes the most comfortable pair of sneakers I have I suffer from sciatica ..."/>
    <n v="1478476800"/>
    <s v="Not Specified"/>
    <s v="Not Specified"/>
    <n v="3"/>
    <n v="235"/>
    <x v="0"/>
    <x v="2"/>
  </r>
  <r>
    <x v="1"/>
    <x v="0"/>
    <x v="250"/>
    <x v="3"/>
    <x v="7"/>
    <x v="314"/>
    <x v="15"/>
    <x v="21"/>
    <x v="40"/>
    <x v="263"/>
    <x v="328"/>
    <s v="They feel good but I will not recommended if you need Wide ..."/>
    <n v="1478390400"/>
    <s v="Not Specified"/>
    <s v="Not Specified"/>
    <s v="Not Specified"/>
    <n v="115"/>
    <x v="1"/>
    <x v="2"/>
  </r>
  <r>
    <x v="1"/>
    <x v="0"/>
    <x v="251"/>
    <x v="3"/>
    <x v="3"/>
    <x v="315"/>
    <x v="15"/>
    <x v="30"/>
    <x v="28"/>
    <x v="264"/>
    <x v="329"/>
    <s v="Get a half-size or more larger than usual."/>
    <n v="1477785600"/>
    <s v="Not Specified"/>
    <s v="Not Specified"/>
    <s v="Not Specified"/>
    <n v="228"/>
    <x v="1"/>
    <x v="2"/>
  </r>
  <r>
    <x v="0"/>
    <x v="0"/>
    <x v="252"/>
    <x v="3"/>
    <x v="3"/>
    <x v="316"/>
    <x v="15"/>
    <x v="17"/>
    <x v="23"/>
    <x v="265"/>
    <x v="330"/>
    <s v="Love them! Very comfortable and great for weight training"/>
    <n v="1477699200"/>
    <s v="Not Specified"/>
    <s v="Not Specified"/>
    <s v="Not Specified"/>
    <n v="59"/>
    <x v="0"/>
    <x v="2"/>
  </r>
  <r>
    <x v="1"/>
    <x v="0"/>
    <x v="253"/>
    <x v="3"/>
    <x v="3"/>
    <x v="317"/>
    <x v="15"/>
    <x v="21"/>
    <x v="17"/>
    <x v="266"/>
    <x v="331"/>
    <s v="Not as expected"/>
    <n v="1477440000"/>
    <s v="Not Specified"/>
    <s v="Not Specified"/>
    <s v="Not Specified"/>
    <n v="333"/>
    <x v="1"/>
    <x v="2"/>
  </r>
  <r>
    <x v="0"/>
    <x v="0"/>
    <x v="254"/>
    <x v="3"/>
    <x v="3"/>
    <x v="318"/>
    <x v="15"/>
    <x v="24"/>
    <x v="12"/>
    <x v="267"/>
    <x v="332"/>
    <s v="Five Stars"/>
    <n v="1477353600"/>
    <s v="Not Specified"/>
    <s v="Not Specified"/>
    <s v="Not Specified"/>
    <n v="33"/>
    <x v="0"/>
    <x v="2"/>
  </r>
  <r>
    <x v="0"/>
    <x v="1"/>
    <x v="255"/>
    <x v="3"/>
    <x v="3"/>
    <x v="319"/>
    <x v="15"/>
    <x v="14"/>
    <x v="30"/>
    <x v="5"/>
    <x v="333"/>
    <s v="Really Comfortable Shoes"/>
    <n v="1477267200"/>
    <s v="Not Specified"/>
    <s v="Not Specified"/>
    <s v="Not Specified"/>
    <n v="86"/>
    <x v="0"/>
    <x v="2"/>
  </r>
  <r>
    <x v="0"/>
    <x v="0"/>
    <x v="255"/>
    <x v="3"/>
    <x v="3"/>
    <x v="320"/>
    <x v="15"/>
    <x v="14"/>
    <x v="32"/>
    <x v="268"/>
    <x v="334"/>
    <s v="Five Stars"/>
    <n v="1477267200"/>
    <s v="Not Specified"/>
    <s v="Not Specified"/>
    <s v="Not Specified"/>
    <n v="24"/>
    <x v="0"/>
    <x v="2"/>
  </r>
  <r>
    <x v="0"/>
    <x v="0"/>
    <x v="256"/>
    <x v="3"/>
    <x v="3"/>
    <x v="321"/>
    <x v="15"/>
    <x v="26"/>
    <x v="17"/>
    <x v="5"/>
    <x v="335"/>
    <s v="Worth it."/>
    <n v="1476835200"/>
    <s v="Not Specified"/>
    <s v="Not Specified"/>
    <s v="Not Specified"/>
    <n v="35"/>
    <x v="0"/>
    <x v="2"/>
  </r>
  <r>
    <x v="0"/>
    <x v="0"/>
    <x v="4"/>
    <x v="3"/>
    <x v="3"/>
    <x v="322"/>
    <x v="15"/>
    <x v="16"/>
    <x v="28"/>
    <x v="269"/>
    <x v="336"/>
    <s v="Great sneakers!"/>
    <n v="1476662400"/>
    <s v="Not Specified"/>
    <s v="Not Specified"/>
    <n v="5"/>
    <n v="106"/>
    <x v="0"/>
    <x v="2"/>
  </r>
  <r>
    <x v="0"/>
    <x v="0"/>
    <x v="257"/>
    <x v="3"/>
    <x v="3"/>
    <x v="323"/>
    <x v="15"/>
    <x v="16"/>
    <x v="17"/>
    <x v="270"/>
    <x v="337"/>
    <s v="Lightweight yet supportive"/>
    <n v="1476489600"/>
    <s v="Not Specified"/>
    <s v="Not Specified"/>
    <s v="Not Specified"/>
    <n v="57"/>
    <x v="0"/>
    <x v="2"/>
  </r>
  <r>
    <x v="4"/>
    <x v="0"/>
    <x v="258"/>
    <x v="3"/>
    <x v="3"/>
    <x v="324"/>
    <x v="15"/>
    <x v="15"/>
    <x v="40"/>
    <x v="271"/>
    <x v="338"/>
    <s v="but like them so far"/>
    <n v="1476144000"/>
    <s v="Not Specified"/>
    <s v="Not Specified"/>
    <s v="Not Specified"/>
    <n v="181"/>
    <x v="0"/>
    <x v="2"/>
  </r>
  <r>
    <x v="1"/>
    <x v="0"/>
    <x v="259"/>
    <x v="3"/>
    <x v="3"/>
    <x v="325"/>
    <x v="15"/>
    <x v="30"/>
    <x v="20"/>
    <x v="272"/>
    <x v="339"/>
    <s v="Great red color"/>
    <n v="1475971200"/>
    <s v="Not Specified"/>
    <s v="Not Specified"/>
    <s v="Not Specified"/>
    <n v="68"/>
    <x v="1"/>
    <x v="2"/>
  </r>
  <r>
    <x v="4"/>
    <x v="0"/>
    <x v="260"/>
    <x v="3"/>
    <x v="3"/>
    <x v="326"/>
    <x v="15"/>
    <x v="14"/>
    <x v="17"/>
    <x v="273"/>
    <x v="340"/>
    <s v="they'll work great!: )"/>
    <n v="1475625600"/>
    <s v="Not Specified"/>
    <s v="Not Specified"/>
    <s v="Not Specified"/>
    <n v="100"/>
    <x v="0"/>
    <x v="2"/>
  </r>
  <r>
    <x v="1"/>
    <x v="0"/>
    <x v="261"/>
    <x v="3"/>
    <x v="3"/>
    <x v="327"/>
    <x v="15"/>
    <x v="16"/>
    <x v="20"/>
    <x v="274"/>
    <x v="341"/>
    <s v="Shoes looked great but too narrow for most feet"/>
    <n v="1475280000"/>
    <s v="Not Specified"/>
    <s v="Not Specified"/>
    <s v="Not Specified"/>
    <n v="59"/>
    <x v="1"/>
    <x v="2"/>
  </r>
  <r>
    <x v="0"/>
    <x v="0"/>
    <x v="262"/>
    <x v="3"/>
    <x v="0"/>
    <x v="328"/>
    <x v="15"/>
    <x v="30"/>
    <x v="18"/>
    <x v="275"/>
    <x v="342"/>
    <s v="I love these shoes"/>
    <n v="1474848000"/>
    <s v="Not Specified"/>
    <s v="Not Specified"/>
    <s v="Not Specified"/>
    <n v="107"/>
    <x v="0"/>
    <x v="2"/>
  </r>
  <r>
    <x v="0"/>
    <x v="0"/>
    <x v="263"/>
    <x v="3"/>
    <x v="0"/>
    <x v="329"/>
    <x v="15"/>
    <x v="14"/>
    <x v="34"/>
    <x v="276"/>
    <x v="343"/>
    <s v="Five Stars"/>
    <n v="1474588800"/>
    <s v="Not Specified"/>
    <s v="Not Specified"/>
    <s v="Not Specified"/>
    <n v="12"/>
    <x v="0"/>
    <x v="2"/>
  </r>
  <r>
    <x v="0"/>
    <x v="0"/>
    <x v="264"/>
    <x v="3"/>
    <x v="0"/>
    <x v="330"/>
    <x v="15"/>
    <x v="42"/>
    <x v="25"/>
    <x v="5"/>
    <x v="344"/>
    <s v="Very comfortable shoes. I have wide feet with falling arches"/>
    <n v="1474156800"/>
    <s v="Not Specified"/>
    <s v="Not Specified"/>
    <n v="3"/>
    <n v="140"/>
    <x v="0"/>
    <x v="2"/>
  </r>
  <r>
    <x v="3"/>
    <x v="0"/>
    <x v="265"/>
    <x v="3"/>
    <x v="0"/>
    <x v="331"/>
    <x v="15"/>
    <x v="21"/>
    <x v="23"/>
    <x v="277"/>
    <x v="345"/>
    <s v="Did not fit my feet"/>
    <n v="1473638400"/>
    <s v="Not Specified"/>
    <s v="Not Specified"/>
    <s v="Not Specified"/>
    <n v="148"/>
    <x v="2"/>
    <x v="2"/>
  </r>
  <r>
    <x v="3"/>
    <x v="0"/>
    <x v="266"/>
    <x v="3"/>
    <x v="0"/>
    <x v="332"/>
    <x v="15"/>
    <x v="22"/>
    <x v="17"/>
    <x v="278"/>
    <x v="346"/>
    <s v="Poor Quality. Don't buy."/>
    <n v="1473552000"/>
    <s v="Not Specified"/>
    <s v="Not Specified"/>
    <n v="14"/>
    <n v="258"/>
    <x v="2"/>
    <x v="2"/>
  </r>
  <r>
    <x v="0"/>
    <x v="0"/>
    <x v="267"/>
    <x v="3"/>
    <x v="0"/>
    <x v="333"/>
    <x v="15"/>
    <x v="21"/>
    <x v="17"/>
    <x v="279"/>
    <x v="347"/>
    <s v="Five Stars"/>
    <n v="1473379200"/>
    <s v="Not Specified"/>
    <s v="Not Specified"/>
    <s v="Not Specified"/>
    <n v="49"/>
    <x v="0"/>
    <x v="2"/>
  </r>
  <r>
    <x v="4"/>
    <x v="0"/>
    <x v="268"/>
    <x v="3"/>
    <x v="0"/>
    <x v="334"/>
    <x v="15"/>
    <x v="17"/>
    <x v="17"/>
    <x v="280"/>
    <x v="348"/>
    <s v="Does the job!"/>
    <n v="1473120000"/>
    <s v="Not Specified"/>
    <s v="Not Specified"/>
    <n v="2"/>
    <n v="248"/>
    <x v="0"/>
    <x v="2"/>
  </r>
  <r>
    <x v="4"/>
    <x v="0"/>
    <x v="269"/>
    <x v="3"/>
    <x v="0"/>
    <x v="335"/>
    <x v="15"/>
    <x v="22"/>
    <x v="32"/>
    <x v="5"/>
    <x v="349"/>
    <s v="I liked these shoes a lot"/>
    <n v="1472774400"/>
    <s v="Not Specified"/>
    <s v="Not Specified"/>
    <s v="Not Specified"/>
    <n v="177"/>
    <x v="0"/>
    <x v="2"/>
  </r>
  <r>
    <x v="0"/>
    <x v="0"/>
    <x v="270"/>
    <x v="3"/>
    <x v="4"/>
    <x v="336"/>
    <x v="15"/>
    <x v="16"/>
    <x v="17"/>
    <x v="5"/>
    <x v="350"/>
    <s v="Five Stars"/>
    <n v="1472428800"/>
    <s v="Not Specified"/>
    <s v="Not Specified"/>
    <s v="Not Specified"/>
    <n v="13"/>
    <x v="0"/>
    <x v="2"/>
  </r>
  <r>
    <x v="0"/>
    <x v="0"/>
    <x v="271"/>
    <x v="3"/>
    <x v="4"/>
    <x v="337"/>
    <x v="15"/>
    <x v="21"/>
    <x v="30"/>
    <x v="5"/>
    <x v="351"/>
    <s v="Five Stars"/>
    <n v="1472256000"/>
    <s v="Not Specified"/>
    <s v="Not Specified"/>
    <s v="Not Specified"/>
    <n v="62"/>
    <x v="0"/>
    <x v="2"/>
  </r>
  <r>
    <x v="0"/>
    <x v="0"/>
    <x v="271"/>
    <x v="3"/>
    <x v="4"/>
    <x v="338"/>
    <x v="15"/>
    <x v="30"/>
    <x v="17"/>
    <x v="5"/>
    <x v="352"/>
    <s v="... crossfit and find that these shoes help give me good support with my endurance workouts"/>
    <n v="1472256000"/>
    <s v="Not Specified"/>
    <s v="Not Specified"/>
    <n v="5"/>
    <n v="112"/>
    <x v="0"/>
    <x v="2"/>
  </r>
  <r>
    <x v="1"/>
    <x v="0"/>
    <x v="272"/>
    <x v="3"/>
    <x v="4"/>
    <x v="339"/>
    <x v="15"/>
    <x v="21"/>
    <x v="17"/>
    <x v="5"/>
    <x v="353"/>
    <s v="Unnacceptable. Zero support"/>
    <n v="1472169600"/>
    <s v="Not Specified"/>
    <s v="Not Specified"/>
    <n v="2"/>
    <n v="256"/>
    <x v="1"/>
    <x v="2"/>
  </r>
  <r>
    <x v="0"/>
    <x v="0"/>
    <x v="273"/>
    <x v="3"/>
    <x v="4"/>
    <x v="340"/>
    <x v="15"/>
    <x v="21"/>
    <x v="32"/>
    <x v="281"/>
    <x v="354"/>
    <s v="Great for walking!"/>
    <n v="1471910400"/>
    <s v="Not Specified"/>
    <s v="Not Specified"/>
    <s v="Not Specified"/>
    <n v="93"/>
    <x v="0"/>
    <x v="2"/>
  </r>
  <r>
    <x v="0"/>
    <x v="0"/>
    <x v="274"/>
    <x v="3"/>
    <x v="4"/>
    <x v="341"/>
    <x v="15"/>
    <x v="16"/>
    <x v="17"/>
    <x v="282"/>
    <x v="355"/>
    <s v="Simply Supreme."/>
    <n v="1471651200"/>
    <s v="Not Specified"/>
    <s v="Not Specified"/>
    <s v="Not Specified"/>
    <n v="1225"/>
    <x v="0"/>
    <x v="2"/>
  </r>
  <r>
    <x v="0"/>
    <x v="0"/>
    <x v="275"/>
    <x v="3"/>
    <x v="4"/>
    <x v="342"/>
    <x v="15"/>
    <x v="26"/>
    <x v="17"/>
    <x v="283"/>
    <x v="356"/>
    <s v="Soooo comfortable....."/>
    <n v="1471219200"/>
    <s v="Not Specified"/>
    <s v="Not Specified"/>
    <s v="Not Specified"/>
    <n v="246"/>
    <x v="0"/>
    <x v="2"/>
  </r>
  <r>
    <x v="0"/>
    <x v="0"/>
    <x v="275"/>
    <x v="3"/>
    <x v="4"/>
    <x v="343"/>
    <x v="15"/>
    <x v="24"/>
    <x v="12"/>
    <x v="284"/>
    <x v="357"/>
    <s v="Five Stars"/>
    <n v="1471219200"/>
    <s v="Not Specified"/>
    <s v="Not Specified"/>
    <s v="Not Specified"/>
    <n v="40"/>
    <x v="0"/>
    <x v="2"/>
  </r>
  <r>
    <x v="0"/>
    <x v="0"/>
    <x v="276"/>
    <x v="3"/>
    <x v="4"/>
    <x v="344"/>
    <x v="15"/>
    <x v="22"/>
    <x v="41"/>
    <x v="285"/>
    <x v="358"/>
    <s v="BEST SHOES EVER!"/>
    <n v="1471132800"/>
    <s v="Not Specified"/>
    <s v="Not Specified"/>
    <s v="Not Specified"/>
    <n v="224"/>
    <x v="0"/>
    <x v="2"/>
  </r>
  <r>
    <x v="0"/>
    <x v="0"/>
    <x v="277"/>
    <x v="3"/>
    <x v="4"/>
    <x v="345"/>
    <x v="15"/>
    <x v="22"/>
    <x v="17"/>
    <x v="286"/>
    <x v="359"/>
    <s v="... me the motivation to workout because they feel so good and are great for any training"/>
    <n v="1470614400"/>
    <s v="Not Specified"/>
    <s v="Not Specified"/>
    <s v="Not Specified"/>
    <n v="105"/>
    <x v="0"/>
    <x v="2"/>
  </r>
  <r>
    <x v="1"/>
    <x v="0"/>
    <x v="278"/>
    <x v="3"/>
    <x v="4"/>
    <x v="346"/>
    <x v="15"/>
    <x v="16"/>
    <x v="17"/>
    <x v="287"/>
    <x v="360"/>
    <s v="Hurt my knees and back running"/>
    <n v="1470355200"/>
    <s v="Not Specified"/>
    <s v="Not Specified"/>
    <n v="2"/>
    <n v="772"/>
    <x v="1"/>
    <x v="2"/>
  </r>
  <r>
    <x v="0"/>
    <x v="0"/>
    <x v="279"/>
    <x v="3"/>
    <x v="9"/>
    <x v="347"/>
    <x v="15"/>
    <x v="33"/>
    <x v="17"/>
    <x v="288"/>
    <x v="361"/>
    <s v="Very comfortable shoes. Love"/>
    <n v="1469577600"/>
    <s v="Not Specified"/>
    <s v="Not Specified"/>
    <s v="Not Specified"/>
    <n v="37"/>
    <x v="0"/>
    <x v="2"/>
  </r>
  <r>
    <x v="0"/>
    <x v="1"/>
    <x v="280"/>
    <x v="3"/>
    <x v="9"/>
    <x v="348"/>
    <x v="15"/>
    <x v="16"/>
    <x v="26"/>
    <x v="289"/>
    <x v="362"/>
    <s v="Great shoes"/>
    <n v="1469145600"/>
    <s v="Not Specified"/>
    <s v="Not Specified"/>
    <s v="Not Specified"/>
    <n v="427"/>
    <x v="0"/>
    <x v="2"/>
  </r>
  <r>
    <x v="1"/>
    <x v="0"/>
    <x v="281"/>
    <x v="3"/>
    <x v="9"/>
    <x v="349"/>
    <x v="15"/>
    <x v="30"/>
    <x v="17"/>
    <x v="290"/>
    <x v="363"/>
    <s v="large shoe"/>
    <n v="1469059200"/>
    <s v="Not Specified"/>
    <s v="Not Specified"/>
    <s v="Not Specified"/>
    <n v="50"/>
    <x v="1"/>
    <x v="2"/>
  </r>
  <r>
    <x v="0"/>
    <x v="0"/>
    <x v="282"/>
    <x v="3"/>
    <x v="9"/>
    <x v="350"/>
    <x v="15"/>
    <x v="16"/>
    <x v="17"/>
    <x v="291"/>
    <x v="364"/>
    <s v="Five Stars"/>
    <n v="1468886400"/>
    <s v="Not Specified"/>
    <s v="Not Specified"/>
    <s v="Not Specified"/>
    <n v="20"/>
    <x v="0"/>
    <x v="2"/>
  </r>
  <r>
    <x v="0"/>
    <x v="0"/>
    <x v="283"/>
    <x v="3"/>
    <x v="9"/>
    <x v="351"/>
    <x v="15"/>
    <x v="21"/>
    <x v="18"/>
    <x v="292"/>
    <x v="365"/>
    <s v="My wife loves these shoes."/>
    <n v="1468800000"/>
    <s v="Not Specified"/>
    <s v="Not Specified"/>
    <s v="Not Specified"/>
    <n v="306"/>
    <x v="0"/>
    <x v="2"/>
  </r>
  <r>
    <x v="0"/>
    <x v="0"/>
    <x v="284"/>
    <x v="3"/>
    <x v="9"/>
    <x v="352"/>
    <x v="15"/>
    <x v="17"/>
    <x v="17"/>
    <x v="293"/>
    <x v="366"/>
    <s v="Love Love Love"/>
    <n v="1468368000"/>
    <s v="Not Specified"/>
    <s v="Not Specified"/>
    <s v="Not Specified"/>
    <n v="188"/>
    <x v="0"/>
    <x v="2"/>
  </r>
  <r>
    <x v="0"/>
    <x v="0"/>
    <x v="285"/>
    <x v="3"/>
    <x v="9"/>
    <x v="353"/>
    <x v="15"/>
    <x v="26"/>
    <x v="17"/>
    <x v="5"/>
    <x v="367"/>
    <s v="PERFECT"/>
    <n v="1467331200"/>
    <s v="Not Specified"/>
    <s v="Not Specified"/>
    <s v="Not Specified"/>
    <n v="62"/>
    <x v="0"/>
    <x v="2"/>
  </r>
  <r>
    <x v="0"/>
    <x v="0"/>
    <x v="285"/>
    <x v="3"/>
    <x v="9"/>
    <x v="354"/>
    <x v="15"/>
    <x v="16"/>
    <x v="32"/>
    <x v="294"/>
    <x v="368"/>
    <s v="Nice shoe"/>
    <n v="1467331200"/>
    <s v="Not Specified"/>
    <s v="Not Specified"/>
    <n v="5"/>
    <n v="378"/>
    <x v="0"/>
    <x v="2"/>
  </r>
  <r>
    <x v="0"/>
    <x v="0"/>
    <x v="286"/>
    <x v="3"/>
    <x v="6"/>
    <x v="355"/>
    <x v="15"/>
    <x v="15"/>
    <x v="17"/>
    <x v="295"/>
    <x v="369"/>
    <s v="I am so happy with this purchase"/>
    <n v="1467072000"/>
    <s v="Not Specified"/>
    <s v="Not Specified"/>
    <n v="7"/>
    <n v="288"/>
    <x v="0"/>
    <x v="2"/>
  </r>
  <r>
    <x v="0"/>
    <x v="0"/>
    <x v="287"/>
    <x v="3"/>
    <x v="6"/>
    <x v="356"/>
    <x v="15"/>
    <x v="16"/>
    <x v="41"/>
    <x v="296"/>
    <x v="370"/>
    <s v="Five Stars"/>
    <n v="1466812800"/>
    <s v="Not Specified"/>
    <s v="Not Specified"/>
    <s v="Not Specified"/>
    <n v="60"/>
    <x v="0"/>
    <x v="2"/>
  </r>
  <r>
    <x v="1"/>
    <x v="0"/>
    <x v="288"/>
    <x v="3"/>
    <x v="6"/>
    <x v="357"/>
    <x v="15"/>
    <x v="30"/>
    <x v="18"/>
    <x v="5"/>
    <x v="371"/>
    <s v="Cute"/>
    <n v="1466467200"/>
    <s v="Not Specified"/>
    <s v="Not Specified"/>
    <n v="2"/>
    <n v="236"/>
    <x v="1"/>
    <x v="2"/>
  </r>
  <r>
    <x v="0"/>
    <x v="0"/>
    <x v="289"/>
    <x v="3"/>
    <x v="6"/>
    <x v="358"/>
    <x v="15"/>
    <x v="21"/>
    <x v="17"/>
    <x v="297"/>
    <x v="372"/>
    <s v="Love"/>
    <n v="1466294400"/>
    <s v="Not Specified"/>
    <s v="Not Specified"/>
    <n v="3"/>
    <n v="308"/>
    <x v="0"/>
    <x v="2"/>
  </r>
  <r>
    <x v="0"/>
    <x v="1"/>
    <x v="290"/>
    <x v="3"/>
    <x v="6"/>
    <x v="359"/>
    <x v="15"/>
    <x v="21"/>
    <x v="20"/>
    <x v="5"/>
    <x v="373"/>
    <s v="Absolutely Perfect Shoe!!"/>
    <n v="1466035200"/>
    <s v="Not Specified"/>
    <s v="Not Specified"/>
    <n v="3"/>
    <n v="370"/>
    <x v="0"/>
    <x v="2"/>
  </r>
  <r>
    <x v="0"/>
    <x v="0"/>
    <x v="291"/>
    <x v="3"/>
    <x v="6"/>
    <x v="360"/>
    <x v="15"/>
    <x v="31"/>
    <x v="17"/>
    <x v="298"/>
    <x v="374"/>
    <s v="Comfortable and lightweight"/>
    <n v="1465516800"/>
    <s v="Not Specified"/>
    <s v="Not Specified"/>
    <n v="10"/>
    <n v="204"/>
    <x v="0"/>
    <x v="2"/>
  </r>
  <r>
    <x v="0"/>
    <x v="0"/>
    <x v="292"/>
    <x v="3"/>
    <x v="6"/>
    <x v="361"/>
    <x v="15"/>
    <x v="14"/>
    <x v="17"/>
    <x v="299"/>
    <x v="321"/>
    <s v="Five Stars"/>
    <n v="1465084800"/>
    <s v="Not Specified"/>
    <s v="Not Specified"/>
    <s v="Not Specified"/>
    <n v="9"/>
    <x v="0"/>
    <x v="2"/>
  </r>
  <r>
    <x v="0"/>
    <x v="0"/>
    <x v="293"/>
    <x v="3"/>
    <x v="6"/>
    <x v="362"/>
    <x v="15"/>
    <x v="14"/>
    <x v="32"/>
    <x v="300"/>
    <x v="375"/>
    <s v="Awesome shoes!"/>
    <n v="1464825600"/>
    <s v="Not Specified"/>
    <s v="Not Specified"/>
    <s v="Not Specified"/>
    <n v="237"/>
    <x v="0"/>
    <x v="2"/>
  </r>
  <r>
    <x v="0"/>
    <x v="0"/>
    <x v="294"/>
    <x v="3"/>
    <x v="1"/>
    <x v="363"/>
    <x v="15"/>
    <x v="17"/>
    <x v="18"/>
    <x v="301"/>
    <x v="376"/>
    <s v="Five Stars"/>
    <n v="1464480000"/>
    <s v="Not Specified"/>
    <s v="Not Specified"/>
    <s v="Not Specified"/>
    <n v="11"/>
    <x v="0"/>
    <x v="2"/>
  </r>
  <r>
    <x v="0"/>
    <x v="0"/>
    <x v="295"/>
    <x v="3"/>
    <x v="1"/>
    <x v="364"/>
    <x v="15"/>
    <x v="39"/>
    <x v="19"/>
    <x v="5"/>
    <x v="228"/>
    <s v="Five Stars"/>
    <n v="1464393600"/>
    <s v="Not Specified"/>
    <s v="Not Specified"/>
    <s v="Not Specified"/>
    <n v="7"/>
    <x v="0"/>
    <x v="2"/>
  </r>
  <r>
    <x v="0"/>
    <x v="1"/>
    <x v="296"/>
    <x v="3"/>
    <x v="1"/>
    <x v="365"/>
    <x v="15"/>
    <x v="2"/>
    <x v="7"/>
    <x v="302"/>
    <x v="377"/>
    <s v="Time to leave the fad of the month for something that works."/>
    <n v="1464048000"/>
    <s v="Not Specified"/>
    <s v="Not Specified"/>
    <n v="8"/>
    <n v="629"/>
    <x v="0"/>
    <x v="2"/>
  </r>
  <r>
    <x v="4"/>
    <x v="0"/>
    <x v="296"/>
    <x v="3"/>
    <x v="1"/>
    <x v="366"/>
    <x v="15"/>
    <x v="21"/>
    <x v="18"/>
    <x v="303"/>
    <x v="378"/>
    <s v="A little annoying because I have to pay attention but they are ..."/>
    <n v="1464048000"/>
    <s v="Not Specified"/>
    <s v="Not Specified"/>
    <s v="Not Specified"/>
    <n v="148"/>
    <x v="0"/>
    <x v="2"/>
  </r>
  <r>
    <x v="0"/>
    <x v="0"/>
    <x v="297"/>
    <x v="3"/>
    <x v="1"/>
    <x v="367"/>
    <x v="15"/>
    <x v="26"/>
    <x v="17"/>
    <x v="304"/>
    <x v="248"/>
    <s v="Five Stars"/>
    <n v="1463702400"/>
    <s v="Not Specified"/>
    <s v="Not Specified"/>
    <s v="Not Specified"/>
    <n v="10"/>
    <x v="0"/>
    <x v="2"/>
  </r>
  <r>
    <x v="0"/>
    <x v="1"/>
    <x v="298"/>
    <x v="3"/>
    <x v="1"/>
    <x v="368"/>
    <x v="15"/>
    <x v="17"/>
    <x v="34"/>
    <x v="305"/>
    <x v="379"/>
    <s v="and the toe area is pretty wide plus plenty long even with socks"/>
    <n v="1463529600"/>
    <s v="Not Specified"/>
    <s v="Not Specified"/>
    <s v="Not Specified"/>
    <n v="247"/>
    <x v="0"/>
    <x v="2"/>
  </r>
  <r>
    <x v="0"/>
    <x v="0"/>
    <x v="299"/>
    <x v="3"/>
    <x v="1"/>
    <x v="369"/>
    <x v="15"/>
    <x v="22"/>
    <x v="20"/>
    <x v="5"/>
    <x v="380"/>
    <s v="Five Stars"/>
    <n v="1463356800"/>
    <s v="Not Specified"/>
    <s v="Not Specified"/>
    <s v="Not Specified"/>
    <n v="76"/>
    <x v="0"/>
    <x v="2"/>
  </r>
  <r>
    <x v="0"/>
    <x v="0"/>
    <x v="300"/>
    <x v="3"/>
    <x v="1"/>
    <x v="370"/>
    <x v="15"/>
    <x v="15"/>
    <x v="32"/>
    <x v="306"/>
    <x v="381"/>
    <s v="Great and comfy for sports"/>
    <n v="1463270400"/>
    <s v="Not Specified"/>
    <s v="Not Specified"/>
    <s v="Not Specified"/>
    <n v="27"/>
    <x v="0"/>
    <x v="2"/>
  </r>
  <r>
    <x v="4"/>
    <x v="0"/>
    <x v="301"/>
    <x v="3"/>
    <x v="1"/>
    <x v="371"/>
    <x v="15"/>
    <x v="40"/>
    <x v="43"/>
    <x v="307"/>
    <x v="382"/>
    <s v="A bit pointier toe than depicted..."/>
    <n v="1462924800"/>
    <s v="Not Specified"/>
    <s v="Not Specified"/>
    <s v="Not Specified"/>
    <n v="468"/>
    <x v="0"/>
    <x v="2"/>
  </r>
  <r>
    <x v="0"/>
    <x v="1"/>
    <x v="302"/>
    <x v="3"/>
    <x v="1"/>
    <x v="372"/>
    <x v="15"/>
    <x v="17"/>
    <x v="18"/>
    <x v="5"/>
    <x v="383"/>
    <s v="Best shoes ever!!!"/>
    <n v="1462838400"/>
    <s v="Not Specified"/>
    <s v="Not Specified"/>
    <s v="Not Specified"/>
    <n v="166"/>
    <x v="0"/>
    <x v="2"/>
  </r>
  <r>
    <x v="0"/>
    <x v="0"/>
    <x v="303"/>
    <x v="3"/>
    <x v="1"/>
    <x v="373"/>
    <x v="15"/>
    <x v="21"/>
    <x v="17"/>
    <x v="308"/>
    <x v="384"/>
    <s v="Five Stars"/>
    <n v="1462752000"/>
    <s v="Not Specified"/>
    <s v="Not Specified"/>
    <s v="Not Specified"/>
    <n v="33"/>
    <x v="0"/>
    <x v="2"/>
  </r>
  <r>
    <x v="0"/>
    <x v="0"/>
    <x v="304"/>
    <x v="3"/>
    <x v="1"/>
    <x v="374"/>
    <x v="15"/>
    <x v="26"/>
    <x v="17"/>
    <x v="309"/>
    <x v="385"/>
    <s v="Fits wonderful"/>
    <n v="1462665600"/>
    <s v="Not Specified"/>
    <s v="Not Specified"/>
    <s v="Not Specified"/>
    <n v="62"/>
    <x v="0"/>
    <x v="2"/>
  </r>
  <r>
    <x v="4"/>
    <x v="0"/>
    <x v="305"/>
    <x v="3"/>
    <x v="1"/>
    <x v="375"/>
    <x v="15"/>
    <x v="41"/>
    <x v="19"/>
    <x v="310"/>
    <x v="386"/>
    <s v="Four Stars"/>
    <n v="1462579200"/>
    <s v="Not Specified"/>
    <s v="Not Specified"/>
    <s v="Not Specified"/>
    <n v="25"/>
    <x v="0"/>
    <x v="2"/>
  </r>
  <r>
    <x v="4"/>
    <x v="0"/>
    <x v="306"/>
    <x v="3"/>
    <x v="1"/>
    <x v="376"/>
    <x v="15"/>
    <x v="21"/>
    <x v="17"/>
    <x v="311"/>
    <x v="387"/>
    <s v="Comfortable and lightweight"/>
    <n v="1462320000"/>
    <s v="Not Specified"/>
    <s v="Not Specified"/>
    <n v="20"/>
    <n v="1368"/>
    <x v="0"/>
    <x v="2"/>
  </r>
  <r>
    <x v="0"/>
    <x v="0"/>
    <x v="306"/>
    <x v="3"/>
    <x v="1"/>
    <x v="377"/>
    <x v="15"/>
    <x v="41"/>
    <x v="19"/>
    <x v="312"/>
    <x v="388"/>
    <s v="nice"/>
    <n v="1462320000"/>
    <s v="Not Specified"/>
    <s v="Not Specified"/>
    <s v="Not Specified"/>
    <n v="57"/>
    <x v="0"/>
    <x v="2"/>
  </r>
  <r>
    <x v="0"/>
    <x v="0"/>
    <x v="307"/>
    <x v="3"/>
    <x v="10"/>
    <x v="378"/>
    <x v="15"/>
    <x v="16"/>
    <x v="17"/>
    <x v="313"/>
    <x v="389"/>
    <s v="Five Stars"/>
    <n v="1461369600"/>
    <s v="Not Specified"/>
    <s v="Not Specified"/>
    <s v="Not Specified"/>
    <n v="50"/>
    <x v="0"/>
    <x v="2"/>
  </r>
  <r>
    <x v="0"/>
    <x v="0"/>
    <x v="308"/>
    <x v="3"/>
    <x v="10"/>
    <x v="379"/>
    <x v="15"/>
    <x v="30"/>
    <x v="17"/>
    <x v="314"/>
    <x v="390"/>
    <s v="Wide Feet so Somewhat Tight"/>
    <n v="1461196800"/>
    <s v="Not Specified"/>
    <s v="Not Specified"/>
    <n v="3"/>
    <n v="371"/>
    <x v="0"/>
    <x v="2"/>
  </r>
  <r>
    <x v="4"/>
    <x v="0"/>
    <x v="309"/>
    <x v="3"/>
    <x v="10"/>
    <x v="380"/>
    <x v="15"/>
    <x v="16"/>
    <x v="17"/>
    <x v="5"/>
    <x v="391"/>
    <s v="Four Stars"/>
    <n v="1461110400"/>
    <s v="Not Specified"/>
    <s v="Not Specified"/>
    <s v="Not Specified"/>
    <n v="19"/>
    <x v="0"/>
    <x v="2"/>
  </r>
  <r>
    <x v="4"/>
    <x v="0"/>
    <x v="42"/>
    <x v="3"/>
    <x v="10"/>
    <x v="30"/>
    <x v="15"/>
    <x v="14"/>
    <x v="17"/>
    <x v="5"/>
    <x v="49"/>
    <s v="Four Stars"/>
    <n v="1461024000"/>
    <s v="Not Specified"/>
    <s v="Not Specified"/>
    <n v="2"/>
    <n v="60"/>
    <x v="0"/>
    <x v="2"/>
  </r>
  <r>
    <x v="0"/>
    <x v="0"/>
    <x v="43"/>
    <x v="3"/>
    <x v="10"/>
    <x v="31"/>
    <x v="15"/>
    <x v="15"/>
    <x v="17"/>
    <x v="28"/>
    <x v="50"/>
    <s v="Five Stars"/>
    <n v="1460937600"/>
    <s v="Not Specified"/>
    <s v="Not Specified"/>
    <s v="Not Specified"/>
    <n v="22"/>
    <x v="0"/>
    <x v="2"/>
  </r>
  <r>
    <x v="1"/>
    <x v="0"/>
    <x v="44"/>
    <x v="3"/>
    <x v="10"/>
    <x v="32"/>
    <x v="15"/>
    <x v="16"/>
    <x v="17"/>
    <x v="29"/>
    <x v="51"/>
    <s v="LOOKS GOOD, FEELS ICKY!"/>
    <n v="1459728000"/>
    <s v="Not Specified"/>
    <s v="Not Specified"/>
    <n v="2"/>
    <n v="272"/>
    <x v="1"/>
    <x v="2"/>
  </r>
  <r>
    <x v="0"/>
    <x v="0"/>
    <x v="45"/>
    <x v="3"/>
    <x v="5"/>
    <x v="33"/>
    <x v="15"/>
    <x v="17"/>
    <x v="18"/>
    <x v="30"/>
    <x v="52"/>
    <s v="Love it!! Definetly recommend it"/>
    <n v="1459382400"/>
    <s v="Not Specified"/>
    <s v="Not Specified"/>
    <s v="Not Specified"/>
    <n v="123"/>
    <x v="0"/>
    <x v="2"/>
  </r>
  <r>
    <x v="0"/>
    <x v="0"/>
    <x v="46"/>
    <x v="3"/>
    <x v="5"/>
    <x v="34"/>
    <x v="15"/>
    <x v="18"/>
    <x v="19"/>
    <x v="31"/>
    <x v="53"/>
    <s v="Five Stars"/>
    <n v="1459123200"/>
    <s v="Not Specified"/>
    <s v="Not Specified"/>
    <s v="Not Specified"/>
    <n v="9"/>
    <x v="0"/>
    <x v="2"/>
  </r>
  <r>
    <x v="2"/>
    <x v="0"/>
    <x v="46"/>
    <x v="3"/>
    <x v="5"/>
    <x v="35"/>
    <x v="15"/>
    <x v="19"/>
    <x v="19"/>
    <x v="5"/>
    <x v="54"/>
    <s v="Cheap"/>
    <n v="1459123200"/>
    <s v="Not Specified"/>
    <s v="Not Specified"/>
    <s v="Not Specified"/>
    <n v="167"/>
    <x v="2"/>
    <x v="2"/>
  </r>
  <r>
    <x v="2"/>
    <x v="0"/>
    <x v="46"/>
    <x v="3"/>
    <x v="5"/>
    <x v="35"/>
    <x v="16"/>
    <x v="19"/>
    <x v="19"/>
    <x v="5"/>
    <x v="54"/>
    <s v="Cheap"/>
    <n v="1459123200"/>
    <s v="Not Specified"/>
    <s v="Not Specified"/>
    <s v="Not Specified"/>
    <n v="167"/>
    <x v="2"/>
    <x v="2"/>
  </r>
  <r>
    <x v="4"/>
    <x v="0"/>
    <x v="47"/>
    <x v="3"/>
    <x v="5"/>
    <x v="36"/>
    <x v="16"/>
    <x v="20"/>
    <x v="19"/>
    <x v="32"/>
    <x v="55"/>
    <s v="Pretty comfortable pair of running shoes"/>
    <n v="1458777600"/>
    <s v="Not Specified"/>
    <s v="Not Specified"/>
    <s v="Not Specified"/>
    <n v="132"/>
    <x v="0"/>
    <x v="2"/>
  </r>
  <r>
    <x v="1"/>
    <x v="0"/>
    <x v="6"/>
    <x v="3"/>
    <x v="5"/>
    <x v="37"/>
    <x v="16"/>
    <x v="21"/>
    <x v="17"/>
    <x v="33"/>
    <x v="56"/>
    <s v="I always get a half size up in my tennis ..."/>
    <n v="1458691200"/>
    <s v="Not Specified"/>
    <s v="Not Specified"/>
    <n v="7"/>
    <n v="108"/>
    <x v="1"/>
    <x v="2"/>
  </r>
  <r>
    <x v="0"/>
    <x v="0"/>
    <x v="48"/>
    <x v="3"/>
    <x v="5"/>
    <x v="38"/>
    <x v="16"/>
    <x v="22"/>
    <x v="20"/>
    <x v="34"/>
    <x v="57"/>
    <s v="Love them! So light feeling"/>
    <n v="1458432000"/>
    <s v="Not Specified"/>
    <s v="Not Specified"/>
    <s v="Not Specified"/>
    <n v="75"/>
    <x v="0"/>
    <x v="2"/>
  </r>
  <r>
    <x v="0"/>
    <x v="0"/>
    <x v="49"/>
    <x v="3"/>
    <x v="5"/>
    <x v="39"/>
    <x v="16"/>
    <x v="23"/>
    <x v="19"/>
    <x v="35"/>
    <x v="53"/>
    <s v="Five Stars"/>
    <n v="1458259200"/>
    <s v="Not Specified"/>
    <s v="Not Specified"/>
    <s v="Not Specified"/>
    <n v="9"/>
    <x v="0"/>
    <x v="2"/>
  </r>
  <r>
    <x v="4"/>
    <x v="0"/>
    <x v="313"/>
    <x v="3"/>
    <x v="5"/>
    <x v="384"/>
    <x v="16"/>
    <x v="21"/>
    <x v="17"/>
    <x v="317"/>
    <x v="395"/>
    <s v="you feel like you have a lot of room"/>
    <n v="1458086400"/>
    <s v="Not Specified"/>
    <s v="Not Specified"/>
    <s v="Not Specified"/>
    <n v="213"/>
    <x v="0"/>
    <x v="2"/>
  </r>
  <r>
    <x v="0"/>
    <x v="0"/>
    <x v="314"/>
    <x v="3"/>
    <x v="5"/>
    <x v="385"/>
    <x v="16"/>
    <x v="21"/>
    <x v="17"/>
    <x v="5"/>
    <x v="396"/>
    <s v="Exactly What I Was Looking For"/>
    <n v="1457827200"/>
    <s v="Not Specified"/>
    <s v="Not Specified"/>
    <n v="22"/>
    <n v="412"/>
    <x v="0"/>
    <x v="2"/>
  </r>
  <r>
    <x v="0"/>
    <x v="0"/>
    <x v="315"/>
    <x v="3"/>
    <x v="5"/>
    <x v="386"/>
    <x v="16"/>
    <x v="26"/>
    <x v="17"/>
    <x v="5"/>
    <x v="397"/>
    <s v="Five Stars"/>
    <n v="1457222400"/>
    <s v="Not Specified"/>
    <s v="Not Specified"/>
    <s v="Not Specified"/>
    <n v="17"/>
    <x v="0"/>
    <x v="2"/>
  </r>
  <r>
    <x v="0"/>
    <x v="0"/>
    <x v="316"/>
    <x v="3"/>
    <x v="5"/>
    <x v="387"/>
    <x v="16"/>
    <x v="19"/>
    <x v="19"/>
    <x v="318"/>
    <x v="398"/>
    <s v="Good shoes, tolerable price."/>
    <n v="1456876800"/>
    <s v="Not Specified"/>
    <s v="Not Specified"/>
    <s v="Not Specified"/>
    <n v="55"/>
    <x v="0"/>
    <x v="2"/>
  </r>
  <r>
    <x v="0"/>
    <x v="0"/>
    <x v="322"/>
    <x v="1"/>
    <x v="6"/>
    <x v="395"/>
    <x v="16"/>
    <x v="15"/>
    <x v="17"/>
    <x v="324"/>
    <x v="405"/>
    <s v="Five Stars"/>
    <n v="1527984000"/>
    <s v="Not Specified"/>
    <s v="Not Specified"/>
    <s v="Not Specified"/>
    <n v="47"/>
    <x v="0"/>
    <x v="2"/>
  </r>
  <r>
    <x v="0"/>
    <x v="0"/>
    <x v="321"/>
    <x v="1"/>
    <x v="1"/>
    <x v="393"/>
    <x v="16"/>
    <x v="24"/>
    <x v="21"/>
    <x v="322"/>
    <x v="403"/>
    <s v="LOVE my new sneakers!"/>
    <n v="1526947200"/>
    <s v="Not Specified"/>
    <s v="Not Specified"/>
    <s v="Not Specified"/>
    <n v="372"/>
    <x v="0"/>
    <x v="2"/>
  </r>
  <r>
    <x v="0"/>
    <x v="0"/>
    <x v="319"/>
    <x v="1"/>
    <x v="1"/>
    <x v="394"/>
    <x v="16"/>
    <x v="30"/>
    <x v="17"/>
    <x v="323"/>
    <x v="404"/>
    <s v="Very confortable!"/>
    <n v="1526428800"/>
    <s v="Not Specified"/>
    <s v="Not Specified"/>
    <s v="Not Specified"/>
    <n v="17"/>
    <x v="0"/>
    <x v="2"/>
  </r>
  <r>
    <x v="0"/>
    <x v="0"/>
    <x v="319"/>
    <x v="1"/>
    <x v="1"/>
    <x v="390"/>
    <x v="16"/>
    <x v="31"/>
    <x v="17"/>
    <x v="151"/>
    <x v="13"/>
    <s v="Five Stars"/>
    <n v="1526428800"/>
    <s v="Not Specified"/>
    <s v="Not Specified"/>
    <s v="Not Specified"/>
    <n v="11"/>
    <x v="0"/>
    <x v="2"/>
  </r>
  <r>
    <x v="1"/>
    <x v="0"/>
    <x v="320"/>
    <x v="1"/>
    <x v="1"/>
    <x v="391"/>
    <x v="16"/>
    <x v="21"/>
    <x v="21"/>
    <x v="5"/>
    <x v="401"/>
    <s v="Three Stars"/>
    <n v="1526342400"/>
    <s v="Not Specified"/>
    <s v="Not Specified"/>
    <s v="Not Specified"/>
    <n v="39"/>
    <x v="1"/>
    <x v="2"/>
  </r>
  <r>
    <x v="1"/>
    <x v="0"/>
    <x v="320"/>
    <x v="1"/>
    <x v="1"/>
    <x v="392"/>
    <x v="16"/>
    <x v="17"/>
    <x v="21"/>
    <x v="321"/>
    <x v="402"/>
    <s v="somewhat large fit"/>
    <n v="1526342400"/>
    <s v="Not Specified"/>
    <s v="Not Specified"/>
    <s v="Not Specified"/>
    <n v="173"/>
    <x v="1"/>
    <x v="2"/>
  </r>
  <r>
    <x v="0"/>
    <x v="0"/>
    <x v="317"/>
    <x v="1"/>
    <x v="1"/>
    <x v="388"/>
    <x v="16"/>
    <x v="21"/>
    <x v="36"/>
    <x v="319"/>
    <x v="399"/>
    <s v="Five Stars"/>
    <n v="1525478400"/>
    <s v="Not Specified"/>
    <s v="Not Specified"/>
    <s v="Not Specified"/>
    <n v="71"/>
    <x v="0"/>
    <x v="2"/>
  </r>
  <r>
    <x v="0"/>
    <x v="0"/>
    <x v="318"/>
    <x v="1"/>
    <x v="1"/>
    <x v="389"/>
    <x v="16"/>
    <x v="15"/>
    <x v="34"/>
    <x v="320"/>
    <x v="400"/>
    <s v="Five Stars"/>
    <n v="1525305600"/>
    <s v="Not Specified"/>
    <s v="Not Specified"/>
    <s v="Not Specified"/>
    <n v="90"/>
    <x v="0"/>
    <x v="2"/>
  </r>
  <r>
    <x v="1"/>
    <x v="0"/>
    <x v="310"/>
    <x v="1"/>
    <x v="10"/>
    <x v="381"/>
    <x v="16"/>
    <x v="38"/>
    <x v="29"/>
    <x v="5"/>
    <x v="392"/>
    <s v="Three Stars"/>
    <n v="1525046400"/>
    <s v="Not Specified"/>
    <s v="Not Specified"/>
    <s v="Not Specified"/>
    <n v="14"/>
    <x v="1"/>
    <x v="2"/>
  </r>
  <r>
    <x v="0"/>
    <x v="0"/>
    <x v="311"/>
    <x v="1"/>
    <x v="10"/>
    <x v="382"/>
    <x v="16"/>
    <x v="16"/>
    <x v="31"/>
    <x v="315"/>
    <x v="393"/>
    <s v="Five Stars"/>
    <n v="1524700800"/>
    <s v="Not Specified"/>
    <s v="Not Specified"/>
    <s v="Not Specified"/>
    <n v="43"/>
    <x v="0"/>
    <x v="2"/>
  </r>
  <r>
    <x v="0"/>
    <x v="0"/>
    <x v="312"/>
    <x v="1"/>
    <x v="10"/>
    <x v="383"/>
    <x v="16"/>
    <x v="16"/>
    <x v="17"/>
    <x v="316"/>
    <x v="394"/>
    <s v="Great Shoe"/>
    <n v="1524528000"/>
    <s v="Not Specified"/>
    <s v="Not Specified"/>
    <s v="Not Specified"/>
    <n v="160"/>
    <x v="0"/>
    <x v="2"/>
  </r>
  <r>
    <x v="0"/>
    <x v="0"/>
    <x v="50"/>
    <x v="1"/>
    <x v="10"/>
    <x v="40"/>
    <x v="16"/>
    <x v="14"/>
    <x v="17"/>
    <x v="36"/>
    <x v="58"/>
    <s v="Love these shoes"/>
    <n v="1524355200"/>
    <s v="Not Specified"/>
    <s v="Not Specified"/>
    <s v="Not Specified"/>
    <n v="148"/>
    <x v="0"/>
    <x v="2"/>
  </r>
  <r>
    <x v="1"/>
    <x v="0"/>
    <x v="51"/>
    <x v="1"/>
    <x v="10"/>
    <x v="41"/>
    <x v="16"/>
    <x v="17"/>
    <x v="21"/>
    <x v="37"/>
    <x v="59"/>
    <s v="Its not as comfortable as I was expecting"/>
    <n v="1524096000"/>
    <s v="Not Specified"/>
    <s v="Not Specified"/>
    <s v="Not Specified"/>
    <n v="125"/>
    <x v="1"/>
    <x v="2"/>
  </r>
  <r>
    <x v="0"/>
    <x v="0"/>
    <x v="52"/>
    <x v="1"/>
    <x v="10"/>
    <x v="42"/>
    <x v="16"/>
    <x v="16"/>
    <x v="17"/>
    <x v="38"/>
    <x v="60"/>
    <s v="Very Comfortable"/>
    <n v="1524009600"/>
    <s v="Not Specified"/>
    <s v="Not Specified"/>
    <s v="Not Specified"/>
    <n v="123"/>
    <x v="0"/>
    <x v="2"/>
  </r>
  <r>
    <x v="0"/>
    <x v="0"/>
    <x v="52"/>
    <x v="1"/>
    <x v="10"/>
    <x v="43"/>
    <x v="16"/>
    <x v="14"/>
    <x v="21"/>
    <x v="5"/>
    <x v="61"/>
    <s v="The color pattern and fit is what I liked the most what I liked the least is that ..."/>
    <n v="1524009600"/>
    <s v="Not Specified"/>
    <s v="Not Specified"/>
    <s v="Not Specified"/>
    <n v="155"/>
    <x v="0"/>
    <x v="2"/>
  </r>
  <r>
    <x v="0"/>
    <x v="0"/>
    <x v="53"/>
    <x v="1"/>
    <x v="10"/>
    <x v="44"/>
    <x v="16"/>
    <x v="24"/>
    <x v="12"/>
    <x v="39"/>
    <x v="62"/>
    <s v="Great shoe for the price!"/>
    <n v="1523836800"/>
    <s v="Not Specified"/>
    <s v="Not Specified"/>
    <s v="Not Specified"/>
    <n v="158"/>
    <x v="0"/>
    <x v="2"/>
  </r>
  <r>
    <x v="0"/>
    <x v="0"/>
    <x v="54"/>
    <x v="1"/>
    <x v="10"/>
    <x v="45"/>
    <x v="16"/>
    <x v="17"/>
    <x v="17"/>
    <x v="40"/>
    <x v="63"/>
    <s v="Great shoe!"/>
    <n v="1523750400"/>
    <s v="Not Specified"/>
    <s v="Not Specified"/>
    <n v="2"/>
    <n v="774"/>
    <x v="0"/>
    <x v="2"/>
  </r>
  <r>
    <x v="1"/>
    <x v="0"/>
    <x v="55"/>
    <x v="1"/>
    <x v="10"/>
    <x v="46"/>
    <x v="16"/>
    <x v="15"/>
    <x v="21"/>
    <x v="41"/>
    <x v="64"/>
    <s v="Three Stars"/>
    <n v="1523577600"/>
    <s v="Not Specified"/>
    <s v="Not Specified"/>
    <s v="Not Specified"/>
    <n v="85"/>
    <x v="1"/>
    <x v="2"/>
  </r>
  <r>
    <x v="1"/>
    <x v="0"/>
    <x v="56"/>
    <x v="1"/>
    <x v="10"/>
    <x v="47"/>
    <x v="16"/>
    <x v="14"/>
    <x v="23"/>
    <x v="42"/>
    <x v="65"/>
    <s v="Three Stars"/>
    <n v="1523232000"/>
    <s v="Not Specified"/>
    <s v="Not Specified"/>
    <s v="Not Specified"/>
    <n v="4"/>
    <x v="1"/>
    <x v="2"/>
  </r>
  <r>
    <x v="0"/>
    <x v="0"/>
    <x v="56"/>
    <x v="1"/>
    <x v="10"/>
    <x v="48"/>
    <x v="16"/>
    <x v="14"/>
    <x v="17"/>
    <x v="43"/>
    <x v="66"/>
    <s v="Five Stars"/>
    <n v="1523232000"/>
    <s v="Not Specified"/>
    <s v="Not Specified"/>
    <s v="Not Specified"/>
    <n v="7"/>
    <x v="0"/>
    <x v="2"/>
  </r>
  <r>
    <x v="0"/>
    <x v="0"/>
    <x v="57"/>
    <x v="1"/>
    <x v="10"/>
    <x v="49"/>
    <x v="16"/>
    <x v="15"/>
    <x v="17"/>
    <x v="44"/>
    <x v="67"/>
    <s v="Love these shoes"/>
    <n v="1523145600"/>
    <s v="Not Specified"/>
    <s v="Not Specified"/>
    <s v="Not Specified"/>
    <n v="157"/>
    <x v="0"/>
    <x v="2"/>
  </r>
  <r>
    <x v="0"/>
    <x v="0"/>
    <x v="58"/>
    <x v="1"/>
    <x v="10"/>
    <x v="50"/>
    <x v="16"/>
    <x v="25"/>
    <x v="23"/>
    <x v="45"/>
    <x v="68"/>
    <s v="Five Stars"/>
    <n v="1523059200"/>
    <s v="Not Specified"/>
    <s v="Not Specified"/>
    <s v="Not Specified"/>
    <n v="0"/>
    <x v="0"/>
    <x v="2"/>
  </r>
  <r>
    <x v="0"/>
    <x v="0"/>
    <x v="59"/>
    <x v="1"/>
    <x v="10"/>
    <x v="51"/>
    <x v="16"/>
    <x v="17"/>
    <x v="17"/>
    <x v="46"/>
    <x v="69"/>
    <s v="Great cross trainer"/>
    <n v="1522800000"/>
    <s v="Not Specified"/>
    <s v="Not Specified"/>
    <s v="Not Specified"/>
    <n v="35"/>
    <x v="0"/>
    <x v="2"/>
  </r>
  <r>
    <x v="4"/>
    <x v="0"/>
    <x v="60"/>
    <x v="1"/>
    <x v="10"/>
    <x v="52"/>
    <x v="16"/>
    <x v="21"/>
    <x v="23"/>
    <x v="47"/>
    <x v="70"/>
    <s v="They are comfortable for the most but just a bit narrow"/>
    <n v="1522713600"/>
    <s v="Not Specified"/>
    <s v="Not Specified"/>
    <s v="Not Specified"/>
    <n v="213"/>
    <x v="0"/>
    <x v="2"/>
  </r>
  <r>
    <x v="0"/>
    <x v="0"/>
    <x v="60"/>
    <x v="1"/>
    <x v="10"/>
    <x v="53"/>
    <x v="16"/>
    <x v="17"/>
    <x v="17"/>
    <x v="48"/>
    <x v="71"/>
    <s v="staple sneakers"/>
    <n v="1522713600"/>
    <s v="Not Specified"/>
    <s v="Not Specified"/>
    <s v="Not Specified"/>
    <n v="105"/>
    <x v="0"/>
    <x v="2"/>
  </r>
  <r>
    <x v="0"/>
    <x v="0"/>
    <x v="61"/>
    <x v="1"/>
    <x v="5"/>
    <x v="54"/>
    <x v="16"/>
    <x v="21"/>
    <x v="17"/>
    <x v="49"/>
    <x v="72"/>
    <s v="Great looking shoe"/>
    <n v="1522454400"/>
    <s v="Not Specified"/>
    <s v="Not Specified"/>
    <s v="Not Specified"/>
    <n v="48"/>
    <x v="0"/>
    <x v="2"/>
  </r>
  <r>
    <x v="0"/>
    <x v="0"/>
    <x v="62"/>
    <x v="1"/>
    <x v="5"/>
    <x v="55"/>
    <x v="16"/>
    <x v="14"/>
    <x v="24"/>
    <x v="50"/>
    <x v="73"/>
    <s v="Great shoes."/>
    <n v="1522195200"/>
    <s v="Not Specified"/>
    <s v="Not Specified"/>
    <s v="Not Specified"/>
    <n v="90"/>
    <x v="0"/>
    <x v="2"/>
  </r>
  <r>
    <x v="1"/>
    <x v="0"/>
    <x v="63"/>
    <x v="1"/>
    <x v="5"/>
    <x v="56"/>
    <x v="16"/>
    <x v="21"/>
    <x v="23"/>
    <x v="51"/>
    <x v="74"/>
    <s v="Style 10/10, Comfort 3/10"/>
    <n v="1522108800"/>
    <s v="Not Specified"/>
    <s v="Not Specified"/>
    <s v="Not Specified"/>
    <n v="121"/>
    <x v="1"/>
    <x v="2"/>
  </r>
  <r>
    <x v="0"/>
    <x v="0"/>
    <x v="64"/>
    <x v="1"/>
    <x v="5"/>
    <x v="57"/>
    <x v="16"/>
    <x v="17"/>
    <x v="21"/>
    <x v="52"/>
    <x v="75"/>
    <s v="these shoes are great! Very lightweight and fits comfortably on my feet ..."/>
    <n v="1521676800"/>
    <s v="Not Specified"/>
    <s v="Not Specified"/>
    <n v="2"/>
    <n v="277"/>
    <x v="0"/>
    <x v="2"/>
  </r>
  <r>
    <x v="0"/>
    <x v="0"/>
    <x v="64"/>
    <x v="1"/>
    <x v="5"/>
    <x v="58"/>
    <x v="16"/>
    <x v="16"/>
    <x v="17"/>
    <x v="53"/>
    <x v="76"/>
    <s v="Great shoes. Fit perfectly"/>
    <n v="1521676800"/>
    <s v="Not Specified"/>
    <s v="Not Specified"/>
    <s v="Not Specified"/>
    <n v="129"/>
    <x v="0"/>
    <x v="2"/>
  </r>
  <r>
    <x v="0"/>
    <x v="0"/>
    <x v="65"/>
    <x v="1"/>
    <x v="5"/>
    <x v="59"/>
    <x v="16"/>
    <x v="26"/>
    <x v="23"/>
    <x v="54"/>
    <x v="77"/>
    <s v="Five Stars"/>
    <n v="1521590400"/>
    <s v="Not Specified"/>
    <s v="Not Specified"/>
    <s v="Not Specified"/>
    <n v="56"/>
    <x v="0"/>
    <x v="2"/>
  </r>
  <r>
    <x v="0"/>
    <x v="0"/>
    <x v="66"/>
    <x v="1"/>
    <x v="5"/>
    <x v="60"/>
    <x v="16"/>
    <x v="15"/>
    <x v="17"/>
    <x v="55"/>
    <x v="78"/>
    <s v="Perfect. Lightweight and comfortable all day"/>
    <n v="1521504000"/>
    <s v="Not Specified"/>
    <s v="Not Specified"/>
    <s v="Not Specified"/>
    <n v="137"/>
    <x v="0"/>
    <x v="2"/>
  </r>
  <r>
    <x v="0"/>
    <x v="0"/>
    <x v="67"/>
    <x v="1"/>
    <x v="5"/>
    <x v="61"/>
    <x v="16"/>
    <x v="21"/>
    <x v="17"/>
    <x v="56"/>
    <x v="79"/>
    <s v="My knees feel better so so hard so good"/>
    <n v="1521417600"/>
    <s v="Not Specified"/>
    <s v="Not Specified"/>
    <s v="Not Specified"/>
    <n v="211"/>
    <x v="0"/>
    <x v="2"/>
  </r>
  <r>
    <x v="0"/>
    <x v="0"/>
    <x v="67"/>
    <x v="1"/>
    <x v="5"/>
    <x v="62"/>
    <x v="16"/>
    <x v="21"/>
    <x v="24"/>
    <x v="57"/>
    <x v="80"/>
    <s v="Five Stars"/>
    <n v="1521417600"/>
    <s v="Not Specified"/>
    <s v="Not Specified"/>
    <s v="Not Specified"/>
    <n v="15"/>
    <x v="0"/>
    <x v="2"/>
  </r>
  <r>
    <x v="4"/>
    <x v="0"/>
    <x v="68"/>
    <x v="1"/>
    <x v="5"/>
    <x v="63"/>
    <x v="16"/>
    <x v="46"/>
    <x v="25"/>
    <x v="58"/>
    <x v="81"/>
    <s v="Comfortable, lightweight Xtrainer"/>
    <n v="1521244800"/>
    <s v="Not Specified"/>
    <s v="Not Specified"/>
    <s v="Not Specified"/>
    <n v="127"/>
    <x v="0"/>
    <x v="2"/>
  </r>
  <r>
    <x v="0"/>
    <x v="0"/>
    <x v="69"/>
    <x v="1"/>
    <x v="5"/>
    <x v="64"/>
    <x v="16"/>
    <x v="22"/>
    <x v="17"/>
    <x v="59"/>
    <x v="82"/>
    <s v="Great shoe!"/>
    <n v="1520899200"/>
    <s v="Not Specified"/>
    <s v="Not Specified"/>
    <s v="Not Specified"/>
    <n v="174"/>
    <x v="0"/>
    <x v="2"/>
  </r>
  <r>
    <x v="3"/>
    <x v="0"/>
    <x v="70"/>
    <x v="1"/>
    <x v="5"/>
    <x v="65"/>
    <x v="16"/>
    <x v="16"/>
    <x v="26"/>
    <x v="60"/>
    <x v="83"/>
    <s v="Returned...looked cheap"/>
    <n v="1520726400"/>
    <s v="Not Specified"/>
    <s v="Not Specified"/>
    <s v="Not Specified"/>
    <n v="22"/>
    <x v="2"/>
    <x v="2"/>
  </r>
  <r>
    <x v="0"/>
    <x v="0"/>
    <x v="71"/>
    <x v="1"/>
    <x v="5"/>
    <x v="66"/>
    <x v="16"/>
    <x v="17"/>
    <x v="17"/>
    <x v="5"/>
    <x v="84"/>
    <s v="Fits to size"/>
    <n v="1520208000"/>
    <s v="Not Specified"/>
    <s v="Not Specified"/>
    <s v="Not Specified"/>
    <n v="22"/>
    <x v="0"/>
    <x v="2"/>
  </r>
  <r>
    <x v="0"/>
    <x v="0"/>
    <x v="72"/>
    <x v="1"/>
    <x v="5"/>
    <x v="67"/>
    <x v="16"/>
    <x v="25"/>
    <x v="17"/>
    <x v="61"/>
    <x v="85"/>
    <s v="Very comfortable shoes. This is my second pair of this ..."/>
    <n v="1519948800"/>
    <s v="Not Specified"/>
    <s v="Not Specified"/>
    <s v="Not Specified"/>
    <n v="100"/>
    <x v="0"/>
    <x v="2"/>
  </r>
  <r>
    <x v="0"/>
    <x v="0"/>
    <x v="73"/>
    <x v="1"/>
    <x v="8"/>
    <x v="68"/>
    <x v="16"/>
    <x v="22"/>
    <x v="17"/>
    <x v="62"/>
    <x v="86"/>
    <s v="Sleek and sporty"/>
    <n v="1519776000"/>
    <s v="Not Specified"/>
    <s v="Not Specified"/>
    <s v="Not Specified"/>
    <n v="58"/>
    <x v="0"/>
    <x v="2"/>
  </r>
  <r>
    <x v="0"/>
    <x v="0"/>
    <x v="74"/>
    <x v="1"/>
    <x v="8"/>
    <x v="69"/>
    <x v="16"/>
    <x v="21"/>
    <x v="17"/>
    <x v="5"/>
    <x v="87"/>
    <s v="I love the shoes and the description and photos were accurate"/>
    <n v="1519689600"/>
    <s v="Not Specified"/>
    <s v="Not Specified"/>
    <s v="Not Specified"/>
    <n v="269"/>
    <x v="0"/>
    <x v="2"/>
  </r>
  <r>
    <x v="0"/>
    <x v="0"/>
    <x v="74"/>
    <x v="1"/>
    <x v="8"/>
    <x v="70"/>
    <x v="16"/>
    <x v="21"/>
    <x v="21"/>
    <x v="63"/>
    <x v="88"/>
    <s v="Great fit!"/>
    <n v="1519689600"/>
    <s v="Not Specified"/>
    <s v="Not Specified"/>
    <s v="Not Specified"/>
    <n v="152"/>
    <x v="0"/>
    <x v="2"/>
  </r>
  <r>
    <x v="0"/>
    <x v="0"/>
    <x v="74"/>
    <x v="1"/>
    <x v="8"/>
    <x v="71"/>
    <x v="16"/>
    <x v="16"/>
    <x v="17"/>
    <x v="64"/>
    <x v="89"/>
    <s v="Lightweight"/>
    <n v="1519689600"/>
    <s v="Not Specified"/>
    <s v="Not Specified"/>
    <s v="Not Specified"/>
    <n v="46"/>
    <x v="0"/>
    <x v="2"/>
  </r>
  <r>
    <x v="3"/>
    <x v="0"/>
    <x v="75"/>
    <x v="1"/>
    <x v="8"/>
    <x v="72"/>
    <x v="16"/>
    <x v="21"/>
    <x v="17"/>
    <x v="65"/>
    <x v="90"/>
    <s v="Squeaky soles"/>
    <n v="1519516800"/>
    <s v="Not Specified"/>
    <s v="Not Specified"/>
    <s v="Not Specified"/>
    <n v="282"/>
    <x v="2"/>
    <x v="2"/>
  </r>
  <r>
    <x v="2"/>
    <x v="0"/>
    <x v="75"/>
    <x v="1"/>
    <x v="8"/>
    <x v="73"/>
    <x v="16"/>
    <x v="17"/>
    <x v="17"/>
    <x v="5"/>
    <x v="91"/>
    <s v="Two Stars"/>
    <n v="1519516800"/>
    <s v="Not Specified"/>
    <s v="Not Specified"/>
    <s v="Not Specified"/>
    <n v="89"/>
    <x v="2"/>
    <x v="2"/>
  </r>
  <r>
    <x v="0"/>
    <x v="0"/>
    <x v="76"/>
    <x v="1"/>
    <x v="8"/>
    <x v="74"/>
    <x v="16"/>
    <x v="15"/>
    <x v="17"/>
    <x v="66"/>
    <x v="92"/>
    <s v="Comfortable and"/>
    <n v="1519171200"/>
    <s v="Not Specified"/>
    <s v="Not Specified"/>
    <s v="Not Specified"/>
    <n v="45"/>
    <x v="0"/>
    <x v="2"/>
  </r>
  <r>
    <x v="0"/>
    <x v="0"/>
    <x v="77"/>
    <x v="1"/>
    <x v="8"/>
    <x v="75"/>
    <x v="16"/>
    <x v="22"/>
    <x v="23"/>
    <x v="67"/>
    <x v="93"/>
    <s v="Their Cute and Pink"/>
    <n v="1519084800"/>
    <s v="Not Specified"/>
    <s v="Not Specified"/>
    <s v="Not Specified"/>
    <n v="47"/>
    <x v="0"/>
    <x v="2"/>
  </r>
  <r>
    <x v="0"/>
    <x v="0"/>
    <x v="78"/>
    <x v="1"/>
    <x v="8"/>
    <x v="76"/>
    <x v="16"/>
    <x v="21"/>
    <x v="21"/>
    <x v="68"/>
    <x v="94"/>
    <s v="Five Stars"/>
    <n v="1518566400"/>
    <s v="Not Specified"/>
    <s v="Not Specified"/>
    <s v="Not Specified"/>
    <n v="46"/>
    <x v="0"/>
    <x v="2"/>
  </r>
  <r>
    <x v="0"/>
    <x v="0"/>
    <x v="78"/>
    <x v="1"/>
    <x v="8"/>
    <x v="77"/>
    <x v="16"/>
    <x v="14"/>
    <x v="17"/>
    <x v="5"/>
    <x v="95"/>
    <s v="Smooth and confortable."/>
    <n v="1518566400"/>
    <s v="Not Specified"/>
    <s v="Not Specified"/>
    <s v="Not Specified"/>
    <n v="17"/>
    <x v="0"/>
    <x v="2"/>
  </r>
  <r>
    <x v="0"/>
    <x v="0"/>
    <x v="79"/>
    <x v="1"/>
    <x v="8"/>
    <x v="78"/>
    <x v="16"/>
    <x v="15"/>
    <x v="27"/>
    <x v="69"/>
    <x v="96"/>
    <s v="Five Stars"/>
    <n v="1518393600"/>
    <s v="Not Specified"/>
    <s v="Not Specified"/>
    <s v="Not Specified"/>
    <n v="19"/>
    <x v="0"/>
    <x v="2"/>
  </r>
  <r>
    <x v="0"/>
    <x v="0"/>
    <x v="80"/>
    <x v="1"/>
    <x v="8"/>
    <x v="79"/>
    <x v="16"/>
    <x v="21"/>
    <x v="44"/>
    <x v="70"/>
    <x v="97"/>
    <s v="decent arch support and comfortably to wear all day doing regular activity and sprinting"/>
    <n v="1517443200"/>
    <s v="Not Specified"/>
    <s v="Not Specified"/>
    <s v="Not Specified"/>
    <n v="102"/>
    <x v="0"/>
    <x v="2"/>
  </r>
  <r>
    <x v="0"/>
    <x v="0"/>
    <x v="80"/>
    <x v="1"/>
    <x v="8"/>
    <x v="80"/>
    <x v="16"/>
    <x v="14"/>
    <x v="17"/>
    <x v="71"/>
    <x v="98"/>
    <s v="Five Stars"/>
    <n v="1517443200"/>
    <s v="Not Specified"/>
    <s v="Not Specified"/>
    <s v="Not Specified"/>
    <n v="19"/>
    <x v="0"/>
    <x v="2"/>
  </r>
  <r>
    <x v="0"/>
    <x v="0"/>
    <x v="81"/>
    <x v="1"/>
    <x v="2"/>
    <x v="81"/>
    <x v="16"/>
    <x v="26"/>
    <x v="28"/>
    <x v="72"/>
    <x v="99"/>
    <s v="Good shoes"/>
    <n v="1517184000"/>
    <s v="Not Specified"/>
    <s v="Not Specified"/>
    <s v="Not Specified"/>
    <n v="132"/>
    <x v="0"/>
    <x v="2"/>
  </r>
  <r>
    <x v="4"/>
    <x v="0"/>
    <x v="2"/>
    <x v="1"/>
    <x v="2"/>
    <x v="82"/>
    <x v="16"/>
    <x v="16"/>
    <x v="17"/>
    <x v="73"/>
    <x v="100"/>
    <s v="Good shoes"/>
    <n v="1516838400"/>
    <s v="Not Specified"/>
    <s v="Not Specified"/>
    <s v="Not Specified"/>
    <n v="860"/>
    <x v="0"/>
    <x v="2"/>
  </r>
  <r>
    <x v="0"/>
    <x v="0"/>
    <x v="82"/>
    <x v="1"/>
    <x v="2"/>
    <x v="83"/>
    <x v="16"/>
    <x v="22"/>
    <x v="29"/>
    <x v="74"/>
    <x v="101"/>
    <s v="Five Stars"/>
    <n v="1516233600"/>
    <s v="Not Specified"/>
    <s v="Not Specified"/>
    <s v="Not Specified"/>
    <n v="16"/>
    <x v="0"/>
    <x v="2"/>
  </r>
  <r>
    <x v="0"/>
    <x v="0"/>
    <x v="83"/>
    <x v="1"/>
    <x v="2"/>
    <x v="84"/>
    <x v="16"/>
    <x v="44"/>
    <x v="25"/>
    <x v="75"/>
    <x v="102"/>
    <s v="Five Stars"/>
    <n v="1515628800"/>
    <s v="Not Specified"/>
    <s v="Not Specified"/>
    <s v="Not Specified"/>
    <n v="81"/>
    <x v="0"/>
    <x v="2"/>
  </r>
  <r>
    <x v="3"/>
    <x v="0"/>
    <x v="84"/>
    <x v="1"/>
    <x v="2"/>
    <x v="85"/>
    <x v="16"/>
    <x v="24"/>
    <x v="30"/>
    <x v="76"/>
    <x v="103"/>
    <s v="One Star"/>
    <n v="1515542400"/>
    <s v="Not Specified"/>
    <s v="Not Specified"/>
    <s v="Not Specified"/>
    <n v="27"/>
    <x v="2"/>
    <x v="2"/>
  </r>
  <r>
    <x v="1"/>
    <x v="0"/>
    <x v="85"/>
    <x v="1"/>
    <x v="2"/>
    <x v="87"/>
    <x v="16"/>
    <x v="16"/>
    <x v="21"/>
    <x v="78"/>
    <x v="105"/>
    <s v="Not in perfect condition"/>
    <n v="1515456000"/>
    <s v="Not Specified"/>
    <s v="Not Specified"/>
    <s v="Not Specified"/>
    <n v="54"/>
    <x v="1"/>
    <x v="2"/>
  </r>
  <r>
    <x v="0"/>
    <x v="0"/>
    <x v="86"/>
    <x v="1"/>
    <x v="2"/>
    <x v="88"/>
    <x v="16"/>
    <x v="17"/>
    <x v="17"/>
    <x v="79"/>
    <x v="106"/>
    <s v="Very comfortable, cute, and long-lasting"/>
    <n v="1515369600"/>
    <s v="Not Specified"/>
    <s v="Not Specified"/>
    <s v="Not Specified"/>
    <n v="715"/>
    <x v="0"/>
    <x v="2"/>
  </r>
  <r>
    <x v="0"/>
    <x v="0"/>
    <x v="86"/>
    <x v="1"/>
    <x v="2"/>
    <x v="89"/>
    <x v="16"/>
    <x v="24"/>
    <x v="31"/>
    <x v="80"/>
    <x v="107"/>
    <s v="Super light-weight, nice tread and arch support - love them so far!"/>
    <n v="1515369600"/>
    <s v="Not Specified"/>
    <s v="Not Specified"/>
    <s v="Not Specified"/>
    <n v="1003"/>
    <x v="0"/>
    <x v="2"/>
  </r>
  <r>
    <x v="0"/>
    <x v="0"/>
    <x v="87"/>
    <x v="1"/>
    <x v="2"/>
    <x v="90"/>
    <x v="16"/>
    <x v="21"/>
    <x v="23"/>
    <x v="81"/>
    <x v="108"/>
    <s v="Five Stars"/>
    <n v="1515283200"/>
    <s v="Not Specified"/>
    <s v="Not Specified"/>
    <s v="Not Specified"/>
    <n v="51"/>
    <x v="0"/>
    <x v="2"/>
  </r>
  <r>
    <x v="0"/>
    <x v="0"/>
    <x v="88"/>
    <x v="2"/>
    <x v="11"/>
    <x v="91"/>
    <x v="16"/>
    <x v="42"/>
    <x v="25"/>
    <x v="5"/>
    <x v="109"/>
    <s v="My wife loves these shoes. We have both been ..."/>
    <n v="1514505600"/>
    <s v="Not Specified"/>
    <s v="Not Specified"/>
    <s v="Not Specified"/>
    <n v="240"/>
    <x v="0"/>
    <x v="2"/>
  </r>
  <r>
    <x v="0"/>
    <x v="0"/>
    <x v="89"/>
    <x v="2"/>
    <x v="11"/>
    <x v="92"/>
    <x v="16"/>
    <x v="15"/>
    <x v="27"/>
    <x v="82"/>
    <x v="110"/>
    <s v="New Favorite Shoes"/>
    <n v="1514419200"/>
    <s v="Not Specified"/>
    <s v="Not Specified"/>
    <s v="Not Specified"/>
    <n v="68"/>
    <x v="0"/>
    <x v="2"/>
  </r>
  <r>
    <x v="2"/>
    <x v="0"/>
    <x v="90"/>
    <x v="2"/>
    <x v="11"/>
    <x v="93"/>
    <x v="16"/>
    <x v="25"/>
    <x v="29"/>
    <x v="83"/>
    <x v="111"/>
    <s v="Foam compresses"/>
    <n v="1513468800"/>
    <s v="Not Specified"/>
    <s v="Not Specified"/>
    <s v="Not Specified"/>
    <n v="263"/>
    <x v="2"/>
    <x v="2"/>
  </r>
  <r>
    <x v="0"/>
    <x v="0"/>
    <x v="90"/>
    <x v="2"/>
    <x v="11"/>
    <x v="94"/>
    <x v="16"/>
    <x v="21"/>
    <x v="17"/>
    <x v="84"/>
    <x v="112"/>
    <s v="Five Stars"/>
    <n v="1513468800"/>
    <s v="Not Specified"/>
    <s v="Not Specified"/>
    <s v="Not Specified"/>
    <n v="14"/>
    <x v="0"/>
    <x v="2"/>
  </r>
  <r>
    <x v="1"/>
    <x v="0"/>
    <x v="91"/>
    <x v="2"/>
    <x v="11"/>
    <x v="95"/>
    <x v="16"/>
    <x v="17"/>
    <x v="23"/>
    <x v="85"/>
    <x v="113"/>
    <s v="I usually wear a 9 but could have easily ordered a 8"/>
    <n v="1512432000"/>
    <s v="Not Specified"/>
    <s v="Not Specified"/>
    <s v="Not Specified"/>
    <n v="757"/>
    <x v="1"/>
    <x v="2"/>
  </r>
  <r>
    <x v="0"/>
    <x v="0"/>
    <x v="91"/>
    <x v="2"/>
    <x v="11"/>
    <x v="96"/>
    <x v="16"/>
    <x v="21"/>
    <x v="24"/>
    <x v="86"/>
    <x v="114"/>
    <s v="Five Stars"/>
    <n v="1512432000"/>
    <s v="Not Specified"/>
    <s v="Not Specified"/>
    <s v="Not Specified"/>
    <n v="5"/>
    <x v="0"/>
    <x v="2"/>
  </r>
  <r>
    <x v="0"/>
    <x v="0"/>
    <x v="92"/>
    <x v="2"/>
    <x v="11"/>
    <x v="97"/>
    <x v="16"/>
    <x v="26"/>
    <x v="24"/>
    <x v="5"/>
    <x v="115"/>
    <s v="Five Stars"/>
    <n v="1512345600"/>
    <s v="Not Specified"/>
    <s v="Not Specified"/>
    <s v="Not Specified"/>
    <n v="1"/>
    <x v="0"/>
    <x v="2"/>
  </r>
  <r>
    <x v="0"/>
    <x v="0"/>
    <x v="93"/>
    <x v="2"/>
    <x v="7"/>
    <x v="98"/>
    <x v="16"/>
    <x v="17"/>
    <x v="23"/>
    <x v="87"/>
    <x v="116"/>
    <s v="Five Stars"/>
    <n v="1512000000"/>
    <s v="Not Specified"/>
    <s v="Not Specified"/>
    <s v="Not Specified"/>
    <n v="10"/>
    <x v="0"/>
    <x v="2"/>
  </r>
  <r>
    <x v="1"/>
    <x v="0"/>
    <x v="93"/>
    <x v="2"/>
    <x v="7"/>
    <x v="99"/>
    <x v="16"/>
    <x v="17"/>
    <x v="17"/>
    <x v="5"/>
    <x v="117"/>
    <s v="Fits snug"/>
    <n v="1512000000"/>
    <s v="Not Specified"/>
    <s v="Not Specified"/>
    <s v="Not Specified"/>
    <n v="192"/>
    <x v="1"/>
    <x v="2"/>
  </r>
  <r>
    <x v="1"/>
    <x v="0"/>
    <x v="94"/>
    <x v="2"/>
    <x v="7"/>
    <x v="100"/>
    <x v="16"/>
    <x v="24"/>
    <x v="12"/>
    <x v="88"/>
    <x v="118"/>
    <s v="Not sure why, but my mid section of my ..."/>
    <n v="1511827200"/>
    <s v="Not Specified"/>
    <s v="Not Specified"/>
    <s v="Not Specified"/>
    <n v="194"/>
    <x v="1"/>
    <x v="2"/>
  </r>
  <r>
    <x v="4"/>
    <x v="0"/>
    <x v="94"/>
    <x v="2"/>
    <x v="7"/>
    <x v="101"/>
    <x v="16"/>
    <x v="30"/>
    <x v="28"/>
    <x v="89"/>
    <x v="119"/>
    <s v="Love"/>
    <n v="1511827200"/>
    <s v="Not Specified"/>
    <s v="Not Specified"/>
    <s v="Not Specified"/>
    <n v="27"/>
    <x v="0"/>
    <x v="2"/>
  </r>
  <r>
    <x v="0"/>
    <x v="0"/>
    <x v="95"/>
    <x v="2"/>
    <x v="7"/>
    <x v="102"/>
    <x v="16"/>
    <x v="17"/>
    <x v="24"/>
    <x v="90"/>
    <x v="120"/>
    <s v="Five Stars"/>
    <n v="1511740800"/>
    <s v="Not Specified"/>
    <s v="Not Specified"/>
    <s v="Not Specified"/>
    <n v="8"/>
    <x v="0"/>
    <x v="2"/>
  </r>
  <r>
    <x v="0"/>
    <x v="0"/>
    <x v="95"/>
    <x v="2"/>
    <x v="7"/>
    <x v="102"/>
    <x v="16"/>
    <x v="17"/>
    <x v="27"/>
    <x v="90"/>
    <x v="120"/>
    <s v="Five Stars"/>
    <n v="1511740800"/>
    <s v="Not Specified"/>
    <s v="Not Specified"/>
    <s v="Not Specified"/>
    <n v="8"/>
    <x v="0"/>
    <x v="2"/>
  </r>
  <r>
    <x v="3"/>
    <x v="0"/>
    <x v="96"/>
    <x v="2"/>
    <x v="7"/>
    <x v="103"/>
    <x v="16"/>
    <x v="15"/>
    <x v="17"/>
    <x v="91"/>
    <x v="121"/>
    <s v="TOO NARROW!"/>
    <n v="1511049600"/>
    <s v="Not Specified"/>
    <s v="Not Specified"/>
    <s v="Not Specified"/>
    <n v="133"/>
    <x v="2"/>
    <x v="2"/>
  </r>
  <r>
    <x v="0"/>
    <x v="0"/>
    <x v="97"/>
    <x v="2"/>
    <x v="7"/>
    <x v="104"/>
    <x v="16"/>
    <x v="17"/>
    <x v="24"/>
    <x v="92"/>
    <x v="122"/>
    <s v="Consider sizing down 1 size"/>
    <n v="1510617600"/>
    <s v="Not Specified"/>
    <s v="Not Specified"/>
    <s v="Not Specified"/>
    <n v="232"/>
    <x v="0"/>
    <x v="2"/>
  </r>
  <r>
    <x v="4"/>
    <x v="0"/>
    <x v="98"/>
    <x v="2"/>
    <x v="7"/>
    <x v="105"/>
    <x v="16"/>
    <x v="21"/>
    <x v="32"/>
    <x v="93"/>
    <x v="123"/>
    <s v="Seem to Run Big"/>
    <n v="1510358400"/>
    <s v="Not Specified"/>
    <s v="Not Specified"/>
    <s v="Not Specified"/>
    <n v="104"/>
    <x v="0"/>
    <x v="2"/>
  </r>
  <r>
    <x v="0"/>
    <x v="0"/>
    <x v="99"/>
    <x v="2"/>
    <x v="7"/>
    <x v="106"/>
    <x v="16"/>
    <x v="30"/>
    <x v="28"/>
    <x v="94"/>
    <x v="124"/>
    <s v="Five Stars"/>
    <n v="1510272000"/>
    <s v="Not Specified"/>
    <s v="Not Specified"/>
    <s v="Not Specified"/>
    <n v="15"/>
    <x v="0"/>
    <x v="2"/>
  </r>
  <r>
    <x v="0"/>
    <x v="0"/>
    <x v="100"/>
    <x v="2"/>
    <x v="7"/>
    <x v="107"/>
    <x v="16"/>
    <x v="14"/>
    <x v="17"/>
    <x v="5"/>
    <x v="125"/>
    <s v="Perfect for trails"/>
    <n v="1510185600"/>
    <s v="Not Specified"/>
    <s v="Not Specified"/>
    <s v="Not Specified"/>
    <n v="278"/>
    <x v="0"/>
    <x v="2"/>
  </r>
  <r>
    <x v="4"/>
    <x v="0"/>
    <x v="101"/>
    <x v="2"/>
    <x v="7"/>
    <x v="108"/>
    <x v="16"/>
    <x v="17"/>
    <x v="23"/>
    <x v="95"/>
    <x v="126"/>
    <s v="Four Stars"/>
    <n v="1510012800"/>
    <s v="Not Specified"/>
    <s v="Not Specified"/>
    <s v="Not Specified"/>
    <n v="8"/>
    <x v="0"/>
    <x v="2"/>
  </r>
  <r>
    <x v="2"/>
    <x v="0"/>
    <x v="102"/>
    <x v="2"/>
    <x v="7"/>
    <x v="109"/>
    <x v="16"/>
    <x v="14"/>
    <x v="33"/>
    <x v="5"/>
    <x v="127"/>
    <s v="Zumba) - and really wanted to like them, since I loved the color and the ..."/>
    <n v="1509840000"/>
    <s v="Not Specified"/>
    <s v="Not Specified"/>
    <n v="6"/>
    <n v="467"/>
    <x v="2"/>
    <x v="2"/>
  </r>
  <r>
    <x v="0"/>
    <x v="0"/>
    <x v="103"/>
    <x v="2"/>
    <x v="7"/>
    <x v="110"/>
    <x v="16"/>
    <x v="22"/>
    <x v="23"/>
    <x v="96"/>
    <x v="128"/>
    <s v="Five Stars"/>
    <n v="1509753600"/>
    <s v="Not Specified"/>
    <s v="Not Specified"/>
    <s v="Not Specified"/>
    <n v="39"/>
    <x v="0"/>
    <x v="2"/>
  </r>
  <r>
    <x v="1"/>
    <x v="0"/>
    <x v="103"/>
    <x v="2"/>
    <x v="7"/>
    <x v="111"/>
    <x v="16"/>
    <x v="16"/>
    <x v="33"/>
    <x v="97"/>
    <x v="129"/>
    <s v="Three Stars"/>
    <n v="1509753600"/>
    <s v="Not Specified"/>
    <s v="Not Specified"/>
    <s v="Not Specified"/>
    <n v="38"/>
    <x v="1"/>
    <x v="2"/>
  </r>
  <r>
    <x v="4"/>
    <x v="0"/>
    <x v="104"/>
    <x v="2"/>
    <x v="7"/>
    <x v="112"/>
    <x v="16"/>
    <x v="21"/>
    <x v="23"/>
    <x v="98"/>
    <x v="130"/>
    <s v="Size problem"/>
    <n v="1509667200"/>
    <s v="Not Specified"/>
    <s v="Not Specified"/>
    <s v="Not Specified"/>
    <n v="23"/>
    <x v="0"/>
    <x v="2"/>
  </r>
  <r>
    <x v="0"/>
    <x v="0"/>
    <x v="105"/>
    <x v="2"/>
    <x v="7"/>
    <x v="113"/>
    <x v="16"/>
    <x v="21"/>
    <x v="24"/>
    <x v="99"/>
    <x v="116"/>
    <s v="Five Stars"/>
    <n v="1509580800"/>
    <s v="Not Specified"/>
    <s v="Not Specified"/>
    <s v="Not Specified"/>
    <n v="10"/>
    <x v="0"/>
    <x v="2"/>
  </r>
  <r>
    <x v="4"/>
    <x v="0"/>
    <x v="106"/>
    <x v="2"/>
    <x v="3"/>
    <x v="114"/>
    <x v="16"/>
    <x v="15"/>
    <x v="34"/>
    <x v="100"/>
    <x v="131"/>
    <s v="True to size, would recommend"/>
    <n v="1509408000"/>
    <s v="Not Specified"/>
    <s v="Not Specified"/>
    <s v="Not Specified"/>
    <n v="152"/>
    <x v="0"/>
    <x v="2"/>
  </r>
  <r>
    <x v="0"/>
    <x v="0"/>
    <x v="107"/>
    <x v="2"/>
    <x v="3"/>
    <x v="115"/>
    <x v="16"/>
    <x v="22"/>
    <x v="23"/>
    <x v="101"/>
    <x v="132"/>
    <s v="Best birthday present"/>
    <n v="1509235200"/>
    <s v="Not Specified"/>
    <s v="Not Specified"/>
    <s v="Not Specified"/>
    <n v="21"/>
    <x v="0"/>
    <x v="2"/>
  </r>
  <r>
    <x v="0"/>
    <x v="0"/>
    <x v="108"/>
    <x v="2"/>
    <x v="3"/>
    <x v="116"/>
    <x v="16"/>
    <x v="30"/>
    <x v="17"/>
    <x v="102"/>
    <x v="133"/>
    <s v="Purchased these for my wife as she has a similar ..."/>
    <n v="1508976000"/>
    <s v="Not Specified"/>
    <s v="Not Specified"/>
    <s v="Not Specified"/>
    <n v="185"/>
    <x v="0"/>
    <x v="2"/>
  </r>
  <r>
    <x v="0"/>
    <x v="0"/>
    <x v="108"/>
    <x v="2"/>
    <x v="3"/>
    <x v="117"/>
    <x v="16"/>
    <x v="14"/>
    <x v="24"/>
    <x v="103"/>
    <x v="134"/>
    <s v="I have pretty high arches and my calves always hurt at the ..."/>
    <n v="1508976000"/>
    <s v="Not Specified"/>
    <s v="Not Specified"/>
    <s v="Not Specified"/>
    <n v="351"/>
    <x v="0"/>
    <x v="2"/>
  </r>
  <r>
    <x v="0"/>
    <x v="0"/>
    <x v="12"/>
    <x v="2"/>
    <x v="3"/>
    <x v="118"/>
    <x v="16"/>
    <x v="21"/>
    <x v="35"/>
    <x v="104"/>
    <x v="135"/>
    <s v="Five Stars"/>
    <n v="1508889600"/>
    <s v="Not Specified"/>
    <s v="Not Specified"/>
    <s v="Not Specified"/>
    <n v="11"/>
    <x v="0"/>
    <x v="2"/>
  </r>
  <r>
    <x v="0"/>
    <x v="0"/>
    <x v="109"/>
    <x v="2"/>
    <x v="3"/>
    <x v="119"/>
    <x v="16"/>
    <x v="15"/>
    <x v="33"/>
    <x v="105"/>
    <x v="136"/>
    <s v="Five Stars"/>
    <n v="1508803200"/>
    <s v="Not Specified"/>
    <s v="Not Specified"/>
    <s v="Not Specified"/>
    <n v="35"/>
    <x v="0"/>
    <x v="2"/>
  </r>
  <r>
    <x v="0"/>
    <x v="0"/>
    <x v="110"/>
    <x v="2"/>
    <x v="3"/>
    <x v="120"/>
    <x v="16"/>
    <x v="21"/>
    <x v="36"/>
    <x v="106"/>
    <x v="137"/>
    <s v="Five Stars"/>
    <n v="1508630400"/>
    <s v="Not Specified"/>
    <s v="Not Specified"/>
    <s v="Not Specified"/>
    <n v="14"/>
    <x v="0"/>
    <x v="2"/>
  </r>
  <r>
    <x v="1"/>
    <x v="0"/>
    <x v="111"/>
    <x v="2"/>
    <x v="3"/>
    <x v="121"/>
    <x v="16"/>
    <x v="17"/>
    <x v="23"/>
    <x v="107"/>
    <x v="138"/>
    <s v="They are really light and not as sturdy as what I was looking for but over all ..."/>
    <n v="1508284800"/>
    <s v="Not Specified"/>
    <s v="Not Specified"/>
    <s v="Not Specified"/>
    <n v="201"/>
    <x v="1"/>
    <x v="2"/>
  </r>
  <r>
    <x v="0"/>
    <x v="0"/>
    <x v="112"/>
    <x v="2"/>
    <x v="3"/>
    <x v="122"/>
    <x v="16"/>
    <x v="15"/>
    <x v="24"/>
    <x v="5"/>
    <x v="139"/>
    <s v="Five Stars"/>
    <n v="1507852800"/>
    <s v="Not Specified"/>
    <s v="Not Specified"/>
    <s v="Not Specified"/>
    <n v="25"/>
    <x v="0"/>
    <x v="2"/>
  </r>
  <r>
    <x v="1"/>
    <x v="0"/>
    <x v="113"/>
    <x v="2"/>
    <x v="3"/>
    <x v="123"/>
    <x v="16"/>
    <x v="31"/>
    <x v="17"/>
    <x v="108"/>
    <x v="140"/>
    <s v="l always buy Nike shoes and been happy so far"/>
    <n v="1507593600"/>
    <s v="Not Specified"/>
    <s v="Not Specified"/>
    <s v="Not Specified"/>
    <n v="192"/>
    <x v="1"/>
    <x v="2"/>
  </r>
  <r>
    <x v="0"/>
    <x v="0"/>
    <x v="114"/>
    <x v="2"/>
    <x v="3"/>
    <x v="124"/>
    <x v="16"/>
    <x v="24"/>
    <x v="12"/>
    <x v="109"/>
    <x v="141"/>
    <s v="Honestly Fantastic Shoes"/>
    <n v="1506988800"/>
    <s v="Not Specified"/>
    <s v="Not Specified"/>
    <s v="Not Specified"/>
    <n v="230"/>
    <x v="0"/>
    <x v="2"/>
  </r>
  <r>
    <x v="0"/>
    <x v="0"/>
    <x v="115"/>
    <x v="2"/>
    <x v="3"/>
    <x v="125"/>
    <x v="16"/>
    <x v="15"/>
    <x v="24"/>
    <x v="5"/>
    <x v="142"/>
    <s v="Absolutely love these shoes and color"/>
    <n v="1506902400"/>
    <s v="Not Specified"/>
    <s v="Not Specified"/>
    <s v="Not Specified"/>
    <n v="171"/>
    <x v="0"/>
    <x v="2"/>
  </r>
  <r>
    <x v="0"/>
    <x v="0"/>
    <x v="116"/>
    <x v="2"/>
    <x v="0"/>
    <x v="126"/>
    <x v="16"/>
    <x v="17"/>
    <x v="12"/>
    <x v="110"/>
    <x v="143"/>
    <s v="Five Stars"/>
    <n v="1506470400"/>
    <s v="Not Specified"/>
    <s v="Not Specified"/>
    <s v="Not Specified"/>
    <n v="12"/>
    <x v="0"/>
    <x v="2"/>
  </r>
  <r>
    <x v="0"/>
    <x v="0"/>
    <x v="116"/>
    <x v="2"/>
    <x v="0"/>
    <x v="127"/>
    <x v="16"/>
    <x v="32"/>
    <x v="37"/>
    <x v="111"/>
    <x v="144"/>
    <s v="Nike runs small"/>
    <n v="1506470400"/>
    <s v="Not Specified"/>
    <s v="Not Specified"/>
    <s v="Not Specified"/>
    <n v="70"/>
    <x v="0"/>
    <x v="2"/>
  </r>
  <r>
    <x v="0"/>
    <x v="0"/>
    <x v="33"/>
    <x v="2"/>
    <x v="0"/>
    <x v="128"/>
    <x v="16"/>
    <x v="16"/>
    <x v="17"/>
    <x v="112"/>
    <x v="145"/>
    <s v="Five Stars"/>
    <n v="1506384000"/>
    <s v="Not Specified"/>
    <s v="Not Specified"/>
    <s v="Not Specified"/>
    <n v="9"/>
    <x v="0"/>
    <x v="2"/>
  </r>
  <r>
    <x v="0"/>
    <x v="0"/>
    <x v="117"/>
    <x v="2"/>
    <x v="0"/>
    <x v="129"/>
    <x v="16"/>
    <x v="22"/>
    <x v="17"/>
    <x v="113"/>
    <x v="146"/>
    <s v="Five Stars"/>
    <n v="1506297600"/>
    <s v="Not Specified"/>
    <s v="Not Specified"/>
    <s v="Not Specified"/>
    <n v="50"/>
    <x v="0"/>
    <x v="2"/>
  </r>
  <r>
    <x v="0"/>
    <x v="0"/>
    <x v="118"/>
    <x v="2"/>
    <x v="0"/>
    <x v="130"/>
    <x v="16"/>
    <x v="22"/>
    <x v="12"/>
    <x v="5"/>
    <x v="147"/>
    <s v="Very Happy Customer"/>
    <n v="1505865600"/>
    <s v="Not Specified"/>
    <s v="Not Specified"/>
    <s v="Not Specified"/>
    <n v="370"/>
    <x v="0"/>
    <x v="2"/>
  </r>
  <r>
    <x v="0"/>
    <x v="0"/>
    <x v="119"/>
    <x v="2"/>
    <x v="0"/>
    <x v="131"/>
    <x v="16"/>
    <x v="21"/>
    <x v="17"/>
    <x v="114"/>
    <x v="148"/>
    <s v="and very comfortable."/>
    <n v="1505692800"/>
    <s v="Not Specified"/>
    <s v="Not Specified"/>
    <s v="Not Specified"/>
    <n v="49"/>
    <x v="0"/>
    <x v="2"/>
  </r>
  <r>
    <x v="0"/>
    <x v="0"/>
    <x v="120"/>
    <x v="2"/>
    <x v="0"/>
    <x v="132"/>
    <x v="16"/>
    <x v="22"/>
    <x v="33"/>
    <x v="5"/>
    <x v="149"/>
    <s v="nice sneakers. Fit as expected"/>
    <n v="1505520000"/>
    <s v="Not Specified"/>
    <s v="Not Specified"/>
    <s v="Not Specified"/>
    <n v="40"/>
    <x v="0"/>
    <x v="2"/>
  </r>
  <r>
    <x v="0"/>
    <x v="0"/>
    <x v="121"/>
    <x v="2"/>
    <x v="0"/>
    <x v="133"/>
    <x v="16"/>
    <x v="15"/>
    <x v="34"/>
    <x v="115"/>
    <x v="150"/>
    <s v="5 stars"/>
    <n v="1505347200"/>
    <s v="Not Specified"/>
    <s v="Not Specified"/>
    <s v="Not Specified"/>
    <n v="23"/>
    <x v="0"/>
    <x v="2"/>
  </r>
  <r>
    <x v="0"/>
    <x v="0"/>
    <x v="122"/>
    <x v="2"/>
    <x v="0"/>
    <x v="134"/>
    <x v="16"/>
    <x v="21"/>
    <x v="38"/>
    <x v="116"/>
    <x v="151"/>
    <s v="Five Stars"/>
    <n v="1505260800"/>
    <s v="Not Specified"/>
    <s v="Not Specified"/>
    <s v="Not Specified"/>
    <n v="28"/>
    <x v="0"/>
    <x v="2"/>
  </r>
  <r>
    <x v="0"/>
    <x v="0"/>
    <x v="123"/>
    <x v="2"/>
    <x v="0"/>
    <x v="135"/>
    <x v="16"/>
    <x v="17"/>
    <x v="23"/>
    <x v="5"/>
    <x v="152"/>
    <s v="Five Stars"/>
    <n v="1505001600"/>
    <s v="Not Specified"/>
    <s v="Not Specified"/>
    <s v="Not Specified"/>
    <n v="48"/>
    <x v="0"/>
    <x v="2"/>
  </r>
  <r>
    <x v="0"/>
    <x v="0"/>
    <x v="124"/>
    <x v="2"/>
    <x v="0"/>
    <x v="136"/>
    <x v="16"/>
    <x v="21"/>
    <x v="33"/>
    <x v="117"/>
    <x v="153"/>
    <s v="These shoes fit like a glove"/>
    <n v="1504742400"/>
    <s v="Not Specified"/>
    <s v="Not Specified"/>
    <s v="Not Specified"/>
    <n v="119"/>
    <x v="0"/>
    <x v="2"/>
  </r>
  <r>
    <x v="0"/>
    <x v="0"/>
    <x v="125"/>
    <x v="2"/>
    <x v="0"/>
    <x v="137"/>
    <x v="16"/>
    <x v="22"/>
    <x v="23"/>
    <x v="118"/>
    <x v="154"/>
    <s v="Five Stars"/>
    <n v="1504569600"/>
    <s v="Not Specified"/>
    <s v="Not Specified"/>
    <s v="Not Specified"/>
    <n v="16"/>
    <x v="0"/>
    <x v="2"/>
  </r>
  <r>
    <x v="0"/>
    <x v="0"/>
    <x v="126"/>
    <x v="2"/>
    <x v="0"/>
    <x v="138"/>
    <x v="16"/>
    <x v="22"/>
    <x v="17"/>
    <x v="119"/>
    <x v="155"/>
    <s v="Five Stars"/>
    <n v="1504483200"/>
    <s v="Not Specified"/>
    <s v="Not Specified"/>
    <s v="Not Specified"/>
    <n v="12"/>
    <x v="0"/>
    <x v="2"/>
  </r>
  <r>
    <x v="4"/>
    <x v="0"/>
    <x v="127"/>
    <x v="2"/>
    <x v="4"/>
    <x v="139"/>
    <x v="16"/>
    <x v="21"/>
    <x v="33"/>
    <x v="120"/>
    <x v="156"/>
    <s v="Nike always makes a good shoe."/>
    <n v="1503964800"/>
    <s v="Not Specified"/>
    <s v="Not Specified"/>
    <s v="Not Specified"/>
    <n v="118"/>
    <x v="0"/>
    <x v="2"/>
  </r>
  <r>
    <x v="3"/>
    <x v="0"/>
    <x v="127"/>
    <x v="2"/>
    <x v="4"/>
    <x v="140"/>
    <x v="16"/>
    <x v="31"/>
    <x v="17"/>
    <x v="121"/>
    <x v="157"/>
    <s v="One Star"/>
    <n v="1503964800"/>
    <s v="Not Specified"/>
    <s v="Not Specified"/>
    <s v="Not Specified"/>
    <n v="52"/>
    <x v="2"/>
    <x v="2"/>
  </r>
  <r>
    <x v="0"/>
    <x v="0"/>
    <x v="127"/>
    <x v="2"/>
    <x v="4"/>
    <x v="141"/>
    <x v="16"/>
    <x v="17"/>
    <x v="17"/>
    <x v="122"/>
    <x v="158"/>
    <s v="Five Stars"/>
    <n v="1503964800"/>
    <s v="Not Specified"/>
    <s v="Not Specified"/>
    <s v="Not Specified"/>
    <n v="30"/>
    <x v="0"/>
    <x v="2"/>
  </r>
  <r>
    <x v="0"/>
    <x v="0"/>
    <x v="128"/>
    <x v="2"/>
    <x v="4"/>
    <x v="142"/>
    <x v="16"/>
    <x v="15"/>
    <x v="12"/>
    <x v="123"/>
    <x v="159"/>
    <s v=" Shoes"/>
    <n v="1503792000"/>
    <s v="Not Specified"/>
    <s v="Not Specified"/>
    <s v="Not Specified"/>
    <n v="17"/>
    <x v="0"/>
    <x v="2"/>
  </r>
  <r>
    <x v="4"/>
    <x v="0"/>
    <x v="129"/>
    <x v="2"/>
    <x v="4"/>
    <x v="143"/>
    <x v="16"/>
    <x v="17"/>
    <x v="31"/>
    <x v="124"/>
    <x v="160"/>
    <s v="Love these shoes"/>
    <n v="1503532800"/>
    <s v="Not Specified"/>
    <s v="Not Specified"/>
    <s v="Not Specified"/>
    <n v="225"/>
    <x v="0"/>
    <x v="2"/>
  </r>
  <r>
    <x v="3"/>
    <x v="0"/>
    <x v="129"/>
    <x v="2"/>
    <x v="4"/>
    <x v="144"/>
    <x v="16"/>
    <x v="22"/>
    <x v="29"/>
    <x v="125"/>
    <x v="161"/>
    <s v="I loved these shoes"/>
    <n v="1503532800"/>
    <s v="Not Specified"/>
    <s v="Not Specified"/>
    <s v="Not Specified"/>
    <n v="213"/>
    <x v="2"/>
    <x v="2"/>
  </r>
  <r>
    <x v="0"/>
    <x v="0"/>
    <x v="130"/>
    <x v="2"/>
    <x v="4"/>
    <x v="145"/>
    <x v="16"/>
    <x v="30"/>
    <x v="24"/>
    <x v="126"/>
    <x v="162"/>
    <s v="perfect"/>
    <n v="1503273600"/>
    <s v="Not Specified"/>
    <s v="Not Specified"/>
    <s v="Not Specified"/>
    <n v="55"/>
    <x v="0"/>
    <x v="2"/>
  </r>
  <r>
    <x v="0"/>
    <x v="0"/>
    <x v="131"/>
    <x v="2"/>
    <x v="4"/>
    <x v="146"/>
    <x v="16"/>
    <x v="14"/>
    <x v="17"/>
    <x v="127"/>
    <x v="163"/>
    <s v="Five Stars"/>
    <n v="1503187200"/>
    <s v="Not Specified"/>
    <s v="Not Specified"/>
    <s v="Not Specified"/>
    <n v="10"/>
    <x v="0"/>
    <x v="2"/>
  </r>
  <r>
    <x v="1"/>
    <x v="0"/>
    <x v="132"/>
    <x v="2"/>
    <x v="4"/>
    <x v="147"/>
    <x v="16"/>
    <x v="30"/>
    <x v="39"/>
    <x v="128"/>
    <x v="164"/>
    <s v="found a Ryka pair I liked"/>
    <n v="1502928000"/>
    <s v="Not Specified"/>
    <s v="Not Specified"/>
    <s v="Not Specified"/>
    <n v="50"/>
    <x v="1"/>
    <x v="2"/>
  </r>
  <r>
    <x v="0"/>
    <x v="0"/>
    <x v="132"/>
    <x v="2"/>
    <x v="4"/>
    <x v="148"/>
    <x v="16"/>
    <x v="15"/>
    <x v="17"/>
    <x v="129"/>
    <x v="165"/>
    <s v="Five Stars"/>
    <n v="1502928000"/>
    <s v="Not Specified"/>
    <s v="Not Specified"/>
    <s v="Not Specified"/>
    <n v="37"/>
    <x v="0"/>
    <x v="2"/>
  </r>
  <r>
    <x v="0"/>
    <x v="0"/>
    <x v="133"/>
    <x v="2"/>
    <x v="4"/>
    <x v="149"/>
    <x v="16"/>
    <x v="3"/>
    <x v="26"/>
    <x v="5"/>
    <x v="166"/>
    <s v="Five Stars"/>
    <n v="1502755200"/>
    <s v="Not Specified"/>
    <s v="Not Specified"/>
    <s v="Not Specified"/>
    <n v="16"/>
    <x v="0"/>
    <x v="2"/>
  </r>
  <r>
    <x v="0"/>
    <x v="0"/>
    <x v="134"/>
    <x v="2"/>
    <x v="4"/>
    <x v="150"/>
    <x v="16"/>
    <x v="21"/>
    <x v="17"/>
    <x v="130"/>
    <x v="167"/>
    <s v="the best sneakers by far"/>
    <n v="1502668800"/>
    <s v="Not Specified"/>
    <s v="Not Specified"/>
    <s v="Not Specified"/>
    <n v="145"/>
    <x v="0"/>
    <x v="2"/>
  </r>
  <r>
    <x v="0"/>
    <x v="0"/>
    <x v="135"/>
    <x v="2"/>
    <x v="4"/>
    <x v="151"/>
    <x v="16"/>
    <x v="17"/>
    <x v="17"/>
    <x v="131"/>
    <x v="168"/>
    <s v="Classically comfortable and durable"/>
    <n v="1502496000"/>
    <s v="Not Specified"/>
    <s v="Not Specified"/>
    <s v="Not Specified"/>
    <n v="230"/>
    <x v="0"/>
    <x v="2"/>
  </r>
  <r>
    <x v="4"/>
    <x v="0"/>
    <x v="136"/>
    <x v="2"/>
    <x v="4"/>
    <x v="152"/>
    <x v="16"/>
    <x v="30"/>
    <x v="17"/>
    <x v="132"/>
    <x v="169"/>
    <s v="Four Stars"/>
    <n v="1502409600"/>
    <s v="Not Specified"/>
    <s v="Not Specified"/>
    <s v="Not Specified"/>
    <n v="59"/>
    <x v="0"/>
    <x v="2"/>
  </r>
  <r>
    <x v="1"/>
    <x v="0"/>
    <x v="137"/>
    <x v="2"/>
    <x v="4"/>
    <x v="153"/>
    <x v="16"/>
    <x v="17"/>
    <x v="17"/>
    <x v="133"/>
    <x v="170"/>
    <s v="the Nike Womens Flex Trainer 6 is way better looking and costs about the same"/>
    <n v="1502150400"/>
    <s v="Not Specified"/>
    <s v="Not Specified"/>
    <s v="Not Specified"/>
    <n v="138"/>
    <x v="1"/>
    <x v="2"/>
  </r>
  <r>
    <x v="0"/>
    <x v="0"/>
    <x v="137"/>
    <x v="2"/>
    <x v="4"/>
    <x v="154"/>
    <x v="16"/>
    <x v="25"/>
    <x v="17"/>
    <x v="134"/>
    <x v="171"/>
    <s v="Five Stars"/>
    <n v="1502150400"/>
    <s v="Not Specified"/>
    <s v="Not Specified"/>
    <s v="Not Specified"/>
    <n v="27"/>
    <x v="0"/>
    <x v="2"/>
  </r>
  <r>
    <x v="0"/>
    <x v="0"/>
    <x v="138"/>
    <x v="2"/>
    <x v="4"/>
    <x v="155"/>
    <x v="16"/>
    <x v="21"/>
    <x v="44"/>
    <x v="135"/>
    <x v="172"/>
    <s v="Five Stars"/>
    <n v="1502064000"/>
    <s v="Not Specified"/>
    <s v="Not Specified"/>
    <s v="Not Specified"/>
    <n v="10"/>
    <x v="0"/>
    <x v="2"/>
  </r>
  <r>
    <x v="0"/>
    <x v="0"/>
    <x v="139"/>
    <x v="2"/>
    <x v="4"/>
    <x v="156"/>
    <x v="16"/>
    <x v="22"/>
    <x v="23"/>
    <x v="136"/>
    <x v="173"/>
    <s v="Love the color and fit"/>
    <n v="1501804800"/>
    <s v="Not Specified"/>
    <s v="Not Specified"/>
    <s v="Not Specified"/>
    <n v="114"/>
    <x v="0"/>
    <x v="2"/>
  </r>
  <r>
    <x v="1"/>
    <x v="0"/>
    <x v="140"/>
    <x v="2"/>
    <x v="4"/>
    <x v="157"/>
    <x v="16"/>
    <x v="33"/>
    <x v="17"/>
    <x v="137"/>
    <x v="174"/>
    <s v="OK"/>
    <n v="1501632000"/>
    <s v="Not Specified"/>
    <s v="Not Specified"/>
    <s v="Not Specified"/>
    <n v="264"/>
    <x v="1"/>
    <x v="2"/>
  </r>
  <r>
    <x v="0"/>
    <x v="0"/>
    <x v="141"/>
    <x v="2"/>
    <x v="9"/>
    <x v="158"/>
    <x v="16"/>
    <x v="17"/>
    <x v="17"/>
    <x v="5"/>
    <x v="175"/>
    <s v="Great fit!"/>
    <n v="1500508800"/>
    <s v="Not Specified"/>
    <s v="Not Specified"/>
    <s v="Not Specified"/>
    <n v="34"/>
    <x v="0"/>
    <x v="2"/>
  </r>
  <r>
    <x v="0"/>
    <x v="0"/>
    <x v="142"/>
    <x v="2"/>
    <x v="9"/>
    <x v="159"/>
    <x v="16"/>
    <x v="21"/>
    <x v="33"/>
    <x v="138"/>
    <x v="176"/>
    <s v="Very satisfied with the seller - delivered on time"/>
    <n v="1500336000"/>
    <s v="Not Specified"/>
    <s v="Not Specified"/>
    <s v="Not Specified"/>
    <n v="124"/>
    <x v="0"/>
    <x v="2"/>
  </r>
  <r>
    <x v="4"/>
    <x v="0"/>
    <x v="142"/>
    <x v="2"/>
    <x v="9"/>
    <x v="160"/>
    <x v="16"/>
    <x v="22"/>
    <x v="26"/>
    <x v="139"/>
    <x v="177"/>
    <s v="Four Stars"/>
    <n v="1500336000"/>
    <s v="Not Specified"/>
    <s v="Not Specified"/>
    <s v="Not Specified"/>
    <n v="28"/>
    <x v="0"/>
    <x v="2"/>
  </r>
  <r>
    <x v="0"/>
    <x v="0"/>
    <x v="142"/>
    <x v="2"/>
    <x v="9"/>
    <x v="161"/>
    <x v="16"/>
    <x v="14"/>
    <x v="17"/>
    <x v="140"/>
    <x v="178"/>
    <s v="Comfortable shoe for both workout sessions and walking"/>
    <n v="1500336000"/>
    <s v="Not Specified"/>
    <s v="Not Specified"/>
    <s v="Not Specified"/>
    <n v="184"/>
    <x v="0"/>
    <x v="2"/>
  </r>
  <r>
    <x v="0"/>
    <x v="0"/>
    <x v="142"/>
    <x v="2"/>
    <x v="9"/>
    <x v="162"/>
    <x v="16"/>
    <x v="16"/>
    <x v="17"/>
    <x v="141"/>
    <x v="68"/>
    <s v="Five Stars"/>
    <n v="1500336000"/>
    <s v="Not Specified"/>
    <s v="Not Specified"/>
    <s v="Not Specified"/>
    <n v="0"/>
    <x v="0"/>
    <x v="2"/>
  </r>
  <r>
    <x v="0"/>
    <x v="0"/>
    <x v="142"/>
    <x v="2"/>
    <x v="9"/>
    <x v="163"/>
    <x v="16"/>
    <x v="17"/>
    <x v="12"/>
    <x v="142"/>
    <x v="65"/>
    <s v="Five Stars"/>
    <n v="1500336000"/>
    <s v="Not Specified"/>
    <s v="Not Specified"/>
    <s v="Not Specified"/>
    <n v="4"/>
    <x v="0"/>
    <x v="2"/>
  </r>
  <r>
    <x v="0"/>
    <x v="0"/>
    <x v="142"/>
    <x v="2"/>
    <x v="9"/>
    <x v="164"/>
    <x v="16"/>
    <x v="17"/>
    <x v="39"/>
    <x v="5"/>
    <x v="179"/>
    <s v="These are the best shoes I have ever use for my workouts"/>
    <n v="1500336000"/>
    <s v="Not Specified"/>
    <s v="Not Specified"/>
    <s v="Not Specified"/>
    <n v="99"/>
    <x v="0"/>
    <x v="2"/>
  </r>
  <r>
    <x v="0"/>
    <x v="0"/>
    <x v="142"/>
    <x v="2"/>
    <x v="9"/>
    <x v="165"/>
    <x v="16"/>
    <x v="15"/>
    <x v="17"/>
    <x v="143"/>
    <x v="180"/>
    <s v="I love these shoes"/>
    <n v="1500336000"/>
    <s v="Not Specified"/>
    <s v="Not Specified"/>
    <s v="Not Specified"/>
    <n v="178"/>
    <x v="0"/>
    <x v="2"/>
  </r>
  <r>
    <x v="0"/>
    <x v="0"/>
    <x v="143"/>
    <x v="2"/>
    <x v="9"/>
    <x v="166"/>
    <x v="16"/>
    <x v="16"/>
    <x v="28"/>
    <x v="144"/>
    <x v="181"/>
    <s v="Five Stars"/>
    <n v="1500076800"/>
    <s v="Not Specified"/>
    <s v="Not Specified"/>
    <s v="Not Specified"/>
    <n v="30"/>
    <x v="0"/>
    <x v="2"/>
  </r>
  <r>
    <x v="1"/>
    <x v="0"/>
    <x v="143"/>
    <x v="2"/>
    <x v="9"/>
    <x v="167"/>
    <x v="16"/>
    <x v="21"/>
    <x v="23"/>
    <x v="145"/>
    <x v="182"/>
    <s v="Low cut heels"/>
    <n v="1500076800"/>
    <s v="Not Specified"/>
    <s v="Not Specified"/>
    <s v="Not Specified"/>
    <n v="130"/>
    <x v="1"/>
    <x v="2"/>
  </r>
  <r>
    <x v="0"/>
    <x v="0"/>
    <x v="144"/>
    <x v="2"/>
    <x v="9"/>
    <x v="168"/>
    <x v="16"/>
    <x v="30"/>
    <x v="30"/>
    <x v="146"/>
    <x v="183"/>
    <s v="Perfect"/>
    <n v="1499558400"/>
    <s v="Not Specified"/>
    <s v="Not Specified"/>
    <s v="Not Specified"/>
    <n v="112"/>
    <x v="0"/>
    <x v="2"/>
  </r>
  <r>
    <x v="0"/>
    <x v="0"/>
    <x v="145"/>
    <x v="2"/>
    <x v="9"/>
    <x v="169"/>
    <x v="16"/>
    <x v="34"/>
    <x v="25"/>
    <x v="147"/>
    <x v="184"/>
    <s v="Exactly what I wanted"/>
    <n v="1499472000"/>
    <s v="Not Specified"/>
    <s v="Not Specified"/>
    <s v="Not Specified"/>
    <n v="22"/>
    <x v="0"/>
    <x v="2"/>
  </r>
  <r>
    <x v="4"/>
    <x v="0"/>
    <x v="146"/>
    <x v="2"/>
    <x v="9"/>
    <x v="170"/>
    <x v="16"/>
    <x v="15"/>
    <x v="17"/>
    <x v="148"/>
    <x v="185"/>
    <s v="Light shoes"/>
    <n v="1499385600"/>
    <s v="Not Specified"/>
    <s v="Not Specified"/>
    <s v="Not Specified"/>
    <n v="453"/>
    <x v="0"/>
    <x v="2"/>
  </r>
  <r>
    <x v="1"/>
    <x v="1"/>
    <x v="147"/>
    <x v="2"/>
    <x v="9"/>
    <x v="171"/>
    <x v="16"/>
    <x v="24"/>
    <x v="12"/>
    <x v="149"/>
    <x v="186"/>
    <s v="Good indoor training shoes"/>
    <n v="1498867200"/>
    <s v="Not Specified"/>
    <s v="Not Specified"/>
    <s v="Not Specified"/>
    <n v="566"/>
    <x v="1"/>
    <x v="2"/>
  </r>
  <r>
    <x v="0"/>
    <x v="0"/>
    <x v="148"/>
    <x v="2"/>
    <x v="6"/>
    <x v="172"/>
    <x v="16"/>
    <x v="15"/>
    <x v="17"/>
    <x v="150"/>
    <x v="187"/>
    <s v="So Perf."/>
    <n v="1498780800"/>
    <s v="Not Specified"/>
    <s v="Not Specified"/>
    <s v="Not Specified"/>
    <n v="5"/>
    <x v="0"/>
    <x v="2"/>
  </r>
  <r>
    <x v="0"/>
    <x v="0"/>
    <x v="149"/>
    <x v="2"/>
    <x v="6"/>
    <x v="173"/>
    <x v="16"/>
    <x v="22"/>
    <x v="32"/>
    <x v="151"/>
    <x v="188"/>
    <s v="Five Stars"/>
    <n v="1498608000"/>
    <s v="Not Specified"/>
    <s v="Not Specified"/>
    <s v="Not Specified"/>
    <n v="18"/>
    <x v="0"/>
    <x v="2"/>
  </r>
  <r>
    <x v="0"/>
    <x v="0"/>
    <x v="150"/>
    <x v="2"/>
    <x v="6"/>
    <x v="174"/>
    <x v="16"/>
    <x v="15"/>
    <x v="34"/>
    <x v="152"/>
    <x v="189"/>
    <s v="Five Stars"/>
    <n v="1498435200"/>
    <s v="Not Specified"/>
    <s v="Not Specified"/>
    <s v="Not Specified"/>
    <n v="8"/>
    <x v="0"/>
    <x v="2"/>
  </r>
  <r>
    <x v="0"/>
    <x v="0"/>
    <x v="151"/>
    <x v="2"/>
    <x v="6"/>
    <x v="175"/>
    <x v="16"/>
    <x v="17"/>
    <x v="24"/>
    <x v="5"/>
    <x v="190"/>
    <s v="Great work out shoe"/>
    <n v="1498003200"/>
    <s v="Not Specified"/>
    <s v="Not Specified"/>
    <s v="Not Specified"/>
    <n v="141"/>
    <x v="0"/>
    <x v="2"/>
  </r>
  <r>
    <x v="0"/>
    <x v="0"/>
    <x v="152"/>
    <x v="2"/>
    <x v="6"/>
    <x v="176"/>
    <x v="16"/>
    <x v="44"/>
    <x v="25"/>
    <x v="153"/>
    <x v="191"/>
    <s v="I love these shoes so much that I reordered another pair ..."/>
    <n v="1497916800"/>
    <s v="Not Specified"/>
    <s v="Not Specified"/>
    <s v="Not Specified"/>
    <n v="275"/>
    <x v="0"/>
    <x v="2"/>
  </r>
  <r>
    <x v="0"/>
    <x v="0"/>
    <x v="152"/>
    <x v="2"/>
    <x v="6"/>
    <x v="177"/>
    <x v="16"/>
    <x v="15"/>
    <x v="17"/>
    <x v="154"/>
    <x v="192"/>
    <s v="Comfortable, light weight, nice."/>
    <n v="1497916800"/>
    <s v="Not Specified"/>
    <s v="Not Specified"/>
    <s v="Not Specified"/>
    <n v="69"/>
    <x v="0"/>
    <x v="2"/>
  </r>
  <r>
    <x v="4"/>
    <x v="0"/>
    <x v="153"/>
    <x v="2"/>
    <x v="6"/>
    <x v="178"/>
    <x v="16"/>
    <x v="15"/>
    <x v="17"/>
    <x v="155"/>
    <x v="193"/>
    <s v="Four Stars"/>
    <n v="1497830400"/>
    <s v="Not Specified"/>
    <s v="Not Specified"/>
    <s v="Not Specified"/>
    <n v="12"/>
    <x v="0"/>
    <x v="2"/>
  </r>
  <r>
    <x v="0"/>
    <x v="0"/>
    <x v="153"/>
    <x v="2"/>
    <x v="6"/>
    <x v="179"/>
    <x v="16"/>
    <x v="25"/>
    <x v="17"/>
    <x v="156"/>
    <x v="194"/>
    <s v="I feel like this pair of shoes was made for my feet"/>
    <n v="1497830400"/>
    <s v="Not Specified"/>
    <s v="Not Specified"/>
    <s v="Not Specified"/>
    <n v="108"/>
    <x v="0"/>
    <x v="2"/>
  </r>
  <r>
    <x v="0"/>
    <x v="0"/>
    <x v="153"/>
    <x v="2"/>
    <x v="6"/>
    <x v="180"/>
    <x v="16"/>
    <x v="17"/>
    <x v="17"/>
    <x v="5"/>
    <x v="195"/>
    <s v="Awesome shoes!!!"/>
    <n v="1497830400"/>
    <s v="Not Specified"/>
    <s v="Not Specified"/>
    <s v="Not Specified"/>
    <n v="76"/>
    <x v="0"/>
    <x v="2"/>
  </r>
  <r>
    <x v="1"/>
    <x v="0"/>
    <x v="15"/>
    <x v="2"/>
    <x v="6"/>
    <x v="181"/>
    <x v="16"/>
    <x v="16"/>
    <x v="17"/>
    <x v="157"/>
    <x v="196"/>
    <s v="Just wasn't what i was looking for"/>
    <n v="1497571200"/>
    <s v="Not Specified"/>
    <s v="Not Specified"/>
    <s v="Not Specified"/>
    <n v="468"/>
    <x v="1"/>
    <x v="2"/>
  </r>
  <r>
    <x v="0"/>
    <x v="0"/>
    <x v="154"/>
    <x v="2"/>
    <x v="6"/>
    <x v="182"/>
    <x v="16"/>
    <x v="22"/>
    <x v="17"/>
    <x v="158"/>
    <x v="197"/>
    <s v="So comfortable, I don't even feel like I have a ..."/>
    <n v="1497484800"/>
    <s v="Not Specified"/>
    <s v="Not Specified"/>
    <s v="Not Specified"/>
    <n v="125"/>
    <x v="0"/>
    <x v="2"/>
  </r>
  <r>
    <x v="0"/>
    <x v="0"/>
    <x v="154"/>
    <x v="2"/>
    <x v="6"/>
    <x v="183"/>
    <x v="16"/>
    <x v="17"/>
    <x v="30"/>
    <x v="159"/>
    <x v="198"/>
    <s v="Five Stars"/>
    <n v="1497484800"/>
    <s v="Not Specified"/>
    <s v="Not Specified"/>
    <s v="Not Specified"/>
    <n v="56"/>
    <x v="0"/>
    <x v="2"/>
  </r>
  <r>
    <x v="0"/>
    <x v="0"/>
    <x v="155"/>
    <x v="2"/>
    <x v="6"/>
    <x v="184"/>
    <x v="16"/>
    <x v="15"/>
    <x v="18"/>
    <x v="5"/>
    <x v="199"/>
    <s v="Five Stars"/>
    <n v="1497398400"/>
    <s v="Not Specified"/>
    <s v="Not Specified"/>
    <s v="Not Specified"/>
    <n v="21"/>
    <x v="0"/>
    <x v="2"/>
  </r>
  <r>
    <x v="0"/>
    <x v="0"/>
    <x v="156"/>
    <x v="2"/>
    <x v="6"/>
    <x v="185"/>
    <x v="16"/>
    <x v="22"/>
    <x v="32"/>
    <x v="160"/>
    <x v="200"/>
    <s v="Five Stars"/>
    <n v="1497312000"/>
    <s v="Not Specified"/>
    <s v="Not Specified"/>
    <s v="Not Specified"/>
    <n v="64"/>
    <x v="0"/>
    <x v="2"/>
  </r>
  <r>
    <x v="0"/>
    <x v="0"/>
    <x v="157"/>
    <x v="2"/>
    <x v="6"/>
    <x v="186"/>
    <x v="16"/>
    <x v="22"/>
    <x v="24"/>
    <x v="161"/>
    <x v="201"/>
    <s v="Five Stars"/>
    <n v="1496880000"/>
    <s v="Not Specified"/>
    <s v="Not Specified"/>
    <s v="Not Specified"/>
    <n v="27"/>
    <x v="0"/>
    <x v="2"/>
  </r>
  <r>
    <x v="3"/>
    <x v="0"/>
    <x v="158"/>
    <x v="2"/>
    <x v="6"/>
    <x v="187"/>
    <x v="16"/>
    <x v="42"/>
    <x v="25"/>
    <x v="162"/>
    <x v="202"/>
    <s v="Falling apart already!!"/>
    <n v="1496620800"/>
    <s v="Not Specified"/>
    <s v="Not Specified"/>
    <s v="Not Specified"/>
    <n v="75"/>
    <x v="2"/>
    <x v="2"/>
  </r>
  <r>
    <x v="0"/>
    <x v="0"/>
    <x v="159"/>
    <x v="2"/>
    <x v="6"/>
    <x v="188"/>
    <x v="16"/>
    <x v="21"/>
    <x v="17"/>
    <x v="163"/>
    <x v="203"/>
    <s v="Five Stars"/>
    <n v="1496361600"/>
    <s v="Not Specified"/>
    <s v="Not Specified"/>
    <s v="Not Specified"/>
    <n v="91"/>
    <x v="0"/>
    <x v="2"/>
  </r>
  <r>
    <x v="0"/>
    <x v="0"/>
    <x v="160"/>
    <x v="2"/>
    <x v="1"/>
    <x v="189"/>
    <x v="16"/>
    <x v="14"/>
    <x v="17"/>
    <x v="164"/>
    <x v="135"/>
    <s v="Five Stars"/>
    <n v="1496102400"/>
    <s v="Not Specified"/>
    <s v="Not Specified"/>
    <s v="Not Specified"/>
    <n v="11"/>
    <x v="0"/>
    <x v="2"/>
  </r>
  <r>
    <x v="0"/>
    <x v="0"/>
    <x v="160"/>
    <x v="2"/>
    <x v="1"/>
    <x v="190"/>
    <x v="16"/>
    <x v="30"/>
    <x v="26"/>
    <x v="165"/>
    <x v="204"/>
    <s v="love the fit"/>
    <n v="1496102400"/>
    <s v="Not Specified"/>
    <s v="Not Specified"/>
    <s v="Not Specified"/>
    <n v="61"/>
    <x v="0"/>
    <x v="2"/>
  </r>
  <r>
    <x v="4"/>
    <x v="0"/>
    <x v="161"/>
    <x v="2"/>
    <x v="1"/>
    <x v="191"/>
    <x v="16"/>
    <x v="44"/>
    <x v="25"/>
    <x v="166"/>
    <x v="205"/>
    <s v="Nike"/>
    <n v="1496016000"/>
    <s v="Not Specified"/>
    <s v="Not Specified"/>
    <s v="Not Specified"/>
    <n v="65"/>
    <x v="0"/>
    <x v="2"/>
  </r>
  <r>
    <x v="1"/>
    <x v="0"/>
    <x v="162"/>
    <x v="2"/>
    <x v="1"/>
    <x v="192"/>
    <x v="16"/>
    <x v="30"/>
    <x v="17"/>
    <x v="167"/>
    <x v="206"/>
    <s v="Nope"/>
    <n v="1495670400"/>
    <s v="Not Specified"/>
    <s v="Not Specified"/>
    <s v="Not Specified"/>
    <n v="40"/>
    <x v="1"/>
    <x v="2"/>
  </r>
  <r>
    <x v="0"/>
    <x v="0"/>
    <x v="163"/>
    <x v="2"/>
    <x v="1"/>
    <x v="193"/>
    <x v="16"/>
    <x v="21"/>
    <x v="17"/>
    <x v="168"/>
    <x v="207"/>
    <s v="It is comfortable."/>
    <n v="1495411200"/>
    <s v="Not Specified"/>
    <s v="Not Specified"/>
    <s v="Not Specified"/>
    <n v="45"/>
    <x v="0"/>
    <x v="2"/>
  </r>
  <r>
    <x v="0"/>
    <x v="0"/>
    <x v="163"/>
    <x v="2"/>
    <x v="1"/>
    <x v="194"/>
    <x v="16"/>
    <x v="17"/>
    <x v="17"/>
    <x v="169"/>
    <x v="208"/>
    <s v="Perfect cross trainers"/>
    <n v="1495411200"/>
    <s v="Not Specified"/>
    <s v="Not Specified"/>
    <s v="Not Specified"/>
    <n v="86"/>
    <x v="0"/>
    <x v="2"/>
  </r>
  <r>
    <x v="0"/>
    <x v="1"/>
    <x v="164"/>
    <x v="2"/>
    <x v="1"/>
    <x v="195"/>
    <x v="16"/>
    <x v="45"/>
    <x v="25"/>
    <x v="170"/>
    <x v="209"/>
    <s v="Great training shoes"/>
    <n v="1495152000"/>
    <s v="Not Specified"/>
    <s v="Not Specified"/>
    <n v="2"/>
    <n v="109"/>
    <x v="0"/>
    <x v="2"/>
  </r>
  <r>
    <x v="0"/>
    <x v="1"/>
    <x v="164"/>
    <x v="2"/>
    <x v="1"/>
    <x v="195"/>
    <x v="16"/>
    <x v="30"/>
    <x v="28"/>
    <x v="170"/>
    <x v="210"/>
    <s v="Amazing training Sneakers."/>
    <n v="1495152000"/>
    <s v="Not Specified"/>
    <s v="Not Specified"/>
    <n v="4"/>
    <n v="274"/>
    <x v="0"/>
    <x v="2"/>
  </r>
  <r>
    <x v="4"/>
    <x v="0"/>
    <x v="165"/>
    <x v="2"/>
    <x v="1"/>
    <x v="196"/>
    <x v="16"/>
    <x v="15"/>
    <x v="17"/>
    <x v="171"/>
    <x v="211"/>
    <s v="HIIT shoes"/>
    <n v="1495065600"/>
    <s v="Not Specified"/>
    <s v="Not Specified"/>
    <s v="Not Specified"/>
    <n v="20"/>
    <x v="0"/>
    <x v="2"/>
  </r>
  <r>
    <x v="4"/>
    <x v="0"/>
    <x v="166"/>
    <x v="2"/>
    <x v="1"/>
    <x v="197"/>
    <x v="16"/>
    <x v="15"/>
    <x v="34"/>
    <x v="172"/>
    <x v="212"/>
    <s v="Four Stars"/>
    <n v="1494806400"/>
    <s v="Not Specified"/>
    <s v="Not Specified"/>
    <s v="Not Specified"/>
    <n v="40"/>
    <x v="0"/>
    <x v="2"/>
  </r>
  <r>
    <x v="1"/>
    <x v="0"/>
    <x v="167"/>
    <x v="2"/>
    <x v="1"/>
    <x v="198"/>
    <x v="16"/>
    <x v="17"/>
    <x v="17"/>
    <x v="173"/>
    <x v="213"/>
    <s v="Lack support but overall good shoe"/>
    <n v="1494374400"/>
    <s v="Not Specified"/>
    <s v="Not Specified"/>
    <s v="Not Specified"/>
    <n v="170"/>
    <x v="1"/>
    <x v="2"/>
  </r>
  <r>
    <x v="0"/>
    <x v="0"/>
    <x v="168"/>
    <x v="2"/>
    <x v="1"/>
    <x v="199"/>
    <x v="16"/>
    <x v="26"/>
    <x v="40"/>
    <x v="174"/>
    <x v="214"/>
    <s v="Adorable shoes"/>
    <n v="1494115200"/>
    <s v="Not Specified"/>
    <s v="Not Specified"/>
    <s v="Not Specified"/>
    <n v="193"/>
    <x v="0"/>
    <x v="2"/>
  </r>
  <r>
    <x v="0"/>
    <x v="0"/>
    <x v="169"/>
    <x v="2"/>
    <x v="1"/>
    <x v="200"/>
    <x v="16"/>
    <x v="34"/>
    <x v="25"/>
    <x v="175"/>
    <x v="215"/>
    <s v="Wide sneaker for wide feet"/>
    <n v="1494028800"/>
    <s v="Not Specified"/>
    <s v="Not Specified"/>
    <s v="Not Specified"/>
    <n v="126"/>
    <x v="0"/>
    <x v="2"/>
  </r>
  <r>
    <x v="0"/>
    <x v="0"/>
    <x v="170"/>
    <x v="2"/>
    <x v="1"/>
    <x v="201"/>
    <x v="16"/>
    <x v="21"/>
    <x v="44"/>
    <x v="176"/>
    <x v="216"/>
    <s v="I've been using these to exercise and they are nice a roomy and allow my feet to breath"/>
    <n v="1493942400"/>
    <s v="Not Specified"/>
    <s v="Not Specified"/>
    <s v="Not Specified"/>
    <n v="110"/>
    <x v="0"/>
    <x v="2"/>
  </r>
  <r>
    <x v="0"/>
    <x v="0"/>
    <x v="171"/>
    <x v="2"/>
    <x v="1"/>
    <x v="202"/>
    <x v="16"/>
    <x v="16"/>
    <x v="17"/>
    <x v="177"/>
    <x v="217"/>
    <s v="Five Stars"/>
    <n v="1493769600"/>
    <s v="Not Specified"/>
    <s v="Not Specified"/>
    <s v="Not Specified"/>
    <n v="42"/>
    <x v="0"/>
    <x v="2"/>
  </r>
  <r>
    <x v="0"/>
    <x v="0"/>
    <x v="171"/>
    <x v="2"/>
    <x v="1"/>
    <x v="203"/>
    <x v="16"/>
    <x v="21"/>
    <x v="17"/>
    <x v="178"/>
    <x v="218"/>
    <s v="Five Stars"/>
    <n v="1493769600"/>
    <s v="Not Specified"/>
    <s v="Not Specified"/>
    <s v="Not Specified"/>
    <n v="12"/>
    <x v="0"/>
    <x v="2"/>
  </r>
  <r>
    <x v="4"/>
    <x v="0"/>
    <x v="172"/>
    <x v="2"/>
    <x v="1"/>
    <x v="204"/>
    <x v="16"/>
    <x v="26"/>
    <x v="40"/>
    <x v="179"/>
    <x v="219"/>
    <s v="Great training shoes"/>
    <n v="1493683200"/>
    <s v="Not Specified"/>
    <s v="Not Specified"/>
    <s v="Not Specified"/>
    <n v="86"/>
    <x v="0"/>
    <x v="2"/>
  </r>
  <r>
    <x v="0"/>
    <x v="0"/>
    <x v="173"/>
    <x v="2"/>
    <x v="1"/>
    <x v="205"/>
    <x v="16"/>
    <x v="26"/>
    <x v="41"/>
    <x v="180"/>
    <x v="220"/>
    <s v="Five Stars"/>
    <n v="1493596800"/>
    <s v="Not Specified"/>
    <s v="Not Specified"/>
    <s v="Not Specified"/>
    <n v="89"/>
    <x v="0"/>
    <x v="2"/>
  </r>
  <r>
    <x v="0"/>
    <x v="0"/>
    <x v="174"/>
    <x v="2"/>
    <x v="10"/>
    <x v="206"/>
    <x v="16"/>
    <x v="22"/>
    <x v="18"/>
    <x v="181"/>
    <x v="221"/>
    <s v="Five Stars"/>
    <n v="1493337600"/>
    <s v="Not Specified"/>
    <s v="Not Specified"/>
    <s v="Not Specified"/>
    <n v="12"/>
    <x v="0"/>
    <x v="2"/>
  </r>
  <r>
    <x v="4"/>
    <x v="0"/>
    <x v="175"/>
    <x v="2"/>
    <x v="10"/>
    <x v="207"/>
    <x v="16"/>
    <x v="45"/>
    <x v="25"/>
    <x v="5"/>
    <x v="222"/>
    <s v="Four Stars"/>
    <n v="1493251200"/>
    <s v="Not Specified"/>
    <s v="Not Specified"/>
    <s v="Not Specified"/>
    <n v="58"/>
    <x v="0"/>
    <x v="2"/>
  </r>
  <r>
    <x v="4"/>
    <x v="0"/>
    <x v="175"/>
    <x v="2"/>
    <x v="10"/>
    <x v="208"/>
    <x v="16"/>
    <x v="43"/>
    <x v="25"/>
    <x v="182"/>
    <x v="223"/>
    <s v="and they were great! Super comfortable"/>
    <n v="1493251200"/>
    <s v="Not Specified"/>
    <s v="Not Specified"/>
    <s v="Not Specified"/>
    <n v="199"/>
    <x v="0"/>
    <x v="2"/>
  </r>
  <r>
    <x v="0"/>
    <x v="0"/>
    <x v="176"/>
    <x v="2"/>
    <x v="10"/>
    <x v="209"/>
    <x v="16"/>
    <x v="22"/>
    <x v="17"/>
    <x v="183"/>
    <x v="224"/>
    <s v="Five Stars"/>
    <n v="1493164800"/>
    <s v="Not Specified"/>
    <s v="Not Specified"/>
    <s v="Not Specified"/>
    <n v="28"/>
    <x v="0"/>
    <x v="2"/>
  </r>
  <r>
    <x v="0"/>
    <x v="0"/>
    <x v="177"/>
    <x v="2"/>
    <x v="10"/>
    <x v="210"/>
    <x v="16"/>
    <x v="44"/>
    <x v="25"/>
    <x v="184"/>
    <x v="225"/>
    <s v="I love these shoes my second pair of 40 plus $ ..."/>
    <n v="1493078400"/>
    <s v="Not Specified"/>
    <s v="Not Specified"/>
    <s v="Not Specified"/>
    <n v="235"/>
    <x v="0"/>
    <x v="2"/>
  </r>
  <r>
    <x v="4"/>
    <x v="0"/>
    <x v="178"/>
    <x v="2"/>
    <x v="10"/>
    <x v="211"/>
    <x v="16"/>
    <x v="15"/>
    <x v="17"/>
    <x v="185"/>
    <x v="226"/>
    <s v="They fit as expected and perfect for training"/>
    <n v="1492992000"/>
    <s v="Not Specified"/>
    <s v="Not Specified"/>
    <s v="Not Specified"/>
    <n v="140"/>
    <x v="0"/>
    <x v="2"/>
  </r>
  <r>
    <x v="0"/>
    <x v="0"/>
    <x v="178"/>
    <x v="2"/>
    <x v="10"/>
    <x v="212"/>
    <x v="16"/>
    <x v="14"/>
    <x v="34"/>
    <x v="5"/>
    <x v="227"/>
    <s v="Five Stars"/>
    <n v="1492992000"/>
    <s v="Not Specified"/>
    <s v="Not Specified"/>
    <s v="Not Specified"/>
    <n v="39"/>
    <x v="0"/>
    <x v="2"/>
  </r>
  <r>
    <x v="0"/>
    <x v="0"/>
    <x v="179"/>
    <x v="2"/>
    <x v="10"/>
    <x v="213"/>
    <x v="16"/>
    <x v="21"/>
    <x v="17"/>
    <x v="5"/>
    <x v="228"/>
    <s v="Five Stars"/>
    <n v="1492646400"/>
    <s v="Not Specified"/>
    <s v="Not Specified"/>
    <s v="Not Specified"/>
    <n v="7"/>
    <x v="0"/>
    <x v="2"/>
  </r>
  <r>
    <x v="0"/>
    <x v="0"/>
    <x v="180"/>
    <x v="2"/>
    <x v="10"/>
    <x v="214"/>
    <x v="16"/>
    <x v="17"/>
    <x v="17"/>
    <x v="5"/>
    <x v="229"/>
    <s v="Five Stars"/>
    <n v="1492560000"/>
    <s v="Not Specified"/>
    <s v="Not Specified"/>
    <s v="Not Specified"/>
    <n v="9"/>
    <x v="0"/>
    <x v="2"/>
  </r>
  <r>
    <x v="0"/>
    <x v="1"/>
    <x v="16"/>
    <x v="2"/>
    <x v="10"/>
    <x v="215"/>
    <x v="16"/>
    <x v="15"/>
    <x v="17"/>
    <x v="186"/>
    <x v="230"/>
    <s v="Very Good For Everyday"/>
    <n v="1492473600"/>
    <s v="Not Specified"/>
    <s v="Not Specified"/>
    <s v="Not Specified"/>
    <n v="115"/>
    <x v="0"/>
    <x v="2"/>
  </r>
  <r>
    <x v="0"/>
    <x v="0"/>
    <x v="181"/>
    <x v="2"/>
    <x v="10"/>
    <x v="216"/>
    <x v="16"/>
    <x v="21"/>
    <x v="17"/>
    <x v="187"/>
    <x v="231"/>
    <s v="Great shoes"/>
    <n v="1492387200"/>
    <s v="Not Specified"/>
    <s v="Not Specified"/>
    <s v="Not Specified"/>
    <n v="62"/>
    <x v="0"/>
    <x v="2"/>
  </r>
  <r>
    <x v="0"/>
    <x v="0"/>
    <x v="182"/>
    <x v="2"/>
    <x v="10"/>
    <x v="217"/>
    <x v="16"/>
    <x v="24"/>
    <x v="12"/>
    <x v="188"/>
    <x v="232"/>
    <s v="Love these shoes"/>
    <n v="1492214400"/>
    <s v="Not Specified"/>
    <s v="Not Specified"/>
    <s v="Not Specified"/>
    <n v="112"/>
    <x v="0"/>
    <x v="2"/>
  </r>
  <r>
    <x v="0"/>
    <x v="0"/>
    <x v="183"/>
    <x v="2"/>
    <x v="10"/>
    <x v="218"/>
    <x v="16"/>
    <x v="22"/>
    <x v="17"/>
    <x v="5"/>
    <x v="233"/>
    <s v="Five Stars"/>
    <n v="1492128000"/>
    <s v="Not Specified"/>
    <s v="Not Specified"/>
    <s v="Not Specified"/>
    <n v="38"/>
    <x v="0"/>
    <x v="2"/>
  </r>
  <r>
    <x v="4"/>
    <x v="0"/>
    <x v="184"/>
    <x v="2"/>
    <x v="10"/>
    <x v="219"/>
    <x v="16"/>
    <x v="25"/>
    <x v="17"/>
    <x v="189"/>
    <x v="234"/>
    <s v="Super comfortable. I joined Cross Fit and this is ..."/>
    <n v="1491868800"/>
    <s v="Not Specified"/>
    <s v="Not Specified"/>
    <s v="Not Specified"/>
    <n v="67"/>
    <x v="0"/>
    <x v="2"/>
  </r>
  <r>
    <x v="0"/>
    <x v="0"/>
    <x v="184"/>
    <x v="2"/>
    <x v="10"/>
    <x v="220"/>
    <x v="16"/>
    <x v="47"/>
    <x v="25"/>
    <x v="190"/>
    <x v="235"/>
    <s v="Five Stars"/>
    <n v="1491868800"/>
    <s v="Not Specified"/>
    <s v="Not Specified"/>
    <s v="Not Specified"/>
    <n v="13"/>
    <x v="0"/>
    <x v="2"/>
  </r>
  <r>
    <x v="0"/>
    <x v="0"/>
    <x v="185"/>
    <x v="2"/>
    <x v="10"/>
    <x v="221"/>
    <x v="16"/>
    <x v="22"/>
    <x v="29"/>
    <x v="191"/>
    <x v="236"/>
    <s v="Sooo comfortable"/>
    <n v="1491782400"/>
    <s v="Not Specified"/>
    <s v="Not Specified"/>
    <s v="Not Specified"/>
    <n v="49"/>
    <x v="0"/>
    <x v="2"/>
  </r>
  <r>
    <x v="0"/>
    <x v="0"/>
    <x v="185"/>
    <x v="2"/>
    <x v="10"/>
    <x v="222"/>
    <x v="16"/>
    <x v="16"/>
    <x v="28"/>
    <x v="192"/>
    <x v="237"/>
    <s v="So happy."/>
    <n v="1491782400"/>
    <s v="Not Specified"/>
    <s v="Not Specified"/>
    <s v="Not Specified"/>
    <n v="17"/>
    <x v="0"/>
    <x v="2"/>
  </r>
  <r>
    <x v="4"/>
    <x v="0"/>
    <x v="185"/>
    <x v="2"/>
    <x v="10"/>
    <x v="223"/>
    <x v="16"/>
    <x v="25"/>
    <x v="29"/>
    <x v="193"/>
    <x v="238"/>
    <s v="the shoe is nice and provides well for my HIIT and Grit classes ..."/>
    <n v="1491782400"/>
    <s v="Not Specified"/>
    <s v="Not Specified"/>
    <s v="Not Specified"/>
    <n v="177"/>
    <x v="0"/>
    <x v="2"/>
  </r>
  <r>
    <x v="0"/>
    <x v="0"/>
    <x v="186"/>
    <x v="2"/>
    <x v="10"/>
    <x v="224"/>
    <x v="16"/>
    <x v="21"/>
    <x v="17"/>
    <x v="5"/>
    <x v="239"/>
    <s v="Look amazing, runs slightly big."/>
    <n v="1491609600"/>
    <s v="Not Specified"/>
    <s v="Not Specified"/>
    <s v="Not Specified"/>
    <n v="163"/>
    <x v="0"/>
    <x v="2"/>
  </r>
  <r>
    <x v="4"/>
    <x v="0"/>
    <x v="18"/>
    <x v="2"/>
    <x v="10"/>
    <x v="225"/>
    <x v="16"/>
    <x v="30"/>
    <x v="17"/>
    <x v="5"/>
    <x v="240"/>
    <s v="Four Stars"/>
    <n v="1491350400"/>
    <s v="Not Specified"/>
    <s v="Not Specified"/>
    <s v="Not Specified"/>
    <n v="17"/>
    <x v="0"/>
    <x v="2"/>
  </r>
  <r>
    <x v="0"/>
    <x v="0"/>
    <x v="18"/>
    <x v="2"/>
    <x v="10"/>
    <x v="226"/>
    <x v="16"/>
    <x v="17"/>
    <x v="17"/>
    <x v="194"/>
    <x v="241"/>
    <s v="Five Stars"/>
    <n v="1491350400"/>
    <s v="Not Specified"/>
    <s v="Not Specified"/>
    <s v="Not Specified"/>
    <n v="30"/>
    <x v="0"/>
    <x v="2"/>
  </r>
  <r>
    <x v="0"/>
    <x v="0"/>
    <x v="187"/>
    <x v="2"/>
    <x v="10"/>
    <x v="227"/>
    <x v="16"/>
    <x v="30"/>
    <x v="40"/>
    <x v="195"/>
    <x v="242"/>
    <s v="Five Stars"/>
    <n v="1491264000"/>
    <s v="Not Specified"/>
    <s v="Not Specified"/>
    <s v="Not Specified"/>
    <n v="38"/>
    <x v="0"/>
    <x v="2"/>
  </r>
  <r>
    <x v="0"/>
    <x v="0"/>
    <x v="188"/>
    <x v="2"/>
    <x v="10"/>
    <x v="228"/>
    <x v="16"/>
    <x v="16"/>
    <x v="26"/>
    <x v="196"/>
    <x v="243"/>
    <s v="Five Stars"/>
    <n v="1491091200"/>
    <s v="Not Specified"/>
    <s v="Not Specified"/>
    <s v="Not Specified"/>
    <n v="39"/>
    <x v="0"/>
    <x v="2"/>
  </r>
  <r>
    <x v="4"/>
    <x v="0"/>
    <x v="189"/>
    <x v="2"/>
    <x v="5"/>
    <x v="229"/>
    <x v="16"/>
    <x v="16"/>
    <x v="17"/>
    <x v="197"/>
    <x v="244"/>
    <s v="Decent little shoe for the price."/>
    <n v="1490832000"/>
    <s v="Not Specified"/>
    <s v="Not Specified"/>
    <s v="Not Specified"/>
    <n v="87"/>
    <x v="0"/>
    <x v="2"/>
  </r>
  <r>
    <x v="0"/>
    <x v="0"/>
    <x v="190"/>
    <x v="2"/>
    <x v="5"/>
    <x v="230"/>
    <x v="16"/>
    <x v="22"/>
    <x v="29"/>
    <x v="198"/>
    <x v="245"/>
    <s v="Attractive and fit well"/>
    <n v="1490745600"/>
    <s v="Not Specified"/>
    <s v="Not Specified"/>
    <s v="Not Specified"/>
    <n v="120"/>
    <x v="0"/>
    <x v="2"/>
  </r>
  <r>
    <x v="2"/>
    <x v="0"/>
    <x v="191"/>
    <x v="2"/>
    <x v="5"/>
    <x v="231"/>
    <x v="16"/>
    <x v="30"/>
    <x v="18"/>
    <x v="199"/>
    <x v="246"/>
    <s v="Runs large"/>
    <n v="1490486400"/>
    <s v="Not Specified"/>
    <s v="Not Specified"/>
    <s v="Not Specified"/>
    <n v="178"/>
    <x v="2"/>
    <x v="2"/>
  </r>
  <r>
    <x v="3"/>
    <x v="0"/>
    <x v="192"/>
    <x v="2"/>
    <x v="5"/>
    <x v="232"/>
    <x v="16"/>
    <x v="44"/>
    <x v="25"/>
    <x v="200"/>
    <x v="247"/>
    <s v="One Star"/>
    <n v="1490400000"/>
    <s v="Not Specified"/>
    <s v="Not Specified"/>
    <s v="Not Specified"/>
    <n v="84"/>
    <x v="2"/>
    <x v="2"/>
  </r>
  <r>
    <x v="0"/>
    <x v="0"/>
    <x v="19"/>
    <x v="2"/>
    <x v="5"/>
    <x v="233"/>
    <x v="16"/>
    <x v="22"/>
    <x v="17"/>
    <x v="5"/>
    <x v="248"/>
    <s v="Five Stars"/>
    <n v="1490313600"/>
    <s v="Not Specified"/>
    <s v="Not Specified"/>
    <s v="Not Specified"/>
    <n v="10"/>
    <x v="0"/>
    <x v="2"/>
  </r>
  <r>
    <x v="0"/>
    <x v="0"/>
    <x v="19"/>
    <x v="2"/>
    <x v="5"/>
    <x v="234"/>
    <x v="16"/>
    <x v="17"/>
    <x v="17"/>
    <x v="201"/>
    <x v="249"/>
    <s v="I love the fit and they provide support for walking"/>
    <n v="1490313600"/>
    <s v="Not Specified"/>
    <s v="Not Specified"/>
    <s v="Not Specified"/>
    <n v="225"/>
    <x v="0"/>
    <x v="2"/>
  </r>
  <r>
    <x v="0"/>
    <x v="0"/>
    <x v="193"/>
    <x v="2"/>
    <x v="5"/>
    <x v="235"/>
    <x v="16"/>
    <x v="21"/>
    <x v="37"/>
    <x v="202"/>
    <x v="250"/>
    <s v="Good Shoes!"/>
    <n v="1490227200"/>
    <s v="Not Specified"/>
    <s v="Not Specified"/>
    <n v="3"/>
    <n v="401"/>
    <x v="0"/>
    <x v="2"/>
  </r>
  <r>
    <x v="0"/>
    <x v="0"/>
    <x v="194"/>
    <x v="2"/>
    <x v="5"/>
    <x v="236"/>
    <x v="16"/>
    <x v="17"/>
    <x v="30"/>
    <x v="203"/>
    <x v="251"/>
    <s v="Great shoes"/>
    <n v="1490054400"/>
    <s v="Not Specified"/>
    <s v="Not Specified"/>
    <s v="Not Specified"/>
    <n v="110"/>
    <x v="0"/>
    <x v="2"/>
  </r>
  <r>
    <x v="4"/>
    <x v="0"/>
    <x v="195"/>
    <x v="2"/>
    <x v="5"/>
    <x v="237"/>
    <x v="16"/>
    <x v="30"/>
    <x v="26"/>
    <x v="204"/>
    <x v="252"/>
    <s v="Good shoe"/>
    <n v="1489968000"/>
    <s v="Not Specified"/>
    <s v="Not Specified"/>
    <s v="Not Specified"/>
    <n v="23"/>
    <x v="0"/>
    <x v="2"/>
  </r>
  <r>
    <x v="0"/>
    <x v="0"/>
    <x v="196"/>
    <x v="2"/>
    <x v="5"/>
    <x v="238"/>
    <x v="16"/>
    <x v="15"/>
    <x v="17"/>
    <x v="205"/>
    <x v="253"/>
    <s v="Five Stars"/>
    <n v="1489795200"/>
    <s v="Not Specified"/>
    <s v="Not Specified"/>
    <s v="Not Specified"/>
    <n v="40"/>
    <x v="0"/>
    <x v="2"/>
  </r>
  <r>
    <x v="0"/>
    <x v="0"/>
    <x v="196"/>
    <x v="2"/>
    <x v="5"/>
    <x v="239"/>
    <x v="16"/>
    <x v="15"/>
    <x v="30"/>
    <x v="206"/>
    <x v="254"/>
    <s v="Love These Shoes!"/>
    <n v="1489795200"/>
    <s v="Not Specified"/>
    <s v="Not Specified"/>
    <n v="8"/>
    <n v="267"/>
    <x v="0"/>
    <x v="2"/>
  </r>
  <r>
    <x v="1"/>
    <x v="0"/>
    <x v="197"/>
    <x v="2"/>
    <x v="5"/>
    <x v="240"/>
    <x v="16"/>
    <x v="30"/>
    <x v="26"/>
    <x v="233"/>
    <x v="255"/>
    <s v="Not my favorites..."/>
    <n v="1489708800"/>
    <s v="Not Specified"/>
    <s v="Not Specified"/>
    <s v="Not Specified"/>
    <n v="143"/>
    <x v="1"/>
    <x v="2"/>
  </r>
  <r>
    <x v="4"/>
    <x v="0"/>
    <x v="198"/>
    <x v="2"/>
    <x v="5"/>
    <x v="241"/>
    <x v="16"/>
    <x v="15"/>
    <x v="34"/>
    <x v="208"/>
    <x v="256"/>
    <s v="Perfect for the gym"/>
    <n v="1489536000"/>
    <s v="Not Specified"/>
    <s v="Not Specified"/>
    <s v="Not Specified"/>
    <n v="118"/>
    <x v="0"/>
    <x v="2"/>
  </r>
  <r>
    <x v="1"/>
    <x v="0"/>
    <x v="198"/>
    <x v="2"/>
    <x v="5"/>
    <x v="242"/>
    <x v="16"/>
    <x v="22"/>
    <x v="29"/>
    <x v="209"/>
    <x v="257"/>
    <s v="Meh"/>
    <n v="1489536000"/>
    <s v="Not Specified"/>
    <s v="Not Specified"/>
    <n v="2"/>
    <n v="150"/>
    <x v="1"/>
    <x v="2"/>
  </r>
  <r>
    <x v="0"/>
    <x v="0"/>
    <x v="198"/>
    <x v="2"/>
    <x v="5"/>
    <x v="243"/>
    <x v="16"/>
    <x v="15"/>
    <x v="34"/>
    <x v="210"/>
    <x v="258"/>
    <s v="Five Stars"/>
    <n v="1489536000"/>
    <s v="Not Specified"/>
    <s v="Not Specified"/>
    <s v="Not Specified"/>
    <n v="40"/>
    <x v="0"/>
    <x v="2"/>
  </r>
  <r>
    <x v="0"/>
    <x v="0"/>
    <x v="199"/>
    <x v="2"/>
    <x v="5"/>
    <x v="244"/>
    <x v="16"/>
    <x v="16"/>
    <x v="40"/>
    <x v="211"/>
    <x v="259"/>
    <s v="Five Stars"/>
    <n v="1489449600"/>
    <s v="Not Specified"/>
    <s v="Not Specified"/>
    <s v="Not Specified"/>
    <n v="33"/>
    <x v="0"/>
    <x v="2"/>
  </r>
  <r>
    <x v="0"/>
    <x v="0"/>
    <x v="200"/>
    <x v="2"/>
    <x v="5"/>
    <x v="245"/>
    <x v="16"/>
    <x v="17"/>
    <x v="34"/>
    <x v="212"/>
    <x v="260"/>
    <s v="Hurry before they're gone!"/>
    <n v="1489363200"/>
    <s v="Not Specified"/>
    <s v="Not Specified"/>
    <s v="Not Specified"/>
    <n v="297"/>
    <x v="0"/>
    <x v="2"/>
  </r>
  <r>
    <x v="0"/>
    <x v="0"/>
    <x v="201"/>
    <x v="2"/>
    <x v="5"/>
    <x v="246"/>
    <x v="16"/>
    <x v="22"/>
    <x v="17"/>
    <x v="213"/>
    <x v="261"/>
    <s v="Amazing"/>
    <n v="1489276800"/>
    <s v="Not Specified"/>
    <s v="Not Specified"/>
    <s v="Not Specified"/>
    <n v="81"/>
    <x v="0"/>
    <x v="2"/>
  </r>
  <r>
    <x v="0"/>
    <x v="0"/>
    <x v="202"/>
    <x v="2"/>
    <x v="5"/>
    <x v="247"/>
    <x v="16"/>
    <x v="30"/>
    <x v="17"/>
    <x v="214"/>
    <x v="262"/>
    <s v="Five Stars"/>
    <n v="1488931200"/>
    <s v="Not Specified"/>
    <s v="Not Specified"/>
    <s v="Not Specified"/>
    <n v="13"/>
    <x v="0"/>
    <x v="2"/>
  </r>
  <r>
    <x v="4"/>
    <x v="0"/>
    <x v="202"/>
    <x v="2"/>
    <x v="5"/>
    <x v="248"/>
    <x v="16"/>
    <x v="16"/>
    <x v="40"/>
    <x v="5"/>
    <x v="263"/>
    <s v="Not quite wide enough"/>
    <n v="1488931200"/>
    <s v="Not Specified"/>
    <s v="Not Specified"/>
    <s v="Not Specified"/>
    <n v="182"/>
    <x v="0"/>
    <x v="2"/>
  </r>
  <r>
    <x v="4"/>
    <x v="0"/>
    <x v="202"/>
    <x v="2"/>
    <x v="5"/>
    <x v="248"/>
    <x v="16"/>
    <x v="16"/>
    <x v="26"/>
    <x v="5"/>
    <x v="263"/>
    <s v="Not quite wide enough"/>
    <n v="1488931200"/>
    <s v="Not Specified"/>
    <s v="Not Specified"/>
    <s v="Not Specified"/>
    <n v="182"/>
    <x v="0"/>
    <x v="2"/>
  </r>
  <r>
    <x v="0"/>
    <x v="0"/>
    <x v="203"/>
    <x v="2"/>
    <x v="5"/>
    <x v="249"/>
    <x v="16"/>
    <x v="21"/>
    <x v="17"/>
    <x v="215"/>
    <x v="264"/>
    <s v="Five Stars"/>
    <n v="1488758400"/>
    <s v="Not Specified"/>
    <s v="Not Specified"/>
    <s v="Not Specified"/>
    <n v="10"/>
    <x v="0"/>
    <x v="2"/>
  </r>
  <r>
    <x v="0"/>
    <x v="1"/>
    <x v="204"/>
    <x v="2"/>
    <x v="8"/>
    <x v="250"/>
    <x v="16"/>
    <x v="24"/>
    <x v="12"/>
    <x v="216"/>
    <x v="265"/>
    <s v="Simple look, outstanding comfort!"/>
    <n v="1488067200"/>
    <s v="Not Specified"/>
    <s v="Not Specified"/>
    <s v="Not Specified"/>
    <n v="206"/>
    <x v="0"/>
    <x v="2"/>
  </r>
  <r>
    <x v="4"/>
    <x v="0"/>
    <x v="205"/>
    <x v="2"/>
    <x v="8"/>
    <x v="251"/>
    <x v="16"/>
    <x v="14"/>
    <x v="17"/>
    <x v="217"/>
    <x v="266"/>
    <s v="My second favorite."/>
    <n v="1487894400"/>
    <s v="Not Specified"/>
    <s v="Not Specified"/>
    <s v="Not Specified"/>
    <n v="171"/>
    <x v="0"/>
    <x v="2"/>
  </r>
  <r>
    <x v="0"/>
    <x v="0"/>
    <x v="205"/>
    <x v="2"/>
    <x v="8"/>
    <x v="252"/>
    <x v="16"/>
    <x v="14"/>
    <x v="17"/>
    <x v="218"/>
    <x v="267"/>
    <s v="Five Stars"/>
    <n v="1487894400"/>
    <s v="Not Specified"/>
    <s v="Not Specified"/>
    <s v="Not Specified"/>
    <n v="12"/>
    <x v="0"/>
    <x v="2"/>
  </r>
  <r>
    <x v="4"/>
    <x v="0"/>
    <x v="21"/>
    <x v="2"/>
    <x v="8"/>
    <x v="253"/>
    <x v="16"/>
    <x v="15"/>
    <x v="39"/>
    <x v="219"/>
    <x v="268"/>
    <s v="Fit to actual size."/>
    <n v="1487635200"/>
    <s v="Not Specified"/>
    <s v="Not Specified"/>
    <s v="Not Specified"/>
    <n v="126"/>
    <x v="0"/>
    <x v="2"/>
  </r>
  <r>
    <x v="0"/>
    <x v="0"/>
    <x v="21"/>
    <x v="2"/>
    <x v="8"/>
    <x v="254"/>
    <x v="16"/>
    <x v="17"/>
    <x v="17"/>
    <x v="220"/>
    <x v="269"/>
    <s v="Five Stars"/>
    <n v="1487635200"/>
    <s v="Not Specified"/>
    <s v="Not Specified"/>
    <s v="Not Specified"/>
    <n v="56"/>
    <x v="0"/>
    <x v="2"/>
  </r>
  <r>
    <x v="1"/>
    <x v="0"/>
    <x v="206"/>
    <x v="2"/>
    <x v="8"/>
    <x v="255"/>
    <x v="16"/>
    <x v="14"/>
    <x v="34"/>
    <x v="5"/>
    <x v="270"/>
    <s v="Too small, flimsy upper"/>
    <n v="1487203200"/>
    <s v="Not Specified"/>
    <s v="Not Specified"/>
    <s v="Not Specified"/>
    <n v="198"/>
    <x v="1"/>
    <x v="2"/>
  </r>
  <r>
    <x v="0"/>
    <x v="0"/>
    <x v="207"/>
    <x v="2"/>
    <x v="8"/>
    <x v="256"/>
    <x v="16"/>
    <x v="22"/>
    <x v="40"/>
    <x v="221"/>
    <x v="271"/>
    <s v="Great for kickboxing"/>
    <n v="1487116800"/>
    <s v="Not Specified"/>
    <s v="Not Specified"/>
    <n v="5"/>
    <n v="388"/>
    <x v="0"/>
    <x v="2"/>
  </r>
  <r>
    <x v="0"/>
    <x v="0"/>
    <x v="208"/>
    <x v="2"/>
    <x v="8"/>
    <x v="257"/>
    <x v="16"/>
    <x v="16"/>
    <x v="17"/>
    <x v="222"/>
    <x v="272"/>
    <s v="These shoes are great for walking - so very comfortable"/>
    <n v="1486944000"/>
    <s v="Not Specified"/>
    <s v="Not Specified"/>
    <s v="Not Specified"/>
    <n v="87"/>
    <x v="0"/>
    <x v="2"/>
  </r>
  <r>
    <x v="0"/>
    <x v="0"/>
    <x v="209"/>
    <x v="2"/>
    <x v="8"/>
    <x v="258"/>
    <x v="16"/>
    <x v="15"/>
    <x v="17"/>
    <x v="223"/>
    <x v="273"/>
    <s v="Good choice for training shoe"/>
    <n v="1486857600"/>
    <s v="Not Specified"/>
    <s v="Not Specified"/>
    <s v="Not Specified"/>
    <n v="140"/>
    <x v="0"/>
    <x v="2"/>
  </r>
  <r>
    <x v="0"/>
    <x v="0"/>
    <x v="210"/>
    <x v="2"/>
    <x v="8"/>
    <x v="259"/>
    <x v="16"/>
    <x v="26"/>
    <x v="17"/>
    <x v="224"/>
    <x v="274"/>
    <s v="Five Stars"/>
    <n v="1486771200"/>
    <s v="Not Specified"/>
    <s v="Not Specified"/>
    <s v="Not Specified"/>
    <n v="28"/>
    <x v="0"/>
    <x v="2"/>
  </r>
  <r>
    <x v="4"/>
    <x v="0"/>
    <x v="22"/>
    <x v="2"/>
    <x v="8"/>
    <x v="260"/>
    <x v="16"/>
    <x v="15"/>
    <x v="40"/>
    <x v="225"/>
    <x v="275"/>
    <s v="They are slightly longer in look then I was would like but I think that is typical of cross trainers"/>
    <n v="1486512000"/>
    <s v="Not Specified"/>
    <s v="Not Specified"/>
    <n v="4"/>
    <n v="570"/>
    <x v="0"/>
    <x v="2"/>
  </r>
  <r>
    <x v="4"/>
    <x v="0"/>
    <x v="211"/>
    <x v="2"/>
    <x v="8"/>
    <x v="261"/>
    <x v="16"/>
    <x v="15"/>
    <x v="20"/>
    <x v="226"/>
    <x v="276"/>
    <s v="I love them but they are definitely bright orange/coral and not ..."/>
    <n v="1486339200"/>
    <s v="Not Specified"/>
    <s v="Not Specified"/>
    <s v="Not Specified"/>
    <n v="316"/>
    <x v="0"/>
    <x v="2"/>
  </r>
  <r>
    <x v="2"/>
    <x v="0"/>
    <x v="212"/>
    <x v="2"/>
    <x v="8"/>
    <x v="262"/>
    <x v="16"/>
    <x v="16"/>
    <x v="26"/>
    <x v="5"/>
    <x v="277"/>
    <s v="Color was not at all what i expected. It ..."/>
    <n v="1485993600"/>
    <s v="Not Specified"/>
    <s v="Not Specified"/>
    <s v="Not Specified"/>
    <n v="107"/>
    <x v="2"/>
    <x v="2"/>
  </r>
  <r>
    <x v="0"/>
    <x v="0"/>
    <x v="23"/>
    <x v="2"/>
    <x v="8"/>
    <x v="25"/>
    <x v="16"/>
    <x v="26"/>
    <x v="17"/>
    <x v="23"/>
    <x v="278"/>
    <s v="Super cute and on sale!!"/>
    <n v="1485907200"/>
    <s v="Not Specified"/>
    <s v="Not Specified"/>
    <s v="Not Specified"/>
    <n v="122"/>
    <x v="0"/>
    <x v="2"/>
  </r>
  <r>
    <x v="1"/>
    <x v="0"/>
    <x v="213"/>
    <x v="2"/>
    <x v="2"/>
    <x v="263"/>
    <x v="16"/>
    <x v="22"/>
    <x v="30"/>
    <x v="227"/>
    <x v="279"/>
    <s v="Three Stars"/>
    <n v="1485820800"/>
    <s v="Not Specified"/>
    <s v="Not Specified"/>
    <n v="3"/>
    <n v="7"/>
    <x v="1"/>
    <x v="2"/>
  </r>
  <r>
    <x v="0"/>
    <x v="0"/>
    <x v="214"/>
    <x v="2"/>
    <x v="2"/>
    <x v="264"/>
    <x v="16"/>
    <x v="14"/>
    <x v="34"/>
    <x v="5"/>
    <x v="280"/>
    <s v="then you should pretty much know your size"/>
    <n v="1485302400"/>
    <s v="Not Specified"/>
    <s v="Not Specified"/>
    <s v="Not Specified"/>
    <n v="521"/>
    <x v="0"/>
    <x v="2"/>
  </r>
  <r>
    <x v="0"/>
    <x v="0"/>
    <x v="215"/>
    <x v="2"/>
    <x v="2"/>
    <x v="265"/>
    <x v="16"/>
    <x v="16"/>
    <x v="40"/>
    <x v="228"/>
    <x v="281"/>
    <s v="Nice Support"/>
    <n v="1485043200"/>
    <s v="Not Specified"/>
    <s v="Not Specified"/>
    <s v="Not Specified"/>
    <n v="90"/>
    <x v="0"/>
    <x v="2"/>
  </r>
  <r>
    <x v="0"/>
    <x v="0"/>
    <x v="216"/>
    <x v="2"/>
    <x v="2"/>
    <x v="266"/>
    <x v="16"/>
    <x v="17"/>
    <x v="34"/>
    <x v="229"/>
    <x v="282"/>
    <s v="Good Sneaker"/>
    <n v="1484870400"/>
    <s v="Not Specified"/>
    <s v="Not Specified"/>
    <s v="Not Specified"/>
    <n v="40"/>
    <x v="0"/>
    <x v="2"/>
  </r>
  <r>
    <x v="0"/>
    <x v="0"/>
    <x v="217"/>
    <x v="2"/>
    <x v="2"/>
    <x v="267"/>
    <x v="16"/>
    <x v="21"/>
    <x v="44"/>
    <x v="230"/>
    <x v="283"/>
    <s v="Satisfied"/>
    <n v="1484697600"/>
    <s v="Not Specified"/>
    <s v="Not Specified"/>
    <s v="Not Specified"/>
    <n v="105"/>
    <x v="0"/>
    <x v="2"/>
  </r>
  <r>
    <x v="2"/>
    <x v="0"/>
    <x v="217"/>
    <x v="2"/>
    <x v="2"/>
    <x v="268"/>
    <x v="16"/>
    <x v="21"/>
    <x v="17"/>
    <x v="231"/>
    <x v="284"/>
    <s v="Too large"/>
    <n v="1484697600"/>
    <s v="Not Specified"/>
    <s v="Not Specified"/>
    <s v="Not Specified"/>
    <n v="118"/>
    <x v="2"/>
    <x v="2"/>
  </r>
  <r>
    <x v="0"/>
    <x v="0"/>
    <x v="217"/>
    <x v="2"/>
    <x v="2"/>
    <x v="269"/>
    <x v="16"/>
    <x v="14"/>
    <x v="18"/>
    <x v="232"/>
    <x v="285"/>
    <s v="colors look great together."/>
    <n v="1484697600"/>
    <s v="Not Specified"/>
    <s v="Not Specified"/>
    <s v="Not Specified"/>
    <n v="88"/>
    <x v="0"/>
    <x v="2"/>
  </r>
  <r>
    <x v="0"/>
    <x v="0"/>
    <x v="217"/>
    <x v="2"/>
    <x v="2"/>
    <x v="270"/>
    <x v="16"/>
    <x v="22"/>
    <x v="12"/>
    <x v="5"/>
    <x v="286"/>
    <s v="Five Stars"/>
    <n v="1484697600"/>
    <s v="Not Specified"/>
    <s v="Not Specified"/>
    <s v="Not Specified"/>
    <n v="11"/>
    <x v="0"/>
    <x v="2"/>
  </r>
  <r>
    <x v="4"/>
    <x v="0"/>
    <x v="217"/>
    <x v="2"/>
    <x v="2"/>
    <x v="271"/>
    <x v="16"/>
    <x v="15"/>
    <x v="17"/>
    <x v="233"/>
    <x v="287"/>
    <s v="but if I wear thick socks they are fine. Also"/>
    <n v="1484697600"/>
    <s v="Not Specified"/>
    <s v="Not Specified"/>
    <s v="Not Specified"/>
    <n v="316"/>
    <x v="0"/>
    <x v="2"/>
  </r>
  <r>
    <x v="3"/>
    <x v="0"/>
    <x v="218"/>
    <x v="2"/>
    <x v="2"/>
    <x v="272"/>
    <x v="16"/>
    <x v="22"/>
    <x v="29"/>
    <x v="234"/>
    <x v="288"/>
    <s v="Poor quality for Nike"/>
    <n v="1484438400"/>
    <s v="Not Specified"/>
    <s v="Not Specified"/>
    <n v="20"/>
    <n v="69"/>
    <x v="2"/>
    <x v="2"/>
  </r>
  <r>
    <x v="4"/>
    <x v="0"/>
    <x v="219"/>
    <x v="2"/>
    <x v="2"/>
    <x v="273"/>
    <x v="16"/>
    <x v="16"/>
    <x v="42"/>
    <x v="5"/>
    <x v="289"/>
    <s v="4/5"/>
    <n v="1484265600"/>
    <s v="Not Specified"/>
    <s v="Not Specified"/>
    <s v="Not Specified"/>
    <n v="187"/>
    <x v="0"/>
    <x v="2"/>
  </r>
  <r>
    <x v="0"/>
    <x v="0"/>
    <x v="220"/>
    <x v="2"/>
    <x v="2"/>
    <x v="274"/>
    <x v="16"/>
    <x v="21"/>
    <x v="33"/>
    <x v="235"/>
    <x v="290"/>
    <s v="LOVE!"/>
    <n v="1484179200"/>
    <s v="Not Specified"/>
    <s v="Not Specified"/>
    <s v="Not Specified"/>
    <n v="216"/>
    <x v="0"/>
    <x v="2"/>
  </r>
  <r>
    <x v="0"/>
    <x v="0"/>
    <x v="220"/>
    <x v="2"/>
    <x v="2"/>
    <x v="275"/>
    <x v="16"/>
    <x v="15"/>
    <x v="17"/>
    <x v="236"/>
    <x v="291"/>
    <s v="Five Stars"/>
    <n v="1484179200"/>
    <s v="Not Specified"/>
    <s v="Not Specified"/>
    <s v="Not Specified"/>
    <n v="20"/>
    <x v="0"/>
    <x v="2"/>
  </r>
  <r>
    <x v="0"/>
    <x v="0"/>
    <x v="221"/>
    <x v="2"/>
    <x v="2"/>
    <x v="276"/>
    <x v="16"/>
    <x v="22"/>
    <x v="37"/>
    <x v="5"/>
    <x v="240"/>
    <s v="Five Stars"/>
    <n v="1484006400"/>
    <s v="Not Specified"/>
    <s v="Not Specified"/>
    <s v="Not Specified"/>
    <n v="17"/>
    <x v="0"/>
    <x v="2"/>
  </r>
  <r>
    <x v="0"/>
    <x v="0"/>
    <x v="222"/>
    <x v="2"/>
    <x v="2"/>
    <x v="277"/>
    <x v="16"/>
    <x v="22"/>
    <x v="42"/>
    <x v="5"/>
    <x v="292"/>
    <s v="Correct size"/>
    <n v="1483747200"/>
    <s v="Not Specified"/>
    <s v="Not Specified"/>
    <s v="Not Specified"/>
    <n v="92"/>
    <x v="0"/>
    <x v="2"/>
  </r>
  <r>
    <x v="0"/>
    <x v="0"/>
    <x v="222"/>
    <x v="2"/>
    <x v="2"/>
    <x v="278"/>
    <x v="16"/>
    <x v="26"/>
    <x v="42"/>
    <x v="237"/>
    <x v="293"/>
    <s v="Perfect for the gym"/>
    <n v="1483747200"/>
    <s v="Not Specified"/>
    <s v="Not Specified"/>
    <s v="Not Specified"/>
    <n v="182"/>
    <x v="0"/>
    <x v="2"/>
  </r>
  <r>
    <x v="4"/>
    <x v="0"/>
    <x v="223"/>
    <x v="2"/>
    <x v="2"/>
    <x v="279"/>
    <x v="16"/>
    <x v="14"/>
    <x v="42"/>
    <x v="5"/>
    <x v="294"/>
    <s v="... opened the box to see the color is exactly like the image shows"/>
    <n v="1483660800"/>
    <s v="Not Specified"/>
    <s v="Not Specified"/>
    <s v="Not Specified"/>
    <n v="219"/>
    <x v="0"/>
    <x v="2"/>
  </r>
  <r>
    <x v="3"/>
    <x v="0"/>
    <x v="224"/>
    <x v="2"/>
    <x v="2"/>
    <x v="280"/>
    <x v="16"/>
    <x v="16"/>
    <x v="18"/>
    <x v="238"/>
    <x v="295"/>
    <s v="I ordered the Nike Women's Flex Supreme TR3 instead and love them!"/>
    <n v="1483488000"/>
    <s v="Not Specified"/>
    <s v="Not Specified"/>
    <s v="Not Specified"/>
    <n v="258"/>
    <x v="2"/>
    <x v="2"/>
  </r>
  <r>
    <x v="0"/>
    <x v="0"/>
    <x v="224"/>
    <x v="2"/>
    <x v="2"/>
    <x v="281"/>
    <x v="16"/>
    <x v="22"/>
    <x v="12"/>
    <x v="239"/>
    <x v="296"/>
    <s v="so light &amp; comfortable!"/>
    <n v="1483488000"/>
    <s v="Not Specified"/>
    <s v="Not Specified"/>
    <s v="Not Specified"/>
    <n v="69"/>
    <x v="0"/>
    <x v="2"/>
  </r>
  <r>
    <x v="0"/>
    <x v="0"/>
    <x v="225"/>
    <x v="2"/>
    <x v="2"/>
    <x v="282"/>
    <x v="16"/>
    <x v="14"/>
    <x v="42"/>
    <x v="240"/>
    <x v="297"/>
    <s v="Five Stars"/>
    <n v="1483228800"/>
    <s v="Not Specified"/>
    <s v="Not Specified"/>
    <s v="Not Specified"/>
    <n v="32"/>
    <x v="0"/>
    <x v="2"/>
  </r>
  <r>
    <x v="0"/>
    <x v="0"/>
    <x v="225"/>
    <x v="2"/>
    <x v="2"/>
    <x v="283"/>
    <x v="16"/>
    <x v="16"/>
    <x v="17"/>
    <x v="241"/>
    <x v="298"/>
    <s v="Five Stars"/>
    <n v="1483228800"/>
    <s v="Not Specified"/>
    <s v="Not Specified"/>
    <s v="Not Specified"/>
    <n v="36"/>
    <x v="0"/>
    <x v="2"/>
  </r>
  <r>
    <x v="0"/>
    <x v="0"/>
    <x v="226"/>
    <x v="3"/>
    <x v="11"/>
    <x v="284"/>
    <x v="16"/>
    <x v="15"/>
    <x v="17"/>
    <x v="242"/>
    <x v="299"/>
    <s v="these were a perfect fit. They are light and very comfortable"/>
    <n v="1483142400"/>
    <s v="Not Specified"/>
    <s v="Not Specified"/>
    <s v="Not Specified"/>
    <n v="169"/>
    <x v="0"/>
    <x v="2"/>
  </r>
  <r>
    <x v="0"/>
    <x v="0"/>
    <x v="227"/>
    <x v="3"/>
    <x v="11"/>
    <x v="285"/>
    <x v="16"/>
    <x v="15"/>
    <x v="17"/>
    <x v="243"/>
    <x v="300"/>
    <s v="Five Stars"/>
    <n v="1482969600"/>
    <s v="Not Specified"/>
    <s v="Not Specified"/>
    <s v="Not Specified"/>
    <n v="37"/>
    <x v="0"/>
    <x v="2"/>
  </r>
  <r>
    <x v="0"/>
    <x v="0"/>
    <x v="227"/>
    <x v="3"/>
    <x v="11"/>
    <x v="286"/>
    <x v="16"/>
    <x v="17"/>
    <x v="42"/>
    <x v="5"/>
    <x v="301"/>
    <s v="Five Stars"/>
    <n v="1482969600"/>
    <s v="Not Specified"/>
    <s v="Not Specified"/>
    <s v="Not Specified"/>
    <n v="45"/>
    <x v="0"/>
    <x v="2"/>
  </r>
  <r>
    <x v="0"/>
    <x v="0"/>
    <x v="228"/>
    <x v="3"/>
    <x v="11"/>
    <x v="287"/>
    <x v="16"/>
    <x v="15"/>
    <x v="17"/>
    <x v="5"/>
    <x v="120"/>
    <s v="Just what I wanted!"/>
    <n v="1482883200"/>
    <s v="Not Specified"/>
    <s v="Not Specified"/>
    <s v="Not Specified"/>
    <n v="8"/>
    <x v="0"/>
    <x v="2"/>
  </r>
  <r>
    <x v="0"/>
    <x v="0"/>
    <x v="228"/>
    <x v="3"/>
    <x v="11"/>
    <x v="288"/>
    <x v="16"/>
    <x v="21"/>
    <x v="18"/>
    <x v="244"/>
    <x v="302"/>
    <s v="Bought these for my daughter and she loves them. ..."/>
    <n v="1482883200"/>
    <s v="Not Specified"/>
    <s v="Not Specified"/>
    <s v="Not Specified"/>
    <n v="134"/>
    <x v="0"/>
    <x v="2"/>
  </r>
  <r>
    <x v="0"/>
    <x v="0"/>
    <x v="229"/>
    <x v="3"/>
    <x v="11"/>
    <x v="289"/>
    <x v="16"/>
    <x v="16"/>
    <x v="17"/>
    <x v="245"/>
    <x v="303"/>
    <s v="Five Stars"/>
    <n v="1482796800"/>
    <s v="Not Specified"/>
    <s v="Not Specified"/>
    <s v="Not Specified"/>
    <n v="32"/>
    <x v="0"/>
    <x v="2"/>
  </r>
  <r>
    <x v="2"/>
    <x v="0"/>
    <x v="230"/>
    <x v="3"/>
    <x v="11"/>
    <x v="290"/>
    <x v="16"/>
    <x v="30"/>
    <x v="28"/>
    <x v="246"/>
    <x v="304"/>
    <s v="Tried one in the store and bought it online but ..."/>
    <n v="1482624000"/>
    <s v="Not Specified"/>
    <s v="Not Specified"/>
    <n v="2"/>
    <n v="108"/>
    <x v="2"/>
    <x v="2"/>
  </r>
  <r>
    <x v="0"/>
    <x v="0"/>
    <x v="231"/>
    <x v="3"/>
    <x v="11"/>
    <x v="291"/>
    <x v="16"/>
    <x v="30"/>
    <x v="37"/>
    <x v="247"/>
    <x v="305"/>
    <s v="I had the older generation of this shoe that survived ..."/>
    <n v="1482451200"/>
    <s v="Not Specified"/>
    <s v="Not Specified"/>
    <s v="Not Specified"/>
    <n v="198"/>
    <x v="0"/>
    <x v="2"/>
  </r>
  <r>
    <x v="0"/>
    <x v="0"/>
    <x v="232"/>
    <x v="3"/>
    <x v="11"/>
    <x v="292"/>
    <x v="16"/>
    <x v="38"/>
    <x v="29"/>
    <x v="5"/>
    <x v="306"/>
    <s v="Five Stars"/>
    <n v="1482364800"/>
    <s v="Not Specified"/>
    <s v="Not Specified"/>
    <s v="Not Specified"/>
    <n v="105"/>
    <x v="0"/>
    <x v="2"/>
  </r>
  <r>
    <x v="2"/>
    <x v="0"/>
    <x v="233"/>
    <x v="3"/>
    <x v="11"/>
    <x v="293"/>
    <x v="16"/>
    <x v="15"/>
    <x v="34"/>
    <x v="248"/>
    <x v="307"/>
    <s v="Not true to size"/>
    <n v="1481846400"/>
    <s v="Not Specified"/>
    <s v="Not Specified"/>
    <s v="Not Specified"/>
    <n v="63"/>
    <x v="2"/>
    <x v="2"/>
  </r>
  <r>
    <x v="3"/>
    <x v="0"/>
    <x v="234"/>
    <x v="3"/>
    <x v="11"/>
    <x v="294"/>
    <x v="16"/>
    <x v="14"/>
    <x v="42"/>
    <x v="5"/>
    <x v="308"/>
    <s v="One Star"/>
    <n v="1481760000"/>
    <s v="Not Specified"/>
    <s v="Not Specified"/>
    <s v="Not Specified"/>
    <n v="11"/>
    <x v="2"/>
    <x v="2"/>
  </r>
  <r>
    <x v="0"/>
    <x v="0"/>
    <x v="235"/>
    <x v="3"/>
    <x v="11"/>
    <x v="295"/>
    <x v="16"/>
    <x v="42"/>
    <x v="25"/>
    <x v="249"/>
    <x v="309"/>
    <s v="Nice"/>
    <n v="1481500800"/>
    <s v="Not Specified"/>
    <s v="Not Specified"/>
    <s v="Not Specified"/>
    <n v="15"/>
    <x v="0"/>
    <x v="2"/>
  </r>
  <r>
    <x v="0"/>
    <x v="0"/>
    <x v="235"/>
    <x v="3"/>
    <x v="11"/>
    <x v="296"/>
    <x v="16"/>
    <x v="22"/>
    <x v="17"/>
    <x v="250"/>
    <x v="310"/>
    <s v="Great"/>
    <n v="1481500800"/>
    <s v="Not Specified"/>
    <s v="Not Specified"/>
    <n v="3"/>
    <n v="362"/>
    <x v="0"/>
    <x v="2"/>
  </r>
  <r>
    <x v="4"/>
    <x v="0"/>
    <x v="236"/>
    <x v="3"/>
    <x v="11"/>
    <x v="297"/>
    <x v="16"/>
    <x v="14"/>
    <x v="42"/>
    <x v="251"/>
    <x v="311"/>
    <s v="Four Stars"/>
    <n v="1481155200"/>
    <s v="Not Specified"/>
    <s v="Not Specified"/>
    <s v="Not Specified"/>
    <n v="36"/>
    <x v="0"/>
    <x v="2"/>
  </r>
  <r>
    <x v="4"/>
    <x v="0"/>
    <x v="237"/>
    <x v="3"/>
    <x v="11"/>
    <x v="298"/>
    <x v="16"/>
    <x v="26"/>
    <x v="40"/>
    <x v="252"/>
    <x v="312"/>
    <s v="Four Stars"/>
    <n v="1480809600"/>
    <s v="Not Specified"/>
    <s v="Not Specified"/>
    <s v="Not Specified"/>
    <n v="36"/>
    <x v="0"/>
    <x v="2"/>
  </r>
  <r>
    <x v="4"/>
    <x v="0"/>
    <x v="238"/>
    <x v="3"/>
    <x v="11"/>
    <x v="299"/>
    <x v="16"/>
    <x v="34"/>
    <x v="25"/>
    <x v="5"/>
    <x v="313"/>
    <s v="Four Stars"/>
    <n v="1480636800"/>
    <s v="Not Specified"/>
    <s v="Not Specified"/>
    <n v="2"/>
    <n v="29"/>
    <x v="0"/>
    <x v="2"/>
  </r>
  <r>
    <x v="0"/>
    <x v="0"/>
    <x v="238"/>
    <x v="3"/>
    <x v="11"/>
    <x v="300"/>
    <x v="16"/>
    <x v="17"/>
    <x v="17"/>
    <x v="253"/>
    <x v="314"/>
    <s v="Five Stars"/>
    <n v="1480636800"/>
    <s v="Not Specified"/>
    <s v="Not Specified"/>
    <s v="Not Specified"/>
    <n v="43"/>
    <x v="0"/>
    <x v="2"/>
  </r>
  <r>
    <x v="0"/>
    <x v="0"/>
    <x v="239"/>
    <x v="3"/>
    <x v="11"/>
    <x v="301"/>
    <x v="16"/>
    <x v="21"/>
    <x v="44"/>
    <x v="83"/>
    <x v="315"/>
    <s v="Five Stars"/>
    <n v="1480550400"/>
    <s v="Not Specified"/>
    <s v="Not Specified"/>
    <s v="Not Specified"/>
    <n v="93"/>
    <x v="0"/>
    <x v="2"/>
  </r>
  <r>
    <x v="0"/>
    <x v="0"/>
    <x v="240"/>
    <x v="3"/>
    <x v="7"/>
    <x v="302"/>
    <x v="16"/>
    <x v="21"/>
    <x v="17"/>
    <x v="233"/>
    <x v="316"/>
    <s v="Five Stars"/>
    <n v="1480291200"/>
    <s v="Not Specified"/>
    <s v="Not Specified"/>
    <s v="Not Specified"/>
    <n v="90"/>
    <x v="0"/>
    <x v="2"/>
  </r>
  <r>
    <x v="0"/>
    <x v="0"/>
    <x v="241"/>
    <x v="3"/>
    <x v="7"/>
    <x v="303"/>
    <x v="16"/>
    <x v="30"/>
    <x v="41"/>
    <x v="254"/>
    <x v="317"/>
    <s v="Love them"/>
    <n v="1480204800"/>
    <s v="Not Specified"/>
    <s v="Not Specified"/>
    <s v="Not Specified"/>
    <n v="338"/>
    <x v="0"/>
    <x v="2"/>
  </r>
  <r>
    <x v="0"/>
    <x v="0"/>
    <x v="242"/>
    <x v="3"/>
    <x v="7"/>
    <x v="304"/>
    <x v="16"/>
    <x v="15"/>
    <x v="17"/>
    <x v="255"/>
    <x v="318"/>
    <s v="Super light weight versatile"/>
    <n v="1479859200"/>
    <s v="Not Specified"/>
    <s v="Not Specified"/>
    <s v="Not Specified"/>
    <n v="76"/>
    <x v="0"/>
    <x v="2"/>
  </r>
  <r>
    <x v="4"/>
    <x v="1"/>
    <x v="243"/>
    <x v="3"/>
    <x v="7"/>
    <x v="305"/>
    <x v="16"/>
    <x v="26"/>
    <x v="37"/>
    <x v="256"/>
    <x v="319"/>
    <s v="very comfortable but limited use"/>
    <n v="1479686400"/>
    <s v="Not Specified"/>
    <s v="Not Specified"/>
    <s v="Not Specified"/>
    <n v="767"/>
    <x v="0"/>
    <x v="2"/>
  </r>
  <r>
    <x v="4"/>
    <x v="0"/>
    <x v="244"/>
    <x v="3"/>
    <x v="7"/>
    <x v="306"/>
    <x v="16"/>
    <x v="21"/>
    <x v="44"/>
    <x v="257"/>
    <x v="320"/>
    <s v="Four Stars"/>
    <n v="1479254400"/>
    <s v="Not Specified"/>
    <s v="Not Specified"/>
    <s v="Not Specified"/>
    <n v="49"/>
    <x v="0"/>
    <x v="2"/>
  </r>
  <r>
    <x v="0"/>
    <x v="0"/>
    <x v="244"/>
    <x v="3"/>
    <x v="7"/>
    <x v="307"/>
    <x v="16"/>
    <x v="21"/>
    <x v="17"/>
    <x v="5"/>
    <x v="321"/>
    <s v="Five Stars"/>
    <n v="1479254400"/>
    <s v="Not Specified"/>
    <s v="Not Specified"/>
    <s v="Not Specified"/>
    <n v="9"/>
    <x v="0"/>
    <x v="2"/>
  </r>
  <r>
    <x v="1"/>
    <x v="0"/>
    <x v="245"/>
    <x v="3"/>
    <x v="7"/>
    <x v="308"/>
    <x v="16"/>
    <x v="15"/>
    <x v="34"/>
    <x v="258"/>
    <x v="322"/>
    <s v="Not for aerobic exercise"/>
    <n v="1479081600"/>
    <s v="Not Specified"/>
    <s v="Not Specified"/>
    <s v="Not Specified"/>
    <n v="92"/>
    <x v="1"/>
    <x v="2"/>
  </r>
  <r>
    <x v="0"/>
    <x v="0"/>
    <x v="246"/>
    <x v="3"/>
    <x v="7"/>
    <x v="309"/>
    <x v="16"/>
    <x v="22"/>
    <x v="24"/>
    <x v="259"/>
    <x v="323"/>
    <s v="Favorite Nikes ever"/>
    <n v="1478822400"/>
    <s v="Not Specified"/>
    <s v="Not Specified"/>
    <s v="Not Specified"/>
    <n v="133"/>
    <x v="0"/>
    <x v="2"/>
  </r>
  <r>
    <x v="4"/>
    <x v="0"/>
    <x v="246"/>
    <x v="3"/>
    <x v="7"/>
    <x v="310"/>
    <x v="16"/>
    <x v="16"/>
    <x v="28"/>
    <x v="260"/>
    <x v="324"/>
    <s v="Four Stars"/>
    <n v="1478822400"/>
    <s v="Not Specified"/>
    <s v="Not Specified"/>
    <s v="Not Specified"/>
    <n v="25"/>
    <x v="0"/>
    <x v="2"/>
  </r>
  <r>
    <x v="0"/>
    <x v="0"/>
    <x v="247"/>
    <x v="3"/>
    <x v="7"/>
    <x v="311"/>
    <x v="16"/>
    <x v="14"/>
    <x v="17"/>
    <x v="5"/>
    <x v="325"/>
    <s v="... of shoes for cross training and these were the best!"/>
    <n v="1478649600"/>
    <s v="Not Specified"/>
    <s v="Not Specified"/>
    <s v="Not Specified"/>
    <n v="64"/>
    <x v="0"/>
    <x v="2"/>
  </r>
  <r>
    <x v="4"/>
    <x v="0"/>
    <x v="248"/>
    <x v="3"/>
    <x v="7"/>
    <x v="312"/>
    <x v="16"/>
    <x v="26"/>
    <x v="40"/>
    <x v="261"/>
    <x v="326"/>
    <s v="Overall, a grwat shoe."/>
    <n v="1478563200"/>
    <s v="Not Specified"/>
    <s v="Not Specified"/>
    <s v="Not Specified"/>
    <n v="83"/>
    <x v="0"/>
    <x v="2"/>
  </r>
  <r>
    <x v="0"/>
    <x v="0"/>
    <x v="249"/>
    <x v="3"/>
    <x v="7"/>
    <x v="313"/>
    <x v="16"/>
    <x v="30"/>
    <x v="17"/>
    <x v="262"/>
    <x v="327"/>
    <s v="These are as far as comfort goes the most comfortable pair of sneakers I have I suffer from sciatica ..."/>
    <n v="1478476800"/>
    <s v="Not Specified"/>
    <s v="Not Specified"/>
    <n v="3"/>
    <n v="235"/>
    <x v="0"/>
    <x v="2"/>
  </r>
  <r>
    <x v="1"/>
    <x v="0"/>
    <x v="250"/>
    <x v="3"/>
    <x v="7"/>
    <x v="314"/>
    <x v="16"/>
    <x v="21"/>
    <x v="40"/>
    <x v="263"/>
    <x v="328"/>
    <s v="They feel good but I will not recommended if you need Wide ..."/>
    <n v="1478390400"/>
    <s v="Not Specified"/>
    <s v="Not Specified"/>
    <s v="Not Specified"/>
    <n v="115"/>
    <x v="1"/>
    <x v="2"/>
  </r>
  <r>
    <x v="1"/>
    <x v="0"/>
    <x v="251"/>
    <x v="3"/>
    <x v="3"/>
    <x v="315"/>
    <x v="16"/>
    <x v="30"/>
    <x v="28"/>
    <x v="264"/>
    <x v="329"/>
    <s v="Get a half-size or more larger than usual."/>
    <n v="1477785600"/>
    <s v="Not Specified"/>
    <s v="Not Specified"/>
    <s v="Not Specified"/>
    <n v="228"/>
    <x v="1"/>
    <x v="2"/>
  </r>
  <r>
    <x v="0"/>
    <x v="0"/>
    <x v="252"/>
    <x v="3"/>
    <x v="3"/>
    <x v="316"/>
    <x v="16"/>
    <x v="17"/>
    <x v="23"/>
    <x v="265"/>
    <x v="330"/>
    <s v="Love them! Very comfortable and great for weight training"/>
    <n v="1477699200"/>
    <s v="Not Specified"/>
    <s v="Not Specified"/>
    <s v="Not Specified"/>
    <n v="59"/>
    <x v="0"/>
    <x v="2"/>
  </r>
  <r>
    <x v="1"/>
    <x v="0"/>
    <x v="253"/>
    <x v="3"/>
    <x v="3"/>
    <x v="317"/>
    <x v="16"/>
    <x v="21"/>
    <x v="17"/>
    <x v="266"/>
    <x v="331"/>
    <s v="Not as expected"/>
    <n v="1477440000"/>
    <s v="Not Specified"/>
    <s v="Not Specified"/>
    <s v="Not Specified"/>
    <n v="333"/>
    <x v="1"/>
    <x v="2"/>
  </r>
  <r>
    <x v="0"/>
    <x v="0"/>
    <x v="254"/>
    <x v="3"/>
    <x v="3"/>
    <x v="318"/>
    <x v="16"/>
    <x v="24"/>
    <x v="12"/>
    <x v="267"/>
    <x v="332"/>
    <s v="Five Stars"/>
    <n v="1477353600"/>
    <s v="Not Specified"/>
    <s v="Not Specified"/>
    <s v="Not Specified"/>
    <n v="33"/>
    <x v="0"/>
    <x v="2"/>
  </r>
  <r>
    <x v="0"/>
    <x v="1"/>
    <x v="255"/>
    <x v="3"/>
    <x v="3"/>
    <x v="319"/>
    <x v="16"/>
    <x v="14"/>
    <x v="30"/>
    <x v="5"/>
    <x v="333"/>
    <s v="Really Comfortable Shoes"/>
    <n v="1477267200"/>
    <s v="Not Specified"/>
    <s v="Not Specified"/>
    <s v="Not Specified"/>
    <n v="86"/>
    <x v="0"/>
    <x v="2"/>
  </r>
  <r>
    <x v="0"/>
    <x v="0"/>
    <x v="255"/>
    <x v="3"/>
    <x v="3"/>
    <x v="320"/>
    <x v="16"/>
    <x v="14"/>
    <x v="32"/>
    <x v="268"/>
    <x v="334"/>
    <s v="Five Stars"/>
    <n v="1477267200"/>
    <s v="Not Specified"/>
    <s v="Not Specified"/>
    <s v="Not Specified"/>
    <n v="24"/>
    <x v="0"/>
    <x v="2"/>
  </r>
  <r>
    <x v="0"/>
    <x v="0"/>
    <x v="256"/>
    <x v="3"/>
    <x v="3"/>
    <x v="321"/>
    <x v="16"/>
    <x v="26"/>
    <x v="17"/>
    <x v="5"/>
    <x v="335"/>
    <s v="Worth it."/>
    <n v="1476835200"/>
    <s v="Not Specified"/>
    <s v="Not Specified"/>
    <s v="Not Specified"/>
    <n v="35"/>
    <x v="0"/>
    <x v="2"/>
  </r>
  <r>
    <x v="0"/>
    <x v="0"/>
    <x v="4"/>
    <x v="3"/>
    <x v="3"/>
    <x v="322"/>
    <x v="16"/>
    <x v="16"/>
    <x v="28"/>
    <x v="269"/>
    <x v="336"/>
    <s v="Great sneakers!"/>
    <n v="1476662400"/>
    <s v="Not Specified"/>
    <s v="Not Specified"/>
    <n v="5"/>
    <n v="106"/>
    <x v="0"/>
    <x v="2"/>
  </r>
  <r>
    <x v="0"/>
    <x v="0"/>
    <x v="257"/>
    <x v="3"/>
    <x v="3"/>
    <x v="323"/>
    <x v="16"/>
    <x v="16"/>
    <x v="17"/>
    <x v="270"/>
    <x v="337"/>
    <s v="Lightweight yet supportive"/>
    <n v="1476489600"/>
    <s v="Not Specified"/>
    <s v="Not Specified"/>
    <s v="Not Specified"/>
    <n v="57"/>
    <x v="0"/>
    <x v="2"/>
  </r>
  <r>
    <x v="4"/>
    <x v="0"/>
    <x v="258"/>
    <x v="3"/>
    <x v="3"/>
    <x v="324"/>
    <x v="16"/>
    <x v="15"/>
    <x v="40"/>
    <x v="271"/>
    <x v="338"/>
    <s v="but like them so far"/>
    <n v="1476144000"/>
    <s v="Not Specified"/>
    <s v="Not Specified"/>
    <s v="Not Specified"/>
    <n v="181"/>
    <x v="0"/>
    <x v="2"/>
  </r>
  <r>
    <x v="1"/>
    <x v="0"/>
    <x v="259"/>
    <x v="3"/>
    <x v="3"/>
    <x v="325"/>
    <x v="16"/>
    <x v="30"/>
    <x v="20"/>
    <x v="272"/>
    <x v="339"/>
    <s v="Great red color"/>
    <n v="1475971200"/>
    <s v="Not Specified"/>
    <s v="Not Specified"/>
    <s v="Not Specified"/>
    <n v="68"/>
    <x v="1"/>
    <x v="2"/>
  </r>
  <r>
    <x v="4"/>
    <x v="0"/>
    <x v="260"/>
    <x v="3"/>
    <x v="3"/>
    <x v="326"/>
    <x v="16"/>
    <x v="14"/>
    <x v="17"/>
    <x v="273"/>
    <x v="340"/>
    <s v="they'll work great!: )"/>
    <n v="1475625600"/>
    <s v="Not Specified"/>
    <s v="Not Specified"/>
    <s v="Not Specified"/>
    <n v="100"/>
    <x v="0"/>
    <x v="2"/>
  </r>
  <r>
    <x v="1"/>
    <x v="0"/>
    <x v="261"/>
    <x v="3"/>
    <x v="3"/>
    <x v="327"/>
    <x v="16"/>
    <x v="16"/>
    <x v="20"/>
    <x v="274"/>
    <x v="341"/>
    <s v="Shoes looked great but too narrow for most feet"/>
    <n v="1475280000"/>
    <s v="Not Specified"/>
    <s v="Not Specified"/>
    <s v="Not Specified"/>
    <n v="59"/>
    <x v="1"/>
    <x v="2"/>
  </r>
  <r>
    <x v="0"/>
    <x v="0"/>
    <x v="262"/>
    <x v="3"/>
    <x v="0"/>
    <x v="328"/>
    <x v="16"/>
    <x v="30"/>
    <x v="18"/>
    <x v="275"/>
    <x v="342"/>
    <s v="I love these shoes"/>
    <n v="1474848000"/>
    <s v="Not Specified"/>
    <s v="Not Specified"/>
    <s v="Not Specified"/>
    <n v="107"/>
    <x v="0"/>
    <x v="2"/>
  </r>
  <r>
    <x v="0"/>
    <x v="0"/>
    <x v="263"/>
    <x v="3"/>
    <x v="0"/>
    <x v="329"/>
    <x v="16"/>
    <x v="14"/>
    <x v="34"/>
    <x v="276"/>
    <x v="343"/>
    <s v="Five Stars"/>
    <n v="1474588800"/>
    <s v="Not Specified"/>
    <s v="Not Specified"/>
    <s v="Not Specified"/>
    <n v="12"/>
    <x v="0"/>
    <x v="2"/>
  </r>
  <r>
    <x v="0"/>
    <x v="0"/>
    <x v="264"/>
    <x v="3"/>
    <x v="0"/>
    <x v="330"/>
    <x v="16"/>
    <x v="42"/>
    <x v="25"/>
    <x v="5"/>
    <x v="344"/>
    <s v="Very comfortable shoes. I have wide feet with falling arches"/>
    <n v="1474156800"/>
    <s v="Not Specified"/>
    <s v="Not Specified"/>
    <n v="3"/>
    <n v="140"/>
    <x v="0"/>
    <x v="2"/>
  </r>
  <r>
    <x v="3"/>
    <x v="0"/>
    <x v="265"/>
    <x v="3"/>
    <x v="0"/>
    <x v="331"/>
    <x v="16"/>
    <x v="21"/>
    <x v="23"/>
    <x v="277"/>
    <x v="345"/>
    <s v="Did not fit my feet"/>
    <n v="1473638400"/>
    <s v="Not Specified"/>
    <s v="Not Specified"/>
    <s v="Not Specified"/>
    <n v="148"/>
    <x v="2"/>
    <x v="2"/>
  </r>
  <r>
    <x v="3"/>
    <x v="0"/>
    <x v="266"/>
    <x v="3"/>
    <x v="0"/>
    <x v="332"/>
    <x v="16"/>
    <x v="22"/>
    <x v="17"/>
    <x v="278"/>
    <x v="346"/>
    <s v="Poor Quality. Don't buy."/>
    <n v="1473552000"/>
    <s v="Not Specified"/>
    <s v="Not Specified"/>
    <n v="14"/>
    <n v="258"/>
    <x v="2"/>
    <x v="2"/>
  </r>
  <r>
    <x v="0"/>
    <x v="0"/>
    <x v="267"/>
    <x v="3"/>
    <x v="0"/>
    <x v="333"/>
    <x v="16"/>
    <x v="21"/>
    <x v="17"/>
    <x v="279"/>
    <x v="347"/>
    <s v="Five Stars"/>
    <n v="1473379200"/>
    <s v="Not Specified"/>
    <s v="Not Specified"/>
    <s v="Not Specified"/>
    <n v="49"/>
    <x v="0"/>
    <x v="2"/>
  </r>
  <r>
    <x v="4"/>
    <x v="0"/>
    <x v="268"/>
    <x v="3"/>
    <x v="0"/>
    <x v="334"/>
    <x v="16"/>
    <x v="17"/>
    <x v="17"/>
    <x v="280"/>
    <x v="348"/>
    <s v="Does the job!"/>
    <n v="1473120000"/>
    <s v="Not Specified"/>
    <s v="Not Specified"/>
    <n v="2"/>
    <n v="248"/>
    <x v="0"/>
    <x v="2"/>
  </r>
  <r>
    <x v="4"/>
    <x v="0"/>
    <x v="269"/>
    <x v="3"/>
    <x v="0"/>
    <x v="335"/>
    <x v="16"/>
    <x v="22"/>
    <x v="32"/>
    <x v="5"/>
    <x v="349"/>
    <s v="I liked these shoes a lot"/>
    <n v="1472774400"/>
    <s v="Not Specified"/>
    <s v="Not Specified"/>
    <s v="Not Specified"/>
    <n v="177"/>
    <x v="0"/>
    <x v="2"/>
  </r>
  <r>
    <x v="0"/>
    <x v="0"/>
    <x v="270"/>
    <x v="3"/>
    <x v="4"/>
    <x v="336"/>
    <x v="16"/>
    <x v="16"/>
    <x v="17"/>
    <x v="5"/>
    <x v="350"/>
    <s v="Five Stars"/>
    <n v="1472428800"/>
    <s v="Not Specified"/>
    <s v="Not Specified"/>
    <s v="Not Specified"/>
    <n v="13"/>
    <x v="0"/>
    <x v="2"/>
  </r>
  <r>
    <x v="0"/>
    <x v="0"/>
    <x v="271"/>
    <x v="3"/>
    <x v="4"/>
    <x v="337"/>
    <x v="16"/>
    <x v="21"/>
    <x v="30"/>
    <x v="5"/>
    <x v="351"/>
    <s v="Five Stars"/>
    <n v="1472256000"/>
    <s v="Not Specified"/>
    <s v="Not Specified"/>
    <s v="Not Specified"/>
    <n v="62"/>
    <x v="0"/>
    <x v="2"/>
  </r>
  <r>
    <x v="0"/>
    <x v="0"/>
    <x v="271"/>
    <x v="3"/>
    <x v="4"/>
    <x v="338"/>
    <x v="16"/>
    <x v="30"/>
    <x v="17"/>
    <x v="5"/>
    <x v="352"/>
    <s v="... crossfit and find that these shoes help give me good support with my endurance workouts"/>
    <n v="1472256000"/>
    <s v="Not Specified"/>
    <s v="Not Specified"/>
    <n v="5"/>
    <n v="112"/>
    <x v="0"/>
    <x v="2"/>
  </r>
  <r>
    <x v="1"/>
    <x v="0"/>
    <x v="272"/>
    <x v="3"/>
    <x v="4"/>
    <x v="339"/>
    <x v="16"/>
    <x v="21"/>
    <x v="17"/>
    <x v="5"/>
    <x v="353"/>
    <s v="Unnacceptable. Zero support"/>
    <n v="1472169600"/>
    <s v="Not Specified"/>
    <s v="Not Specified"/>
    <n v="2"/>
    <n v="256"/>
    <x v="1"/>
    <x v="2"/>
  </r>
  <r>
    <x v="0"/>
    <x v="0"/>
    <x v="273"/>
    <x v="3"/>
    <x v="4"/>
    <x v="340"/>
    <x v="16"/>
    <x v="21"/>
    <x v="32"/>
    <x v="281"/>
    <x v="354"/>
    <s v="Great for walking!"/>
    <n v="1471910400"/>
    <s v="Not Specified"/>
    <s v="Not Specified"/>
    <s v="Not Specified"/>
    <n v="93"/>
    <x v="0"/>
    <x v="2"/>
  </r>
  <r>
    <x v="0"/>
    <x v="0"/>
    <x v="274"/>
    <x v="3"/>
    <x v="4"/>
    <x v="341"/>
    <x v="16"/>
    <x v="16"/>
    <x v="17"/>
    <x v="282"/>
    <x v="355"/>
    <s v="Simply Supreme."/>
    <n v="1471651200"/>
    <s v="Not Specified"/>
    <s v="Not Specified"/>
    <s v="Not Specified"/>
    <n v="1225"/>
    <x v="0"/>
    <x v="2"/>
  </r>
  <r>
    <x v="0"/>
    <x v="0"/>
    <x v="275"/>
    <x v="3"/>
    <x v="4"/>
    <x v="342"/>
    <x v="16"/>
    <x v="26"/>
    <x v="17"/>
    <x v="283"/>
    <x v="356"/>
    <s v="Soooo comfortable....."/>
    <n v="1471219200"/>
    <s v="Not Specified"/>
    <s v="Not Specified"/>
    <s v="Not Specified"/>
    <n v="246"/>
    <x v="0"/>
    <x v="2"/>
  </r>
  <r>
    <x v="0"/>
    <x v="0"/>
    <x v="275"/>
    <x v="3"/>
    <x v="4"/>
    <x v="343"/>
    <x v="16"/>
    <x v="24"/>
    <x v="12"/>
    <x v="284"/>
    <x v="357"/>
    <s v="Five Stars"/>
    <n v="1471219200"/>
    <s v="Not Specified"/>
    <s v="Not Specified"/>
    <s v="Not Specified"/>
    <n v="40"/>
    <x v="0"/>
    <x v="2"/>
  </r>
  <r>
    <x v="0"/>
    <x v="0"/>
    <x v="276"/>
    <x v="3"/>
    <x v="4"/>
    <x v="344"/>
    <x v="16"/>
    <x v="22"/>
    <x v="41"/>
    <x v="285"/>
    <x v="358"/>
    <s v="BEST SHOES EVER!"/>
    <n v="1471132800"/>
    <s v="Not Specified"/>
    <s v="Not Specified"/>
    <s v="Not Specified"/>
    <n v="224"/>
    <x v="0"/>
    <x v="2"/>
  </r>
  <r>
    <x v="0"/>
    <x v="0"/>
    <x v="277"/>
    <x v="3"/>
    <x v="4"/>
    <x v="345"/>
    <x v="16"/>
    <x v="22"/>
    <x v="17"/>
    <x v="286"/>
    <x v="359"/>
    <s v="... me the motivation to workout because they feel so good and are great for any training"/>
    <n v="1470614400"/>
    <s v="Not Specified"/>
    <s v="Not Specified"/>
    <s v="Not Specified"/>
    <n v="105"/>
    <x v="0"/>
    <x v="2"/>
  </r>
  <r>
    <x v="1"/>
    <x v="0"/>
    <x v="278"/>
    <x v="3"/>
    <x v="4"/>
    <x v="346"/>
    <x v="16"/>
    <x v="16"/>
    <x v="17"/>
    <x v="287"/>
    <x v="360"/>
    <s v="Hurt my knees and back running"/>
    <n v="1470355200"/>
    <s v="Not Specified"/>
    <s v="Not Specified"/>
    <n v="2"/>
    <n v="772"/>
    <x v="1"/>
    <x v="2"/>
  </r>
  <r>
    <x v="0"/>
    <x v="0"/>
    <x v="279"/>
    <x v="3"/>
    <x v="9"/>
    <x v="347"/>
    <x v="16"/>
    <x v="33"/>
    <x v="17"/>
    <x v="288"/>
    <x v="361"/>
    <s v="Very comfortable shoes. Love"/>
    <n v="1469577600"/>
    <s v="Not Specified"/>
    <s v="Not Specified"/>
    <s v="Not Specified"/>
    <n v="37"/>
    <x v="0"/>
    <x v="2"/>
  </r>
  <r>
    <x v="0"/>
    <x v="1"/>
    <x v="280"/>
    <x v="3"/>
    <x v="9"/>
    <x v="348"/>
    <x v="16"/>
    <x v="16"/>
    <x v="26"/>
    <x v="289"/>
    <x v="362"/>
    <s v="Great shoes"/>
    <n v="1469145600"/>
    <s v="Not Specified"/>
    <s v="Not Specified"/>
    <s v="Not Specified"/>
    <n v="427"/>
    <x v="0"/>
    <x v="2"/>
  </r>
  <r>
    <x v="1"/>
    <x v="0"/>
    <x v="281"/>
    <x v="3"/>
    <x v="9"/>
    <x v="349"/>
    <x v="16"/>
    <x v="30"/>
    <x v="17"/>
    <x v="290"/>
    <x v="363"/>
    <s v="large shoe"/>
    <n v="1469059200"/>
    <s v="Not Specified"/>
    <s v="Not Specified"/>
    <s v="Not Specified"/>
    <n v="50"/>
    <x v="1"/>
    <x v="2"/>
  </r>
  <r>
    <x v="0"/>
    <x v="0"/>
    <x v="282"/>
    <x v="3"/>
    <x v="9"/>
    <x v="350"/>
    <x v="16"/>
    <x v="16"/>
    <x v="17"/>
    <x v="291"/>
    <x v="364"/>
    <s v="Five Stars"/>
    <n v="1468886400"/>
    <s v="Not Specified"/>
    <s v="Not Specified"/>
    <s v="Not Specified"/>
    <n v="20"/>
    <x v="0"/>
    <x v="2"/>
  </r>
  <r>
    <x v="0"/>
    <x v="0"/>
    <x v="283"/>
    <x v="3"/>
    <x v="9"/>
    <x v="351"/>
    <x v="16"/>
    <x v="21"/>
    <x v="18"/>
    <x v="292"/>
    <x v="365"/>
    <s v="My wife loves these shoes."/>
    <n v="1468800000"/>
    <s v="Not Specified"/>
    <s v="Not Specified"/>
    <s v="Not Specified"/>
    <n v="306"/>
    <x v="0"/>
    <x v="2"/>
  </r>
  <r>
    <x v="0"/>
    <x v="0"/>
    <x v="284"/>
    <x v="3"/>
    <x v="9"/>
    <x v="352"/>
    <x v="16"/>
    <x v="17"/>
    <x v="17"/>
    <x v="293"/>
    <x v="366"/>
    <s v="Love Love Love"/>
    <n v="1468368000"/>
    <s v="Not Specified"/>
    <s v="Not Specified"/>
    <s v="Not Specified"/>
    <n v="188"/>
    <x v="0"/>
    <x v="2"/>
  </r>
  <r>
    <x v="0"/>
    <x v="0"/>
    <x v="285"/>
    <x v="3"/>
    <x v="9"/>
    <x v="353"/>
    <x v="16"/>
    <x v="26"/>
    <x v="17"/>
    <x v="5"/>
    <x v="367"/>
    <s v="PERFECT"/>
    <n v="1467331200"/>
    <s v="Not Specified"/>
    <s v="Not Specified"/>
    <s v="Not Specified"/>
    <n v="62"/>
    <x v="0"/>
    <x v="2"/>
  </r>
  <r>
    <x v="0"/>
    <x v="0"/>
    <x v="285"/>
    <x v="3"/>
    <x v="9"/>
    <x v="354"/>
    <x v="16"/>
    <x v="16"/>
    <x v="32"/>
    <x v="294"/>
    <x v="368"/>
    <s v="Nice shoe"/>
    <n v="1467331200"/>
    <s v="Not Specified"/>
    <s v="Not Specified"/>
    <n v="5"/>
    <n v="378"/>
    <x v="0"/>
    <x v="2"/>
  </r>
  <r>
    <x v="0"/>
    <x v="0"/>
    <x v="286"/>
    <x v="3"/>
    <x v="6"/>
    <x v="355"/>
    <x v="16"/>
    <x v="15"/>
    <x v="17"/>
    <x v="295"/>
    <x v="369"/>
    <s v="I am so happy with this purchase"/>
    <n v="1467072000"/>
    <s v="Not Specified"/>
    <s v="Not Specified"/>
    <n v="7"/>
    <n v="288"/>
    <x v="0"/>
    <x v="2"/>
  </r>
  <r>
    <x v="0"/>
    <x v="0"/>
    <x v="287"/>
    <x v="3"/>
    <x v="6"/>
    <x v="356"/>
    <x v="16"/>
    <x v="16"/>
    <x v="41"/>
    <x v="296"/>
    <x v="370"/>
    <s v="Five Stars"/>
    <n v="1466812800"/>
    <s v="Not Specified"/>
    <s v="Not Specified"/>
    <s v="Not Specified"/>
    <n v="60"/>
    <x v="0"/>
    <x v="2"/>
  </r>
  <r>
    <x v="1"/>
    <x v="0"/>
    <x v="288"/>
    <x v="3"/>
    <x v="6"/>
    <x v="357"/>
    <x v="16"/>
    <x v="30"/>
    <x v="18"/>
    <x v="5"/>
    <x v="371"/>
    <s v="Cute"/>
    <n v="1466467200"/>
    <s v="Not Specified"/>
    <s v="Not Specified"/>
    <n v="2"/>
    <n v="236"/>
    <x v="1"/>
    <x v="2"/>
  </r>
  <r>
    <x v="0"/>
    <x v="0"/>
    <x v="289"/>
    <x v="3"/>
    <x v="6"/>
    <x v="358"/>
    <x v="16"/>
    <x v="21"/>
    <x v="17"/>
    <x v="297"/>
    <x v="372"/>
    <s v="Love"/>
    <n v="1466294400"/>
    <s v="Not Specified"/>
    <s v="Not Specified"/>
    <n v="3"/>
    <n v="308"/>
    <x v="0"/>
    <x v="2"/>
  </r>
  <r>
    <x v="0"/>
    <x v="1"/>
    <x v="290"/>
    <x v="3"/>
    <x v="6"/>
    <x v="359"/>
    <x v="16"/>
    <x v="21"/>
    <x v="20"/>
    <x v="5"/>
    <x v="373"/>
    <s v="Absolutely Perfect Shoe!!"/>
    <n v="1466035200"/>
    <s v="Not Specified"/>
    <s v="Not Specified"/>
    <n v="3"/>
    <n v="370"/>
    <x v="0"/>
    <x v="2"/>
  </r>
  <r>
    <x v="0"/>
    <x v="0"/>
    <x v="291"/>
    <x v="3"/>
    <x v="6"/>
    <x v="360"/>
    <x v="16"/>
    <x v="31"/>
    <x v="17"/>
    <x v="298"/>
    <x v="374"/>
    <s v="Comfortable and lightweight"/>
    <n v="1465516800"/>
    <s v="Not Specified"/>
    <s v="Not Specified"/>
    <n v="10"/>
    <n v="204"/>
    <x v="0"/>
    <x v="2"/>
  </r>
  <r>
    <x v="0"/>
    <x v="0"/>
    <x v="292"/>
    <x v="3"/>
    <x v="6"/>
    <x v="361"/>
    <x v="16"/>
    <x v="14"/>
    <x v="17"/>
    <x v="299"/>
    <x v="321"/>
    <s v="Five Stars"/>
    <n v="1465084800"/>
    <s v="Not Specified"/>
    <s v="Not Specified"/>
    <s v="Not Specified"/>
    <n v="9"/>
    <x v="0"/>
    <x v="2"/>
  </r>
  <r>
    <x v="0"/>
    <x v="0"/>
    <x v="293"/>
    <x v="3"/>
    <x v="6"/>
    <x v="362"/>
    <x v="16"/>
    <x v="14"/>
    <x v="32"/>
    <x v="300"/>
    <x v="375"/>
    <s v="Awesome shoes!"/>
    <n v="1464825600"/>
    <s v="Not Specified"/>
    <s v="Not Specified"/>
    <s v="Not Specified"/>
    <n v="237"/>
    <x v="0"/>
    <x v="2"/>
  </r>
  <r>
    <x v="0"/>
    <x v="0"/>
    <x v="294"/>
    <x v="3"/>
    <x v="1"/>
    <x v="363"/>
    <x v="16"/>
    <x v="17"/>
    <x v="18"/>
    <x v="301"/>
    <x v="376"/>
    <s v="Five Stars"/>
    <n v="1464480000"/>
    <s v="Not Specified"/>
    <s v="Not Specified"/>
    <s v="Not Specified"/>
    <n v="11"/>
    <x v="0"/>
    <x v="2"/>
  </r>
  <r>
    <x v="0"/>
    <x v="0"/>
    <x v="295"/>
    <x v="3"/>
    <x v="1"/>
    <x v="364"/>
    <x v="16"/>
    <x v="39"/>
    <x v="19"/>
    <x v="5"/>
    <x v="228"/>
    <s v="Five Stars"/>
    <n v="1464393600"/>
    <s v="Not Specified"/>
    <s v="Not Specified"/>
    <s v="Not Specified"/>
    <n v="7"/>
    <x v="0"/>
    <x v="2"/>
  </r>
  <r>
    <x v="0"/>
    <x v="1"/>
    <x v="296"/>
    <x v="3"/>
    <x v="1"/>
    <x v="365"/>
    <x v="16"/>
    <x v="2"/>
    <x v="7"/>
    <x v="302"/>
    <x v="377"/>
    <s v="Time to leave the fad of the month for something that works."/>
    <n v="1464048000"/>
    <s v="Not Specified"/>
    <s v="Not Specified"/>
    <n v="8"/>
    <n v="629"/>
    <x v="0"/>
    <x v="2"/>
  </r>
  <r>
    <x v="4"/>
    <x v="0"/>
    <x v="296"/>
    <x v="3"/>
    <x v="1"/>
    <x v="366"/>
    <x v="16"/>
    <x v="21"/>
    <x v="18"/>
    <x v="303"/>
    <x v="378"/>
    <s v="A little annoying because I have to pay attention but they are ..."/>
    <n v="1464048000"/>
    <s v="Not Specified"/>
    <s v="Not Specified"/>
    <s v="Not Specified"/>
    <n v="148"/>
    <x v="0"/>
    <x v="2"/>
  </r>
  <r>
    <x v="0"/>
    <x v="0"/>
    <x v="297"/>
    <x v="3"/>
    <x v="1"/>
    <x v="367"/>
    <x v="16"/>
    <x v="26"/>
    <x v="17"/>
    <x v="304"/>
    <x v="248"/>
    <s v="Five Stars"/>
    <n v="1463702400"/>
    <s v="Not Specified"/>
    <s v="Not Specified"/>
    <s v="Not Specified"/>
    <n v="10"/>
    <x v="0"/>
    <x v="2"/>
  </r>
  <r>
    <x v="0"/>
    <x v="1"/>
    <x v="298"/>
    <x v="3"/>
    <x v="1"/>
    <x v="368"/>
    <x v="16"/>
    <x v="17"/>
    <x v="34"/>
    <x v="305"/>
    <x v="379"/>
    <s v="and the toe area is pretty wide plus plenty long even with socks"/>
    <n v="1463529600"/>
    <s v="Not Specified"/>
    <s v="Not Specified"/>
    <s v="Not Specified"/>
    <n v="247"/>
    <x v="0"/>
    <x v="2"/>
  </r>
  <r>
    <x v="0"/>
    <x v="0"/>
    <x v="299"/>
    <x v="3"/>
    <x v="1"/>
    <x v="369"/>
    <x v="16"/>
    <x v="22"/>
    <x v="20"/>
    <x v="5"/>
    <x v="380"/>
    <s v="Five Stars"/>
    <n v="1463356800"/>
    <s v="Not Specified"/>
    <s v="Not Specified"/>
    <s v="Not Specified"/>
    <n v="76"/>
    <x v="0"/>
    <x v="2"/>
  </r>
  <r>
    <x v="0"/>
    <x v="0"/>
    <x v="300"/>
    <x v="3"/>
    <x v="1"/>
    <x v="370"/>
    <x v="16"/>
    <x v="15"/>
    <x v="32"/>
    <x v="306"/>
    <x v="381"/>
    <s v="Great and comfy for sports"/>
    <n v="1463270400"/>
    <s v="Not Specified"/>
    <s v="Not Specified"/>
    <s v="Not Specified"/>
    <n v="27"/>
    <x v="0"/>
    <x v="2"/>
  </r>
  <r>
    <x v="4"/>
    <x v="0"/>
    <x v="301"/>
    <x v="3"/>
    <x v="1"/>
    <x v="371"/>
    <x v="16"/>
    <x v="40"/>
    <x v="43"/>
    <x v="307"/>
    <x v="382"/>
    <s v="A bit pointier toe than depicted..."/>
    <n v="1462924800"/>
    <s v="Not Specified"/>
    <s v="Not Specified"/>
    <s v="Not Specified"/>
    <n v="468"/>
    <x v="0"/>
    <x v="2"/>
  </r>
  <r>
    <x v="0"/>
    <x v="1"/>
    <x v="302"/>
    <x v="3"/>
    <x v="1"/>
    <x v="372"/>
    <x v="16"/>
    <x v="17"/>
    <x v="18"/>
    <x v="5"/>
    <x v="383"/>
    <s v="Best shoes ever!!!"/>
    <n v="1462838400"/>
    <s v="Not Specified"/>
    <s v="Not Specified"/>
    <s v="Not Specified"/>
    <n v="166"/>
    <x v="0"/>
    <x v="2"/>
  </r>
  <r>
    <x v="0"/>
    <x v="0"/>
    <x v="303"/>
    <x v="3"/>
    <x v="1"/>
    <x v="373"/>
    <x v="16"/>
    <x v="21"/>
    <x v="17"/>
    <x v="308"/>
    <x v="384"/>
    <s v="Five Stars"/>
    <n v="1462752000"/>
    <s v="Not Specified"/>
    <s v="Not Specified"/>
    <s v="Not Specified"/>
    <n v="33"/>
    <x v="0"/>
    <x v="2"/>
  </r>
  <r>
    <x v="0"/>
    <x v="0"/>
    <x v="304"/>
    <x v="3"/>
    <x v="1"/>
    <x v="374"/>
    <x v="16"/>
    <x v="26"/>
    <x v="17"/>
    <x v="309"/>
    <x v="385"/>
    <s v="Fits wonderful"/>
    <n v="1462665600"/>
    <s v="Not Specified"/>
    <s v="Not Specified"/>
    <s v="Not Specified"/>
    <n v="62"/>
    <x v="0"/>
    <x v="2"/>
  </r>
  <r>
    <x v="4"/>
    <x v="0"/>
    <x v="305"/>
    <x v="3"/>
    <x v="1"/>
    <x v="375"/>
    <x v="16"/>
    <x v="41"/>
    <x v="19"/>
    <x v="310"/>
    <x v="386"/>
    <s v="Four Stars"/>
    <n v="1462579200"/>
    <s v="Not Specified"/>
    <s v="Not Specified"/>
    <s v="Not Specified"/>
    <n v="25"/>
    <x v="0"/>
    <x v="2"/>
  </r>
  <r>
    <x v="4"/>
    <x v="0"/>
    <x v="306"/>
    <x v="3"/>
    <x v="1"/>
    <x v="376"/>
    <x v="16"/>
    <x v="21"/>
    <x v="17"/>
    <x v="311"/>
    <x v="387"/>
    <s v="Comfortable and lightweight"/>
    <n v="1462320000"/>
    <s v="Not Specified"/>
    <s v="Not Specified"/>
    <n v="20"/>
    <n v="1368"/>
    <x v="0"/>
    <x v="2"/>
  </r>
  <r>
    <x v="0"/>
    <x v="0"/>
    <x v="306"/>
    <x v="3"/>
    <x v="1"/>
    <x v="377"/>
    <x v="16"/>
    <x v="41"/>
    <x v="19"/>
    <x v="312"/>
    <x v="388"/>
    <s v="nice"/>
    <n v="1462320000"/>
    <s v="Not Specified"/>
    <s v="Not Specified"/>
    <s v="Not Specified"/>
    <n v="57"/>
    <x v="0"/>
    <x v="2"/>
  </r>
  <r>
    <x v="0"/>
    <x v="0"/>
    <x v="307"/>
    <x v="3"/>
    <x v="10"/>
    <x v="378"/>
    <x v="16"/>
    <x v="16"/>
    <x v="17"/>
    <x v="313"/>
    <x v="389"/>
    <s v="Five Stars"/>
    <n v="1461369600"/>
    <s v="Not Specified"/>
    <s v="Not Specified"/>
    <s v="Not Specified"/>
    <n v="50"/>
    <x v="0"/>
    <x v="2"/>
  </r>
  <r>
    <x v="0"/>
    <x v="0"/>
    <x v="308"/>
    <x v="3"/>
    <x v="10"/>
    <x v="379"/>
    <x v="16"/>
    <x v="30"/>
    <x v="17"/>
    <x v="314"/>
    <x v="390"/>
    <s v="Wide Feet so Somewhat Tight"/>
    <n v="1461196800"/>
    <s v="Not Specified"/>
    <s v="Not Specified"/>
    <n v="3"/>
    <n v="371"/>
    <x v="0"/>
    <x v="2"/>
  </r>
  <r>
    <x v="4"/>
    <x v="0"/>
    <x v="309"/>
    <x v="3"/>
    <x v="10"/>
    <x v="380"/>
    <x v="16"/>
    <x v="16"/>
    <x v="17"/>
    <x v="5"/>
    <x v="391"/>
    <s v="Four Stars"/>
    <n v="1461110400"/>
    <s v="Not Specified"/>
    <s v="Not Specified"/>
    <s v="Not Specified"/>
    <n v="19"/>
    <x v="0"/>
    <x v="2"/>
  </r>
  <r>
    <x v="4"/>
    <x v="0"/>
    <x v="42"/>
    <x v="3"/>
    <x v="10"/>
    <x v="30"/>
    <x v="16"/>
    <x v="14"/>
    <x v="17"/>
    <x v="5"/>
    <x v="49"/>
    <s v="Four Stars"/>
    <n v="1461024000"/>
    <s v="Not Specified"/>
    <s v="Not Specified"/>
    <n v="2"/>
    <n v="60"/>
    <x v="0"/>
    <x v="2"/>
  </r>
  <r>
    <x v="0"/>
    <x v="0"/>
    <x v="43"/>
    <x v="3"/>
    <x v="10"/>
    <x v="31"/>
    <x v="16"/>
    <x v="15"/>
    <x v="17"/>
    <x v="28"/>
    <x v="50"/>
    <s v="Five Stars"/>
    <n v="1460937600"/>
    <s v="Not Specified"/>
    <s v="Not Specified"/>
    <s v="Not Specified"/>
    <n v="22"/>
    <x v="0"/>
    <x v="2"/>
  </r>
  <r>
    <x v="1"/>
    <x v="0"/>
    <x v="44"/>
    <x v="3"/>
    <x v="10"/>
    <x v="32"/>
    <x v="16"/>
    <x v="16"/>
    <x v="17"/>
    <x v="29"/>
    <x v="51"/>
    <s v="LOOKS GOOD, FEELS ICKY!"/>
    <n v="1459728000"/>
    <s v="Not Specified"/>
    <s v="Not Specified"/>
    <n v="2"/>
    <n v="272"/>
    <x v="1"/>
    <x v="2"/>
  </r>
  <r>
    <x v="0"/>
    <x v="0"/>
    <x v="45"/>
    <x v="3"/>
    <x v="5"/>
    <x v="33"/>
    <x v="16"/>
    <x v="17"/>
    <x v="18"/>
    <x v="30"/>
    <x v="52"/>
    <s v="Love it!! Definetly recommend it"/>
    <n v="1459382400"/>
    <s v="Not Specified"/>
    <s v="Not Specified"/>
    <s v="Not Specified"/>
    <n v="123"/>
    <x v="0"/>
    <x v="2"/>
  </r>
  <r>
    <x v="0"/>
    <x v="0"/>
    <x v="46"/>
    <x v="3"/>
    <x v="5"/>
    <x v="34"/>
    <x v="16"/>
    <x v="18"/>
    <x v="19"/>
    <x v="31"/>
    <x v="53"/>
    <s v="Five Stars"/>
    <n v="1459123200"/>
    <s v="Not Specified"/>
    <s v="Not Specified"/>
    <s v="Not Specified"/>
    <n v="9"/>
    <x v="0"/>
    <x v="2"/>
  </r>
  <r>
    <x v="0"/>
    <x v="0"/>
    <x v="323"/>
    <x v="1"/>
    <x v="8"/>
    <x v="396"/>
    <x v="17"/>
    <x v="48"/>
    <x v="45"/>
    <x v="325"/>
    <x v="406"/>
    <s v="Beautiful!!!"/>
    <n v="1518220800"/>
    <s v="Not Specified"/>
    <s v="Not Specified"/>
    <s v="Not Specified"/>
    <n v="339"/>
    <x v="0"/>
    <x v="2"/>
  </r>
  <r>
    <x v="0"/>
    <x v="0"/>
    <x v="324"/>
    <x v="1"/>
    <x v="8"/>
    <x v="396"/>
    <x v="17"/>
    <x v="48"/>
    <x v="46"/>
    <x v="325"/>
    <x v="407"/>
    <s v="Beautiful ring!!!"/>
    <n v="1517788800"/>
    <s v="Not Specified"/>
    <s v="Not Specified"/>
    <s v="Not Specified"/>
    <n v="111"/>
    <x v="0"/>
    <x v="2"/>
  </r>
  <r>
    <x v="0"/>
    <x v="0"/>
    <x v="325"/>
    <x v="2"/>
    <x v="1"/>
    <x v="397"/>
    <x v="17"/>
    <x v="48"/>
    <x v="47"/>
    <x v="5"/>
    <x v="408"/>
    <s v="Five Stars"/>
    <n v="1495324800"/>
    <s v="Not Specified"/>
    <s v="Not Specified"/>
    <s v="Not Specified"/>
    <n v="29"/>
    <x v="0"/>
    <x v="2"/>
  </r>
  <r>
    <x v="0"/>
    <x v="0"/>
    <x v="325"/>
    <x v="2"/>
    <x v="1"/>
    <x v="397"/>
    <x v="17"/>
    <x v="49"/>
    <x v="48"/>
    <x v="5"/>
    <x v="409"/>
    <s v="Five Stars"/>
    <n v="1495324800"/>
    <s v="Not Specified"/>
    <s v="Not Specified"/>
    <s v="Not Specified"/>
    <n v="26"/>
    <x v="0"/>
    <x v="2"/>
  </r>
  <r>
    <x v="0"/>
    <x v="0"/>
    <x v="166"/>
    <x v="2"/>
    <x v="1"/>
    <x v="397"/>
    <x v="17"/>
    <x v="50"/>
    <x v="46"/>
    <x v="5"/>
    <x v="410"/>
    <s v="Five Stars"/>
    <n v="1494806400"/>
    <s v="Not Specified"/>
    <s v="Not Specified"/>
    <s v="Not Specified"/>
    <n v="30"/>
    <x v="0"/>
    <x v="2"/>
  </r>
  <r>
    <x v="0"/>
    <x v="0"/>
    <x v="17"/>
    <x v="2"/>
    <x v="10"/>
    <x v="398"/>
    <x v="17"/>
    <x v="51"/>
    <x v="47"/>
    <x v="326"/>
    <x v="411"/>
    <s v="Five Stars"/>
    <n v="1492041600"/>
    <s v="Not Specified"/>
    <s v="Not Specified"/>
    <s v="Not Specified"/>
    <n v="11"/>
    <x v="0"/>
    <x v="2"/>
  </r>
  <r>
    <x v="0"/>
    <x v="0"/>
    <x v="17"/>
    <x v="2"/>
    <x v="10"/>
    <x v="398"/>
    <x v="17"/>
    <x v="52"/>
    <x v="45"/>
    <x v="326"/>
    <x v="412"/>
    <s v="Five Stars"/>
    <n v="1492041600"/>
    <s v="Not Specified"/>
    <s v="Not Specified"/>
    <s v="Not Specified"/>
    <n v="3"/>
    <x v="0"/>
    <x v="2"/>
  </r>
  <r>
    <x v="0"/>
    <x v="0"/>
    <x v="17"/>
    <x v="2"/>
    <x v="10"/>
    <x v="398"/>
    <x v="17"/>
    <x v="53"/>
    <x v="46"/>
    <x v="326"/>
    <x v="228"/>
    <s v="Five Stars"/>
    <n v="1492041600"/>
    <s v="Not Specified"/>
    <s v="Not Specified"/>
    <s v="Not Specified"/>
    <n v="7"/>
    <x v="0"/>
    <x v="2"/>
  </r>
  <r>
    <x v="4"/>
    <x v="0"/>
    <x v="326"/>
    <x v="4"/>
    <x v="11"/>
    <x v="27"/>
    <x v="18"/>
    <x v="3"/>
    <x v="49"/>
    <x v="25"/>
    <x v="413"/>
    <s v="Four Stars"/>
    <n v="1418515200"/>
    <s v="Not Specified"/>
    <s v="Not Specified"/>
    <s v="Not Specified"/>
    <n v="9"/>
    <x v="0"/>
    <x v="2"/>
  </r>
  <r>
    <x v="0"/>
    <x v="0"/>
    <x v="9"/>
    <x v="1"/>
    <x v="5"/>
    <x v="5"/>
    <x v="19"/>
    <x v="7"/>
    <x v="50"/>
    <x v="5"/>
    <x v="414"/>
    <s v="Soft. Strong. Comfortable!!"/>
    <n v="1520812800"/>
    <s v="Not Specified"/>
    <s v="Not Specified"/>
    <s v="Not Specified"/>
    <n v="14"/>
    <x v="0"/>
    <x v="2"/>
  </r>
  <r>
    <x v="0"/>
    <x v="1"/>
    <x v="327"/>
    <x v="2"/>
    <x v="9"/>
    <x v="61"/>
    <x v="19"/>
    <x v="5"/>
    <x v="12"/>
    <x v="56"/>
    <x v="415"/>
    <s v="Love these pants!"/>
    <n v="1500940800"/>
    <s v="Not Specified"/>
    <s v="Not Specified"/>
    <s v="Not Specified"/>
    <n v="133"/>
    <x v="0"/>
    <x v="2"/>
  </r>
  <r>
    <x v="1"/>
    <x v="0"/>
    <x v="328"/>
    <x v="3"/>
    <x v="8"/>
    <x v="37"/>
    <x v="19"/>
    <x v="5"/>
    <x v="51"/>
    <x v="33"/>
    <x v="416"/>
    <s v="Good just watch the seams!"/>
    <n v="1455408000"/>
    <s v="Not Specified"/>
    <s v="Not Specified"/>
    <s v="Not Specified"/>
    <n v="207"/>
    <x v="1"/>
    <x v="2"/>
  </r>
  <r>
    <x v="0"/>
    <x v="0"/>
    <x v="329"/>
    <x v="0"/>
    <x v="6"/>
    <x v="239"/>
    <x v="19"/>
    <x v="5"/>
    <x v="52"/>
    <x v="206"/>
    <x v="417"/>
    <s v="Comfortable Capris"/>
    <n v="1435276800"/>
    <s v="Not Specified"/>
    <s v="Not Specified"/>
    <s v="Not Specified"/>
    <n v="962"/>
    <x v="0"/>
    <x v="2"/>
  </r>
  <r>
    <x v="0"/>
    <x v="0"/>
    <x v="330"/>
    <x v="1"/>
    <x v="1"/>
    <x v="29"/>
    <x v="20"/>
    <x v="2"/>
    <x v="53"/>
    <x v="27"/>
    <x v="418"/>
    <s v="You will love the colors, the softness and value"/>
    <n v="1525651200"/>
    <s v="Not Specified"/>
    <s v="Not Specified"/>
    <s v="Not Specified"/>
    <n v="72"/>
    <x v="0"/>
    <x v="2"/>
  </r>
  <r>
    <x v="4"/>
    <x v="0"/>
    <x v="331"/>
    <x v="4"/>
    <x v="11"/>
    <x v="16"/>
    <x v="21"/>
    <x v="2"/>
    <x v="7"/>
    <x v="14"/>
    <x v="419"/>
    <s v="Good quality for price"/>
    <n v="1419984000"/>
    <s v="Not Specified"/>
    <s v="Not Specified"/>
    <s v="Not Specified"/>
    <n v="97"/>
    <x v="0"/>
    <x v="2"/>
  </r>
  <r>
    <x v="0"/>
    <x v="0"/>
    <x v="332"/>
    <x v="2"/>
    <x v="6"/>
    <x v="26"/>
    <x v="22"/>
    <x v="6"/>
    <x v="54"/>
    <x v="24"/>
    <x v="420"/>
    <s v="Nice fit"/>
    <n v="1498348800"/>
    <s v="Not Specified"/>
    <s v="Not Specified"/>
    <s v="Not Specified"/>
    <n v="45"/>
    <x v="0"/>
    <x v="2"/>
  </r>
  <r>
    <x v="0"/>
    <x v="0"/>
    <x v="333"/>
    <x v="0"/>
    <x v="8"/>
    <x v="387"/>
    <x v="22"/>
    <x v="3"/>
    <x v="55"/>
    <x v="318"/>
    <x v="421"/>
    <s v="Nice vest."/>
    <n v="1423785600"/>
    <s v="Not Specified"/>
    <s v="Not Specified"/>
    <s v="Not Specified"/>
    <n v="86"/>
    <x v="0"/>
    <x v="2"/>
  </r>
  <r>
    <x v="0"/>
    <x v="0"/>
    <x v="323"/>
    <x v="1"/>
    <x v="8"/>
    <x v="396"/>
    <x v="23"/>
    <x v="48"/>
    <x v="45"/>
    <x v="325"/>
    <x v="406"/>
    <s v="Beautiful!!!"/>
    <n v="1518220800"/>
    <s v="Not Specified"/>
    <s v="Not Specified"/>
    <s v="Not Specified"/>
    <n v="339"/>
    <x v="0"/>
    <x v="2"/>
  </r>
  <r>
    <x v="0"/>
    <x v="0"/>
    <x v="324"/>
    <x v="1"/>
    <x v="8"/>
    <x v="396"/>
    <x v="23"/>
    <x v="48"/>
    <x v="46"/>
    <x v="325"/>
    <x v="407"/>
    <s v="Beautiful ring!!!"/>
    <n v="1517788800"/>
    <s v="Not Specified"/>
    <s v="Not Specified"/>
    <s v="Not Specified"/>
    <n v="111"/>
    <x v="0"/>
    <x v="2"/>
  </r>
  <r>
    <x v="0"/>
    <x v="0"/>
    <x v="325"/>
    <x v="2"/>
    <x v="1"/>
    <x v="397"/>
    <x v="23"/>
    <x v="48"/>
    <x v="47"/>
    <x v="5"/>
    <x v="408"/>
    <s v="Five Stars"/>
    <n v="1495324800"/>
    <s v="Not Specified"/>
    <s v="Not Specified"/>
    <s v="Not Specified"/>
    <n v="29"/>
    <x v="0"/>
    <x v="2"/>
  </r>
  <r>
    <x v="0"/>
    <x v="0"/>
    <x v="325"/>
    <x v="2"/>
    <x v="1"/>
    <x v="397"/>
    <x v="23"/>
    <x v="49"/>
    <x v="48"/>
    <x v="5"/>
    <x v="409"/>
    <s v="Five Stars"/>
    <n v="1495324800"/>
    <s v="Not Specified"/>
    <s v="Not Specified"/>
    <s v="Not Specified"/>
    <n v="26"/>
    <x v="0"/>
    <x v="2"/>
  </r>
  <r>
    <x v="0"/>
    <x v="0"/>
    <x v="166"/>
    <x v="2"/>
    <x v="1"/>
    <x v="397"/>
    <x v="23"/>
    <x v="50"/>
    <x v="46"/>
    <x v="5"/>
    <x v="410"/>
    <s v="Five Stars"/>
    <n v="1494806400"/>
    <s v="Not Specified"/>
    <s v="Not Specified"/>
    <s v="Not Specified"/>
    <n v="30"/>
    <x v="0"/>
    <x v="2"/>
  </r>
  <r>
    <x v="0"/>
    <x v="0"/>
    <x v="17"/>
    <x v="2"/>
    <x v="10"/>
    <x v="398"/>
    <x v="23"/>
    <x v="51"/>
    <x v="47"/>
    <x v="326"/>
    <x v="411"/>
    <s v="Five Stars"/>
    <n v="1492041600"/>
    <s v="Not Specified"/>
    <s v="Not Specified"/>
    <s v="Not Specified"/>
    <n v="11"/>
    <x v="0"/>
    <x v="2"/>
  </r>
  <r>
    <x v="0"/>
    <x v="0"/>
    <x v="17"/>
    <x v="2"/>
    <x v="10"/>
    <x v="398"/>
    <x v="23"/>
    <x v="52"/>
    <x v="45"/>
    <x v="326"/>
    <x v="412"/>
    <s v="Five Stars"/>
    <n v="1492041600"/>
    <s v="Not Specified"/>
    <s v="Not Specified"/>
    <s v="Not Specified"/>
    <n v="3"/>
    <x v="0"/>
    <x v="2"/>
  </r>
  <r>
    <x v="0"/>
    <x v="0"/>
    <x v="17"/>
    <x v="2"/>
    <x v="10"/>
    <x v="398"/>
    <x v="23"/>
    <x v="53"/>
    <x v="46"/>
    <x v="326"/>
    <x v="228"/>
    <s v="Five Stars"/>
    <n v="1492041600"/>
    <s v="Not Specified"/>
    <s v="Not Specified"/>
    <s v="Not Specified"/>
    <n v="7"/>
    <x v="0"/>
    <x v="2"/>
  </r>
  <r>
    <x v="0"/>
    <x v="0"/>
    <x v="334"/>
    <x v="3"/>
    <x v="4"/>
    <x v="396"/>
    <x v="23"/>
    <x v="50"/>
    <x v="56"/>
    <x v="325"/>
    <x v="422"/>
    <s v="Beautiful ring - I love it!!!"/>
    <n v="1472342400"/>
    <s v="Not Specified"/>
    <s v="Not Specified"/>
    <s v="Not Specified"/>
    <n v="449"/>
    <x v="0"/>
    <x v="2"/>
  </r>
  <r>
    <x v="1"/>
    <x v="0"/>
    <x v="102"/>
    <x v="2"/>
    <x v="7"/>
    <x v="9"/>
    <x v="24"/>
    <x v="2"/>
    <x v="57"/>
    <x v="8"/>
    <x v="423"/>
    <s v="OK esp. for the price but size 8 mens' is probably the max."/>
    <n v="1509840000"/>
    <s v="Not Specified"/>
    <s v="Not Specified"/>
    <s v="Not Specified"/>
    <n v="455"/>
    <x v="1"/>
    <x v="2"/>
  </r>
  <r>
    <x v="0"/>
    <x v="0"/>
    <x v="45"/>
    <x v="3"/>
    <x v="5"/>
    <x v="33"/>
    <x v="25"/>
    <x v="54"/>
    <x v="18"/>
    <x v="30"/>
    <x v="52"/>
    <s v="Love it!! Definetly recommend it"/>
    <n v="1459382400"/>
    <s v="Not Specified"/>
    <s v="Not Specified"/>
    <s v="Not Specified"/>
    <n v="123"/>
    <x v="0"/>
    <x v="2"/>
  </r>
  <r>
    <x v="0"/>
    <x v="0"/>
    <x v="46"/>
    <x v="3"/>
    <x v="5"/>
    <x v="34"/>
    <x v="25"/>
    <x v="55"/>
    <x v="19"/>
    <x v="31"/>
    <x v="53"/>
    <s v="Five Stars"/>
    <n v="1459123200"/>
    <s v="Not Specified"/>
    <s v="Not Specified"/>
    <s v="Not Specified"/>
    <n v="9"/>
    <x v="0"/>
    <x v="2"/>
  </r>
  <r>
    <x v="2"/>
    <x v="0"/>
    <x v="46"/>
    <x v="3"/>
    <x v="5"/>
    <x v="35"/>
    <x v="25"/>
    <x v="56"/>
    <x v="58"/>
    <x v="5"/>
    <x v="54"/>
    <s v="Cheap"/>
    <n v="1459123200"/>
    <s v="Not Specified"/>
    <s v="Not Specified"/>
    <s v="Not Specified"/>
    <n v="167"/>
    <x v="2"/>
    <x v="2"/>
  </r>
  <r>
    <x v="4"/>
    <x v="0"/>
    <x v="47"/>
    <x v="3"/>
    <x v="5"/>
    <x v="36"/>
    <x v="25"/>
    <x v="20"/>
    <x v="58"/>
    <x v="32"/>
    <x v="55"/>
    <s v="Pretty comfortable pair of running shoes"/>
    <n v="1458777600"/>
    <s v="Not Specified"/>
    <s v="Not Specified"/>
    <s v="Not Specified"/>
    <n v="132"/>
    <x v="0"/>
    <x v="2"/>
  </r>
  <r>
    <x v="1"/>
    <x v="0"/>
    <x v="6"/>
    <x v="3"/>
    <x v="5"/>
    <x v="37"/>
    <x v="25"/>
    <x v="57"/>
    <x v="17"/>
    <x v="33"/>
    <x v="56"/>
    <s v="I always get a half size up in my tennis ..."/>
    <n v="1458691200"/>
    <s v="Not Specified"/>
    <s v="Not Specified"/>
    <n v="7"/>
    <n v="108"/>
    <x v="1"/>
    <x v="2"/>
  </r>
  <r>
    <x v="0"/>
    <x v="0"/>
    <x v="48"/>
    <x v="3"/>
    <x v="5"/>
    <x v="38"/>
    <x v="25"/>
    <x v="22"/>
    <x v="20"/>
    <x v="34"/>
    <x v="57"/>
    <s v="Love them! So light feeling"/>
    <n v="1458432000"/>
    <s v="Not Specified"/>
    <s v="Not Specified"/>
    <s v="Not Specified"/>
    <n v="75"/>
    <x v="0"/>
    <x v="2"/>
  </r>
  <r>
    <x v="0"/>
    <x v="0"/>
    <x v="49"/>
    <x v="3"/>
    <x v="5"/>
    <x v="39"/>
    <x v="25"/>
    <x v="58"/>
    <x v="58"/>
    <x v="35"/>
    <x v="53"/>
    <s v="Five Stars"/>
    <n v="1458259200"/>
    <s v="Not Specified"/>
    <s v="Not Specified"/>
    <s v="Not Specified"/>
    <n v="9"/>
    <x v="0"/>
    <x v="2"/>
  </r>
  <r>
    <x v="4"/>
    <x v="0"/>
    <x v="313"/>
    <x v="3"/>
    <x v="5"/>
    <x v="384"/>
    <x v="25"/>
    <x v="57"/>
    <x v="17"/>
    <x v="317"/>
    <x v="395"/>
    <s v="you feel like you have a lot of room"/>
    <n v="1458086400"/>
    <s v="Not Specified"/>
    <s v="Not Specified"/>
    <s v="Not Specified"/>
    <n v="213"/>
    <x v="0"/>
    <x v="2"/>
  </r>
  <r>
    <x v="0"/>
    <x v="0"/>
    <x v="314"/>
    <x v="3"/>
    <x v="5"/>
    <x v="385"/>
    <x v="25"/>
    <x v="57"/>
    <x v="17"/>
    <x v="5"/>
    <x v="396"/>
    <s v="Exactly What I Was Looking For"/>
    <n v="1457827200"/>
    <s v="Not Specified"/>
    <s v="Not Specified"/>
    <n v="22"/>
    <n v="412"/>
    <x v="0"/>
    <x v="2"/>
  </r>
  <r>
    <x v="0"/>
    <x v="0"/>
    <x v="315"/>
    <x v="3"/>
    <x v="5"/>
    <x v="386"/>
    <x v="25"/>
    <x v="26"/>
    <x v="17"/>
    <x v="5"/>
    <x v="397"/>
    <s v="Five Stars"/>
    <n v="1457222400"/>
    <s v="Not Specified"/>
    <s v="Not Specified"/>
    <s v="Not Specified"/>
    <n v="17"/>
    <x v="0"/>
    <x v="2"/>
  </r>
  <r>
    <x v="0"/>
    <x v="0"/>
    <x v="335"/>
    <x v="1"/>
    <x v="9"/>
    <x v="399"/>
    <x v="25"/>
    <x v="59"/>
    <x v="23"/>
    <x v="327"/>
    <x v="424"/>
    <s v="Five Stars"/>
    <n v="1530748800"/>
    <s v="Not Specified"/>
    <s v="Not Specified"/>
    <s v="Not Specified"/>
    <n v="41"/>
    <x v="0"/>
    <x v="2"/>
  </r>
  <r>
    <x v="0"/>
    <x v="0"/>
    <x v="336"/>
    <x v="1"/>
    <x v="9"/>
    <x v="400"/>
    <x v="25"/>
    <x v="60"/>
    <x v="17"/>
    <x v="328"/>
    <x v="425"/>
    <s v="I absolutely LOVE these shoes"/>
    <n v="1530662400"/>
    <s v="Not Specified"/>
    <s v="Not Specified"/>
    <s v="Not Specified"/>
    <n v="337"/>
    <x v="0"/>
    <x v="2"/>
  </r>
  <r>
    <x v="0"/>
    <x v="0"/>
    <x v="337"/>
    <x v="1"/>
    <x v="9"/>
    <x v="401"/>
    <x v="25"/>
    <x v="57"/>
    <x v="36"/>
    <x v="5"/>
    <x v="426"/>
    <s v="Five Stars"/>
    <n v="1530489600"/>
    <s v="Not Specified"/>
    <s v="Not Specified"/>
    <s v="Not Specified"/>
    <n v="12"/>
    <x v="0"/>
    <x v="2"/>
  </r>
  <r>
    <x v="0"/>
    <x v="0"/>
    <x v="338"/>
    <x v="1"/>
    <x v="6"/>
    <x v="402"/>
    <x v="25"/>
    <x v="61"/>
    <x v="23"/>
    <x v="329"/>
    <x v="427"/>
    <s v="Comfortable"/>
    <n v="1530144000"/>
    <s v="Not Specified"/>
    <s v="Not Specified"/>
    <s v="Not Specified"/>
    <n v="27"/>
    <x v="0"/>
    <x v="2"/>
  </r>
  <r>
    <x v="0"/>
    <x v="0"/>
    <x v="339"/>
    <x v="1"/>
    <x v="6"/>
    <x v="403"/>
    <x v="25"/>
    <x v="60"/>
    <x v="21"/>
    <x v="5"/>
    <x v="428"/>
    <s v="Five Stars"/>
    <n v="1529884800"/>
    <s v="Not Specified"/>
    <s v="Not Specified"/>
    <s v="Not Specified"/>
    <n v="21"/>
    <x v="0"/>
    <x v="2"/>
  </r>
  <r>
    <x v="0"/>
    <x v="0"/>
    <x v="340"/>
    <x v="1"/>
    <x v="6"/>
    <x v="404"/>
    <x v="25"/>
    <x v="54"/>
    <x v="21"/>
    <x v="330"/>
    <x v="429"/>
    <s v="Love them!"/>
    <n v="1529452800"/>
    <s v="Not Specified"/>
    <s v="Not Specified"/>
    <n v="2"/>
    <n v="382"/>
    <x v="0"/>
    <x v="2"/>
  </r>
  <r>
    <x v="0"/>
    <x v="0"/>
    <x v="341"/>
    <x v="1"/>
    <x v="6"/>
    <x v="405"/>
    <x v="25"/>
    <x v="17"/>
    <x v="17"/>
    <x v="167"/>
    <x v="430"/>
    <s v="Five Stars"/>
    <n v="1529107200"/>
    <s v="Not Specified"/>
    <s v="Not Specified"/>
    <s v="Not Specified"/>
    <n v="44"/>
    <x v="0"/>
    <x v="2"/>
  </r>
  <r>
    <x v="0"/>
    <x v="0"/>
    <x v="322"/>
    <x v="1"/>
    <x v="6"/>
    <x v="395"/>
    <x v="25"/>
    <x v="60"/>
    <x v="17"/>
    <x v="324"/>
    <x v="405"/>
    <s v="Five Stars"/>
    <n v="1527984000"/>
    <s v="Not Specified"/>
    <s v="Not Specified"/>
    <s v="Not Specified"/>
    <n v="47"/>
    <x v="0"/>
    <x v="2"/>
  </r>
  <r>
    <x v="0"/>
    <x v="0"/>
    <x v="321"/>
    <x v="1"/>
    <x v="1"/>
    <x v="393"/>
    <x v="25"/>
    <x v="62"/>
    <x v="21"/>
    <x v="322"/>
    <x v="403"/>
    <s v="LOVE my new sneakers!"/>
    <n v="1526947200"/>
    <s v="Not Specified"/>
    <s v="Not Specified"/>
    <n v="2"/>
    <n v="372"/>
    <x v="0"/>
    <x v="2"/>
  </r>
  <r>
    <x v="0"/>
    <x v="0"/>
    <x v="319"/>
    <x v="1"/>
    <x v="1"/>
    <x v="394"/>
    <x v="25"/>
    <x v="63"/>
    <x v="17"/>
    <x v="323"/>
    <x v="404"/>
    <s v="Very confortable!"/>
    <n v="1526428800"/>
    <s v="Not Specified"/>
    <s v="Not Specified"/>
    <s v="Not Specified"/>
    <n v="17"/>
    <x v="0"/>
    <x v="2"/>
  </r>
  <r>
    <x v="0"/>
    <x v="0"/>
    <x v="319"/>
    <x v="1"/>
    <x v="1"/>
    <x v="390"/>
    <x v="25"/>
    <x v="58"/>
    <x v="17"/>
    <x v="151"/>
    <x v="13"/>
    <s v="Five Stars"/>
    <n v="1526428800"/>
    <s v="Not Specified"/>
    <s v="Not Specified"/>
    <s v="Not Specified"/>
    <n v="11"/>
    <x v="0"/>
    <x v="2"/>
  </r>
  <r>
    <x v="1"/>
    <x v="0"/>
    <x v="320"/>
    <x v="1"/>
    <x v="1"/>
    <x v="391"/>
    <x v="25"/>
    <x v="57"/>
    <x v="21"/>
    <x v="5"/>
    <x v="401"/>
    <s v="Three Stars"/>
    <n v="1526342400"/>
    <s v="Not Specified"/>
    <s v="Not Specified"/>
    <s v="Not Specified"/>
    <n v="39"/>
    <x v="1"/>
    <x v="2"/>
  </r>
  <r>
    <x v="1"/>
    <x v="0"/>
    <x v="320"/>
    <x v="1"/>
    <x v="1"/>
    <x v="392"/>
    <x v="25"/>
    <x v="54"/>
    <x v="21"/>
    <x v="321"/>
    <x v="402"/>
    <s v="somewhat large fit"/>
    <n v="1526342400"/>
    <s v="Not Specified"/>
    <s v="Not Specified"/>
    <s v="Not Specified"/>
    <n v="173"/>
    <x v="1"/>
    <x v="2"/>
  </r>
  <r>
    <x v="0"/>
    <x v="0"/>
    <x v="317"/>
    <x v="1"/>
    <x v="1"/>
    <x v="388"/>
    <x v="25"/>
    <x v="57"/>
    <x v="36"/>
    <x v="319"/>
    <x v="399"/>
    <s v="Five Stars"/>
    <n v="1525478400"/>
    <s v="Not Specified"/>
    <s v="Not Specified"/>
    <s v="Not Specified"/>
    <n v="71"/>
    <x v="0"/>
    <x v="2"/>
  </r>
  <r>
    <x v="0"/>
    <x v="0"/>
    <x v="318"/>
    <x v="1"/>
    <x v="1"/>
    <x v="389"/>
    <x v="25"/>
    <x v="60"/>
    <x v="34"/>
    <x v="320"/>
    <x v="400"/>
    <s v="Five Stars"/>
    <n v="1525305600"/>
    <s v="Not Specified"/>
    <s v="Not Specified"/>
    <s v="Not Specified"/>
    <n v="90"/>
    <x v="0"/>
    <x v="2"/>
  </r>
  <r>
    <x v="1"/>
    <x v="0"/>
    <x v="310"/>
    <x v="1"/>
    <x v="10"/>
    <x v="381"/>
    <x v="25"/>
    <x v="64"/>
    <x v="29"/>
    <x v="5"/>
    <x v="392"/>
    <s v="Three Stars"/>
    <n v="1525046400"/>
    <s v="Not Specified"/>
    <s v="Not Specified"/>
    <s v="Not Specified"/>
    <n v="14"/>
    <x v="1"/>
    <x v="2"/>
  </r>
  <r>
    <x v="0"/>
    <x v="0"/>
    <x v="311"/>
    <x v="1"/>
    <x v="10"/>
    <x v="382"/>
    <x v="25"/>
    <x v="65"/>
    <x v="31"/>
    <x v="315"/>
    <x v="393"/>
    <s v="Five Stars"/>
    <n v="1524700800"/>
    <s v="Not Specified"/>
    <s v="Not Specified"/>
    <s v="Not Specified"/>
    <n v="43"/>
    <x v="0"/>
    <x v="2"/>
  </r>
  <r>
    <x v="0"/>
    <x v="0"/>
    <x v="312"/>
    <x v="1"/>
    <x v="10"/>
    <x v="383"/>
    <x v="25"/>
    <x v="16"/>
    <x v="17"/>
    <x v="316"/>
    <x v="394"/>
    <s v="Great Shoe"/>
    <n v="1524528000"/>
    <s v="Not Specified"/>
    <s v="Not Specified"/>
    <s v="Not Specified"/>
    <n v="160"/>
    <x v="0"/>
    <x v="2"/>
  </r>
  <r>
    <x v="0"/>
    <x v="0"/>
    <x v="50"/>
    <x v="1"/>
    <x v="10"/>
    <x v="40"/>
    <x v="25"/>
    <x v="59"/>
    <x v="17"/>
    <x v="36"/>
    <x v="58"/>
    <s v="Love these shoes"/>
    <n v="1524355200"/>
    <s v="Not Specified"/>
    <s v="Not Specified"/>
    <s v="Not Specified"/>
    <n v="148"/>
    <x v="0"/>
    <x v="2"/>
  </r>
  <r>
    <x v="1"/>
    <x v="0"/>
    <x v="51"/>
    <x v="1"/>
    <x v="10"/>
    <x v="41"/>
    <x v="25"/>
    <x v="54"/>
    <x v="21"/>
    <x v="37"/>
    <x v="59"/>
    <s v="Its not as comfortable as I was expecting"/>
    <n v="1524096000"/>
    <s v="Not Specified"/>
    <s v="Not Specified"/>
    <s v="Not Specified"/>
    <n v="125"/>
    <x v="1"/>
    <x v="2"/>
  </r>
  <r>
    <x v="0"/>
    <x v="0"/>
    <x v="52"/>
    <x v="1"/>
    <x v="10"/>
    <x v="42"/>
    <x v="25"/>
    <x v="16"/>
    <x v="17"/>
    <x v="38"/>
    <x v="60"/>
    <s v="Very Comfortable"/>
    <n v="1524009600"/>
    <s v="Not Specified"/>
    <s v="Not Specified"/>
    <s v="Not Specified"/>
    <n v="123"/>
    <x v="0"/>
    <x v="2"/>
  </r>
  <r>
    <x v="0"/>
    <x v="0"/>
    <x v="52"/>
    <x v="1"/>
    <x v="10"/>
    <x v="43"/>
    <x v="25"/>
    <x v="59"/>
    <x v="21"/>
    <x v="5"/>
    <x v="61"/>
    <s v="The color pattern and fit is what I liked the most what I liked the least is that ..."/>
    <n v="1524009600"/>
    <s v="Not Specified"/>
    <s v="Not Specified"/>
    <s v="Not Specified"/>
    <n v="155"/>
    <x v="0"/>
    <x v="2"/>
  </r>
  <r>
    <x v="0"/>
    <x v="0"/>
    <x v="53"/>
    <x v="1"/>
    <x v="10"/>
    <x v="44"/>
    <x v="25"/>
    <x v="62"/>
    <x v="12"/>
    <x v="39"/>
    <x v="62"/>
    <s v="Great shoe for the price!"/>
    <n v="1523836800"/>
    <s v="Not Specified"/>
    <s v="Not Specified"/>
    <s v="Not Specified"/>
    <n v="158"/>
    <x v="0"/>
    <x v="2"/>
  </r>
  <r>
    <x v="0"/>
    <x v="0"/>
    <x v="54"/>
    <x v="1"/>
    <x v="10"/>
    <x v="45"/>
    <x v="25"/>
    <x v="17"/>
    <x v="17"/>
    <x v="40"/>
    <x v="63"/>
    <s v="Great shoe!"/>
    <n v="1523750400"/>
    <s v="Not Specified"/>
    <s v="Not Specified"/>
    <n v="3"/>
    <n v="774"/>
    <x v="0"/>
    <x v="2"/>
  </r>
  <r>
    <x v="1"/>
    <x v="0"/>
    <x v="55"/>
    <x v="1"/>
    <x v="10"/>
    <x v="46"/>
    <x v="25"/>
    <x v="60"/>
    <x v="21"/>
    <x v="41"/>
    <x v="64"/>
    <s v="Three Stars"/>
    <n v="1523577600"/>
    <s v="Not Specified"/>
    <s v="Not Specified"/>
    <s v="Not Specified"/>
    <n v="85"/>
    <x v="1"/>
    <x v="2"/>
  </r>
  <r>
    <x v="1"/>
    <x v="0"/>
    <x v="56"/>
    <x v="1"/>
    <x v="10"/>
    <x v="47"/>
    <x v="25"/>
    <x v="59"/>
    <x v="23"/>
    <x v="42"/>
    <x v="65"/>
    <s v="Three Stars"/>
    <n v="1523232000"/>
    <s v="Not Specified"/>
    <s v="Not Specified"/>
    <s v="Not Specified"/>
    <n v="4"/>
    <x v="1"/>
    <x v="2"/>
  </r>
  <r>
    <x v="0"/>
    <x v="0"/>
    <x v="56"/>
    <x v="1"/>
    <x v="10"/>
    <x v="48"/>
    <x v="25"/>
    <x v="59"/>
    <x v="17"/>
    <x v="43"/>
    <x v="66"/>
    <s v="Five Stars"/>
    <n v="1523232000"/>
    <s v="Not Specified"/>
    <s v="Not Specified"/>
    <s v="Not Specified"/>
    <n v="7"/>
    <x v="0"/>
    <x v="2"/>
  </r>
  <r>
    <x v="0"/>
    <x v="0"/>
    <x v="57"/>
    <x v="1"/>
    <x v="10"/>
    <x v="49"/>
    <x v="25"/>
    <x v="60"/>
    <x v="17"/>
    <x v="44"/>
    <x v="67"/>
    <s v="Love these shoes"/>
    <n v="1523145600"/>
    <s v="Not Specified"/>
    <s v="Not Specified"/>
    <s v="Not Specified"/>
    <n v="157"/>
    <x v="0"/>
    <x v="2"/>
  </r>
  <r>
    <x v="0"/>
    <x v="0"/>
    <x v="58"/>
    <x v="1"/>
    <x v="10"/>
    <x v="50"/>
    <x v="25"/>
    <x v="25"/>
    <x v="23"/>
    <x v="45"/>
    <x v="68"/>
    <s v="Five Stars"/>
    <n v="1523059200"/>
    <s v="Not Specified"/>
    <s v="Not Specified"/>
    <s v="Not Specified"/>
    <n v="0"/>
    <x v="0"/>
    <x v="2"/>
  </r>
  <r>
    <x v="0"/>
    <x v="0"/>
    <x v="59"/>
    <x v="1"/>
    <x v="10"/>
    <x v="51"/>
    <x v="25"/>
    <x v="17"/>
    <x v="17"/>
    <x v="46"/>
    <x v="69"/>
    <s v="Great cross trainer"/>
    <n v="1522800000"/>
    <s v="Not Specified"/>
    <s v="Not Specified"/>
    <s v="Not Specified"/>
    <n v="35"/>
    <x v="0"/>
    <x v="2"/>
  </r>
  <r>
    <x v="4"/>
    <x v="0"/>
    <x v="60"/>
    <x v="1"/>
    <x v="10"/>
    <x v="52"/>
    <x v="25"/>
    <x v="57"/>
    <x v="23"/>
    <x v="47"/>
    <x v="70"/>
    <s v="They are comfortable for the most but just a bit narrow"/>
    <n v="1522713600"/>
    <s v="Not Specified"/>
    <s v="Not Specified"/>
    <s v="Not Specified"/>
    <n v="213"/>
    <x v="0"/>
    <x v="2"/>
  </r>
  <r>
    <x v="0"/>
    <x v="0"/>
    <x v="60"/>
    <x v="1"/>
    <x v="10"/>
    <x v="53"/>
    <x v="25"/>
    <x v="17"/>
    <x v="17"/>
    <x v="48"/>
    <x v="71"/>
    <s v="staple sneakers"/>
    <n v="1522713600"/>
    <s v="Not Specified"/>
    <s v="Not Specified"/>
    <s v="Not Specified"/>
    <n v="105"/>
    <x v="0"/>
    <x v="2"/>
  </r>
  <r>
    <x v="0"/>
    <x v="0"/>
    <x v="61"/>
    <x v="1"/>
    <x v="5"/>
    <x v="54"/>
    <x v="25"/>
    <x v="57"/>
    <x v="17"/>
    <x v="49"/>
    <x v="72"/>
    <s v="Great looking shoe"/>
    <n v="1522454400"/>
    <s v="Not Specified"/>
    <s v="Not Specified"/>
    <s v="Not Specified"/>
    <n v="48"/>
    <x v="0"/>
    <x v="2"/>
  </r>
  <r>
    <x v="0"/>
    <x v="0"/>
    <x v="62"/>
    <x v="1"/>
    <x v="5"/>
    <x v="55"/>
    <x v="25"/>
    <x v="14"/>
    <x v="24"/>
    <x v="50"/>
    <x v="73"/>
    <s v="Great shoes."/>
    <n v="1522195200"/>
    <s v="Not Specified"/>
    <s v="Not Specified"/>
    <s v="Not Specified"/>
    <n v="90"/>
    <x v="0"/>
    <x v="2"/>
  </r>
  <r>
    <x v="1"/>
    <x v="0"/>
    <x v="63"/>
    <x v="1"/>
    <x v="5"/>
    <x v="56"/>
    <x v="25"/>
    <x v="57"/>
    <x v="23"/>
    <x v="51"/>
    <x v="74"/>
    <s v="Style 10/10, Comfort 3/10"/>
    <n v="1522108800"/>
    <s v="Not Specified"/>
    <s v="Not Specified"/>
    <s v="Not Specified"/>
    <n v="121"/>
    <x v="1"/>
    <x v="2"/>
  </r>
  <r>
    <x v="0"/>
    <x v="0"/>
    <x v="64"/>
    <x v="1"/>
    <x v="5"/>
    <x v="57"/>
    <x v="25"/>
    <x v="54"/>
    <x v="21"/>
    <x v="52"/>
    <x v="75"/>
    <s v="these shoes are great! Very lightweight and fits comfortably on my feet ..."/>
    <n v="1521676800"/>
    <s v="Not Specified"/>
    <s v="Not Specified"/>
    <n v="2"/>
    <n v="277"/>
    <x v="0"/>
    <x v="2"/>
  </r>
  <r>
    <x v="0"/>
    <x v="0"/>
    <x v="64"/>
    <x v="1"/>
    <x v="5"/>
    <x v="58"/>
    <x v="25"/>
    <x v="16"/>
    <x v="17"/>
    <x v="53"/>
    <x v="76"/>
    <s v="Great shoes. Fit perfectly"/>
    <n v="1521676800"/>
    <s v="Not Specified"/>
    <s v="Not Specified"/>
    <s v="Not Specified"/>
    <n v="129"/>
    <x v="0"/>
    <x v="2"/>
  </r>
  <r>
    <x v="0"/>
    <x v="0"/>
    <x v="65"/>
    <x v="1"/>
    <x v="5"/>
    <x v="59"/>
    <x v="25"/>
    <x v="66"/>
    <x v="23"/>
    <x v="54"/>
    <x v="77"/>
    <s v="Five Stars"/>
    <n v="1521590400"/>
    <s v="Not Specified"/>
    <s v="Not Specified"/>
    <s v="Not Specified"/>
    <n v="56"/>
    <x v="0"/>
    <x v="2"/>
  </r>
  <r>
    <x v="0"/>
    <x v="0"/>
    <x v="66"/>
    <x v="1"/>
    <x v="5"/>
    <x v="60"/>
    <x v="25"/>
    <x v="60"/>
    <x v="17"/>
    <x v="55"/>
    <x v="78"/>
    <s v="Perfect. Lightweight and comfortable all day"/>
    <n v="1521504000"/>
    <s v="Not Specified"/>
    <s v="Not Specified"/>
    <s v="Not Specified"/>
    <n v="137"/>
    <x v="0"/>
    <x v="2"/>
  </r>
  <r>
    <x v="0"/>
    <x v="0"/>
    <x v="67"/>
    <x v="1"/>
    <x v="5"/>
    <x v="61"/>
    <x v="25"/>
    <x v="57"/>
    <x v="17"/>
    <x v="56"/>
    <x v="79"/>
    <s v="My knees feel better so so hard so good"/>
    <n v="1521417600"/>
    <s v="Not Specified"/>
    <s v="Not Specified"/>
    <s v="Not Specified"/>
    <n v="211"/>
    <x v="0"/>
    <x v="2"/>
  </r>
  <r>
    <x v="0"/>
    <x v="0"/>
    <x v="67"/>
    <x v="1"/>
    <x v="5"/>
    <x v="62"/>
    <x v="25"/>
    <x v="21"/>
    <x v="24"/>
    <x v="57"/>
    <x v="80"/>
    <s v="Five Stars"/>
    <n v="1521417600"/>
    <s v="Not Specified"/>
    <s v="Not Specified"/>
    <s v="Not Specified"/>
    <n v="15"/>
    <x v="0"/>
    <x v="2"/>
  </r>
  <r>
    <x v="4"/>
    <x v="0"/>
    <x v="68"/>
    <x v="1"/>
    <x v="5"/>
    <x v="63"/>
    <x v="25"/>
    <x v="46"/>
    <x v="25"/>
    <x v="58"/>
    <x v="81"/>
    <s v="Comfortable, lightweight Xtrainer"/>
    <n v="1521244800"/>
    <s v="Not Specified"/>
    <s v="Not Specified"/>
    <s v="Not Specified"/>
    <n v="127"/>
    <x v="0"/>
    <x v="2"/>
  </r>
  <r>
    <x v="0"/>
    <x v="0"/>
    <x v="69"/>
    <x v="1"/>
    <x v="5"/>
    <x v="64"/>
    <x v="25"/>
    <x v="22"/>
    <x v="17"/>
    <x v="59"/>
    <x v="82"/>
    <s v="Great shoe!"/>
    <n v="1520899200"/>
    <s v="Not Specified"/>
    <s v="Not Specified"/>
    <s v="Not Specified"/>
    <n v="174"/>
    <x v="0"/>
    <x v="2"/>
  </r>
  <r>
    <x v="3"/>
    <x v="0"/>
    <x v="70"/>
    <x v="1"/>
    <x v="5"/>
    <x v="65"/>
    <x v="25"/>
    <x v="65"/>
    <x v="26"/>
    <x v="60"/>
    <x v="83"/>
    <s v="Returned...looked cheap"/>
    <n v="1520726400"/>
    <s v="Not Specified"/>
    <s v="Not Specified"/>
    <s v="Not Specified"/>
    <n v="22"/>
    <x v="2"/>
    <x v="2"/>
  </r>
  <r>
    <x v="0"/>
    <x v="0"/>
    <x v="71"/>
    <x v="1"/>
    <x v="5"/>
    <x v="66"/>
    <x v="25"/>
    <x v="17"/>
    <x v="17"/>
    <x v="5"/>
    <x v="84"/>
    <s v="Fits to size"/>
    <n v="1520208000"/>
    <s v="Not Specified"/>
    <s v="Not Specified"/>
    <s v="Not Specified"/>
    <n v="22"/>
    <x v="0"/>
    <x v="2"/>
  </r>
  <r>
    <x v="0"/>
    <x v="0"/>
    <x v="72"/>
    <x v="1"/>
    <x v="5"/>
    <x v="67"/>
    <x v="25"/>
    <x v="67"/>
    <x v="17"/>
    <x v="61"/>
    <x v="85"/>
    <s v="Very comfortable shoes. This is my second pair of this ..."/>
    <n v="1519948800"/>
    <s v="Not Specified"/>
    <s v="Not Specified"/>
    <s v="Not Specified"/>
    <n v="100"/>
    <x v="0"/>
    <x v="2"/>
  </r>
  <r>
    <x v="0"/>
    <x v="0"/>
    <x v="73"/>
    <x v="1"/>
    <x v="8"/>
    <x v="68"/>
    <x v="25"/>
    <x v="22"/>
    <x v="17"/>
    <x v="62"/>
    <x v="86"/>
    <s v="Sleek and sporty"/>
    <n v="1519776000"/>
    <s v="Not Specified"/>
    <s v="Not Specified"/>
    <s v="Not Specified"/>
    <n v="58"/>
    <x v="0"/>
    <x v="2"/>
  </r>
  <r>
    <x v="0"/>
    <x v="0"/>
    <x v="74"/>
    <x v="1"/>
    <x v="8"/>
    <x v="69"/>
    <x v="25"/>
    <x v="57"/>
    <x v="17"/>
    <x v="5"/>
    <x v="87"/>
    <s v="I love the shoes and the description and photos were accurate"/>
    <n v="1519689600"/>
    <s v="Not Specified"/>
    <s v="Not Specified"/>
    <s v="Not Specified"/>
    <n v="269"/>
    <x v="0"/>
    <x v="2"/>
  </r>
  <r>
    <x v="0"/>
    <x v="0"/>
    <x v="74"/>
    <x v="1"/>
    <x v="8"/>
    <x v="70"/>
    <x v="25"/>
    <x v="57"/>
    <x v="21"/>
    <x v="63"/>
    <x v="88"/>
    <s v="Great fit!"/>
    <n v="1519689600"/>
    <s v="Not Specified"/>
    <s v="Not Specified"/>
    <s v="Not Specified"/>
    <n v="152"/>
    <x v="0"/>
    <x v="2"/>
  </r>
  <r>
    <x v="0"/>
    <x v="0"/>
    <x v="74"/>
    <x v="1"/>
    <x v="8"/>
    <x v="71"/>
    <x v="25"/>
    <x v="16"/>
    <x v="17"/>
    <x v="64"/>
    <x v="89"/>
    <s v="Lightweight"/>
    <n v="1519689600"/>
    <s v="Not Specified"/>
    <s v="Not Specified"/>
    <s v="Not Specified"/>
    <n v="46"/>
    <x v="0"/>
    <x v="2"/>
  </r>
  <r>
    <x v="3"/>
    <x v="0"/>
    <x v="75"/>
    <x v="1"/>
    <x v="8"/>
    <x v="72"/>
    <x v="25"/>
    <x v="57"/>
    <x v="17"/>
    <x v="65"/>
    <x v="90"/>
    <s v="Squeaky soles"/>
    <n v="1519516800"/>
    <s v="Not Specified"/>
    <s v="Not Specified"/>
    <s v="Not Specified"/>
    <n v="282"/>
    <x v="2"/>
    <x v="2"/>
  </r>
  <r>
    <x v="2"/>
    <x v="0"/>
    <x v="75"/>
    <x v="1"/>
    <x v="8"/>
    <x v="73"/>
    <x v="25"/>
    <x v="17"/>
    <x v="17"/>
    <x v="5"/>
    <x v="91"/>
    <s v="Two Stars"/>
    <n v="1519516800"/>
    <s v="Not Specified"/>
    <s v="Not Specified"/>
    <s v="Not Specified"/>
    <n v="89"/>
    <x v="2"/>
    <x v="2"/>
  </r>
  <r>
    <x v="0"/>
    <x v="0"/>
    <x v="76"/>
    <x v="1"/>
    <x v="8"/>
    <x v="74"/>
    <x v="25"/>
    <x v="60"/>
    <x v="17"/>
    <x v="66"/>
    <x v="92"/>
    <s v="Comfortable and"/>
    <n v="1519171200"/>
    <s v="Not Specified"/>
    <s v="Not Specified"/>
    <s v="Not Specified"/>
    <n v="45"/>
    <x v="0"/>
    <x v="2"/>
  </r>
  <r>
    <x v="0"/>
    <x v="0"/>
    <x v="77"/>
    <x v="1"/>
    <x v="8"/>
    <x v="75"/>
    <x v="25"/>
    <x v="22"/>
    <x v="23"/>
    <x v="67"/>
    <x v="93"/>
    <s v="Their Cute and Pink"/>
    <n v="1519084800"/>
    <s v="Not Specified"/>
    <s v="Not Specified"/>
    <s v="Not Specified"/>
    <n v="47"/>
    <x v="0"/>
    <x v="2"/>
  </r>
  <r>
    <x v="0"/>
    <x v="0"/>
    <x v="78"/>
    <x v="1"/>
    <x v="8"/>
    <x v="76"/>
    <x v="25"/>
    <x v="57"/>
    <x v="21"/>
    <x v="68"/>
    <x v="94"/>
    <s v="Five Stars"/>
    <n v="1518566400"/>
    <s v="Not Specified"/>
    <s v="Not Specified"/>
    <s v="Not Specified"/>
    <n v="46"/>
    <x v="0"/>
    <x v="2"/>
  </r>
  <r>
    <x v="0"/>
    <x v="0"/>
    <x v="78"/>
    <x v="1"/>
    <x v="8"/>
    <x v="77"/>
    <x v="25"/>
    <x v="59"/>
    <x v="17"/>
    <x v="5"/>
    <x v="95"/>
    <s v="Smooth and confortable."/>
    <n v="1518566400"/>
    <s v="Not Specified"/>
    <s v="Not Specified"/>
    <s v="Not Specified"/>
    <n v="17"/>
    <x v="0"/>
    <x v="2"/>
  </r>
  <r>
    <x v="0"/>
    <x v="0"/>
    <x v="79"/>
    <x v="1"/>
    <x v="8"/>
    <x v="78"/>
    <x v="25"/>
    <x v="60"/>
    <x v="27"/>
    <x v="69"/>
    <x v="96"/>
    <s v="Five Stars"/>
    <n v="1518393600"/>
    <s v="Not Specified"/>
    <s v="Not Specified"/>
    <s v="Not Specified"/>
    <n v="19"/>
    <x v="0"/>
    <x v="2"/>
  </r>
  <r>
    <x v="0"/>
    <x v="0"/>
    <x v="80"/>
    <x v="1"/>
    <x v="8"/>
    <x v="79"/>
    <x v="25"/>
    <x v="57"/>
    <x v="28"/>
    <x v="70"/>
    <x v="97"/>
    <s v="decent arch support and comfortably to wear all day doing regular activity and sprinting"/>
    <n v="1517443200"/>
    <s v="Not Specified"/>
    <s v="Not Specified"/>
    <s v="Not Specified"/>
    <n v="102"/>
    <x v="0"/>
    <x v="2"/>
  </r>
  <r>
    <x v="0"/>
    <x v="0"/>
    <x v="80"/>
    <x v="1"/>
    <x v="8"/>
    <x v="80"/>
    <x v="25"/>
    <x v="59"/>
    <x v="17"/>
    <x v="71"/>
    <x v="98"/>
    <s v="Five Stars"/>
    <n v="1517443200"/>
    <s v="Not Specified"/>
    <s v="Not Specified"/>
    <s v="Not Specified"/>
    <n v="19"/>
    <x v="0"/>
    <x v="2"/>
  </r>
  <r>
    <x v="0"/>
    <x v="0"/>
    <x v="81"/>
    <x v="1"/>
    <x v="2"/>
    <x v="81"/>
    <x v="25"/>
    <x v="66"/>
    <x v="28"/>
    <x v="72"/>
    <x v="99"/>
    <s v="Good shoes"/>
    <n v="1517184000"/>
    <s v="Not Specified"/>
    <s v="Not Specified"/>
    <s v="Not Specified"/>
    <n v="132"/>
    <x v="0"/>
    <x v="2"/>
  </r>
  <r>
    <x v="4"/>
    <x v="0"/>
    <x v="2"/>
    <x v="1"/>
    <x v="2"/>
    <x v="82"/>
    <x v="25"/>
    <x v="16"/>
    <x v="17"/>
    <x v="73"/>
    <x v="100"/>
    <s v="Good shoes"/>
    <n v="1516838400"/>
    <s v="Not Specified"/>
    <s v="Not Specified"/>
    <s v="Not Specified"/>
    <n v="860"/>
    <x v="0"/>
    <x v="2"/>
  </r>
  <r>
    <x v="0"/>
    <x v="0"/>
    <x v="82"/>
    <x v="1"/>
    <x v="2"/>
    <x v="83"/>
    <x v="25"/>
    <x v="55"/>
    <x v="29"/>
    <x v="74"/>
    <x v="101"/>
    <s v="Five Stars"/>
    <n v="1516233600"/>
    <s v="Not Specified"/>
    <s v="Not Specified"/>
    <s v="Not Specified"/>
    <n v="16"/>
    <x v="0"/>
    <x v="2"/>
  </r>
  <r>
    <x v="0"/>
    <x v="0"/>
    <x v="83"/>
    <x v="1"/>
    <x v="2"/>
    <x v="84"/>
    <x v="25"/>
    <x v="44"/>
    <x v="25"/>
    <x v="75"/>
    <x v="102"/>
    <s v="Five Stars"/>
    <n v="1515628800"/>
    <s v="Not Specified"/>
    <s v="Not Specified"/>
    <s v="Not Specified"/>
    <n v="81"/>
    <x v="0"/>
    <x v="2"/>
  </r>
  <r>
    <x v="3"/>
    <x v="0"/>
    <x v="84"/>
    <x v="1"/>
    <x v="2"/>
    <x v="85"/>
    <x v="25"/>
    <x v="62"/>
    <x v="30"/>
    <x v="76"/>
    <x v="103"/>
    <s v="One Star"/>
    <n v="1515542400"/>
    <s v="Not Specified"/>
    <s v="Not Specified"/>
    <s v="Not Specified"/>
    <n v="27"/>
    <x v="2"/>
    <x v="2"/>
  </r>
  <r>
    <x v="0"/>
    <x v="0"/>
    <x v="84"/>
    <x v="1"/>
    <x v="2"/>
    <x v="86"/>
    <x v="25"/>
    <x v="16"/>
    <x v="17"/>
    <x v="331"/>
    <x v="104"/>
    <s v="Glad I read the reviews and ordered a half size ..."/>
    <n v="1515542400"/>
    <s v="Not Specified"/>
    <s v="Not Specified"/>
    <n v="3"/>
    <n v="617"/>
    <x v="0"/>
    <x v="2"/>
  </r>
  <r>
    <x v="1"/>
    <x v="0"/>
    <x v="85"/>
    <x v="1"/>
    <x v="2"/>
    <x v="87"/>
    <x v="25"/>
    <x v="65"/>
    <x v="21"/>
    <x v="78"/>
    <x v="105"/>
    <s v="Not in perfect condition"/>
    <n v="1515456000"/>
    <s v="Not Specified"/>
    <s v="Not Specified"/>
    <s v="Not Specified"/>
    <n v="54"/>
    <x v="1"/>
    <x v="2"/>
  </r>
  <r>
    <x v="0"/>
    <x v="0"/>
    <x v="86"/>
    <x v="1"/>
    <x v="2"/>
    <x v="88"/>
    <x v="25"/>
    <x v="17"/>
    <x v="17"/>
    <x v="79"/>
    <x v="106"/>
    <s v="Very comfortable, cute, and long-lasting"/>
    <n v="1515369600"/>
    <s v="Not Specified"/>
    <s v="Not Specified"/>
    <s v="Not Specified"/>
    <n v="715"/>
    <x v="0"/>
    <x v="2"/>
  </r>
  <r>
    <x v="0"/>
    <x v="0"/>
    <x v="86"/>
    <x v="1"/>
    <x v="2"/>
    <x v="89"/>
    <x v="25"/>
    <x v="62"/>
    <x v="31"/>
    <x v="80"/>
    <x v="107"/>
    <s v="Super light-weight, nice tread and arch support - love them so far!"/>
    <n v="1515369600"/>
    <s v="Not Specified"/>
    <s v="Not Specified"/>
    <s v="Not Specified"/>
    <n v="1003"/>
    <x v="0"/>
    <x v="2"/>
  </r>
  <r>
    <x v="0"/>
    <x v="0"/>
    <x v="87"/>
    <x v="1"/>
    <x v="2"/>
    <x v="90"/>
    <x v="25"/>
    <x v="57"/>
    <x v="23"/>
    <x v="81"/>
    <x v="108"/>
    <s v="Five Stars"/>
    <n v="1515283200"/>
    <s v="Not Specified"/>
    <s v="Not Specified"/>
    <s v="Not Specified"/>
    <n v="51"/>
    <x v="0"/>
    <x v="2"/>
  </r>
  <r>
    <x v="0"/>
    <x v="0"/>
    <x v="88"/>
    <x v="2"/>
    <x v="11"/>
    <x v="91"/>
    <x v="25"/>
    <x v="42"/>
    <x v="25"/>
    <x v="5"/>
    <x v="109"/>
    <s v="My wife loves these shoes. We have both been ..."/>
    <n v="1514505600"/>
    <s v="Not Specified"/>
    <s v="Not Specified"/>
    <s v="Not Specified"/>
    <n v="240"/>
    <x v="0"/>
    <x v="2"/>
  </r>
  <r>
    <x v="0"/>
    <x v="0"/>
    <x v="89"/>
    <x v="2"/>
    <x v="11"/>
    <x v="92"/>
    <x v="25"/>
    <x v="60"/>
    <x v="27"/>
    <x v="82"/>
    <x v="110"/>
    <s v="New Favorite Shoes"/>
    <n v="1514419200"/>
    <s v="Not Specified"/>
    <s v="Not Specified"/>
    <s v="Not Specified"/>
    <n v="68"/>
    <x v="0"/>
    <x v="2"/>
  </r>
  <r>
    <x v="2"/>
    <x v="0"/>
    <x v="90"/>
    <x v="2"/>
    <x v="11"/>
    <x v="93"/>
    <x v="25"/>
    <x v="67"/>
    <x v="29"/>
    <x v="83"/>
    <x v="111"/>
    <s v="Foam compresses"/>
    <n v="1513468800"/>
    <s v="Not Specified"/>
    <s v="Not Specified"/>
    <s v="Not Specified"/>
    <n v="263"/>
    <x v="2"/>
    <x v="2"/>
  </r>
  <r>
    <x v="0"/>
    <x v="0"/>
    <x v="90"/>
    <x v="2"/>
    <x v="11"/>
    <x v="94"/>
    <x v="25"/>
    <x v="57"/>
    <x v="17"/>
    <x v="84"/>
    <x v="112"/>
    <s v="Five Stars"/>
    <n v="1513468800"/>
    <s v="Not Specified"/>
    <s v="Not Specified"/>
    <s v="Not Specified"/>
    <n v="14"/>
    <x v="0"/>
    <x v="2"/>
  </r>
  <r>
    <x v="1"/>
    <x v="0"/>
    <x v="91"/>
    <x v="2"/>
    <x v="11"/>
    <x v="95"/>
    <x v="25"/>
    <x v="54"/>
    <x v="23"/>
    <x v="85"/>
    <x v="113"/>
    <s v="I usually wear a 9 but could have easily ordered a 8"/>
    <n v="1512432000"/>
    <s v="Not Specified"/>
    <s v="Not Specified"/>
    <s v="Not Specified"/>
    <n v="757"/>
    <x v="1"/>
    <x v="2"/>
  </r>
  <r>
    <x v="0"/>
    <x v="0"/>
    <x v="91"/>
    <x v="2"/>
    <x v="11"/>
    <x v="96"/>
    <x v="25"/>
    <x v="21"/>
    <x v="24"/>
    <x v="86"/>
    <x v="114"/>
    <s v="Five Stars"/>
    <n v="1512432000"/>
    <s v="Not Specified"/>
    <s v="Not Specified"/>
    <s v="Not Specified"/>
    <n v="5"/>
    <x v="0"/>
    <x v="2"/>
  </r>
  <r>
    <x v="0"/>
    <x v="0"/>
    <x v="92"/>
    <x v="2"/>
    <x v="11"/>
    <x v="97"/>
    <x v="25"/>
    <x v="66"/>
    <x v="24"/>
    <x v="5"/>
    <x v="115"/>
    <s v="Five Stars"/>
    <n v="1512345600"/>
    <s v="Not Specified"/>
    <s v="Not Specified"/>
    <s v="Not Specified"/>
    <n v="1"/>
    <x v="0"/>
    <x v="2"/>
  </r>
  <r>
    <x v="0"/>
    <x v="0"/>
    <x v="93"/>
    <x v="2"/>
    <x v="7"/>
    <x v="98"/>
    <x v="25"/>
    <x v="54"/>
    <x v="23"/>
    <x v="87"/>
    <x v="116"/>
    <s v="Five Stars"/>
    <n v="1512000000"/>
    <s v="Not Specified"/>
    <s v="Not Specified"/>
    <s v="Not Specified"/>
    <n v="10"/>
    <x v="0"/>
    <x v="2"/>
  </r>
  <r>
    <x v="1"/>
    <x v="0"/>
    <x v="93"/>
    <x v="2"/>
    <x v="7"/>
    <x v="99"/>
    <x v="25"/>
    <x v="17"/>
    <x v="17"/>
    <x v="5"/>
    <x v="117"/>
    <s v="Fits snug"/>
    <n v="1512000000"/>
    <s v="Not Specified"/>
    <s v="Not Specified"/>
    <s v="Not Specified"/>
    <n v="192"/>
    <x v="1"/>
    <x v="2"/>
  </r>
  <r>
    <x v="1"/>
    <x v="0"/>
    <x v="94"/>
    <x v="2"/>
    <x v="7"/>
    <x v="100"/>
    <x v="25"/>
    <x v="62"/>
    <x v="12"/>
    <x v="88"/>
    <x v="118"/>
    <s v="Not sure why, but my mid section of my ..."/>
    <n v="1511827200"/>
    <s v="Not Specified"/>
    <s v="Not Specified"/>
    <s v="Not Specified"/>
    <n v="194"/>
    <x v="1"/>
    <x v="2"/>
  </r>
  <r>
    <x v="4"/>
    <x v="0"/>
    <x v="94"/>
    <x v="2"/>
    <x v="7"/>
    <x v="101"/>
    <x v="25"/>
    <x v="63"/>
    <x v="28"/>
    <x v="89"/>
    <x v="119"/>
    <s v="Love"/>
    <n v="1511827200"/>
    <s v="Not Specified"/>
    <s v="Not Specified"/>
    <s v="Not Specified"/>
    <n v="27"/>
    <x v="0"/>
    <x v="2"/>
  </r>
  <r>
    <x v="0"/>
    <x v="0"/>
    <x v="95"/>
    <x v="2"/>
    <x v="7"/>
    <x v="102"/>
    <x v="25"/>
    <x v="54"/>
    <x v="24"/>
    <x v="90"/>
    <x v="120"/>
    <s v="Five Stars"/>
    <n v="1511740800"/>
    <s v="Not Specified"/>
    <s v="Not Specified"/>
    <s v="Not Specified"/>
    <n v="8"/>
    <x v="0"/>
    <x v="2"/>
  </r>
  <r>
    <x v="0"/>
    <x v="0"/>
    <x v="95"/>
    <x v="2"/>
    <x v="7"/>
    <x v="102"/>
    <x v="25"/>
    <x v="54"/>
    <x v="27"/>
    <x v="90"/>
    <x v="120"/>
    <s v="Five Stars"/>
    <n v="1511740800"/>
    <s v="Not Specified"/>
    <s v="Not Specified"/>
    <s v="Not Specified"/>
    <n v="8"/>
    <x v="0"/>
    <x v="2"/>
  </r>
  <r>
    <x v="3"/>
    <x v="0"/>
    <x v="96"/>
    <x v="2"/>
    <x v="7"/>
    <x v="103"/>
    <x v="25"/>
    <x v="60"/>
    <x v="17"/>
    <x v="91"/>
    <x v="121"/>
    <s v="TOO NARROW!"/>
    <n v="1511049600"/>
    <s v="Not Specified"/>
    <s v="Not Specified"/>
    <s v="Not Specified"/>
    <n v="133"/>
    <x v="2"/>
    <x v="2"/>
  </r>
  <r>
    <x v="0"/>
    <x v="0"/>
    <x v="97"/>
    <x v="2"/>
    <x v="7"/>
    <x v="104"/>
    <x v="25"/>
    <x v="54"/>
    <x v="24"/>
    <x v="92"/>
    <x v="122"/>
    <s v="Consider sizing down 1 size"/>
    <n v="1510617600"/>
    <s v="Not Specified"/>
    <s v="Not Specified"/>
    <s v="Not Specified"/>
    <n v="232"/>
    <x v="0"/>
    <x v="2"/>
  </r>
  <r>
    <x v="4"/>
    <x v="0"/>
    <x v="98"/>
    <x v="2"/>
    <x v="7"/>
    <x v="105"/>
    <x v="25"/>
    <x v="57"/>
    <x v="32"/>
    <x v="93"/>
    <x v="123"/>
    <s v="Seem to Run Big"/>
    <n v="1510358400"/>
    <s v="Not Specified"/>
    <s v="Not Specified"/>
    <s v="Not Specified"/>
    <n v="104"/>
    <x v="0"/>
    <x v="2"/>
  </r>
  <r>
    <x v="0"/>
    <x v="0"/>
    <x v="99"/>
    <x v="2"/>
    <x v="7"/>
    <x v="106"/>
    <x v="25"/>
    <x v="63"/>
    <x v="28"/>
    <x v="94"/>
    <x v="124"/>
    <s v="Five Stars"/>
    <n v="1510272000"/>
    <s v="Not Specified"/>
    <s v="Not Specified"/>
    <s v="Not Specified"/>
    <n v="15"/>
    <x v="0"/>
    <x v="2"/>
  </r>
  <r>
    <x v="0"/>
    <x v="0"/>
    <x v="100"/>
    <x v="2"/>
    <x v="7"/>
    <x v="107"/>
    <x v="25"/>
    <x v="59"/>
    <x v="17"/>
    <x v="5"/>
    <x v="125"/>
    <s v="Perfect for trails"/>
    <n v="1510185600"/>
    <s v="Not Specified"/>
    <s v="Not Specified"/>
    <s v="Not Specified"/>
    <n v="278"/>
    <x v="0"/>
    <x v="2"/>
  </r>
  <r>
    <x v="4"/>
    <x v="0"/>
    <x v="101"/>
    <x v="2"/>
    <x v="7"/>
    <x v="108"/>
    <x v="25"/>
    <x v="54"/>
    <x v="23"/>
    <x v="95"/>
    <x v="126"/>
    <s v="Four Stars"/>
    <n v="1510012800"/>
    <s v="Not Specified"/>
    <s v="Not Specified"/>
    <s v="Not Specified"/>
    <n v="8"/>
    <x v="0"/>
    <x v="2"/>
  </r>
  <r>
    <x v="2"/>
    <x v="0"/>
    <x v="102"/>
    <x v="2"/>
    <x v="7"/>
    <x v="109"/>
    <x v="25"/>
    <x v="59"/>
    <x v="33"/>
    <x v="5"/>
    <x v="127"/>
    <s v="Zumba) - and really wanted to like them, since I loved the color and the ..."/>
    <n v="1509840000"/>
    <s v="Not Specified"/>
    <s v="Not Specified"/>
    <n v="6"/>
    <n v="467"/>
    <x v="2"/>
    <x v="2"/>
  </r>
  <r>
    <x v="0"/>
    <x v="0"/>
    <x v="103"/>
    <x v="2"/>
    <x v="7"/>
    <x v="110"/>
    <x v="25"/>
    <x v="22"/>
    <x v="23"/>
    <x v="96"/>
    <x v="128"/>
    <s v="Five Stars"/>
    <n v="1509753600"/>
    <s v="Not Specified"/>
    <s v="Not Specified"/>
    <s v="Not Specified"/>
    <n v="39"/>
    <x v="0"/>
    <x v="2"/>
  </r>
  <r>
    <x v="1"/>
    <x v="0"/>
    <x v="103"/>
    <x v="2"/>
    <x v="7"/>
    <x v="111"/>
    <x v="25"/>
    <x v="16"/>
    <x v="33"/>
    <x v="97"/>
    <x v="129"/>
    <s v="Three Stars"/>
    <n v="1509753600"/>
    <s v="Not Specified"/>
    <s v="Not Specified"/>
    <s v="Not Specified"/>
    <n v="38"/>
    <x v="1"/>
    <x v="2"/>
  </r>
  <r>
    <x v="4"/>
    <x v="0"/>
    <x v="104"/>
    <x v="2"/>
    <x v="7"/>
    <x v="112"/>
    <x v="25"/>
    <x v="57"/>
    <x v="23"/>
    <x v="98"/>
    <x v="130"/>
    <s v="Size problem"/>
    <n v="1509667200"/>
    <s v="Not Specified"/>
    <s v="Not Specified"/>
    <s v="Not Specified"/>
    <n v="23"/>
    <x v="0"/>
    <x v="2"/>
  </r>
  <r>
    <x v="0"/>
    <x v="0"/>
    <x v="105"/>
    <x v="2"/>
    <x v="7"/>
    <x v="113"/>
    <x v="25"/>
    <x v="21"/>
    <x v="24"/>
    <x v="99"/>
    <x v="116"/>
    <s v="Five Stars"/>
    <n v="1509580800"/>
    <s v="Not Specified"/>
    <s v="Not Specified"/>
    <s v="Not Specified"/>
    <n v="10"/>
    <x v="0"/>
    <x v="2"/>
  </r>
  <r>
    <x v="4"/>
    <x v="0"/>
    <x v="106"/>
    <x v="2"/>
    <x v="3"/>
    <x v="114"/>
    <x v="25"/>
    <x v="60"/>
    <x v="34"/>
    <x v="100"/>
    <x v="131"/>
    <s v="True to size, would recommend"/>
    <n v="1509408000"/>
    <s v="Not Specified"/>
    <s v="Not Specified"/>
    <s v="Not Specified"/>
    <n v="152"/>
    <x v="0"/>
    <x v="2"/>
  </r>
  <r>
    <x v="0"/>
    <x v="0"/>
    <x v="107"/>
    <x v="2"/>
    <x v="3"/>
    <x v="115"/>
    <x v="25"/>
    <x v="22"/>
    <x v="23"/>
    <x v="101"/>
    <x v="132"/>
    <s v="Best birthday present"/>
    <n v="1509235200"/>
    <s v="Not Specified"/>
    <s v="Not Specified"/>
    <s v="Not Specified"/>
    <n v="21"/>
    <x v="0"/>
    <x v="2"/>
  </r>
  <r>
    <x v="0"/>
    <x v="0"/>
    <x v="108"/>
    <x v="2"/>
    <x v="3"/>
    <x v="116"/>
    <x v="25"/>
    <x v="63"/>
    <x v="17"/>
    <x v="102"/>
    <x v="133"/>
    <s v="Purchased these for my wife as she has a similar ..."/>
    <n v="1508976000"/>
    <s v="Not Specified"/>
    <s v="Not Specified"/>
    <s v="Not Specified"/>
    <n v="185"/>
    <x v="0"/>
    <x v="2"/>
  </r>
  <r>
    <x v="0"/>
    <x v="0"/>
    <x v="108"/>
    <x v="2"/>
    <x v="3"/>
    <x v="117"/>
    <x v="25"/>
    <x v="14"/>
    <x v="24"/>
    <x v="103"/>
    <x v="134"/>
    <s v="I have pretty high arches and my calves always hurt at the ..."/>
    <n v="1508976000"/>
    <s v="Not Specified"/>
    <s v="Not Specified"/>
    <s v="Not Specified"/>
    <n v="351"/>
    <x v="0"/>
    <x v="2"/>
  </r>
  <r>
    <x v="0"/>
    <x v="0"/>
    <x v="12"/>
    <x v="2"/>
    <x v="3"/>
    <x v="118"/>
    <x v="25"/>
    <x v="21"/>
    <x v="35"/>
    <x v="104"/>
    <x v="135"/>
    <s v="Five Stars"/>
    <n v="1508889600"/>
    <s v="Not Specified"/>
    <s v="Not Specified"/>
    <s v="Not Specified"/>
    <n v="11"/>
    <x v="0"/>
    <x v="2"/>
  </r>
  <r>
    <x v="0"/>
    <x v="0"/>
    <x v="109"/>
    <x v="2"/>
    <x v="3"/>
    <x v="119"/>
    <x v="25"/>
    <x v="15"/>
    <x v="33"/>
    <x v="105"/>
    <x v="136"/>
    <s v="Five Stars"/>
    <n v="1508803200"/>
    <s v="Not Specified"/>
    <s v="Not Specified"/>
    <s v="Not Specified"/>
    <n v="35"/>
    <x v="0"/>
    <x v="2"/>
  </r>
  <r>
    <x v="0"/>
    <x v="0"/>
    <x v="110"/>
    <x v="2"/>
    <x v="3"/>
    <x v="120"/>
    <x v="25"/>
    <x v="57"/>
    <x v="36"/>
    <x v="106"/>
    <x v="137"/>
    <s v="Five Stars"/>
    <n v="1508630400"/>
    <s v="Not Specified"/>
    <s v="Not Specified"/>
    <s v="Not Specified"/>
    <n v="14"/>
    <x v="0"/>
    <x v="2"/>
  </r>
  <r>
    <x v="1"/>
    <x v="0"/>
    <x v="111"/>
    <x v="2"/>
    <x v="3"/>
    <x v="121"/>
    <x v="25"/>
    <x v="54"/>
    <x v="23"/>
    <x v="107"/>
    <x v="138"/>
    <s v="They are really light and not as sturdy as what I was looking for but over all ..."/>
    <n v="1508284800"/>
    <s v="Not Specified"/>
    <s v="Not Specified"/>
    <s v="Not Specified"/>
    <n v="201"/>
    <x v="1"/>
    <x v="2"/>
  </r>
  <r>
    <x v="0"/>
    <x v="0"/>
    <x v="112"/>
    <x v="2"/>
    <x v="3"/>
    <x v="122"/>
    <x v="25"/>
    <x v="60"/>
    <x v="24"/>
    <x v="5"/>
    <x v="139"/>
    <s v="Five Stars"/>
    <n v="1507852800"/>
    <s v="Not Specified"/>
    <s v="Not Specified"/>
    <s v="Not Specified"/>
    <n v="25"/>
    <x v="0"/>
    <x v="2"/>
  </r>
  <r>
    <x v="1"/>
    <x v="0"/>
    <x v="113"/>
    <x v="2"/>
    <x v="3"/>
    <x v="123"/>
    <x v="25"/>
    <x v="58"/>
    <x v="17"/>
    <x v="108"/>
    <x v="140"/>
    <s v="l always buy Nike shoes and been happy so far"/>
    <n v="1507593600"/>
    <s v="Not Specified"/>
    <s v="Not Specified"/>
    <s v="Not Specified"/>
    <n v="192"/>
    <x v="1"/>
    <x v="2"/>
  </r>
  <r>
    <x v="0"/>
    <x v="0"/>
    <x v="114"/>
    <x v="2"/>
    <x v="3"/>
    <x v="124"/>
    <x v="25"/>
    <x v="62"/>
    <x v="12"/>
    <x v="109"/>
    <x v="141"/>
    <s v="Honestly Fantastic Shoes"/>
    <n v="1506988800"/>
    <s v="Not Specified"/>
    <s v="Not Specified"/>
    <s v="Not Specified"/>
    <n v="230"/>
    <x v="0"/>
    <x v="2"/>
  </r>
  <r>
    <x v="0"/>
    <x v="0"/>
    <x v="115"/>
    <x v="2"/>
    <x v="3"/>
    <x v="125"/>
    <x v="25"/>
    <x v="60"/>
    <x v="24"/>
    <x v="5"/>
    <x v="142"/>
    <s v="Absolutely love these shoes and color"/>
    <n v="1506902400"/>
    <s v="Not Specified"/>
    <s v="Not Specified"/>
    <s v="Not Specified"/>
    <n v="171"/>
    <x v="0"/>
    <x v="2"/>
  </r>
  <r>
    <x v="0"/>
    <x v="0"/>
    <x v="116"/>
    <x v="2"/>
    <x v="0"/>
    <x v="126"/>
    <x v="25"/>
    <x v="54"/>
    <x v="12"/>
    <x v="110"/>
    <x v="143"/>
    <s v="Five Stars"/>
    <n v="1506470400"/>
    <s v="Not Specified"/>
    <s v="Not Specified"/>
    <s v="Not Specified"/>
    <n v="12"/>
    <x v="0"/>
    <x v="2"/>
  </r>
  <r>
    <x v="0"/>
    <x v="0"/>
    <x v="116"/>
    <x v="2"/>
    <x v="0"/>
    <x v="127"/>
    <x v="25"/>
    <x v="2"/>
    <x v="7"/>
    <x v="111"/>
    <x v="144"/>
    <s v="Nike runs small"/>
    <n v="1506470400"/>
    <s v="Not Specified"/>
    <s v="Not Specified"/>
    <s v="Not Specified"/>
    <n v="70"/>
    <x v="0"/>
    <x v="2"/>
  </r>
  <r>
    <x v="0"/>
    <x v="0"/>
    <x v="33"/>
    <x v="2"/>
    <x v="0"/>
    <x v="128"/>
    <x v="25"/>
    <x v="16"/>
    <x v="17"/>
    <x v="112"/>
    <x v="145"/>
    <s v="Five Stars"/>
    <n v="1506384000"/>
    <s v="Not Specified"/>
    <s v="Not Specified"/>
    <s v="Not Specified"/>
    <n v="9"/>
    <x v="0"/>
    <x v="2"/>
  </r>
  <r>
    <x v="0"/>
    <x v="0"/>
    <x v="117"/>
    <x v="2"/>
    <x v="0"/>
    <x v="129"/>
    <x v="25"/>
    <x v="22"/>
    <x v="17"/>
    <x v="113"/>
    <x v="146"/>
    <s v="Five Stars"/>
    <n v="1506297600"/>
    <s v="Not Specified"/>
    <s v="Not Specified"/>
    <s v="Not Specified"/>
    <n v="50"/>
    <x v="0"/>
    <x v="2"/>
  </r>
  <r>
    <x v="0"/>
    <x v="0"/>
    <x v="118"/>
    <x v="2"/>
    <x v="0"/>
    <x v="130"/>
    <x v="25"/>
    <x v="55"/>
    <x v="12"/>
    <x v="5"/>
    <x v="147"/>
    <s v="Very Happy Customer"/>
    <n v="1505865600"/>
    <s v="Not Specified"/>
    <s v="Not Specified"/>
    <s v="Not Specified"/>
    <n v="370"/>
    <x v="0"/>
    <x v="2"/>
  </r>
  <r>
    <x v="0"/>
    <x v="0"/>
    <x v="119"/>
    <x v="2"/>
    <x v="0"/>
    <x v="131"/>
    <x v="25"/>
    <x v="57"/>
    <x v="17"/>
    <x v="114"/>
    <x v="148"/>
    <s v="and very comfortable."/>
    <n v="1505692800"/>
    <s v="Not Specified"/>
    <s v="Not Specified"/>
    <s v="Not Specified"/>
    <n v="49"/>
    <x v="0"/>
    <x v="2"/>
  </r>
  <r>
    <x v="0"/>
    <x v="0"/>
    <x v="120"/>
    <x v="2"/>
    <x v="0"/>
    <x v="132"/>
    <x v="25"/>
    <x v="55"/>
    <x v="33"/>
    <x v="5"/>
    <x v="149"/>
    <s v="nice sneakers. Fit as expected"/>
    <n v="1505520000"/>
    <s v="Not Specified"/>
    <s v="Not Specified"/>
    <s v="Not Specified"/>
    <n v="40"/>
    <x v="0"/>
    <x v="2"/>
  </r>
  <r>
    <x v="0"/>
    <x v="0"/>
    <x v="121"/>
    <x v="2"/>
    <x v="0"/>
    <x v="133"/>
    <x v="25"/>
    <x v="60"/>
    <x v="34"/>
    <x v="332"/>
    <x v="150"/>
    <s v="5 stars"/>
    <n v="1505347200"/>
    <s v="Not Specified"/>
    <s v="Not Specified"/>
    <s v="Not Specified"/>
    <n v="23"/>
    <x v="0"/>
    <x v="2"/>
  </r>
  <r>
    <x v="0"/>
    <x v="0"/>
    <x v="122"/>
    <x v="2"/>
    <x v="0"/>
    <x v="134"/>
    <x v="25"/>
    <x v="57"/>
    <x v="38"/>
    <x v="116"/>
    <x v="151"/>
    <s v="Five Stars"/>
    <n v="1505260800"/>
    <s v="Not Specified"/>
    <s v="Not Specified"/>
    <s v="Not Specified"/>
    <n v="28"/>
    <x v="0"/>
    <x v="2"/>
  </r>
  <r>
    <x v="0"/>
    <x v="0"/>
    <x v="123"/>
    <x v="2"/>
    <x v="0"/>
    <x v="135"/>
    <x v="25"/>
    <x v="54"/>
    <x v="23"/>
    <x v="5"/>
    <x v="152"/>
    <s v="Five Stars"/>
    <n v="1505001600"/>
    <s v="Not Specified"/>
    <s v="Not Specified"/>
    <s v="Not Specified"/>
    <n v="48"/>
    <x v="0"/>
    <x v="2"/>
  </r>
  <r>
    <x v="0"/>
    <x v="0"/>
    <x v="124"/>
    <x v="2"/>
    <x v="0"/>
    <x v="136"/>
    <x v="25"/>
    <x v="57"/>
    <x v="33"/>
    <x v="117"/>
    <x v="153"/>
    <s v="These shoes fit like a glove"/>
    <n v="1504742400"/>
    <s v="Not Specified"/>
    <s v="Not Specified"/>
    <s v="Not Specified"/>
    <n v="119"/>
    <x v="0"/>
    <x v="2"/>
  </r>
  <r>
    <x v="0"/>
    <x v="0"/>
    <x v="125"/>
    <x v="2"/>
    <x v="0"/>
    <x v="137"/>
    <x v="25"/>
    <x v="22"/>
    <x v="23"/>
    <x v="118"/>
    <x v="154"/>
    <s v="Five Stars"/>
    <n v="1504569600"/>
    <s v="Not Specified"/>
    <s v="Not Specified"/>
    <s v="Not Specified"/>
    <n v="16"/>
    <x v="0"/>
    <x v="2"/>
  </r>
  <r>
    <x v="0"/>
    <x v="0"/>
    <x v="126"/>
    <x v="2"/>
    <x v="0"/>
    <x v="138"/>
    <x v="25"/>
    <x v="22"/>
    <x v="17"/>
    <x v="119"/>
    <x v="155"/>
    <s v="Five Stars"/>
    <n v="1504483200"/>
    <s v="Not Specified"/>
    <s v="Not Specified"/>
    <s v="Not Specified"/>
    <n v="12"/>
    <x v="0"/>
    <x v="2"/>
  </r>
  <r>
    <x v="4"/>
    <x v="0"/>
    <x v="127"/>
    <x v="2"/>
    <x v="4"/>
    <x v="139"/>
    <x v="25"/>
    <x v="57"/>
    <x v="33"/>
    <x v="120"/>
    <x v="156"/>
    <s v="Nike always makes a good shoe."/>
    <n v="1503964800"/>
    <s v="Not Specified"/>
    <s v="Not Specified"/>
    <s v="Not Specified"/>
    <n v="118"/>
    <x v="0"/>
    <x v="2"/>
  </r>
  <r>
    <x v="3"/>
    <x v="0"/>
    <x v="127"/>
    <x v="2"/>
    <x v="4"/>
    <x v="140"/>
    <x v="25"/>
    <x v="58"/>
    <x v="17"/>
    <x v="121"/>
    <x v="157"/>
    <s v="One Star"/>
    <n v="1503964800"/>
    <s v="Not Specified"/>
    <s v="Not Specified"/>
    <s v="Not Specified"/>
    <n v="52"/>
    <x v="2"/>
    <x v="2"/>
  </r>
  <r>
    <x v="0"/>
    <x v="0"/>
    <x v="127"/>
    <x v="2"/>
    <x v="4"/>
    <x v="141"/>
    <x v="25"/>
    <x v="17"/>
    <x v="17"/>
    <x v="122"/>
    <x v="158"/>
    <s v="Five Stars"/>
    <n v="1503964800"/>
    <s v="Not Specified"/>
    <s v="Not Specified"/>
    <s v="Not Specified"/>
    <n v="30"/>
    <x v="0"/>
    <x v="2"/>
  </r>
  <r>
    <x v="0"/>
    <x v="0"/>
    <x v="128"/>
    <x v="2"/>
    <x v="4"/>
    <x v="142"/>
    <x v="25"/>
    <x v="60"/>
    <x v="12"/>
    <x v="123"/>
    <x v="159"/>
    <s v=" Shoes"/>
    <n v="1503792000"/>
    <s v="Not Specified"/>
    <s v="Not Specified"/>
    <s v="Not Specified"/>
    <n v="17"/>
    <x v="0"/>
    <x v="2"/>
  </r>
  <r>
    <x v="4"/>
    <x v="0"/>
    <x v="129"/>
    <x v="2"/>
    <x v="4"/>
    <x v="143"/>
    <x v="25"/>
    <x v="54"/>
    <x v="31"/>
    <x v="124"/>
    <x v="160"/>
    <s v="Love these shoes"/>
    <n v="1503532800"/>
    <s v="Not Specified"/>
    <s v="Not Specified"/>
    <s v="Not Specified"/>
    <n v="225"/>
    <x v="0"/>
    <x v="2"/>
  </r>
  <r>
    <x v="3"/>
    <x v="0"/>
    <x v="129"/>
    <x v="2"/>
    <x v="4"/>
    <x v="144"/>
    <x v="25"/>
    <x v="55"/>
    <x v="29"/>
    <x v="125"/>
    <x v="161"/>
    <s v="I loved these shoes"/>
    <n v="1503532800"/>
    <s v="Not Specified"/>
    <s v="Not Specified"/>
    <s v="Not Specified"/>
    <n v="213"/>
    <x v="2"/>
    <x v="2"/>
  </r>
  <r>
    <x v="0"/>
    <x v="0"/>
    <x v="130"/>
    <x v="2"/>
    <x v="4"/>
    <x v="145"/>
    <x v="25"/>
    <x v="30"/>
    <x v="24"/>
    <x v="126"/>
    <x v="162"/>
    <s v="perfect"/>
    <n v="1503273600"/>
    <s v="Not Specified"/>
    <s v="Not Specified"/>
    <s v="Not Specified"/>
    <n v="55"/>
    <x v="0"/>
    <x v="2"/>
  </r>
  <r>
    <x v="0"/>
    <x v="0"/>
    <x v="131"/>
    <x v="2"/>
    <x v="4"/>
    <x v="146"/>
    <x v="25"/>
    <x v="59"/>
    <x v="17"/>
    <x v="127"/>
    <x v="163"/>
    <s v="Five Stars"/>
    <n v="1503187200"/>
    <s v="Not Specified"/>
    <s v="Not Specified"/>
    <s v="Not Specified"/>
    <n v="10"/>
    <x v="0"/>
    <x v="2"/>
  </r>
  <r>
    <x v="1"/>
    <x v="0"/>
    <x v="132"/>
    <x v="2"/>
    <x v="4"/>
    <x v="147"/>
    <x v="25"/>
    <x v="63"/>
    <x v="39"/>
    <x v="128"/>
    <x v="164"/>
    <s v="found a Ryka pair I liked"/>
    <n v="1502928000"/>
    <s v="Not Specified"/>
    <s v="Not Specified"/>
    <s v="Not Specified"/>
    <n v="50"/>
    <x v="1"/>
    <x v="2"/>
  </r>
  <r>
    <x v="0"/>
    <x v="0"/>
    <x v="132"/>
    <x v="2"/>
    <x v="4"/>
    <x v="148"/>
    <x v="25"/>
    <x v="60"/>
    <x v="17"/>
    <x v="129"/>
    <x v="165"/>
    <s v="Five Stars"/>
    <n v="1502928000"/>
    <s v="Not Specified"/>
    <s v="Not Specified"/>
    <s v="Not Specified"/>
    <n v="37"/>
    <x v="0"/>
    <x v="2"/>
  </r>
  <r>
    <x v="0"/>
    <x v="0"/>
    <x v="133"/>
    <x v="2"/>
    <x v="4"/>
    <x v="149"/>
    <x v="25"/>
    <x v="3"/>
    <x v="26"/>
    <x v="5"/>
    <x v="166"/>
    <s v="Five Stars"/>
    <n v="1502755200"/>
    <s v="Not Specified"/>
    <s v="Not Specified"/>
    <s v="Not Specified"/>
    <n v="16"/>
    <x v="0"/>
    <x v="2"/>
  </r>
  <r>
    <x v="0"/>
    <x v="0"/>
    <x v="134"/>
    <x v="2"/>
    <x v="4"/>
    <x v="150"/>
    <x v="25"/>
    <x v="57"/>
    <x v="17"/>
    <x v="130"/>
    <x v="167"/>
    <s v="the best sneakers by far"/>
    <n v="1502668800"/>
    <s v="Not Specified"/>
    <s v="Not Specified"/>
    <s v="Not Specified"/>
    <n v="145"/>
    <x v="0"/>
    <x v="2"/>
  </r>
  <r>
    <x v="0"/>
    <x v="0"/>
    <x v="135"/>
    <x v="2"/>
    <x v="4"/>
    <x v="151"/>
    <x v="25"/>
    <x v="17"/>
    <x v="17"/>
    <x v="131"/>
    <x v="168"/>
    <s v="Classically comfortable and durable"/>
    <n v="1502496000"/>
    <s v="Not Specified"/>
    <s v="Not Specified"/>
    <s v="Not Specified"/>
    <n v="230"/>
    <x v="0"/>
    <x v="2"/>
  </r>
  <r>
    <x v="4"/>
    <x v="0"/>
    <x v="136"/>
    <x v="2"/>
    <x v="4"/>
    <x v="152"/>
    <x v="25"/>
    <x v="63"/>
    <x v="17"/>
    <x v="132"/>
    <x v="169"/>
    <s v="Four Stars"/>
    <n v="1502409600"/>
    <s v="Not Specified"/>
    <s v="Not Specified"/>
    <s v="Not Specified"/>
    <n v="59"/>
    <x v="0"/>
    <x v="2"/>
  </r>
  <r>
    <x v="1"/>
    <x v="0"/>
    <x v="137"/>
    <x v="2"/>
    <x v="4"/>
    <x v="153"/>
    <x v="25"/>
    <x v="17"/>
    <x v="17"/>
    <x v="133"/>
    <x v="170"/>
    <s v="the Nike Womens Flex Trainer 6 is way better looking and costs about the same"/>
    <n v="1502150400"/>
    <s v="Not Specified"/>
    <s v="Not Specified"/>
    <s v="Not Specified"/>
    <n v="138"/>
    <x v="1"/>
    <x v="2"/>
  </r>
  <r>
    <x v="0"/>
    <x v="0"/>
    <x v="137"/>
    <x v="2"/>
    <x v="4"/>
    <x v="154"/>
    <x v="25"/>
    <x v="67"/>
    <x v="17"/>
    <x v="134"/>
    <x v="171"/>
    <s v="Five Stars"/>
    <n v="1502150400"/>
    <s v="Not Specified"/>
    <s v="Not Specified"/>
    <s v="Not Specified"/>
    <n v="27"/>
    <x v="0"/>
    <x v="2"/>
  </r>
  <r>
    <x v="0"/>
    <x v="0"/>
    <x v="138"/>
    <x v="2"/>
    <x v="4"/>
    <x v="155"/>
    <x v="25"/>
    <x v="57"/>
    <x v="28"/>
    <x v="135"/>
    <x v="172"/>
    <s v="Five Stars"/>
    <n v="1502064000"/>
    <s v="Not Specified"/>
    <s v="Not Specified"/>
    <s v="Not Specified"/>
    <n v="10"/>
    <x v="0"/>
    <x v="2"/>
  </r>
  <r>
    <x v="0"/>
    <x v="0"/>
    <x v="139"/>
    <x v="2"/>
    <x v="4"/>
    <x v="156"/>
    <x v="25"/>
    <x v="22"/>
    <x v="23"/>
    <x v="136"/>
    <x v="173"/>
    <s v="Love the color and fit"/>
    <n v="1501804800"/>
    <s v="Not Specified"/>
    <s v="Not Specified"/>
    <s v="Not Specified"/>
    <n v="114"/>
    <x v="0"/>
    <x v="2"/>
  </r>
  <r>
    <x v="1"/>
    <x v="0"/>
    <x v="140"/>
    <x v="2"/>
    <x v="4"/>
    <x v="157"/>
    <x v="25"/>
    <x v="61"/>
    <x v="17"/>
    <x v="137"/>
    <x v="174"/>
    <s v="OK"/>
    <n v="1501632000"/>
    <s v="Not Specified"/>
    <s v="Not Specified"/>
    <s v="Not Specified"/>
    <n v="264"/>
    <x v="1"/>
    <x v="2"/>
  </r>
  <r>
    <x v="0"/>
    <x v="0"/>
    <x v="141"/>
    <x v="2"/>
    <x v="9"/>
    <x v="158"/>
    <x v="25"/>
    <x v="17"/>
    <x v="17"/>
    <x v="5"/>
    <x v="175"/>
    <s v="Great fit!"/>
    <n v="1500508800"/>
    <s v="Not Specified"/>
    <s v="Not Specified"/>
    <s v="Not Specified"/>
    <n v="34"/>
    <x v="0"/>
    <x v="2"/>
  </r>
  <r>
    <x v="0"/>
    <x v="0"/>
    <x v="142"/>
    <x v="2"/>
    <x v="9"/>
    <x v="159"/>
    <x v="25"/>
    <x v="57"/>
    <x v="33"/>
    <x v="138"/>
    <x v="176"/>
    <s v="Very satisfied with the seller - delivered on time"/>
    <n v="1500336000"/>
    <s v="Not Specified"/>
    <s v="Not Specified"/>
    <s v="Not Specified"/>
    <n v="124"/>
    <x v="0"/>
    <x v="2"/>
  </r>
  <r>
    <x v="4"/>
    <x v="0"/>
    <x v="142"/>
    <x v="2"/>
    <x v="9"/>
    <x v="160"/>
    <x v="25"/>
    <x v="55"/>
    <x v="26"/>
    <x v="139"/>
    <x v="177"/>
    <s v="Four Stars"/>
    <n v="1500336000"/>
    <s v="Not Specified"/>
    <s v="Not Specified"/>
    <s v="Not Specified"/>
    <n v="28"/>
    <x v="0"/>
    <x v="2"/>
  </r>
  <r>
    <x v="0"/>
    <x v="0"/>
    <x v="142"/>
    <x v="2"/>
    <x v="9"/>
    <x v="161"/>
    <x v="25"/>
    <x v="59"/>
    <x v="17"/>
    <x v="140"/>
    <x v="178"/>
    <s v="Comfortable shoe for both workout sessions and walking"/>
    <n v="1500336000"/>
    <s v="Not Specified"/>
    <s v="Not Specified"/>
    <s v="Not Specified"/>
    <n v="184"/>
    <x v="0"/>
    <x v="2"/>
  </r>
  <r>
    <x v="0"/>
    <x v="0"/>
    <x v="142"/>
    <x v="2"/>
    <x v="9"/>
    <x v="162"/>
    <x v="25"/>
    <x v="16"/>
    <x v="17"/>
    <x v="141"/>
    <x v="68"/>
    <s v="Five Stars"/>
    <n v="1500336000"/>
    <s v="Not Specified"/>
    <s v="Not Specified"/>
    <s v="Not Specified"/>
    <n v="0"/>
    <x v="0"/>
    <x v="2"/>
  </r>
  <r>
    <x v="0"/>
    <x v="0"/>
    <x v="142"/>
    <x v="2"/>
    <x v="9"/>
    <x v="163"/>
    <x v="25"/>
    <x v="54"/>
    <x v="12"/>
    <x v="142"/>
    <x v="65"/>
    <s v="Five Stars"/>
    <n v="1500336000"/>
    <s v="Not Specified"/>
    <s v="Not Specified"/>
    <s v="Not Specified"/>
    <n v="4"/>
    <x v="0"/>
    <x v="2"/>
  </r>
  <r>
    <x v="0"/>
    <x v="0"/>
    <x v="142"/>
    <x v="2"/>
    <x v="9"/>
    <x v="164"/>
    <x v="25"/>
    <x v="54"/>
    <x v="39"/>
    <x v="5"/>
    <x v="179"/>
    <s v="These are the best shoes I have ever use for my workouts"/>
    <n v="1500336000"/>
    <s v="Not Specified"/>
    <s v="Not Specified"/>
    <s v="Not Specified"/>
    <n v="99"/>
    <x v="0"/>
    <x v="2"/>
  </r>
  <r>
    <x v="0"/>
    <x v="0"/>
    <x v="142"/>
    <x v="2"/>
    <x v="9"/>
    <x v="165"/>
    <x v="25"/>
    <x v="60"/>
    <x v="17"/>
    <x v="143"/>
    <x v="180"/>
    <s v="I love these shoes"/>
    <n v="1500336000"/>
    <s v="Not Specified"/>
    <s v="Not Specified"/>
    <s v="Not Specified"/>
    <n v="178"/>
    <x v="0"/>
    <x v="2"/>
  </r>
  <r>
    <x v="0"/>
    <x v="0"/>
    <x v="143"/>
    <x v="2"/>
    <x v="9"/>
    <x v="166"/>
    <x v="25"/>
    <x v="65"/>
    <x v="28"/>
    <x v="144"/>
    <x v="181"/>
    <s v="Five Stars"/>
    <n v="1500076800"/>
    <s v="Not Specified"/>
    <s v="Not Specified"/>
    <s v="Not Specified"/>
    <n v="30"/>
    <x v="0"/>
    <x v="2"/>
  </r>
  <r>
    <x v="1"/>
    <x v="0"/>
    <x v="143"/>
    <x v="2"/>
    <x v="9"/>
    <x v="167"/>
    <x v="25"/>
    <x v="57"/>
    <x v="23"/>
    <x v="145"/>
    <x v="182"/>
    <s v="Low cut heels"/>
    <n v="1500076800"/>
    <s v="Not Specified"/>
    <s v="Not Specified"/>
    <s v="Not Specified"/>
    <n v="130"/>
    <x v="1"/>
    <x v="2"/>
  </r>
  <r>
    <x v="0"/>
    <x v="0"/>
    <x v="144"/>
    <x v="2"/>
    <x v="9"/>
    <x v="168"/>
    <x v="25"/>
    <x v="63"/>
    <x v="30"/>
    <x v="146"/>
    <x v="183"/>
    <s v="Perfect"/>
    <n v="1499558400"/>
    <s v="Not Specified"/>
    <s v="Not Specified"/>
    <s v="Not Specified"/>
    <n v="112"/>
    <x v="0"/>
    <x v="2"/>
  </r>
  <r>
    <x v="0"/>
    <x v="0"/>
    <x v="145"/>
    <x v="2"/>
    <x v="9"/>
    <x v="169"/>
    <x v="25"/>
    <x v="68"/>
    <x v="25"/>
    <x v="147"/>
    <x v="184"/>
    <s v="Exactly what I wanted"/>
    <n v="1499472000"/>
    <s v="Not Specified"/>
    <s v="Not Specified"/>
    <s v="Not Specified"/>
    <n v="22"/>
    <x v="0"/>
    <x v="2"/>
  </r>
  <r>
    <x v="4"/>
    <x v="0"/>
    <x v="146"/>
    <x v="2"/>
    <x v="9"/>
    <x v="170"/>
    <x v="25"/>
    <x v="60"/>
    <x v="17"/>
    <x v="148"/>
    <x v="185"/>
    <s v="Light shoes"/>
    <n v="1499385600"/>
    <s v="Not Specified"/>
    <s v="Not Specified"/>
    <s v="Not Specified"/>
    <n v="453"/>
    <x v="0"/>
    <x v="2"/>
  </r>
  <r>
    <x v="1"/>
    <x v="1"/>
    <x v="147"/>
    <x v="2"/>
    <x v="9"/>
    <x v="171"/>
    <x v="25"/>
    <x v="62"/>
    <x v="12"/>
    <x v="149"/>
    <x v="186"/>
    <s v="Good indoor training shoes"/>
    <n v="1498867200"/>
    <s v="Not Specified"/>
    <s v="Not Specified"/>
    <s v="Not Specified"/>
    <n v="566"/>
    <x v="1"/>
    <x v="2"/>
  </r>
  <r>
    <x v="0"/>
    <x v="0"/>
    <x v="148"/>
    <x v="2"/>
    <x v="6"/>
    <x v="172"/>
    <x v="25"/>
    <x v="60"/>
    <x v="17"/>
    <x v="150"/>
    <x v="187"/>
    <s v="So Perf."/>
    <n v="1498780800"/>
    <s v="Not Specified"/>
    <s v="Not Specified"/>
    <s v="Not Specified"/>
    <n v="5"/>
    <x v="0"/>
    <x v="2"/>
  </r>
  <r>
    <x v="0"/>
    <x v="0"/>
    <x v="149"/>
    <x v="2"/>
    <x v="6"/>
    <x v="173"/>
    <x v="25"/>
    <x v="55"/>
    <x v="32"/>
    <x v="151"/>
    <x v="188"/>
    <s v="Five Stars"/>
    <n v="1498608000"/>
    <s v="Not Specified"/>
    <s v="Not Specified"/>
    <s v="Not Specified"/>
    <n v="18"/>
    <x v="0"/>
    <x v="2"/>
  </r>
  <r>
    <x v="0"/>
    <x v="0"/>
    <x v="150"/>
    <x v="2"/>
    <x v="6"/>
    <x v="174"/>
    <x v="25"/>
    <x v="60"/>
    <x v="34"/>
    <x v="152"/>
    <x v="189"/>
    <s v="Five Stars"/>
    <n v="1498435200"/>
    <s v="Not Specified"/>
    <s v="Not Specified"/>
    <s v="Not Specified"/>
    <n v="8"/>
    <x v="0"/>
    <x v="2"/>
  </r>
  <r>
    <x v="0"/>
    <x v="0"/>
    <x v="151"/>
    <x v="2"/>
    <x v="6"/>
    <x v="175"/>
    <x v="25"/>
    <x v="54"/>
    <x v="24"/>
    <x v="5"/>
    <x v="190"/>
    <s v="Great work out shoe"/>
    <n v="1498003200"/>
    <s v="Not Specified"/>
    <s v="Not Specified"/>
    <s v="Not Specified"/>
    <n v="141"/>
    <x v="0"/>
    <x v="2"/>
  </r>
  <r>
    <x v="0"/>
    <x v="0"/>
    <x v="152"/>
    <x v="2"/>
    <x v="6"/>
    <x v="176"/>
    <x v="25"/>
    <x v="44"/>
    <x v="25"/>
    <x v="153"/>
    <x v="191"/>
    <s v="I love these shoes so much that I reordered another pair ..."/>
    <n v="1497916800"/>
    <s v="Not Specified"/>
    <s v="Not Specified"/>
    <s v="Not Specified"/>
    <n v="275"/>
    <x v="0"/>
    <x v="2"/>
  </r>
  <r>
    <x v="0"/>
    <x v="0"/>
    <x v="152"/>
    <x v="2"/>
    <x v="6"/>
    <x v="177"/>
    <x v="25"/>
    <x v="60"/>
    <x v="17"/>
    <x v="154"/>
    <x v="192"/>
    <s v="Comfortable, light weight, nice."/>
    <n v="1497916800"/>
    <s v="Not Specified"/>
    <s v="Not Specified"/>
    <s v="Not Specified"/>
    <n v="69"/>
    <x v="0"/>
    <x v="2"/>
  </r>
  <r>
    <x v="4"/>
    <x v="0"/>
    <x v="153"/>
    <x v="2"/>
    <x v="6"/>
    <x v="178"/>
    <x v="25"/>
    <x v="60"/>
    <x v="17"/>
    <x v="155"/>
    <x v="193"/>
    <s v="Four Stars"/>
    <n v="1497830400"/>
    <s v="Not Specified"/>
    <s v="Not Specified"/>
    <s v="Not Specified"/>
    <n v="12"/>
    <x v="0"/>
    <x v="2"/>
  </r>
  <r>
    <x v="0"/>
    <x v="0"/>
    <x v="153"/>
    <x v="2"/>
    <x v="6"/>
    <x v="179"/>
    <x v="25"/>
    <x v="67"/>
    <x v="17"/>
    <x v="156"/>
    <x v="194"/>
    <s v="I feel like this pair of shoes was made for my feet"/>
    <n v="1497830400"/>
    <s v="Not Specified"/>
    <s v="Not Specified"/>
    <s v="Not Specified"/>
    <n v="108"/>
    <x v="0"/>
    <x v="2"/>
  </r>
  <r>
    <x v="0"/>
    <x v="0"/>
    <x v="153"/>
    <x v="2"/>
    <x v="6"/>
    <x v="180"/>
    <x v="25"/>
    <x v="17"/>
    <x v="17"/>
    <x v="5"/>
    <x v="195"/>
    <s v="Awesome shoes!!!"/>
    <n v="1497830400"/>
    <s v="Not Specified"/>
    <s v="Not Specified"/>
    <s v="Not Specified"/>
    <n v="76"/>
    <x v="0"/>
    <x v="2"/>
  </r>
  <r>
    <x v="1"/>
    <x v="0"/>
    <x v="15"/>
    <x v="2"/>
    <x v="6"/>
    <x v="181"/>
    <x v="25"/>
    <x v="16"/>
    <x v="17"/>
    <x v="157"/>
    <x v="196"/>
    <s v="Just wasn't what i was looking for"/>
    <n v="1497571200"/>
    <s v="Not Specified"/>
    <s v="Not Specified"/>
    <s v="Not Specified"/>
    <n v="468"/>
    <x v="1"/>
    <x v="2"/>
  </r>
  <r>
    <x v="0"/>
    <x v="0"/>
    <x v="154"/>
    <x v="2"/>
    <x v="6"/>
    <x v="182"/>
    <x v="25"/>
    <x v="22"/>
    <x v="17"/>
    <x v="158"/>
    <x v="197"/>
    <s v="So comfortable, I don't even feel like I have a ..."/>
    <n v="1497484800"/>
    <s v="Not Specified"/>
    <s v="Not Specified"/>
    <s v="Not Specified"/>
    <n v="125"/>
    <x v="0"/>
    <x v="2"/>
  </r>
  <r>
    <x v="0"/>
    <x v="0"/>
    <x v="154"/>
    <x v="2"/>
    <x v="6"/>
    <x v="183"/>
    <x v="25"/>
    <x v="54"/>
    <x v="30"/>
    <x v="159"/>
    <x v="198"/>
    <s v="Five Stars"/>
    <n v="1497484800"/>
    <s v="Not Specified"/>
    <s v="Not Specified"/>
    <s v="Not Specified"/>
    <n v="56"/>
    <x v="0"/>
    <x v="2"/>
  </r>
  <r>
    <x v="0"/>
    <x v="0"/>
    <x v="155"/>
    <x v="2"/>
    <x v="6"/>
    <x v="184"/>
    <x v="25"/>
    <x v="60"/>
    <x v="18"/>
    <x v="5"/>
    <x v="199"/>
    <s v="Five Stars"/>
    <n v="1497398400"/>
    <s v="Not Specified"/>
    <s v="Not Specified"/>
    <s v="Not Specified"/>
    <n v="21"/>
    <x v="0"/>
    <x v="2"/>
  </r>
  <r>
    <x v="0"/>
    <x v="0"/>
    <x v="156"/>
    <x v="2"/>
    <x v="6"/>
    <x v="185"/>
    <x v="25"/>
    <x v="55"/>
    <x v="32"/>
    <x v="160"/>
    <x v="200"/>
    <s v="Five Stars"/>
    <n v="1497312000"/>
    <s v="Not Specified"/>
    <s v="Not Specified"/>
    <s v="Not Specified"/>
    <n v="64"/>
    <x v="0"/>
    <x v="2"/>
  </r>
  <r>
    <x v="0"/>
    <x v="0"/>
    <x v="157"/>
    <x v="2"/>
    <x v="6"/>
    <x v="186"/>
    <x v="25"/>
    <x v="55"/>
    <x v="24"/>
    <x v="161"/>
    <x v="201"/>
    <s v="Five Stars"/>
    <n v="1496880000"/>
    <s v="Not Specified"/>
    <s v="Not Specified"/>
    <s v="Not Specified"/>
    <n v="27"/>
    <x v="0"/>
    <x v="2"/>
  </r>
  <r>
    <x v="3"/>
    <x v="0"/>
    <x v="158"/>
    <x v="2"/>
    <x v="6"/>
    <x v="187"/>
    <x v="25"/>
    <x v="42"/>
    <x v="25"/>
    <x v="162"/>
    <x v="202"/>
    <s v="Falling apart already!!"/>
    <n v="1496620800"/>
    <s v="Not Specified"/>
    <s v="Not Specified"/>
    <s v="Not Specified"/>
    <n v="75"/>
    <x v="2"/>
    <x v="2"/>
  </r>
  <r>
    <x v="0"/>
    <x v="0"/>
    <x v="159"/>
    <x v="2"/>
    <x v="6"/>
    <x v="188"/>
    <x v="25"/>
    <x v="57"/>
    <x v="17"/>
    <x v="163"/>
    <x v="203"/>
    <s v="Five Stars"/>
    <n v="1496361600"/>
    <s v="Not Specified"/>
    <s v="Not Specified"/>
    <s v="Not Specified"/>
    <n v="91"/>
    <x v="0"/>
    <x v="2"/>
  </r>
  <r>
    <x v="0"/>
    <x v="0"/>
    <x v="160"/>
    <x v="2"/>
    <x v="1"/>
    <x v="189"/>
    <x v="25"/>
    <x v="59"/>
    <x v="17"/>
    <x v="164"/>
    <x v="135"/>
    <s v="Five Stars"/>
    <n v="1496102400"/>
    <s v="Not Specified"/>
    <s v="Not Specified"/>
    <s v="Not Specified"/>
    <n v="11"/>
    <x v="0"/>
    <x v="2"/>
  </r>
  <r>
    <x v="0"/>
    <x v="0"/>
    <x v="160"/>
    <x v="2"/>
    <x v="1"/>
    <x v="190"/>
    <x v="25"/>
    <x v="63"/>
    <x v="26"/>
    <x v="165"/>
    <x v="204"/>
    <s v="love the fit"/>
    <n v="1496102400"/>
    <s v="Not Specified"/>
    <s v="Not Specified"/>
    <s v="Not Specified"/>
    <n v="61"/>
    <x v="0"/>
    <x v="2"/>
  </r>
  <r>
    <x v="4"/>
    <x v="0"/>
    <x v="161"/>
    <x v="2"/>
    <x v="1"/>
    <x v="191"/>
    <x v="25"/>
    <x v="44"/>
    <x v="25"/>
    <x v="166"/>
    <x v="205"/>
    <s v="Nike"/>
    <n v="1496016000"/>
    <s v="Not Specified"/>
    <s v="Not Specified"/>
    <s v="Not Specified"/>
    <n v="65"/>
    <x v="0"/>
    <x v="2"/>
  </r>
  <r>
    <x v="1"/>
    <x v="0"/>
    <x v="162"/>
    <x v="2"/>
    <x v="1"/>
    <x v="192"/>
    <x v="25"/>
    <x v="63"/>
    <x v="17"/>
    <x v="167"/>
    <x v="206"/>
    <s v="Nope"/>
    <n v="1495670400"/>
    <s v="Not Specified"/>
    <s v="Not Specified"/>
    <s v="Not Specified"/>
    <n v="40"/>
    <x v="1"/>
    <x v="2"/>
  </r>
  <r>
    <x v="0"/>
    <x v="0"/>
    <x v="163"/>
    <x v="2"/>
    <x v="1"/>
    <x v="193"/>
    <x v="25"/>
    <x v="57"/>
    <x v="17"/>
    <x v="168"/>
    <x v="207"/>
    <s v="It is comfortable."/>
    <n v="1495411200"/>
    <s v="Not Specified"/>
    <s v="Not Specified"/>
    <s v="Not Specified"/>
    <n v="45"/>
    <x v="0"/>
    <x v="2"/>
  </r>
  <r>
    <x v="0"/>
    <x v="0"/>
    <x v="163"/>
    <x v="2"/>
    <x v="1"/>
    <x v="194"/>
    <x v="25"/>
    <x v="17"/>
    <x v="17"/>
    <x v="169"/>
    <x v="208"/>
    <s v="Perfect cross trainers"/>
    <n v="1495411200"/>
    <s v="Not Specified"/>
    <s v="Not Specified"/>
    <s v="Not Specified"/>
    <n v="86"/>
    <x v="0"/>
    <x v="2"/>
  </r>
  <r>
    <x v="0"/>
    <x v="1"/>
    <x v="164"/>
    <x v="2"/>
    <x v="1"/>
    <x v="195"/>
    <x v="25"/>
    <x v="45"/>
    <x v="25"/>
    <x v="170"/>
    <x v="209"/>
    <s v="Great training shoes"/>
    <n v="1495152000"/>
    <s v="Not Specified"/>
    <s v="Not Specified"/>
    <n v="2"/>
    <n v="109"/>
    <x v="0"/>
    <x v="2"/>
  </r>
  <r>
    <x v="0"/>
    <x v="1"/>
    <x v="164"/>
    <x v="2"/>
    <x v="1"/>
    <x v="195"/>
    <x v="25"/>
    <x v="63"/>
    <x v="28"/>
    <x v="170"/>
    <x v="210"/>
    <s v="Amazing training Sneakers."/>
    <n v="1495152000"/>
    <s v="Not Specified"/>
    <s v="Not Specified"/>
    <n v="4"/>
    <n v="274"/>
    <x v="0"/>
    <x v="2"/>
  </r>
  <r>
    <x v="4"/>
    <x v="0"/>
    <x v="165"/>
    <x v="2"/>
    <x v="1"/>
    <x v="196"/>
    <x v="25"/>
    <x v="60"/>
    <x v="17"/>
    <x v="171"/>
    <x v="211"/>
    <s v="HIIT shoes"/>
    <n v="1495065600"/>
    <s v="Not Specified"/>
    <s v="Not Specified"/>
    <s v="Not Specified"/>
    <n v="20"/>
    <x v="0"/>
    <x v="2"/>
  </r>
  <r>
    <x v="4"/>
    <x v="0"/>
    <x v="166"/>
    <x v="2"/>
    <x v="1"/>
    <x v="197"/>
    <x v="25"/>
    <x v="60"/>
    <x v="34"/>
    <x v="172"/>
    <x v="212"/>
    <s v="Four Stars"/>
    <n v="1494806400"/>
    <s v="Not Specified"/>
    <s v="Not Specified"/>
    <s v="Not Specified"/>
    <n v="40"/>
    <x v="0"/>
    <x v="2"/>
  </r>
  <r>
    <x v="1"/>
    <x v="0"/>
    <x v="167"/>
    <x v="2"/>
    <x v="1"/>
    <x v="198"/>
    <x v="25"/>
    <x v="17"/>
    <x v="17"/>
    <x v="173"/>
    <x v="213"/>
    <s v="Lack support but overall good shoe"/>
    <n v="1494374400"/>
    <s v="Not Specified"/>
    <s v="Not Specified"/>
    <s v="Not Specified"/>
    <n v="170"/>
    <x v="1"/>
    <x v="2"/>
  </r>
  <r>
    <x v="0"/>
    <x v="0"/>
    <x v="168"/>
    <x v="2"/>
    <x v="1"/>
    <x v="199"/>
    <x v="25"/>
    <x v="66"/>
    <x v="40"/>
    <x v="174"/>
    <x v="214"/>
    <s v="Adorable shoes"/>
    <n v="1494115200"/>
    <s v="Not Specified"/>
    <s v="Not Specified"/>
    <s v="Not Specified"/>
    <n v="193"/>
    <x v="0"/>
    <x v="2"/>
  </r>
  <r>
    <x v="0"/>
    <x v="0"/>
    <x v="169"/>
    <x v="2"/>
    <x v="1"/>
    <x v="200"/>
    <x v="25"/>
    <x v="68"/>
    <x v="25"/>
    <x v="175"/>
    <x v="215"/>
    <s v="Wide sneaker for wide feet"/>
    <n v="1494028800"/>
    <s v="Not Specified"/>
    <s v="Not Specified"/>
    <s v="Not Specified"/>
    <n v="126"/>
    <x v="0"/>
    <x v="2"/>
  </r>
  <r>
    <x v="0"/>
    <x v="0"/>
    <x v="170"/>
    <x v="2"/>
    <x v="1"/>
    <x v="201"/>
    <x v="25"/>
    <x v="57"/>
    <x v="28"/>
    <x v="176"/>
    <x v="216"/>
    <s v="I've been using these to exercise and they are nice a roomy and allow my feet to breath"/>
    <n v="1493942400"/>
    <s v="Not Specified"/>
    <s v="Not Specified"/>
    <s v="Not Specified"/>
    <n v="110"/>
    <x v="0"/>
    <x v="2"/>
  </r>
  <r>
    <x v="0"/>
    <x v="0"/>
    <x v="171"/>
    <x v="2"/>
    <x v="1"/>
    <x v="202"/>
    <x v="25"/>
    <x v="16"/>
    <x v="17"/>
    <x v="177"/>
    <x v="217"/>
    <s v="Five Stars"/>
    <n v="1493769600"/>
    <s v="Not Specified"/>
    <s v="Not Specified"/>
    <s v="Not Specified"/>
    <n v="42"/>
    <x v="0"/>
    <x v="2"/>
  </r>
  <r>
    <x v="0"/>
    <x v="0"/>
    <x v="171"/>
    <x v="2"/>
    <x v="1"/>
    <x v="203"/>
    <x v="25"/>
    <x v="57"/>
    <x v="17"/>
    <x v="178"/>
    <x v="218"/>
    <s v="Five Stars"/>
    <n v="1493769600"/>
    <s v="Not Specified"/>
    <s v="Not Specified"/>
    <s v="Not Specified"/>
    <n v="12"/>
    <x v="0"/>
    <x v="2"/>
  </r>
  <r>
    <x v="4"/>
    <x v="0"/>
    <x v="172"/>
    <x v="2"/>
    <x v="1"/>
    <x v="204"/>
    <x v="25"/>
    <x v="66"/>
    <x v="40"/>
    <x v="179"/>
    <x v="219"/>
    <s v="Great training shoes"/>
    <n v="1493683200"/>
    <s v="Not Specified"/>
    <s v="Not Specified"/>
    <s v="Not Specified"/>
    <n v="86"/>
    <x v="0"/>
    <x v="2"/>
  </r>
  <r>
    <x v="0"/>
    <x v="0"/>
    <x v="173"/>
    <x v="2"/>
    <x v="1"/>
    <x v="205"/>
    <x v="25"/>
    <x v="26"/>
    <x v="41"/>
    <x v="180"/>
    <x v="220"/>
    <s v="Five Stars"/>
    <n v="1493596800"/>
    <s v="Not Specified"/>
    <s v="Not Specified"/>
    <s v="Not Specified"/>
    <n v="89"/>
    <x v="0"/>
    <x v="2"/>
  </r>
  <r>
    <x v="0"/>
    <x v="0"/>
    <x v="174"/>
    <x v="2"/>
    <x v="10"/>
    <x v="206"/>
    <x v="25"/>
    <x v="55"/>
    <x v="18"/>
    <x v="181"/>
    <x v="221"/>
    <s v="Five Stars"/>
    <n v="1493337600"/>
    <s v="Not Specified"/>
    <s v="Not Specified"/>
    <s v="Not Specified"/>
    <n v="12"/>
    <x v="0"/>
    <x v="2"/>
  </r>
  <r>
    <x v="4"/>
    <x v="0"/>
    <x v="175"/>
    <x v="2"/>
    <x v="10"/>
    <x v="207"/>
    <x v="25"/>
    <x v="45"/>
    <x v="25"/>
    <x v="5"/>
    <x v="222"/>
    <s v="Four Stars"/>
    <n v="1493251200"/>
    <s v="Not Specified"/>
    <s v="Not Specified"/>
    <s v="Not Specified"/>
    <n v="58"/>
    <x v="0"/>
    <x v="2"/>
  </r>
  <r>
    <x v="4"/>
    <x v="0"/>
    <x v="175"/>
    <x v="2"/>
    <x v="10"/>
    <x v="208"/>
    <x v="25"/>
    <x v="43"/>
    <x v="25"/>
    <x v="182"/>
    <x v="223"/>
    <s v="and they were great! Super comfortable"/>
    <n v="1493251200"/>
    <s v="Not Specified"/>
    <s v="Not Specified"/>
    <s v="Not Specified"/>
    <n v="199"/>
    <x v="0"/>
    <x v="2"/>
  </r>
  <r>
    <x v="0"/>
    <x v="0"/>
    <x v="176"/>
    <x v="2"/>
    <x v="10"/>
    <x v="209"/>
    <x v="25"/>
    <x v="22"/>
    <x v="17"/>
    <x v="183"/>
    <x v="224"/>
    <s v="Five Stars"/>
    <n v="1493164800"/>
    <s v="Not Specified"/>
    <s v="Not Specified"/>
    <s v="Not Specified"/>
    <n v="28"/>
    <x v="0"/>
    <x v="2"/>
  </r>
  <r>
    <x v="0"/>
    <x v="0"/>
    <x v="177"/>
    <x v="2"/>
    <x v="10"/>
    <x v="210"/>
    <x v="25"/>
    <x v="44"/>
    <x v="25"/>
    <x v="184"/>
    <x v="225"/>
    <s v="I love these shoes my second pair of 40 plus $ ..."/>
    <n v="1493078400"/>
    <s v="Not Specified"/>
    <s v="Not Specified"/>
    <s v="Not Specified"/>
    <n v="235"/>
    <x v="0"/>
    <x v="2"/>
  </r>
  <r>
    <x v="4"/>
    <x v="0"/>
    <x v="178"/>
    <x v="2"/>
    <x v="10"/>
    <x v="211"/>
    <x v="25"/>
    <x v="60"/>
    <x v="17"/>
    <x v="185"/>
    <x v="226"/>
    <s v="They fit as expected and perfect for training"/>
    <n v="1492992000"/>
    <s v="Not Specified"/>
    <s v="Not Specified"/>
    <s v="Not Specified"/>
    <n v="140"/>
    <x v="0"/>
    <x v="2"/>
  </r>
  <r>
    <x v="0"/>
    <x v="0"/>
    <x v="178"/>
    <x v="2"/>
    <x v="10"/>
    <x v="212"/>
    <x v="25"/>
    <x v="59"/>
    <x v="34"/>
    <x v="5"/>
    <x v="227"/>
    <s v="Five Stars"/>
    <n v="1492992000"/>
    <s v="Not Specified"/>
    <s v="Not Specified"/>
    <s v="Not Specified"/>
    <n v="39"/>
    <x v="0"/>
    <x v="2"/>
  </r>
  <r>
    <x v="0"/>
    <x v="0"/>
    <x v="179"/>
    <x v="2"/>
    <x v="10"/>
    <x v="213"/>
    <x v="25"/>
    <x v="57"/>
    <x v="17"/>
    <x v="5"/>
    <x v="228"/>
    <s v="Five Stars"/>
    <n v="1492646400"/>
    <s v="Not Specified"/>
    <s v="Not Specified"/>
    <s v="Not Specified"/>
    <n v="7"/>
    <x v="0"/>
    <x v="2"/>
  </r>
  <r>
    <x v="0"/>
    <x v="0"/>
    <x v="180"/>
    <x v="2"/>
    <x v="10"/>
    <x v="214"/>
    <x v="25"/>
    <x v="17"/>
    <x v="17"/>
    <x v="5"/>
    <x v="229"/>
    <s v="Five Stars"/>
    <n v="1492560000"/>
    <s v="Not Specified"/>
    <s v="Not Specified"/>
    <s v="Not Specified"/>
    <n v="9"/>
    <x v="0"/>
    <x v="2"/>
  </r>
  <r>
    <x v="0"/>
    <x v="1"/>
    <x v="16"/>
    <x v="2"/>
    <x v="10"/>
    <x v="215"/>
    <x v="25"/>
    <x v="60"/>
    <x v="17"/>
    <x v="186"/>
    <x v="230"/>
    <s v="Very Good For Everyday"/>
    <n v="1492473600"/>
    <s v="Not Specified"/>
    <s v="Not Specified"/>
    <s v="Not Specified"/>
    <n v="115"/>
    <x v="0"/>
    <x v="2"/>
  </r>
  <r>
    <x v="0"/>
    <x v="0"/>
    <x v="181"/>
    <x v="2"/>
    <x v="10"/>
    <x v="216"/>
    <x v="25"/>
    <x v="57"/>
    <x v="17"/>
    <x v="187"/>
    <x v="231"/>
    <s v="Great shoes"/>
    <n v="1492387200"/>
    <s v="Not Specified"/>
    <s v="Not Specified"/>
    <s v="Not Specified"/>
    <n v="62"/>
    <x v="0"/>
    <x v="2"/>
  </r>
  <r>
    <x v="0"/>
    <x v="0"/>
    <x v="182"/>
    <x v="2"/>
    <x v="10"/>
    <x v="217"/>
    <x v="25"/>
    <x v="62"/>
    <x v="12"/>
    <x v="188"/>
    <x v="232"/>
    <s v="Love these shoes"/>
    <n v="1492214400"/>
    <s v="Not Specified"/>
    <s v="Not Specified"/>
    <s v="Not Specified"/>
    <n v="112"/>
    <x v="0"/>
    <x v="2"/>
  </r>
  <r>
    <x v="0"/>
    <x v="0"/>
    <x v="183"/>
    <x v="2"/>
    <x v="10"/>
    <x v="218"/>
    <x v="25"/>
    <x v="22"/>
    <x v="17"/>
    <x v="5"/>
    <x v="233"/>
    <s v="Five Stars"/>
    <n v="1492128000"/>
    <s v="Not Specified"/>
    <s v="Not Specified"/>
    <s v="Not Specified"/>
    <n v="38"/>
    <x v="0"/>
    <x v="2"/>
  </r>
  <r>
    <x v="4"/>
    <x v="0"/>
    <x v="184"/>
    <x v="2"/>
    <x v="10"/>
    <x v="219"/>
    <x v="25"/>
    <x v="67"/>
    <x v="17"/>
    <x v="189"/>
    <x v="234"/>
    <s v="Super comfortable. I joined Cross Fit and this is ..."/>
    <n v="1491868800"/>
    <s v="Not Specified"/>
    <s v="Not Specified"/>
    <s v="Not Specified"/>
    <n v="67"/>
    <x v="0"/>
    <x v="2"/>
  </r>
  <r>
    <x v="0"/>
    <x v="0"/>
    <x v="184"/>
    <x v="2"/>
    <x v="10"/>
    <x v="220"/>
    <x v="25"/>
    <x v="47"/>
    <x v="25"/>
    <x v="190"/>
    <x v="235"/>
    <s v="Five Stars"/>
    <n v="1491868800"/>
    <s v="Not Specified"/>
    <s v="Not Specified"/>
    <s v="Not Specified"/>
    <n v="13"/>
    <x v="0"/>
    <x v="2"/>
  </r>
  <r>
    <x v="0"/>
    <x v="0"/>
    <x v="185"/>
    <x v="2"/>
    <x v="10"/>
    <x v="221"/>
    <x v="25"/>
    <x v="55"/>
    <x v="29"/>
    <x v="191"/>
    <x v="236"/>
    <s v="Sooo comfortable"/>
    <n v="1491782400"/>
    <s v="Not Specified"/>
    <s v="Not Specified"/>
    <s v="Not Specified"/>
    <n v="49"/>
    <x v="0"/>
    <x v="2"/>
  </r>
  <r>
    <x v="0"/>
    <x v="0"/>
    <x v="185"/>
    <x v="2"/>
    <x v="10"/>
    <x v="222"/>
    <x v="25"/>
    <x v="65"/>
    <x v="28"/>
    <x v="192"/>
    <x v="237"/>
    <s v="So happy."/>
    <n v="1491782400"/>
    <s v="Not Specified"/>
    <s v="Not Specified"/>
    <s v="Not Specified"/>
    <n v="17"/>
    <x v="0"/>
    <x v="2"/>
  </r>
  <r>
    <x v="4"/>
    <x v="0"/>
    <x v="185"/>
    <x v="2"/>
    <x v="10"/>
    <x v="223"/>
    <x v="25"/>
    <x v="67"/>
    <x v="29"/>
    <x v="193"/>
    <x v="238"/>
    <s v="the shoe is nice and provides well for my HIIT and Grit classes ..."/>
    <n v="1491782400"/>
    <s v="Not Specified"/>
    <s v="Not Specified"/>
    <s v="Not Specified"/>
    <n v="177"/>
    <x v="0"/>
    <x v="2"/>
  </r>
  <r>
    <x v="0"/>
    <x v="0"/>
    <x v="186"/>
    <x v="2"/>
    <x v="10"/>
    <x v="224"/>
    <x v="25"/>
    <x v="57"/>
    <x v="17"/>
    <x v="5"/>
    <x v="239"/>
    <s v="Look amazing, runs slightly big."/>
    <n v="1491609600"/>
    <s v="Not Specified"/>
    <s v="Not Specified"/>
    <s v="Not Specified"/>
    <n v="163"/>
    <x v="0"/>
    <x v="2"/>
  </r>
  <r>
    <x v="4"/>
    <x v="0"/>
    <x v="18"/>
    <x v="2"/>
    <x v="10"/>
    <x v="225"/>
    <x v="25"/>
    <x v="63"/>
    <x v="17"/>
    <x v="5"/>
    <x v="240"/>
    <s v="Four Stars"/>
    <n v="1491350400"/>
    <s v="Not Specified"/>
    <s v="Not Specified"/>
    <s v="Not Specified"/>
    <n v="17"/>
    <x v="0"/>
    <x v="2"/>
  </r>
  <r>
    <x v="0"/>
    <x v="0"/>
    <x v="18"/>
    <x v="2"/>
    <x v="10"/>
    <x v="226"/>
    <x v="25"/>
    <x v="17"/>
    <x v="17"/>
    <x v="194"/>
    <x v="241"/>
    <s v="Five Stars"/>
    <n v="1491350400"/>
    <s v="Not Specified"/>
    <s v="Not Specified"/>
    <s v="Not Specified"/>
    <n v="30"/>
    <x v="0"/>
    <x v="2"/>
  </r>
  <r>
    <x v="0"/>
    <x v="0"/>
    <x v="187"/>
    <x v="2"/>
    <x v="10"/>
    <x v="227"/>
    <x v="25"/>
    <x v="63"/>
    <x v="40"/>
    <x v="195"/>
    <x v="242"/>
    <s v="Five Stars"/>
    <n v="1491264000"/>
    <s v="Not Specified"/>
    <s v="Not Specified"/>
    <s v="Not Specified"/>
    <n v="38"/>
    <x v="0"/>
    <x v="2"/>
  </r>
  <r>
    <x v="0"/>
    <x v="0"/>
    <x v="188"/>
    <x v="2"/>
    <x v="10"/>
    <x v="228"/>
    <x v="25"/>
    <x v="65"/>
    <x v="26"/>
    <x v="196"/>
    <x v="243"/>
    <s v="Five Stars"/>
    <n v="1491091200"/>
    <s v="Not Specified"/>
    <s v="Not Specified"/>
    <s v="Not Specified"/>
    <n v="39"/>
    <x v="0"/>
    <x v="2"/>
  </r>
  <r>
    <x v="4"/>
    <x v="0"/>
    <x v="189"/>
    <x v="2"/>
    <x v="5"/>
    <x v="229"/>
    <x v="25"/>
    <x v="16"/>
    <x v="17"/>
    <x v="197"/>
    <x v="244"/>
    <s v="Decent little shoe for the price."/>
    <n v="1490832000"/>
    <s v="Not Specified"/>
    <s v="Not Specified"/>
    <s v="Not Specified"/>
    <n v="87"/>
    <x v="0"/>
    <x v="2"/>
  </r>
  <r>
    <x v="0"/>
    <x v="0"/>
    <x v="190"/>
    <x v="2"/>
    <x v="5"/>
    <x v="230"/>
    <x v="25"/>
    <x v="55"/>
    <x v="29"/>
    <x v="198"/>
    <x v="245"/>
    <s v="Attractive and fit well"/>
    <n v="1490745600"/>
    <s v="Not Specified"/>
    <s v="Not Specified"/>
    <s v="Not Specified"/>
    <n v="120"/>
    <x v="0"/>
    <x v="2"/>
  </r>
  <r>
    <x v="2"/>
    <x v="0"/>
    <x v="191"/>
    <x v="2"/>
    <x v="5"/>
    <x v="231"/>
    <x v="25"/>
    <x v="63"/>
    <x v="18"/>
    <x v="199"/>
    <x v="246"/>
    <s v="Runs large"/>
    <n v="1490486400"/>
    <s v="Not Specified"/>
    <s v="Not Specified"/>
    <s v="Not Specified"/>
    <n v="178"/>
    <x v="2"/>
    <x v="2"/>
  </r>
  <r>
    <x v="3"/>
    <x v="0"/>
    <x v="192"/>
    <x v="2"/>
    <x v="5"/>
    <x v="232"/>
    <x v="25"/>
    <x v="44"/>
    <x v="25"/>
    <x v="200"/>
    <x v="247"/>
    <s v="One Star"/>
    <n v="1490400000"/>
    <s v="Not Specified"/>
    <s v="Not Specified"/>
    <s v="Not Specified"/>
    <n v="84"/>
    <x v="2"/>
    <x v="2"/>
  </r>
  <r>
    <x v="0"/>
    <x v="0"/>
    <x v="19"/>
    <x v="2"/>
    <x v="5"/>
    <x v="233"/>
    <x v="25"/>
    <x v="22"/>
    <x v="17"/>
    <x v="5"/>
    <x v="248"/>
    <s v="Five Stars"/>
    <n v="1490313600"/>
    <s v="Not Specified"/>
    <s v="Not Specified"/>
    <s v="Not Specified"/>
    <n v="10"/>
    <x v="0"/>
    <x v="2"/>
  </r>
  <r>
    <x v="0"/>
    <x v="0"/>
    <x v="19"/>
    <x v="2"/>
    <x v="5"/>
    <x v="234"/>
    <x v="25"/>
    <x v="17"/>
    <x v="17"/>
    <x v="201"/>
    <x v="249"/>
    <s v="I love the fit and they provide support for walking"/>
    <n v="1490313600"/>
    <s v="Not Specified"/>
    <s v="Not Specified"/>
    <s v="Not Specified"/>
    <n v="225"/>
    <x v="0"/>
    <x v="2"/>
  </r>
  <r>
    <x v="0"/>
    <x v="0"/>
    <x v="193"/>
    <x v="2"/>
    <x v="5"/>
    <x v="235"/>
    <x v="25"/>
    <x v="21"/>
    <x v="37"/>
    <x v="202"/>
    <x v="250"/>
    <s v="Good Shoes!"/>
    <n v="1490227200"/>
    <s v="Not Specified"/>
    <s v="Not Specified"/>
    <n v="3"/>
    <n v="401"/>
    <x v="0"/>
    <x v="2"/>
  </r>
  <r>
    <x v="0"/>
    <x v="0"/>
    <x v="194"/>
    <x v="2"/>
    <x v="5"/>
    <x v="236"/>
    <x v="25"/>
    <x v="54"/>
    <x v="30"/>
    <x v="203"/>
    <x v="251"/>
    <s v="Great shoes"/>
    <n v="1490054400"/>
    <s v="Not Specified"/>
    <s v="Not Specified"/>
    <s v="Not Specified"/>
    <n v="110"/>
    <x v="0"/>
    <x v="2"/>
  </r>
  <r>
    <x v="4"/>
    <x v="0"/>
    <x v="195"/>
    <x v="2"/>
    <x v="5"/>
    <x v="237"/>
    <x v="25"/>
    <x v="63"/>
    <x v="26"/>
    <x v="204"/>
    <x v="252"/>
    <s v="Good shoe"/>
    <n v="1489968000"/>
    <s v="Not Specified"/>
    <s v="Not Specified"/>
    <s v="Not Specified"/>
    <n v="23"/>
    <x v="0"/>
    <x v="2"/>
  </r>
  <r>
    <x v="0"/>
    <x v="0"/>
    <x v="196"/>
    <x v="2"/>
    <x v="5"/>
    <x v="238"/>
    <x v="25"/>
    <x v="60"/>
    <x v="17"/>
    <x v="205"/>
    <x v="253"/>
    <s v="Five Stars"/>
    <n v="1489795200"/>
    <s v="Not Specified"/>
    <s v="Not Specified"/>
    <s v="Not Specified"/>
    <n v="40"/>
    <x v="0"/>
    <x v="2"/>
  </r>
  <r>
    <x v="0"/>
    <x v="0"/>
    <x v="196"/>
    <x v="2"/>
    <x v="5"/>
    <x v="239"/>
    <x v="25"/>
    <x v="60"/>
    <x v="30"/>
    <x v="206"/>
    <x v="254"/>
    <s v="Love These Shoes!"/>
    <n v="1489795200"/>
    <s v="Not Specified"/>
    <s v="Not Specified"/>
    <n v="8"/>
    <n v="267"/>
    <x v="0"/>
    <x v="2"/>
  </r>
  <r>
    <x v="1"/>
    <x v="0"/>
    <x v="197"/>
    <x v="2"/>
    <x v="5"/>
    <x v="240"/>
    <x v="25"/>
    <x v="63"/>
    <x v="26"/>
    <x v="233"/>
    <x v="255"/>
    <s v="Not my favorites..."/>
    <n v="1489708800"/>
    <s v="Not Specified"/>
    <s v="Not Specified"/>
    <s v="Not Specified"/>
    <n v="143"/>
    <x v="1"/>
    <x v="2"/>
  </r>
  <r>
    <x v="4"/>
    <x v="0"/>
    <x v="198"/>
    <x v="2"/>
    <x v="5"/>
    <x v="241"/>
    <x v="25"/>
    <x v="60"/>
    <x v="34"/>
    <x v="208"/>
    <x v="256"/>
    <s v="Perfect for the gym"/>
    <n v="1489536000"/>
    <s v="Not Specified"/>
    <s v="Not Specified"/>
    <s v="Not Specified"/>
    <n v="118"/>
    <x v="0"/>
    <x v="2"/>
  </r>
  <r>
    <x v="1"/>
    <x v="0"/>
    <x v="198"/>
    <x v="2"/>
    <x v="5"/>
    <x v="242"/>
    <x v="25"/>
    <x v="55"/>
    <x v="29"/>
    <x v="209"/>
    <x v="257"/>
    <s v="Meh"/>
    <n v="1489536000"/>
    <s v="Not Specified"/>
    <s v="Not Specified"/>
    <n v="2"/>
    <n v="150"/>
    <x v="1"/>
    <x v="2"/>
  </r>
  <r>
    <x v="0"/>
    <x v="0"/>
    <x v="198"/>
    <x v="2"/>
    <x v="5"/>
    <x v="243"/>
    <x v="25"/>
    <x v="60"/>
    <x v="34"/>
    <x v="210"/>
    <x v="258"/>
    <s v="Five Stars"/>
    <n v="1489536000"/>
    <s v="Not Specified"/>
    <s v="Not Specified"/>
    <s v="Not Specified"/>
    <n v="40"/>
    <x v="0"/>
    <x v="2"/>
  </r>
  <r>
    <x v="0"/>
    <x v="0"/>
    <x v="199"/>
    <x v="2"/>
    <x v="5"/>
    <x v="244"/>
    <x v="25"/>
    <x v="65"/>
    <x v="40"/>
    <x v="211"/>
    <x v="259"/>
    <s v="Five Stars"/>
    <n v="1489449600"/>
    <s v="Not Specified"/>
    <s v="Not Specified"/>
    <s v="Not Specified"/>
    <n v="33"/>
    <x v="0"/>
    <x v="2"/>
  </r>
  <r>
    <x v="0"/>
    <x v="0"/>
    <x v="200"/>
    <x v="2"/>
    <x v="5"/>
    <x v="245"/>
    <x v="25"/>
    <x v="54"/>
    <x v="34"/>
    <x v="212"/>
    <x v="260"/>
    <s v="Hurry before they're gone!"/>
    <n v="1489363200"/>
    <s v="Not Specified"/>
    <s v="Not Specified"/>
    <s v="Not Specified"/>
    <n v="297"/>
    <x v="0"/>
    <x v="2"/>
  </r>
  <r>
    <x v="0"/>
    <x v="0"/>
    <x v="201"/>
    <x v="2"/>
    <x v="5"/>
    <x v="246"/>
    <x v="25"/>
    <x v="22"/>
    <x v="17"/>
    <x v="213"/>
    <x v="261"/>
    <s v="Amazing"/>
    <n v="1489276800"/>
    <s v="Not Specified"/>
    <s v="Not Specified"/>
    <s v="Not Specified"/>
    <n v="81"/>
    <x v="0"/>
    <x v="2"/>
  </r>
  <r>
    <x v="0"/>
    <x v="0"/>
    <x v="202"/>
    <x v="2"/>
    <x v="5"/>
    <x v="247"/>
    <x v="25"/>
    <x v="63"/>
    <x v="17"/>
    <x v="214"/>
    <x v="262"/>
    <s v="Five Stars"/>
    <n v="1488931200"/>
    <s v="Not Specified"/>
    <s v="Not Specified"/>
    <s v="Not Specified"/>
    <n v="13"/>
    <x v="0"/>
    <x v="2"/>
  </r>
  <r>
    <x v="4"/>
    <x v="0"/>
    <x v="202"/>
    <x v="2"/>
    <x v="5"/>
    <x v="248"/>
    <x v="25"/>
    <x v="65"/>
    <x v="40"/>
    <x v="5"/>
    <x v="263"/>
    <s v="Not quite wide enough"/>
    <n v="1488931200"/>
    <s v="Not Specified"/>
    <s v="Not Specified"/>
    <s v="Not Specified"/>
    <n v="182"/>
    <x v="0"/>
    <x v="2"/>
  </r>
  <r>
    <x v="4"/>
    <x v="0"/>
    <x v="202"/>
    <x v="2"/>
    <x v="5"/>
    <x v="248"/>
    <x v="25"/>
    <x v="65"/>
    <x v="26"/>
    <x v="5"/>
    <x v="263"/>
    <s v="Not quite wide enough"/>
    <n v="1488931200"/>
    <s v="Not Specified"/>
    <s v="Not Specified"/>
    <s v="Not Specified"/>
    <n v="182"/>
    <x v="0"/>
    <x v="2"/>
  </r>
  <r>
    <x v="0"/>
    <x v="0"/>
    <x v="203"/>
    <x v="2"/>
    <x v="5"/>
    <x v="249"/>
    <x v="25"/>
    <x v="57"/>
    <x v="17"/>
    <x v="215"/>
    <x v="264"/>
    <s v="Five Stars"/>
    <n v="1488758400"/>
    <s v="Not Specified"/>
    <s v="Not Specified"/>
    <s v="Not Specified"/>
    <n v="10"/>
    <x v="0"/>
    <x v="2"/>
  </r>
  <r>
    <x v="0"/>
    <x v="1"/>
    <x v="204"/>
    <x v="2"/>
    <x v="8"/>
    <x v="250"/>
    <x v="25"/>
    <x v="62"/>
    <x v="12"/>
    <x v="333"/>
    <x v="265"/>
    <s v="Simple look, outstanding comfort!"/>
    <n v="1488067200"/>
    <s v="Not Specified"/>
    <s v="Not Specified"/>
    <s v="Not Specified"/>
    <n v="206"/>
    <x v="0"/>
    <x v="2"/>
  </r>
  <r>
    <x v="4"/>
    <x v="0"/>
    <x v="205"/>
    <x v="2"/>
    <x v="8"/>
    <x v="251"/>
    <x v="25"/>
    <x v="59"/>
    <x v="17"/>
    <x v="217"/>
    <x v="266"/>
    <s v="My second favorite."/>
    <n v="1487894400"/>
    <s v="Not Specified"/>
    <s v="Not Specified"/>
    <s v="Not Specified"/>
    <n v="171"/>
    <x v="0"/>
    <x v="2"/>
  </r>
  <r>
    <x v="0"/>
    <x v="0"/>
    <x v="205"/>
    <x v="2"/>
    <x v="8"/>
    <x v="252"/>
    <x v="25"/>
    <x v="59"/>
    <x v="17"/>
    <x v="218"/>
    <x v="267"/>
    <s v="Five Stars"/>
    <n v="1487894400"/>
    <s v="Not Specified"/>
    <s v="Not Specified"/>
    <s v="Not Specified"/>
    <n v="12"/>
    <x v="0"/>
    <x v="2"/>
  </r>
  <r>
    <x v="4"/>
    <x v="0"/>
    <x v="21"/>
    <x v="2"/>
    <x v="8"/>
    <x v="253"/>
    <x v="25"/>
    <x v="60"/>
    <x v="39"/>
    <x v="219"/>
    <x v="268"/>
    <s v="Fit to actual size."/>
    <n v="1487635200"/>
    <s v="Not Specified"/>
    <s v="Not Specified"/>
    <s v="Not Specified"/>
    <n v="126"/>
    <x v="0"/>
    <x v="2"/>
  </r>
  <r>
    <x v="0"/>
    <x v="0"/>
    <x v="21"/>
    <x v="2"/>
    <x v="8"/>
    <x v="254"/>
    <x v="25"/>
    <x v="17"/>
    <x v="17"/>
    <x v="220"/>
    <x v="269"/>
    <s v="Five Stars"/>
    <n v="1487635200"/>
    <s v="Not Specified"/>
    <s v="Not Specified"/>
    <s v="Not Specified"/>
    <n v="56"/>
    <x v="0"/>
    <x v="2"/>
  </r>
  <r>
    <x v="1"/>
    <x v="0"/>
    <x v="206"/>
    <x v="2"/>
    <x v="8"/>
    <x v="255"/>
    <x v="25"/>
    <x v="59"/>
    <x v="34"/>
    <x v="5"/>
    <x v="270"/>
    <s v="Too small, flimsy upper"/>
    <n v="1487203200"/>
    <s v="Not Specified"/>
    <s v="Not Specified"/>
    <s v="Not Specified"/>
    <n v="198"/>
    <x v="1"/>
    <x v="2"/>
  </r>
  <r>
    <x v="0"/>
    <x v="0"/>
    <x v="207"/>
    <x v="2"/>
    <x v="8"/>
    <x v="256"/>
    <x v="25"/>
    <x v="55"/>
    <x v="40"/>
    <x v="221"/>
    <x v="271"/>
    <s v="Great for kickboxing"/>
    <n v="1487116800"/>
    <s v="Not Specified"/>
    <s v="Not Specified"/>
    <n v="5"/>
    <n v="388"/>
    <x v="0"/>
    <x v="2"/>
  </r>
  <r>
    <x v="0"/>
    <x v="0"/>
    <x v="208"/>
    <x v="2"/>
    <x v="8"/>
    <x v="257"/>
    <x v="25"/>
    <x v="16"/>
    <x v="17"/>
    <x v="222"/>
    <x v="272"/>
    <s v="These shoes are great for walking - so very comfortable"/>
    <n v="1486944000"/>
    <s v="Not Specified"/>
    <s v="Not Specified"/>
    <s v="Not Specified"/>
    <n v="87"/>
    <x v="0"/>
    <x v="2"/>
  </r>
  <r>
    <x v="0"/>
    <x v="0"/>
    <x v="209"/>
    <x v="2"/>
    <x v="8"/>
    <x v="258"/>
    <x v="25"/>
    <x v="60"/>
    <x v="17"/>
    <x v="223"/>
    <x v="273"/>
    <s v="Good choice for training shoe"/>
    <n v="1486857600"/>
    <s v="Not Specified"/>
    <s v="Not Specified"/>
    <s v="Not Specified"/>
    <n v="140"/>
    <x v="0"/>
    <x v="2"/>
  </r>
  <r>
    <x v="0"/>
    <x v="0"/>
    <x v="210"/>
    <x v="2"/>
    <x v="8"/>
    <x v="259"/>
    <x v="25"/>
    <x v="26"/>
    <x v="17"/>
    <x v="224"/>
    <x v="274"/>
    <s v="Five Stars"/>
    <n v="1486771200"/>
    <s v="Not Specified"/>
    <s v="Not Specified"/>
    <s v="Not Specified"/>
    <n v="28"/>
    <x v="0"/>
    <x v="2"/>
  </r>
  <r>
    <x v="4"/>
    <x v="0"/>
    <x v="22"/>
    <x v="2"/>
    <x v="8"/>
    <x v="260"/>
    <x v="25"/>
    <x v="60"/>
    <x v="40"/>
    <x v="225"/>
    <x v="275"/>
    <s v="They are slightly longer in look then I was would like but I think that is typical of cross trainers"/>
    <n v="1486512000"/>
    <s v="Not Specified"/>
    <s v="Not Specified"/>
    <n v="4"/>
    <n v="570"/>
    <x v="0"/>
    <x v="2"/>
  </r>
  <r>
    <x v="4"/>
    <x v="0"/>
    <x v="211"/>
    <x v="2"/>
    <x v="8"/>
    <x v="261"/>
    <x v="25"/>
    <x v="15"/>
    <x v="20"/>
    <x v="226"/>
    <x v="276"/>
    <s v="I love them but they are definitely bright orange/coral and not ..."/>
    <n v="1486339200"/>
    <s v="Not Specified"/>
    <s v="Not Specified"/>
    <s v="Not Specified"/>
    <n v="316"/>
    <x v="0"/>
    <x v="2"/>
  </r>
  <r>
    <x v="2"/>
    <x v="0"/>
    <x v="212"/>
    <x v="2"/>
    <x v="8"/>
    <x v="262"/>
    <x v="25"/>
    <x v="65"/>
    <x v="26"/>
    <x v="5"/>
    <x v="277"/>
    <s v="Color was not at all what i expected. It ..."/>
    <n v="1485993600"/>
    <s v="Not Specified"/>
    <s v="Not Specified"/>
    <s v="Not Specified"/>
    <n v="107"/>
    <x v="2"/>
    <x v="2"/>
  </r>
  <r>
    <x v="0"/>
    <x v="0"/>
    <x v="23"/>
    <x v="2"/>
    <x v="8"/>
    <x v="25"/>
    <x v="25"/>
    <x v="26"/>
    <x v="17"/>
    <x v="23"/>
    <x v="278"/>
    <s v="Super cute and on sale!!"/>
    <n v="1485907200"/>
    <s v="Not Specified"/>
    <s v="Not Specified"/>
    <s v="Not Specified"/>
    <n v="122"/>
    <x v="0"/>
    <x v="2"/>
  </r>
  <r>
    <x v="1"/>
    <x v="0"/>
    <x v="213"/>
    <x v="2"/>
    <x v="2"/>
    <x v="263"/>
    <x v="25"/>
    <x v="55"/>
    <x v="30"/>
    <x v="227"/>
    <x v="279"/>
    <s v="Three Stars"/>
    <n v="1485820800"/>
    <s v="Not Specified"/>
    <s v="Not Specified"/>
    <n v="3"/>
    <n v="7"/>
    <x v="1"/>
    <x v="2"/>
  </r>
  <r>
    <x v="0"/>
    <x v="0"/>
    <x v="214"/>
    <x v="2"/>
    <x v="2"/>
    <x v="264"/>
    <x v="25"/>
    <x v="59"/>
    <x v="34"/>
    <x v="5"/>
    <x v="280"/>
    <s v="then you should pretty much know your size"/>
    <n v="1485302400"/>
    <s v="Not Specified"/>
    <s v="Not Specified"/>
    <s v="Not Specified"/>
    <n v="521"/>
    <x v="0"/>
    <x v="2"/>
  </r>
  <r>
    <x v="0"/>
    <x v="0"/>
    <x v="215"/>
    <x v="2"/>
    <x v="2"/>
    <x v="265"/>
    <x v="25"/>
    <x v="65"/>
    <x v="40"/>
    <x v="228"/>
    <x v="281"/>
    <s v="Nice Support"/>
    <n v="1485043200"/>
    <s v="Not Specified"/>
    <s v="Not Specified"/>
    <s v="Not Specified"/>
    <n v="90"/>
    <x v="0"/>
    <x v="2"/>
  </r>
  <r>
    <x v="0"/>
    <x v="0"/>
    <x v="216"/>
    <x v="2"/>
    <x v="2"/>
    <x v="266"/>
    <x v="25"/>
    <x v="54"/>
    <x v="34"/>
    <x v="229"/>
    <x v="282"/>
    <s v="Good Sneaker"/>
    <n v="1484870400"/>
    <s v="Not Specified"/>
    <s v="Not Specified"/>
    <s v="Not Specified"/>
    <n v="40"/>
    <x v="0"/>
    <x v="2"/>
  </r>
  <r>
    <x v="0"/>
    <x v="0"/>
    <x v="217"/>
    <x v="2"/>
    <x v="2"/>
    <x v="267"/>
    <x v="25"/>
    <x v="57"/>
    <x v="28"/>
    <x v="230"/>
    <x v="283"/>
    <s v="Satisfied"/>
    <n v="1484697600"/>
    <s v="Not Specified"/>
    <s v="Not Specified"/>
    <s v="Not Specified"/>
    <n v="105"/>
    <x v="0"/>
    <x v="2"/>
  </r>
  <r>
    <x v="2"/>
    <x v="0"/>
    <x v="217"/>
    <x v="2"/>
    <x v="2"/>
    <x v="268"/>
    <x v="25"/>
    <x v="57"/>
    <x v="17"/>
    <x v="231"/>
    <x v="284"/>
    <s v="Too large"/>
    <n v="1484697600"/>
    <s v="Not Specified"/>
    <s v="Not Specified"/>
    <s v="Not Specified"/>
    <n v="118"/>
    <x v="2"/>
    <x v="2"/>
  </r>
  <r>
    <x v="0"/>
    <x v="0"/>
    <x v="217"/>
    <x v="2"/>
    <x v="2"/>
    <x v="269"/>
    <x v="25"/>
    <x v="59"/>
    <x v="18"/>
    <x v="232"/>
    <x v="285"/>
    <s v="colors look great together."/>
    <n v="1484697600"/>
    <s v="Not Specified"/>
    <s v="Not Specified"/>
    <s v="Not Specified"/>
    <n v="88"/>
    <x v="0"/>
    <x v="2"/>
  </r>
  <r>
    <x v="0"/>
    <x v="0"/>
    <x v="217"/>
    <x v="2"/>
    <x v="2"/>
    <x v="270"/>
    <x v="25"/>
    <x v="55"/>
    <x v="12"/>
    <x v="5"/>
    <x v="286"/>
    <s v="Five Stars"/>
    <n v="1484697600"/>
    <s v="Not Specified"/>
    <s v="Not Specified"/>
    <s v="Not Specified"/>
    <n v="11"/>
    <x v="0"/>
    <x v="2"/>
  </r>
  <r>
    <x v="4"/>
    <x v="0"/>
    <x v="217"/>
    <x v="2"/>
    <x v="2"/>
    <x v="271"/>
    <x v="25"/>
    <x v="60"/>
    <x v="17"/>
    <x v="233"/>
    <x v="287"/>
    <s v="but if I wear thick socks they are fine. Also"/>
    <n v="1484697600"/>
    <s v="Not Specified"/>
    <s v="Not Specified"/>
    <s v="Not Specified"/>
    <n v="316"/>
    <x v="0"/>
    <x v="2"/>
  </r>
  <r>
    <x v="3"/>
    <x v="0"/>
    <x v="218"/>
    <x v="2"/>
    <x v="2"/>
    <x v="272"/>
    <x v="25"/>
    <x v="55"/>
    <x v="29"/>
    <x v="234"/>
    <x v="288"/>
    <s v="Poor quality for Nike"/>
    <n v="1484438400"/>
    <s v="Not Specified"/>
    <s v="Not Specified"/>
    <n v="21"/>
    <n v="69"/>
    <x v="2"/>
    <x v="2"/>
  </r>
  <r>
    <x v="4"/>
    <x v="0"/>
    <x v="219"/>
    <x v="2"/>
    <x v="2"/>
    <x v="273"/>
    <x v="25"/>
    <x v="65"/>
    <x v="42"/>
    <x v="5"/>
    <x v="289"/>
    <s v="4/5"/>
    <n v="1484265600"/>
    <s v="Not Specified"/>
    <s v="Not Specified"/>
    <s v="Not Specified"/>
    <n v="187"/>
    <x v="0"/>
    <x v="2"/>
  </r>
  <r>
    <x v="0"/>
    <x v="0"/>
    <x v="220"/>
    <x v="2"/>
    <x v="2"/>
    <x v="274"/>
    <x v="25"/>
    <x v="57"/>
    <x v="33"/>
    <x v="235"/>
    <x v="290"/>
    <s v="LOVE!"/>
    <n v="1484179200"/>
    <s v="Not Specified"/>
    <s v="Not Specified"/>
    <s v="Not Specified"/>
    <n v="216"/>
    <x v="0"/>
    <x v="2"/>
  </r>
  <r>
    <x v="0"/>
    <x v="0"/>
    <x v="220"/>
    <x v="2"/>
    <x v="2"/>
    <x v="275"/>
    <x v="25"/>
    <x v="60"/>
    <x v="17"/>
    <x v="236"/>
    <x v="291"/>
    <s v="Five Stars"/>
    <n v="1484179200"/>
    <s v="Not Specified"/>
    <s v="Not Specified"/>
    <s v="Not Specified"/>
    <n v="20"/>
    <x v="0"/>
    <x v="2"/>
  </r>
  <r>
    <x v="0"/>
    <x v="0"/>
    <x v="221"/>
    <x v="2"/>
    <x v="2"/>
    <x v="276"/>
    <x v="25"/>
    <x v="55"/>
    <x v="37"/>
    <x v="5"/>
    <x v="240"/>
    <s v="Five Stars"/>
    <n v="1484006400"/>
    <s v="Not Specified"/>
    <s v="Not Specified"/>
    <s v="Not Specified"/>
    <n v="17"/>
    <x v="0"/>
    <x v="2"/>
  </r>
  <r>
    <x v="0"/>
    <x v="0"/>
    <x v="222"/>
    <x v="2"/>
    <x v="2"/>
    <x v="277"/>
    <x v="25"/>
    <x v="22"/>
    <x v="42"/>
    <x v="5"/>
    <x v="292"/>
    <s v="Correct size"/>
    <n v="1483747200"/>
    <s v="Not Specified"/>
    <s v="Not Specified"/>
    <s v="Not Specified"/>
    <n v="92"/>
    <x v="0"/>
    <x v="2"/>
  </r>
  <r>
    <x v="0"/>
    <x v="0"/>
    <x v="222"/>
    <x v="2"/>
    <x v="2"/>
    <x v="278"/>
    <x v="25"/>
    <x v="26"/>
    <x v="42"/>
    <x v="237"/>
    <x v="293"/>
    <s v="Perfect for the gym"/>
    <n v="1483747200"/>
    <s v="Not Specified"/>
    <s v="Not Specified"/>
    <s v="Not Specified"/>
    <n v="182"/>
    <x v="0"/>
    <x v="2"/>
  </r>
  <r>
    <x v="4"/>
    <x v="0"/>
    <x v="223"/>
    <x v="2"/>
    <x v="2"/>
    <x v="279"/>
    <x v="25"/>
    <x v="59"/>
    <x v="42"/>
    <x v="5"/>
    <x v="294"/>
    <s v="... opened the box to see the color is exactly like the image shows"/>
    <n v="1483660800"/>
    <s v="Not Specified"/>
    <s v="Not Specified"/>
    <s v="Not Specified"/>
    <n v="219"/>
    <x v="0"/>
    <x v="2"/>
  </r>
  <r>
    <x v="3"/>
    <x v="0"/>
    <x v="224"/>
    <x v="2"/>
    <x v="2"/>
    <x v="280"/>
    <x v="25"/>
    <x v="16"/>
    <x v="18"/>
    <x v="334"/>
    <x v="295"/>
    <s v="I ordered the Nike Women's Flex Supreme TR3 instead and love them!"/>
    <n v="1483488000"/>
    <s v="Not Specified"/>
    <s v="Not Specified"/>
    <s v="Not Specified"/>
    <n v="258"/>
    <x v="2"/>
    <x v="2"/>
  </r>
  <r>
    <x v="0"/>
    <x v="0"/>
    <x v="224"/>
    <x v="2"/>
    <x v="2"/>
    <x v="281"/>
    <x v="25"/>
    <x v="55"/>
    <x v="12"/>
    <x v="239"/>
    <x v="296"/>
    <s v="so light &amp; comfortable!"/>
    <n v="1483488000"/>
    <s v="Not Specified"/>
    <s v="Not Specified"/>
    <s v="Not Specified"/>
    <n v="69"/>
    <x v="0"/>
    <x v="2"/>
  </r>
  <r>
    <x v="0"/>
    <x v="0"/>
    <x v="225"/>
    <x v="2"/>
    <x v="2"/>
    <x v="282"/>
    <x v="25"/>
    <x v="59"/>
    <x v="42"/>
    <x v="240"/>
    <x v="297"/>
    <s v="Five Stars"/>
    <n v="1483228800"/>
    <s v="Not Specified"/>
    <s v="Not Specified"/>
    <s v="Not Specified"/>
    <n v="32"/>
    <x v="0"/>
    <x v="2"/>
  </r>
  <r>
    <x v="0"/>
    <x v="0"/>
    <x v="225"/>
    <x v="2"/>
    <x v="2"/>
    <x v="283"/>
    <x v="25"/>
    <x v="16"/>
    <x v="17"/>
    <x v="241"/>
    <x v="298"/>
    <s v="Five Stars"/>
    <n v="1483228800"/>
    <s v="Not Specified"/>
    <s v="Not Specified"/>
    <s v="Not Specified"/>
    <n v="36"/>
    <x v="0"/>
    <x v="2"/>
  </r>
  <r>
    <x v="0"/>
    <x v="0"/>
    <x v="226"/>
    <x v="3"/>
    <x v="11"/>
    <x v="284"/>
    <x v="25"/>
    <x v="60"/>
    <x v="17"/>
    <x v="242"/>
    <x v="299"/>
    <s v="these were a perfect fit. They are light and very comfortable"/>
    <n v="1483142400"/>
    <s v="Not Specified"/>
    <s v="Not Specified"/>
    <s v="Not Specified"/>
    <n v="169"/>
    <x v="0"/>
    <x v="2"/>
  </r>
  <r>
    <x v="0"/>
    <x v="0"/>
    <x v="227"/>
    <x v="3"/>
    <x v="11"/>
    <x v="285"/>
    <x v="25"/>
    <x v="60"/>
    <x v="17"/>
    <x v="243"/>
    <x v="300"/>
    <s v="Five Stars"/>
    <n v="1482969600"/>
    <s v="Not Specified"/>
    <s v="Not Specified"/>
    <s v="Not Specified"/>
    <n v="37"/>
    <x v="0"/>
    <x v="2"/>
  </r>
  <r>
    <x v="0"/>
    <x v="0"/>
    <x v="227"/>
    <x v="3"/>
    <x v="11"/>
    <x v="286"/>
    <x v="25"/>
    <x v="54"/>
    <x v="42"/>
    <x v="5"/>
    <x v="301"/>
    <s v="Five Stars"/>
    <n v="1482969600"/>
    <s v="Not Specified"/>
    <s v="Not Specified"/>
    <s v="Not Specified"/>
    <n v="45"/>
    <x v="0"/>
    <x v="2"/>
  </r>
  <r>
    <x v="0"/>
    <x v="0"/>
    <x v="228"/>
    <x v="3"/>
    <x v="11"/>
    <x v="287"/>
    <x v="25"/>
    <x v="60"/>
    <x v="17"/>
    <x v="5"/>
    <x v="120"/>
    <s v="Just what I wanted!"/>
    <n v="1482883200"/>
    <s v="Not Specified"/>
    <s v="Not Specified"/>
    <s v="Not Specified"/>
    <n v="8"/>
    <x v="0"/>
    <x v="2"/>
  </r>
  <r>
    <x v="0"/>
    <x v="0"/>
    <x v="228"/>
    <x v="3"/>
    <x v="11"/>
    <x v="288"/>
    <x v="25"/>
    <x v="57"/>
    <x v="18"/>
    <x v="244"/>
    <x v="302"/>
    <s v="Bought these for my daughter and she loves them. ..."/>
    <n v="1482883200"/>
    <s v="Not Specified"/>
    <s v="Not Specified"/>
    <s v="Not Specified"/>
    <n v="134"/>
    <x v="0"/>
    <x v="2"/>
  </r>
  <r>
    <x v="0"/>
    <x v="0"/>
    <x v="229"/>
    <x v="3"/>
    <x v="11"/>
    <x v="289"/>
    <x v="25"/>
    <x v="16"/>
    <x v="17"/>
    <x v="245"/>
    <x v="303"/>
    <s v="Five Stars"/>
    <n v="1482796800"/>
    <s v="Not Specified"/>
    <s v="Not Specified"/>
    <s v="Not Specified"/>
    <n v="32"/>
    <x v="0"/>
    <x v="2"/>
  </r>
  <r>
    <x v="2"/>
    <x v="0"/>
    <x v="230"/>
    <x v="3"/>
    <x v="11"/>
    <x v="290"/>
    <x v="25"/>
    <x v="63"/>
    <x v="28"/>
    <x v="246"/>
    <x v="304"/>
    <s v="Tried one in the store and bought it online but ..."/>
    <n v="1482624000"/>
    <s v="Not Specified"/>
    <s v="Not Specified"/>
    <n v="2"/>
    <n v="108"/>
    <x v="2"/>
    <x v="2"/>
  </r>
  <r>
    <x v="0"/>
    <x v="0"/>
    <x v="231"/>
    <x v="3"/>
    <x v="11"/>
    <x v="291"/>
    <x v="25"/>
    <x v="63"/>
    <x v="37"/>
    <x v="247"/>
    <x v="305"/>
    <s v="I had the older generation of this shoe that survived ..."/>
    <n v="1482451200"/>
    <s v="Not Specified"/>
    <s v="Not Specified"/>
    <s v="Not Specified"/>
    <n v="198"/>
    <x v="0"/>
    <x v="2"/>
  </r>
  <r>
    <x v="0"/>
    <x v="0"/>
    <x v="232"/>
    <x v="3"/>
    <x v="11"/>
    <x v="292"/>
    <x v="25"/>
    <x v="64"/>
    <x v="29"/>
    <x v="5"/>
    <x v="306"/>
    <s v="Five Stars"/>
    <n v="1482364800"/>
    <s v="Not Specified"/>
    <s v="Not Specified"/>
    <s v="Not Specified"/>
    <n v="105"/>
    <x v="0"/>
    <x v="2"/>
  </r>
  <r>
    <x v="2"/>
    <x v="0"/>
    <x v="233"/>
    <x v="3"/>
    <x v="11"/>
    <x v="293"/>
    <x v="25"/>
    <x v="60"/>
    <x v="34"/>
    <x v="248"/>
    <x v="307"/>
    <s v="Not true to size"/>
    <n v="1481846400"/>
    <s v="Not Specified"/>
    <s v="Not Specified"/>
    <s v="Not Specified"/>
    <n v="63"/>
    <x v="2"/>
    <x v="2"/>
  </r>
  <r>
    <x v="3"/>
    <x v="0"/>
    <x v="234"/>
    <x v="3"/>
    <x v="11"/>
    <x v="294"/>
    <x v="25"/>
    <x v="59"/>
    <x v="42"/>
    <x v="5"/>
    <x v="308"/>
    <s v="One Star"/>
    <n v="1481760000"/>
    <s v="Not Specified"/>
    <s v="Not Specified"/>
    <s v="Not Specified"/>
    <n v="11"/>
    <x v="2"/>
    <x v="2"/>
  </r>
  <r>
    <x v="0"/>
    <x v="0"/>
    <x v="235"/>
    <x v="3"/>
    <x v="11"/>
    <x v="295"/>
    <x v="25"/>
    <x v="42"/>
    <x v="25"/>
    <x v="249"/>
    <x v="309"/>
    <s v="Nice"/>
    <n v="1481500800"/>
    <s v="Not Specified"/>
    <s v="Not Specified"/>
    <s v="Not Specified"/>
    <n v="15"/>
    <x v="0"/>
    <x v="2"/>
  </r>
  <r>
    <x v="0"/>
    <x v="0"/>
    <x v="235"/>
    <x v="3"/>
    <x v="11"/>
    <x v="296"/>
    <x v="25"/>
    <x v="22"/>
    <x v="17"/>
    <x v="250"/>
    <x v="310"/>
    <s v="Great"/>
    <n v="1481500800"/>
    <s v="Not Specified"/>
    <s v="Not Specified"/>
    <n v="4"/>
    <n v="362"/>
    <x v="0"/>
    <x v="2"/>
  </r>
  <r>
    <x v="4"/>
    <x v="0"/>
    <x v="236"/>
    <x v="3"/>
    <x v="11"/>
    <x v="297"/>
    <x v="25"/>
    <x v="59"/>
    <x v="42"/>
    <x v="251"/>
    <x v="311"/>
    <s v="Four Stars"/>
    <n v="1481155200"/>
    <s v="Not Specified"/>
    <s v="Not Specified"/>
    <s v="Not Specified"/>
    <n v="36"/>
    <x v="0"/>
    <x v="2"/>
  </r>
  <r>
    <x v="4"/>
    <x v="0"/>
    <x v="237"/>
    <x v="3"/>
    <x v="11"/>
    <x v="298"/>
    <x v="25"/>
    <x v="66"/>
    <x v="40"/>
    <x v="252"/>
    <x v="312"/>
    <s v="Four Stars"/>
    <n v="1480809600"/>
    <s v="Not Specified"/>
    <s v="Not Specified"/>
    <s v="Not Specified"/>
    <n v="36"/>
    <x v="0"/>
    <x v="2"/>
  </r>
  <r>
    <x v="4"/>
    <x v="0"/>
    <x v="238"/>
    <x v="3"/>
    <x v="11"/>
    <x v="299"/>
    <x v="25"/>
    <x v="68"/>
    <x v="25"/>
    <x v="5"/>
    <x v="313"/>
    <s v="Four Stars"/>
    <n v="1480636800"/>
    <s v="Not Specified"/>
    <s v="Not Specified"/>
    <n v="2"/>
    <n v="29"/>
    <x v="0"/>
    <x v="2"/>
  </r>
  <r>
    <x v="0"/>
    <x v="0"/>
    <x v="238"/>
    <x v="3"/>
    <x v="11"/>
    <x v="300"/>
    <x v="25"/>
    <x v="17"/>
    <x v="17"/>
    <x v="253"/>
    <x v="314"/>
    <s v="Five Stars"/>
    <n v="1480636800"/>
    <s v="Not Specified"/>
    <s v="Not Specified"/>
    <s v="Not Specified"/>
    <n v="43"/>
    <x v="0"/>
    <x v="2"/>
  </r>
  <r>
    <x v="0"/>
    <x v="0"/>
    <x v="239"/>
    <x v="3"/>
    <x v="11"/>
    <x v="301"/>
    <x v="25"/>
    <x v="57"/>
    <x v="28"/>
    <x v="83"/>
    <x v="315"/>
    <s v="Five Stars"/>
    <n v="1480550400"/>
    <s v="Not Specified"/>
    <s v="Not Specified"/>
    <s v="Not Specified"/>
    <n v="93"/>
    <x v="0"/>
    <x v="2"/>
  </r>
  <r>
    <x v="0"/>
    <x v="0"/>
    <x v="240"/>
    <x v="3"/>
    <x v="7"/>
    <x v="302"/>
    <x v="25"/>
    <x v="57"/>
    <x v="17"/>
    <x v="233"/>
    <x v="316"/>
    <s v="Five Stars"/>
    <n v="1480291200"/>
    <s v="Not Specified"/>
    <s v="Not Specified"/>
    <s v="Not Specified"/>
    <n v="90"/>
    <x v="0"/>
    <x v="2"/>
  </r>
  <r>
    <x v="0"/>
    <x v="0"/>
    <x v="241"/>
    <x v="3"/>
    <x v="7"/>
    <x v="303"/>
    <x v="25"/>
    <x v="63"/>
    <x v="41"/>
    <x v="254"/>
    <x v="317"/>
    <s v="Love them"/>
    <n v="1480204800"/>
    <s v="Not Specified"/>
    <s v="Not Specified"/>
    <s v="Not Specified"/>
    <n v="338"/>
    <x v="0"/>
    <x v="2"/>
  </r>
  <r>
    <x v="0"/>
    <x v="0"/>
    <x v="242"/>
    <x v="3"/>
    <x v="7"/>
    <x v="304"/>
    <x v="25"/>
    <x v="60"/>
    <x v="17"/>
    <x v="255"/>
    <x v="318"/>
    <s v="Super light weight versatile"/>
    <n v="1479859200"/>
    <s v="Not Specified"/>
    <s v="Not Specified"/>
    <s v="Not Specified"/>
    <n v="76"/>
    <x v="0"/>
    <x v="2"/>
  </r>
  <r>
    <x v="4"/>
    <x v="1"/>
    <x v="243"/>
    <x v="3"/>
    <x v="7"/>
    <x v="305"/>
    <x v="25"/>
    <x v="26"/>
    <x v="37"/>
    <x v="256"/>
    <x v="319"/>
    <s v="very comfortable but limited use"/>
    <n v="1479686400"/>
    <s v="Not Specified"/>
    <s v="Not Specified"/>
    <s v="Not Specified"/>
    <n v="767"/>
    <x v="0"/>
    <x v="2"/>
  </r>
  <r>
    <x v="4"/>
    <x v="0"/>
    <x v="244"/>
    <x v="3"/>
    <x v="7"/>
    <x v="306"/>
    <x v="25"/>
    <x v="57"/>
    <x v="28"/>
    <x v="257"/>
    <x v="320"/>
    <s v="Four Stars"/>
    <n v="1479254400"/>
    <s v="Not Specified"/>
    <s v="Not Specified"/>
    <s v="Not Specified"/>
    <n v="49"/>
    <x v="0"/>
    <x v="2"/>
  </r>
  <r>
    <x v="0"/>
    <x v="0"/>
    <x v="244"/>
    <x v="3"/>
    <x v="7"/>
    <x v="307"/>
    <x v="25"/>
    <x v="57"/>
    <x v="17"/>
    <x v="5"/>
    <x v="321"/>
    <s v="Five Stars"/>
    <n v="1479254400"/>
    <s v="Not Specified"/>
    <s v="Not Specified"/>
    <s v="Not Specified"/>
    <n v="9"/>
    <x v="0"/>
    <x v="2"/>
  </r>
  <r>
    <x v="1"/>
    <x v="0"/>
    <x v="245"/>
    <x v="3"/>
    <x v="7"/>
    <x v="308"/>
    <x v="25"/>
    <x v="60"/>
    <x v="34"/>
    <x v="258"/>
    <x v="322"/>
    <s v="Not for aerobic exercise"/>
    <n v="1479081600"/>
    <s v="Not Specified"/>
    <s v="Not Specified"/>
    <s v="Not Specified"/>
    <n v="92"/>
    <x v="1"/>
    <x v="2"/>
  </r>
  <r>
    <x v="0"/>
    <x v="0"/>
    <x v="246"/>
    <x v="3"/>
    <x v="7"/>
    <x v="309"/>
    <x v="25"/>
    <x v="55"/>
    <x v="24"/>
    <x v="259"/>
    <x v="323"/>
    <s v="Favorite Nikes ever"/>
    <n v="1478822400"/>
    <s v="Not Specified"/>
    <s v="Not Specified"/>
    <s v="Not Specified"/>
    <n v="133"/>
    <x v="0"/>
    <x v="2"/>
  </r>
  <r>
    <x v="4"/>
    <x v="0"/>
    <x v="246"/>
    <x v="3"/>
    <x v="7"/>
    <x v="310"/>
    <x v="25"/>
    <x v="65"/>
    <x v="28"/>
    <x v="260"/>
    <x v="324"/>
    <s v="Four Stars"/>
    <n v="1478822400"/>
    <s v="Not Specified"/>
    <s v="Not Specified"/>
    <s v="Not Specified"/>
    <n v="25"/>
    <x v="0"/>
    <x v="2"/>
  </r>
  <r>
    <x v="0"/>
    <x v="0"/>
    <x v="247"/>
    <x v="3"/>
    <x v="7"/>
    <x v="311"/>
    <x v="25"/>
    <x v="59"/>
    <x v="17"/>
    <x v="5"/>
    <x v="325"/>
    <s v="... of shoes for cross training and these were the best!"/>
    <n v="1478649600"/>
    <s v="Not Specified"/>
    <s v="Not Specified"/>
    <s v="Not Specified"/>
    <n v="64"/>
    <x v="0"/>
    <x v="2"/>
  </r>
  <r>
    <x v="4"/>
    <x v="0"/>
    <x v="248"/>
    <x v="3"/>
    <x v="7"/>
    <x v="312"/>
    <x v="25"/>
    <x v="66"/>
    <x v="40"/>
    <x v="261"/>
    <x v="326"/>
    <s v="Overall, a grwat shoe."/>
    <n v="1478563200"/>
    <s v="Not Specified"/>
    <s v="Not Specified"/>
    <s v="Not Specified"/>
    <n v="83"/>
    <x v="0"/>
    <x v="2"/>
  </r>
  <r>
    <x v="0"/>
    <x v="0"/>
    <x v="249"/>
    <x v="3"/>
    <x v="7"/>
    <x v="313"/>
    <x v="25"/>
    <x v="63"/>
    <x v="17"/>
    <x v="262"/>
    <x v="327"/>
    <s v="These are as far as comfort goes the most comfortable pair of sneakers I have I suffer from sciatica ..."/>
    <n v="1478476800"/>
    <s v="Not Specified"/>
    <s v="Not Specified"/>
    <n v="3"/>
    <n v="235"/>
    <x v="0"/>
    <x v="2"/>
  </r>
  <r>
    <x v="1"/>
    <x v="0"/>
    <x v="250"/>
    <x v="3"/>
    <x v="7"/>
    <x v="314"/>
    <x v="25"/>
    <x v="57"/>
    <x v="40"/>
    <x v="263"/>
    <x v="328"/>
    <s v="They feel good but I will not recommended if you need Wide ..."/>
    <n v="1478390400"/>
    <s v="Not Specified"/>
    <s v="Not Specified"/>
    <s v="Not Specified"/>
    <n v="115"/>
    <x v="1"/>
    <x v="2"/>
  </r>
  <r>
    <x v="1"/>
    <x v="0"/>
    <x v="251"/>
    <x v="3"/>
    <x v="3"/>
    <x v="315"/>
    <x v="25"/>
    <x v="63"/>
    <x v="28"/>
    <x v="264"/>
    <x v="329"/>
    <s v="Get a half-size or more larger than usual."/>
    <n v="1477785600"/>
    <s v="Not Specified"/>
    <s v="Not Specified"/>
    <s v="Not Specified"/>
    <n v="228"/>
    <x v="1"/>
    <x v="2"/>
  </r>
  <r>
    <x v="0"/>
    <x v="0"/>
    <x v="252"/>
    <x v="3"/>
    <x v="3"/>
    <x v="316"/>
    <x v="25"/>
    <x v="54"/>
    <x v="23"/>
    <x v="265"/>
    <x v="330"/>
    <s v="Love them! Very comfortable and great for weight training"/>
    <n v="1477699200"/>
    <s v="Not Specified"/>
    <s v="Not Specified"/>
    <s v="Not Specified"/>
    <n v="59"/>
    <x v="0"/>
    <x v="2"/>
  </r>
  <r>
    <x v="1"/>
    <x v="0"/>
    <x v="253"/>
    <x v="3"/>
    <x v="3"/>
    <x v="317"/>
    <x v="25"/>
    <x v="57"/>
    <x v="17"/>
    <x v="266"/>
    <x v="331"/>
    <s v="Not as expected"/>
    <n v="1477440000"/>
    <s v="Not Specified"/>
    <s v="Not Specified"/>
    <s v="Not Specified"/>
    <n v="333"/>
    <x v="1"/>
    <x v="2"/>
  </r>
  <r>
    <x v="0"/>
    <x v="0"/>
    <x v="254"/>
    <x v="3"/>
    <x v="3"/>
    <x v="318"/>
    <x v="25"/>
    <x v="62"/>
    <x v="12"/>
    <x v="267"/>
    <x v="332"/>
    <s v="Five Stars"/>
    <n v="1477353600"/>
    <s v="Not Specified"/>
    <s v="Not Specified"/>
    <s v="Not Specified"/>
    <n v="33"/>
    <x v="0"/>
    <x v="2"/>
  </r>
  <r>
    <x v="0"/>
    <x v="1"/>
    <x v="255"/>
    <x v="3"/>
    <x v="3"/>
    <x v="319"/>
    <x v="25"/>
    <x v="59"/>
    <x v="30"/>
    <x v="5"/>
    <x v="333"/>
    <s v="Really Comfortable Shoes"/>
    <n v="1477267200"/>
    <s v="Not Specified"/>
    <s v="Not Specified"/>
    <s v="Not Specified"/>
    <n v="86"/>
    <x v="0"/>
    <x v="2"/>
  </r>
  <r>
    <x v="0"/>
    <x v="0"/>
    <x v="255"/>
    <x v="3"/>
    <x v="3"/>
    <x v="320"/>
    <x v="25"/>
    <x v="59"/>
    <x v="32"/>
    <x v="268"/>
    <x v="334"/>
    <s v="Five Stars"/>
    <n v="1477267200"/>
    <s v="Not Specified"/>
    <s v="Not Specified"/>
    <s v="Not Specified"/>
    <n v="24"/>
    <x v="0"/>
    <x v="2"/>
  </r>
  <r>
    <x v="0"/>
    <x v="0"/>
    <x v="256"/>
    <x v="3"/>
    <x v="3"/>
    <x v="321"/>
    <x v="25"/>
    <x v="26"/>
    <x v="17"/>
    <x v="5"/>
    <x v="335"/>
    <s v="Worth it."/>
    <n v="1476835200"/>
    <s v="Not Specified"/>
    <s v="Not Specified"/>
    <s v="Not Specified"/>
    <n v="35"/>
    <x v="0"/>
    <x v="2"/>
  </r>
  <r>
    <x v="0"/>
    <x v="0"/>
    <x v="4"/>
    <x v="3"/>
    <x v="3"/>
    <x v="322"/>
    <x v="25"/>
    <x v="65"/>
    <x v="28"/>
    <x v="269"/>
    <x v="336"/>
    <s v="Great sneakers!"/>
    <n v="1476662400"/>
    <s v="Not Specified"/>
    <s v="Not Specified"/>
    <n v="5"/>
    <n v="106"/>
    <x v="0"/>
    <x v="2"/>
  </r>
  <r>
    <x v="0"/>
    <x v="0"/>
    <x v="257"/>
    <x v="3"/>
    <x v="3"/>
    <x v="323"/>
    <x v="25"/>
    <x v="16"/>
    <x v="17"/>
    <x v="270"/>
    <x v="337"/>
    <s v="Lightweight yet supportive"/>
    <n v="1476489600"/>
    <s v="Not Specified"/>
    <s v="Not Specified"/>
    <s v="Not Specified"/>
    <n v="57"/>
    <x v="0"/>
    <x v="2"/>
  </r>
  <r>
    <x v="4"/>
    <x v="0"/>
    <x v="258"/>
    <x v="3"/>
    <x v="3"/>
    <x v="324"/>
    <x v="25"/>
    <x v="60"/>
    <x v="40"/>
    <x v="271"/>
    <x v="338"/>
    <s v="but like them so far"/>
    <n v="1476144000"/>
    <s v="Not Specified"/>
    <s v="Not Specified"/>
    <s v="Not Specified"/>
    <n v="181"/>
    <x v="0"/>
    <x v="2"/>
  </r>
  <r>
    <x v="1"/>
    <x v="0"/>
    <x v="259"/>
    <x v="3"/>
    <x v="3"/>
    <x v="325"/>
    <x v="25"/>
    <x v="30"/>
    <x v="20"/>
    <x v="272"/>
    <x v="339"/>
    <s v="Great red color"/>
    <n v="1475971200"/>
    <s v="Not Specified"/>
    <s v="Not Specified"/>
    <s v="Not Specified"/>
    <n v="68"/>
    <x v="1"/>
    <x v="2"/>
  </r>
  <r>
    <x v="4"/>
    <x v="0"/>
    <x v="260"/>
    <x v="3"/>
    <x v="3"/>
    <x v="326"/>
    <x v="25"/>
    <x v="59"/>
    <x v="17"/>
    <x v="273"/>
    <x v="340"/>
    <s v="they'll work great!: )"/>
    <n v="1475625600"/>
    <s v="Not Specified"/>
    <s v="Not Specified"/>
    <s v="Not Specified"/>
    <n v="100"/>
    <x v="0"/>
    <x v="2"/>
  </r>
  <r>
    <x v="1"/>
    <x v="0"/>
    <x v="261"/>
    <x v="3"/>
    <x v="3"/>
    <x v="327"/>
    <x v="25"/>
    <x v="16"/>
    <x v="20"/>
    <x v="274"/>
    <x v="341"/>
    <s v="Shoes looked great but too narrow for most feet"/>
    <n v="1475280000"/>
    <s v="Not Specified"/>
    <s v="Not Specified"/>
    <s v="Not Specified"/>
    <n v="59"/>
    <x v="1"/>
    <x v="2"/>
  </r>
  <r>
    <x v="0"/>
    <x v="0"/>
    <x v="262"/>
    <x v="3"/>
    <x v="0"/>
    <x v="328"/>
    <x v="25"/>
    <x v="63"/>
    <x v="18"/>
    <x v="275"/>
    <x v="342"/>
    <s v="I love these shoes"/>
    <n v="1474848000"/>
    <s v="Not Specified"/>
    <s v="Not Specified"/>
    <s v="Not Specified"/>
    <n v="107"/>
    <x v="0"/>
    <x v="2"/>
  </r>
  <r>
    <x v="0"/>
    <x v="0"/>
    <x v="263"/>
    <x v="3"/>
    <x v="0"/>
    <x v="329"/>
    <x v="25"/>
    <x v="59"/>
    <x v="34"/>
    <x v="276"/>
    <x v="343"/>
    <s v="Five Stars"/>
    <n v="1474588800"/>
    <s v="Not Specified"/>
    <s v="Not Specified"/>
    <s v="Not Specified"/>
    <n v="12"/>
    <x v="0"/>
    <x v="2"/>
  </r>
  <r>
    <x v="0"/>
    <x v="0"/>
    <x v="264"/>
    <x v="3"/>
    <x v="0"/>
    <x v="330"/>
    <x v="25"/>
    <x v="42"/>
    <x v="25"/>
    <x v="5"/>
    <x v="344"/>
    <s v="Very comfortable shoes. I have wide feet with falling arches"/>
    <n v="1474156800"/>
    <s v="Not Specified"/>
    <s v="Not Specified"/>
    <n v="3"/>
    <n v="140"/>
    <x v="0"/>
    <x v="2"/>
  </r>
  <r>
    <x v="3"/>
    <x v="0"/>
    <x v="265"/>
    <x v="3"/>
    <x v="0"/>
    <x v="331"/>
    <x v="25"/>
    <x v="57"/>
    <x v="23"/>
    <x v="277"/>
    <x v="345"/>
    <s v="Did not fit my feet"/>
    <n v="1473638400"/>
    <s v="Not Specified"/>
    <s v="Not Specified"/>
    <s v="Not Specified"/>
    <n v="148"/>
    <x v="2"/>
    <x v="2"/>
  </r>
  <r>
    <x v="3"/>
    <x v="0"/>
    <x v="266"/>
    <x v="3"/>
    <x v="0"/>
    <x v="332"/>
    <x v="25"/>
    <x v="22"/>
    <x v="17"/>
    <x v="278"/>
    <x v="346"/>
    <s v="Poor Quality. Don't buy."/>
    <n v="1473552000"/>
    <s v="Not Specified"/>
    <s v="Not Specified"/>
    <n v="14"/>
    <n v="258"/>
    <x v="2"/>
    <x v="2"/>
  </r>
  <r>
    <x v="0"/>
    <x v="0"/>
    <x v="267"/>
    <x v="3"/>
    <x v="0"/>
    <x v="333"/>
    <x v="25"/>
    <x v="57"/>
    <x v="17"/>
    <x v="279"/>
    <x v="347"/>
    <s v="Five Stars"/>
    <n v="1473379200"/>
    <s v="Not Specified"/>
    <s v="Not Specified"/>
    <s v="Not Specified"/>
    <n v="49"/>
    <x v="0"/>
    <x v="2"/>
  </r>
  <r>
    <x v="4"/>
    <x v="0"/>
    <x v="268"/>
    <x v="3"/>
    <x v="0"/>
    <x v="334"/>
    <x v="25"/>
    <x v="17"/>
    <x v="17"/>
    <x v="280"/>
    <x v="348"/>
    <s v="Does the job!"/>
    <n v="1473120000"/>
    <s v="Not Specified"/>
    <s v="Not Specified"/>
    <n v="2"/>
    <n v="248"/>
    <x v="0"/>
    <x v="2"/>
  </r>
  <r>
    <x v="4"/>
    <x v="0"/>
    <x v="269"/>
    <x v="3"/>
    <x v="0"/>
    <x v="335"/>
    <x v="25"/>
    <x v="55"/>
    <x v="32"/>
    <x v="5"/>
    <x v="349"/>
    <s v="I liked these shoes a lot"/>
    <n v="1472774400"/>
    <s v="Not Specified"/>
    <s v="Not Specified"/>
    <s v="Not Specified"/>
    <n v="177"/>
    <x v="0"/>
    <x v="2"/>
  </r>
  <r>
    <x v="0"/>
    <x v="0"/>
    <x v="270"/>
    <x v="3"/>
    <x v="4"/>
    <x v="336"/>
    <x v="25"/>
    <x v="16"/>
    <x v="17"/>
    <x v="5"/>
    <x v="350"/>
    <s v="Five Stars"/>
    <n v="1472428800"/>
    <s v="Not Specified"/>
    <s v="Not Specified"/>
    <s v="Not Specified"/>
    <n v="13"/>
    <x v="0"/>
    <x v="2"/>
  </r>
  <r>
    <x v="0"/>
    <x v="0"/>
    <x v="271"/>
    <x v="3"/>
    <x v="4"/>
    <x v="337"/>
    <x v="25"/>
    <x v="57"/>
    <x v="30"/>
    <x v="5"/>
    <x v="351"/>
    <s v="Five Stars"/>
    <n v="1472256000"/>
    <s v="Not Specified"/>
    <s v="Not Specified"/>
    <s v="Not Specified"/>
    <n v="62"/>
    <x v="0"/>
    <x v="2"/>
  </r>
  <r>
    <x v="0"/>
    <x v="0"/>
    <x v="271"/>
    <x v="3"/>
    <x v="4"/>
    <x v="338"/>
    <x v="25"/>
    <x v="63"/>
    <x v="17"/>
    <x v="5"/>
    <x v="352"/>
    <s v="... crossfit and find that these shoes help give me good support with my endurance workouts"/>
    <n v="1472256000"/>
    <s v="Not Specified"/>
    <s v="Not Specified"/>
    <n v="5"/>
    <n v="112"/>
    <x v="0"/>
    <x v="2"/>
  </r>
  <r>
    <x v="1"/>
    <x v="0"/>
    <x v="272"/>
    <x v="3"/>
    <x v="4"/>
    <x v="339"/>
    <x v="25"/>
    <x v="57"/>
    <x v="17"/>
    <x v="5"/>
    <x v="353"/>
    <s v="Unnacceptable. Zero support"/>
    <n v="1472169600"/>
    <s v="Not Specified"/>
    <s v="Not Specified"/>
    <n v="2"/>
    <n v="256"/>
    <x v="1"/>
    <x v="2"/>
  </r>
  <r>
    <x v="0"/>
    <x v="0"/>
    <x v="273"/>
    <x v="3"/>
    <x v="4"/>
    <x v="340"/>
    <x v="25"/>
    <x v="57"/>
    <x v="32"/>
    <x v="281"/>
    <x v="354"/>
    <s v="Great for walking!"/>
    <n v="1471910400"/>
    <s v="Not Specified"/>
    <s v="Not Specified"/>
    <s v="Not Specified"/>
    <n v="93"/>
    <x v="0"/>
    <x v="2"/>
  </r>
  <r>
    <x v="0"/>
    <x v="0"/>
    <x v="274"/>
    <x v="3"/>
    <x v="4"/>
    <x v="341"/>
    <x v="25"/>
    <x v="16"/>
    <x v="17"/>
    <x v="282"/>
    <x v="355"/>
    <s v="Simply Supreme."/>
    <n v="1471651200"/>
    <s v="Not Specified"/>
    <s v="Not Specified"/>
    <s v="Not Specified"/>
    <n v="1225"/>
    <x v="0"/>
    <x v="2"/>
  </r>
  <r>
    <x v="0"/>
    <x v="0"/>
    <x v="275"/>
    <x v="3"/>
    <x v="4"/>
    <x v="342"/>
    <x v="25"/>
    <x v="26"/>
    <x v="17"/>
    <x v="283"/>
    <x v="356"/>
    <s v="Soooo comfortable....."/>
    <n v="1471219200"/>
    <s v="Not Specified"/>
    <s v="Not Specified"/>
    <s v="Not Specified"/>
    <n v="246"/>
    <x v="0"/>
    <x v="2"/>
  </r>
  <r>
    <x v="0"/>
    <x v="0"/>
    <x v="275"/>
    <x v="3"/>
    <x v="4"/>
    <x v="343"/>
    <x v="25"/>
    <x v="62"/>
    <x v="12"/>
    <x v="284"/>
    <x v="357"/>
    <s v="Five Stars"/>
    <n v="1471219200"/>
    <s v="Not Specified"/>
    <s v="Not Specified"/>
    <s v="Not Specified"/>
    <n v="40"/>
    <x v="0"/>
    <x v="2"/>
  </r>
  <r>
    <x v="0"/>
    <x v="0"/>
    <x v="276"/>
    <x v="3"/>
    <x v="4"/>
    <x v="344"/>
    <x v="25"/>
    <x v="22"/>
    <x v="41"/>
    <x v="285"/>
    <x v="358"/>
    <s v="BEST SHOES EVER!"/>
    <n v="1471132800"/>
    <s v="Not Specified"/>
    <s v="Not Specified"/>
    <s v="Not Specified"/>
    <n v="224"/>
    <x v="0"/>
    <x v="2"/>
  </r>
  <r>
    <x v="0"/>
    <x v="0"/>
    <x v="277"/>
    <x v="3"/>
    <x v="4"/>
    <x v="345"/>
    <x v="25"/>
    <x v="22"/>
    <x v="17"/>
    <x v="286"/>
    <x v="359"/>
    <s v="... me the motivation to workout because they feel so good and are great for any training"/>
    <n v="1470614400"/>
    <s v="Not Specified"/>
    <s v="Not Specified"/>
    <s v="Not Specified"/>
    <n v="105"/>
    <x v="0"/>
    <x v="2"/>
  </r>
  <r>
    <x v="1"/>
    <x v="0"/>
    <x v="278"/>
    <x v="3"/>
    <x v="4"/>
    <x v="346"/>
    <x v="25"/>
    <x v="16"/>
    <x v="17"/>
    <x v="287"/>
    <x v="360"/>
    <s v="Hurt my knees and back running"/>
    <n v="1470355200"/>
    <s v="Not Specified"/>
    <s v="Not Specified"/>
    <n v="2"/>
    <n v="772"/>
    <x v="1"/>
    <x v="2"/>
  </r>
  <r>
    <x v="0"/>
    <x v="0"/>
    <x v="279"/>
    <x v="3"/>
    <x v="9"/>
    <x v="347"/>
    <x v="25"/>
    <x v="61"/>
    <x v="17"/>
    <x v="288"/>
    <x v="361"/>
    <s v="Very comfortable shoes. Love"/>
    <n v="1469577600"/>
    <s v="Not Specified"/>
    <s v="Not Specified"/>
    <s v="Not Specified"/>
    <n v="37"/>
    <x v="0"/>
    <x v="2"/>
  </r>
  <r>
    <x v="0"/>
    <x v="1"/>
    <x v="280"/>
    <x v="3"/>
    <x v="9"/>
    <x v="348"/>
    <x v="25"/>
    <x v="65"/>
    <x v="26"/>
    <x v="289"/>
    <x v="362"/>
    <s v="Great shoes"/>
    <n v="1469145600"/>
    <s v="Not Specified"/>
    <s v="Not Specified"/>
    <s v="Not Specified"/>
    <n v="427"/>
    <x v="0"/>
    <x v="2"/>
  </r>
  <r>
    <x v="1"/>
    <x v="0"/>
    <x v="281"/>
    <x v="3"/>
    <x v="9"/>
    <x v="349"/>
    <x v="25"/>
    <x v="63"/>
    <x v="17"/>
    <x v="290"/>
    <x v="363"/>
    <s v="large shoe"/>
    <n v="1469059200"/>
    <s v="Not Specified"/>
    <s v="Not Specified"/>
    <s v="Not Specified"/>
    <n v="50"/>
    <x v="1"/>
    <x v="2"/>
  </r>
  <r>
    <x v="0"/>
    <x v="0"/>
    <x v="282"/>
    <x v="3"/>
    <x v="9"/>
    <x v="350"/>
    <x v="25"/>
    <x v="16"/>
    <x v="17"/>
    <x v="291"/>
    <x v="364"/>
    <s v="Five Stars"/>
    <n v="1468886400"/>
    <s v="Not Specified"/>
    <s v="Not Specified"/>
    <s v="Not Specified"/>
    <n v="20"/>
    <x v="0"/>
    <x v="2"/>
  </r>
  <r>
    <x v="0"/>
    <x v="0"/>
    <x v="283"/>
    <x v="3"/>
    <x v="9"/>
    <x v="351"/>
    <x v="25"/>
    <x v="57"/>
    <x v="18"/>
    <x v="292"/>
    <x v="365"/>
    <s v="My wife loves these shoes."/>
    <n v="1468800000"/>
    <s v="Not Specified"/>
    <s v="Not Specified"/>
    <s v="Not Specified"/>
    <n v="306"/>
    <x v="0"/>
    <x v="2"/>
  </r>
  <r>
    <x v="0"/>
    <x v="0"/>
    <x v="284"/>
    <x v="3"/>
    <x v="9"/>
    <x v="352"/>
    <x v="25"/>
    <x v="17"/>
    <x v="17"/>
    <x v="293"/>
    <x v="366"/>
    <s v="Love Love Love"/>
    <n v="1468368000"/>
    <s v="Not Specified"/>
    <s v="Not Specified"/>
    <s v="Not Specified"/>
    <n v="188"/>
    <x v="0"/>
    <x v="2"/>
  </r>
  <r>
    <x v="0"/>
    <x v="0"/>
    <x v="285"/>
    <x v="3"/>
    <x v="9"/>
    <x v="353"/>
    <x v="25"/>
    <x v="26"/>
    <x v="17"/>
    <x v="5"/>
    <x v="367"/>
    <s v="PERFECT"/>
    <n v="1467331200"/>
    <s v="Not Specified"/>
    <s v="Not Specified"/>
    <s v="Not Specified"/>
    <n v="62"/>
    <x v="0"/>
    <x v="2"/>
  </r>
  <r>
    <x v="0"/>
    <x v="0"/>
    <x v="285"/>
    <x v="3"/>
    <x v="9"/>
    <x v="354"/>
    <x v="25"/>
    <x v="65"/>
    <x v="32"/>
    <x v="294"/>
    <x v="368"/>
    <s v="Nice shoe"/>
    <n v="1467331200"/>
    <s v="Not Specified"/>
    <s v="Not Specified"/>
    <n v="5"/>
    <n v="378"/>
    <x v="0"/>
    <x v="2"/>
  </r>
  <r>
    <x v="0"/>
    <x v="0"/>
    <x v="286"/>
    <x v="3"/>
    <x v="6"/>
    <x v="355"/>
    <x v="25"/>
    <x v="60"/>
    <x v="17"/>
    <x v="295"/>
    <x v="369"/>
    <s v="I am so happy with this purchase"/>
    <n v="1467072000"/>
    <s v="Not Specified"/>
    <s v="Not Specified"/>
    <n v="7"/>
    <n v="288"/>
    <x v="0"/>
    <x v="2"/>
  </r>
  <r>
    <x v="0"/>
    <x v="0"/>
    <x v="287"/>
    <x v="3"/>
    <x v="6"/>
    <x v="356"/>
    <x v="25"/>
    <x v="16"/>
    <x v="41"/>
    <x v="296"/>
    <x v="370"/>
    <s v="Five Stars"/>
    <n v="1466812800"/>
    <s v="Not Specified"/>
    <s v="Not Specified"/>
    <s v="Not Specified"/>
    <n v="60"/>
    <x v="0"/>
    <x v="2"/>
  </r>
  <r>
    <x v="1"/>
    <x v="0"/>
    <x v="288"/>
    <x v="3"/>
    <x v="6"/>
    <x v="357"/>
    <x v="25"/>
    <x v="63"/>
    <x v="18"/>
    <x v="5"/>
    <x v="371"/>
    <s v="Cute"/>
    <n v="1466467200"/>
    <s v="Not Specified"/>
    <s v="Not Specified"/>
    <n v="3"/>
    <n v="236"/>
    <x v="1"/>
    <x v="2"/>
  </r>
  <r>
    <x v="0"/>
    <x v="0"/>
    <x v="289"/>
    <x v="3"/>
    <x v="6"/>
    <x v="358"/>
    <x v="25"/>
    <x v="57"/>
    <x v="17"/>
    <x v="297"/>
    <x v="372"/>
    <s v="Love"/>
    <n v="1466294400"/>
    <s v="Not Specified"/>
    <s v="Not Specified"/>
    <n v="3"/>
    <n v="308"/>
    <x v="0"/>
    <x v="2"/>
  </r>
  <r>
    <x v="0"/>
    <x v="1"/>
    <x v="290"/>
    <x v="3"/>
    <x v="6"/>
    <x v="359"/>
    <x v="25"/>
    <x v="57"/>
    <x v="20"/>
    <x v="5"/>
    <x v="373"/>
    <s v="Absolutely Perfect Shoe!!"/>
    <n v="1466035200"/>
    <s v="Not Specified"/>
    <s v="Not Specified"/>
    <n v="3"/>
    <n v="370"/>
    <x v="0"/>
    <x v="2"/>
  </r>
  <r>
    <x v="0"/>
    <x v="0"/>
    <x v="291"/>
    <x v="3"/>
    <x v="6"/>
    <x v="360"/>
    <x v="25"/>
    <x v="58"/>
    <x v="17"/>
    <x v="298"/>
    <x v="374"/>
    <s v="Comfortable and lightweight"/>
    <n v="1465516800"/>
    <s v="Not Specified"/>
    <s v="Not Specified"/>
    <n v="11"/>
    <n v="204"/>
    <x v="0"/>
    <x v="2"/>
  </r>
  <r>
    <x v="0"/>
    <x v="0"/>
    <x v="292"/>
    <x v="3"/>
    <x v="6"/>
    <x v="361"/>
    <x v="25"/>
    <x v="59"/>
    <x v="17"/>
    <x v="299"/>
    <x v="321"/>
    <s v="Five Stars"/>
    <n v="1465084800"/>
    <s v="Not Specified"/>
    <s v="Not Specified"/>
    <s v="Not Specified"/>
    <n v="9"/>
    <x v="0"/>
    <x v="2"/>
  </r>
  <r>
    <x v="0"/>
    <x v="0"/>
    <x v="293"/>
    <x v="3"/>
    <x v="6"/>
    <x v="362"/>
    <x v="25"/>
    <x v="59"/>
    <x v="32"/>
    <x v="300"/>
    <x v="375"/>
    <s v="Awesome shoes!"/>
    <n v="1464825600"/>
    <s v="Not Specified"/>
    <s v="Not Specified"/>
    <s v="Not Specified"/>
    <n v="237"/>
    <x v="0"/>
    <x v="2"/>
  </r>
  <r>
    <x v="0"/>
    <x v="0"/>
    <x v="294"/>
    <x v="3"/>
    <x v="1"/>
    <x v="363"/>
    <x v="25"/>
    <x v="54"/>
    <x v="18"/>
    <x v="301"/>
    <x v="376"/>
    <s v="Five Stars"/>
    <n v="1464480000"/>
    <s v="Not Specified"/>
    <s v="Not Specified"/>
    <s v="Not Specified"/>
    <n v="11"/>
    <x v="0"/>
    <x v="2"/>
  </r>
  <r>
    <x v="0"/>
    <x v="0"/>
    <x v="295"/>
    <x v="3"/>
    <x v="1"/>
    <x v="364"/>
    <x v="25"/>
    <x v="39"/>
    <x v="58"/>
    <x v="5"/>
    <x v="228"/>
    <s v="Five Stars"/>
    <n v="1464393600"/>
    <s v="Not Specified"/>
    <s v="Not Specified"/>
    <s v="Not Specified"/>
    <n v="7"/>
    <x v="0"/>
    <x v="2"/>
  </r>
  <r>
    <x v="0"/>
    <x v="1"/>
    <x v="296"/>
    <x v="3"/>
    <x v="1"/>
    <x v="365"/>
    <x v="25"/>
    <x v="2"/>
    <x v="7"/>
    <x v="302"/>
    <x v="377"/>
    <s v="Time to leave the fad of the month for something that works."/>
    <n v="1464048000"/>
    <s v="Not Specified"/>
    <s v="Not Specified"/>
    <n v="8"/>
    <n v="629"/>
    <x v="0"/>
    <x v="2"/>
  </r>
  <r>
    <x v="4"/>
    <x v="0"/>
    <x v="296"/>
    <x v="3"/>
    <x v="1"/>
    <x v="366"/>
    <x v="25"/>
    <x v="57"/>
    <x v="18"/>
    <x v="335"/>
    <x v="378"/>
    <s v="A little annoying because I have to pay attention but they are ..."/>
    <n v="1464048000"/>
    <s v="Not Specified"/>
    <s v="Not Specified"/>
    <s v="Not Specified"/>
    <n v="148"/>
    <x v="0"/>
    <x v="2"/>
  </r>
  <r>
    <x v="0"/>
    <x v="0"/>
    <x v="297"/>
    <x v="3"/>
    <x v="1"/>
    <x v="367"/>
    <x v="25"/>
    <x v="26"/>
    <x v="17"/>
    <x v="304"/>
    <x v="248"/>
    <s v="Five Stars"/>
    <n v="1463702400"/>
    <s v="Not Specified"/>
    <s v="Not Specified"/>
    <s v="Not Specified"/>
    <n v="10"/>
    <x v="0"/>
    <x v="2"/>
  </r>
  <r>
    <x v="0"/>
    <x v="1"/>
    <x v="298"/>
    <x v="3"/>
    <x v="1"/>
    <x v="368"/>
    <x v="25"/>
    <x v="54"/>
    <x v="34"/>
    <x v="305"/>
    <x v="379"/>
    <s v="and the toe area is pretty wide plus plenty long even with socks"/>
    <n v="1463529600"/>
    <s v="Not Specified"/>
    <s v="Not Specified"/>
    <s v="Not Specified"/>
    <n v="247"/>
    <x v="0"/>
    <x v="2"/>
  </r>
  <r>
    <x v="0"/>
    <x v="0"/>
    <x v="299"/>
    <x v="3"/>
    <x v="1"/>
    <x v="369"/>
    <x v="25"/>
    <x v="22"/>
    <x v="20"/>
    <x v="5"/>
    <x v="380"/>
    <s v="Five Stars"/>
    <n v="1463356800"/>
    <s v="Not Specified"/>
    <s v="Not Specified"/>
    <s v="Not Specified"/>
    <n v="76"/>
    <x v="0"/>
    <x v="2"/>
  </r>
  <r>
    <x v="0"/>
    <x v="0"/>
    <x v="300"/>
    <x v="3"/>
    <x v="1"/>
    <x v="370"/>
    <x v="25"/>
    <x v="60"/>
    <x v="32"/>
    <x v="306"/>
    <x v="381"/>
    <s v="Great and comfy for sports"/>
    <n v="1463270400"/>
    <s v="Not Specified"/>
    <s v="Not Specified"/>
    <s v="Not Specified"/>
    <n v="27"/>
    <x v="0"/>
    <x v="2"/>
  </r>
  <r>
    <x v="4"/>
    <x v="0"/>
    <x v="301"/>
    <x v="3"/>
    <x v="1"/>
    <x v="371"/>
    <x v="25"/>
    <x v="63"/>
    <x v="58"/>
    <x v="307"/>
    <x v="382"/>
    <s v="A bit pointier toe than depicted..."/>
    <n v="1462924800"/>
    <s v="Not Specified"/>
    <s v="Not Specified"/>
    <s v="Not Specified"/>
    <n v="468"/>
    <x v="0"/>
    <x v="2"/>
  </r>
  <r>
    <x v="0"/>
    <x v="1"/>
    <x v="302"/>
    <x v="3"/>
    <x v="1"/>
    <x v="372"/>
    <x v="25"/>
    <x v="54"/>
    <x v="18"/>
    <x v="5"/>
    <x v="383"/>
    <s v="Best shoes ever!!!"/>
    <n v="1462838400"/>
    <s v="Not Specified"/>
    <s v="Not Specified"/>
    <s v="Not Specified"/>
    <n v="166"/>
    <x v="0"/>
    <x v="2"/>
  </r>
  <r>
    <x v="0"/>
    <x v="0"/>
    <x v="303"/>
    <x v="3"/>
    <x v="1"/>
    <x v="373"/>
    <x v="25"/>
    <x v="57"/>
    <x v="17"/>
    <x v="308"/>
    <x v="384"/>
    <s v="Five Stars"/>
    <n v="1462752000"/>
    <s v="Not Specified"/>
    <s v="Not Specified"/>
    <s v="Not Specified"/>
    <n v="33"/>
    <x v="0"/>
    <x v="2"/>
  </r>
  <r>
    <x v="0"/>
    <x v="0"/>
    <x v="304"/>
    <x v="3"/>
    <x v="1"/>
    <x v="374"/>
    <x v="25"/>
    <x v="26"/>
    <x v="17"/>
    <x v="309"/>
    <x v="385"/>
    <s v="Fits wonderful"/>
    <n v="1462665600"/>
    <s v="Not Specified"/>
    <s v="Not Specified"/>
    <s v="Not Specified"/>
    <n v="62"/>
    <x v="0"/>
    <x v="2"/>
  </r>
  <r>
    <x v="4"/>
    <x v="0"/>
    <x v="305"/>
    <x v="3"/>
    <x v="1"/>
    <x v="375"/>
    <x v="25"/>
    <x v="41"/>
    <x v="58"/>
    <x v="310"/>
    <x v="386"/>
    <s v="Four Stars"/>
    <n v="1462579200"/>
    <s v="Not Specified"/>
    <s v="Not Specified"/>
    <s v="Not Specified"/>
    <n v="25"/>
    <x v="0"/>
    <x v="2"/>
  </r>
  <r>
    <x v="4"/>
    <x v="0"/>
    <x v="306"/>
    <x v="3"/>
    <x v="1"/>
    <x v="376"/>
    <x v="25"/>
    <x v="57"/>
    <x v="17"/>
    <x v="311"/>
    <x v="387"/>
    <s v="Comfortable and lightweight"/>
    <n v="1462320000"/>
    <s v="Not Specified"/>
    <s v="Not Specified"/>
    <n v="20"/>
    <n v="1368"/>
    <x v="0"/>
    <x v="2"/>
  </r>
  <r>
    <x v="0"/>
    <x v="0"/>
    <x v="306"/>
    <x v="3"/>
    <x v="1"/>
    <x v="377"/>
    <x v="25"/>
    <x v="41"/>
    <x v="58"/>
    <x v="312"/>
    <x v="388"/>
    <s v="nice"/>
    <n v="1462320000"/>
    <s v="Not Specified"/>
    <s v="Not Specified"/>
    <s v="Not Specified"/>
    <n v="57"/>
    <x v="0"/>
    <x v="2"/>
  </r>
  <r>
    <x v="0"/>
    <x v="0"/>
    <x v="307"/>
    <x v="3"/>
    <x v="10"/>
    <x v="378"/>
    <x v="25"/>
    <x v="16"/>
    <x v="17"/>
    <x v="313"/>
    <x v="389"/>
    <s v="Five Stars"/>
    <n v="1461369600"/>
    <s v="Not Specified"/>
    <s v="Not Specified"/>
    <s v="Not Specified"/>
    <n v="50"/>
    <x v="0"/>
    <x v="2"/>
  </r>
  <r>
    <x v="0"/>
    <x v="0"/>
    <x v="308"/>
    <x v="3"/>
    <x v="10"/>
    <x v="379"/>
    <x v="25"/>
    <x v="63"/>
    <x v="17"/>
    <x v="314"/>
    <x v="390"/>
    <s v="Wide Feet so Somewhat Tight"/>
    <n v="1461196800"/>
    <s v="Not Specified"/>
    <s v="Not Specified"/>
    <n v="3"/>
    <n v="371"/>
    <x v="0"/>
    <x v="2"/>
  </r>
  <r>
    <x v="4"/>
    <x v="0"/>
    <x v="309"/>
    <x v="3"/>
    <x v="10"/>
    <x v="380"/>
    <x v="25"/>
    <x v="16"/>
    <x v="17"/>
    <x v="5"/>
    <x v="391"/>
    <s v="Four Stars"/>
    <n v="1461110400"/>
    <s v="Not Specified"/>
    <s v="Not Specified"/>
    <s v="Not Specified"/>
    <n v="19"/>
    <x v="0"/>
    <x v="2"/>
  </r>
  <r>
    <x v="4"/>
    <x v="0"/>
    <x v="42"/>
    <x v="3"/>
    <x v="10"/>
    <x v="30"/>
    <x v="25"/>
    <x v="59"/>
    <x v="17"/>
    <x v="5"/>
    <x v="49"/>
    <s v="Four Stars"/>
    <n v="1461024000"/>
    <s v="Not Specified"/>
    <s v="Not Specified"/>
    <n v="2"/>
    <n v="60"/>
    <x v="0"/>
    <x v="2"/>
  </r>
  <r>
    <x v="0"/>
    <x v="0"/>
    <x v="43"/>
    <x v="3"/>
    <x v="10"/>
    <x v="31"/>
    <x v="25"/>
    <x v="60"/>
    <x v="17"/>
    <x v="28"/>
    <x v="50"/>
    <s v="Five Stars"/>
    <n v="1460937600"/>
    <s v="Not Specified"/>
    <s v="Not Specified"/>
    <s v="Not Specified"/>
    <n v="22"/>
    <x v="0"/>
    <x v="2"/>
  </r>
  <r>
    <x v="1"/>
    <x v="0"/>
    <x v="44"/>
    <x v="3"/>
    <x v="10"/>
    <x v="32"/>
    <x v="25"/>
    <x v="16"/>
    <x v="17"/>
    <x v="29"/>
    <x v="51"/>
    <s v="LOOKS GOOD, FEELS ICKY!"/>
    <n v="1459728000"/>
    <s v="Not Specified"/>
    <s v="Not Specified"/>
    <n v="2"/>
    <n v="272"/>
    <x v="1"/>
    <x v="2"/>
  </r>
  <r>
    <x v="0"/>
    <x v="0"/>
    <x v="46"/>
    <x v="3"/>
    <x v="5"/>
    <x v="34"/>
    <x v="26"/>
    <x v="55"/>
    <x v="19"/>
    <x v="31"/>
    <x v="53"/>
    <s v="Five Stars"/>
    <n v="1459123200"/>
    <s v="Not Specified"/>
    <s v="Not Specified"/>
    <s v="Not Specified"/>
    <n v="9"/>
    <x v="0"/>
    <x v="2"/>
  </r>
  <r>
    <x v="2"/>
    <x v="0"/>
    <x v="46"/>
    <x v="3"/>
    <x v="5"/>
    <x v="35"/>
    <x v="26"/>
    <x v="56"/>
    <x v="58"/>
    <x v="5"/>
    <x v="54"/>
    <s v="Cheap"/>
    <n v="1459123200"/>
    <s v="Not Specified"/>
    <s v="Not Specified"/>
    <s v="Not Specified"/>
    <n v="167"/>
    <x v="2"/>
    <x v="2"/>
  </r>
  <r>
    <x v="4"/>
    <x v="0"/>
    <x v="47"/>
    <x v="3"/>
    <x v="5"/>
    <x v="36"/>
    <x v="26"/>
    <x v="20"/>
    <x v="58"/>
    <x v="32"/>
    <x v="55"/>
    <s v="Pretty comfortable pair of running shoes"/>
    <n v="1458777600"/>
    <s v="Not Specified"/>
    <s v="Not Specified"/>
    <s v="Not Specified"/>
    <n v="132"/>
    <x v="0"/>
    <x v="2"/>
  </r>
  <r>
    <x v="1"/>
    <x v="0"/>
    <x v="6"/>
    <x v="3"/>
    <x v="5"/>
    <x v="37"/>
    <x v="26"/>
    <x v="57"/>
    <x v="17"/>
    <x v="33"/>
    <x v="56"/>
    <s v="I always get a half size up in my tennis ..."/>
    <n v="1458691200"/>
    <s v="Not Specified"/>
    <s v="Not Specified"/>
    <n v="7"/>
    <n v="108"/>
    <x v="1"/>
    <x v="2"/>
  </r>
  <r>
    <x v="0"/>
    <x v="0"/>
    <x v="48"/>
    <x v="3"/>
    <x v="5"/>
    <x v="38"/>
    <x v="26"/>
    <x v="22"/>
    <x v="20"/>
    <x v="34"/>
    <x v="57"/>
    <s v="Love them! So light feeling"/>
    <n v="1458432000"/>
    <s v="Not Specified"/>
    <s v="Not Specified"/>
    <s v="Not Specified"/>
    <n v="75"/>
    <x v="0"/>
    <x v="2"/>
  </r>
  <r>
    <x v="0"/>
    <x v="0"/>
    <x v="49"/>
    <x v="3"/>
    <x v="5"/>
    <x v="39"/>
    <x v="26"/>
    <x v="58"/>
    <x v="58"/>
    <x v="35"/>
    <x v="53"/>
    <s v="Five Stars"/>
    <n v="1458259200"/>
    <s v="Not Specified"/>
    <s v="Not Specified"/>
    <s v="Not Specified"/>
    <n v="9"/>
    <x v="0"/>
    <x v="2"/>
  </r>
  <r>
    <x v="4"/>
    <x v="0"/>
    <x v="313"/>
    <x v="3"/>
    <x v="5"/>
    <x v="384"/>
    <x v="26"/>
    <x v="57"/>
    <x v="17"/>
    <x v="317"/>
    <x v="395"/>
    <s v="you feel like you have a lot of room"/>
    <n v="1458086400"/>
    <s v="Not Specified"/>
    <s v="Not Specified"/>
    <s v="Not Specified"/>
    <n v="213"/>
    <x v="0"/>
    <x v="2"/>
  </r>
  <r>
    <x v="0"/>
    <x v="0"/>
    <x v="314"/>
    <x v="3"/>
    <x v="5"/>
    <x v="385"/>
    <x v="26"/>
    <x v="57"/>
    <x v="17"/>
    <x v="5"/>
    <x v="396"/>
    <s v="Exactly What I Was Looking For"/>
    <n v="1457827200"/>
    <s v="Not Specified"/>
    <s v="Not Specified"/>
    <n v="22"/>
    <n v="412"/>
    <x v="0"/>
    <x v="2"/>
  </r>
  <r>
    <x v="0"/>
    <x v="0"/>
    <x v="315"/>
    <x v="3"/>
    <x v="5"/>
    <x v="386"/>
    <x v="26"/>
    <x v="26"/>
    <x v="17"/>
    <x v="5"/>
    <x v="397"/>
    <s v="Five Stars"/>
    <n v="1457222400"/>
    <s v="Not Specified"/>
    <s v="Not Specified"/>
    <s v="Not Specified"/>
    <n v="17"/>
    <x v="0"/>
    <x v="2"/>
  </r>
  <r>
    <x v="0"/>
    <x v="0"/>
    <x v="316"/>
    <x v="3"/>
    <x v="5"/>
    <x v="387"/>
    <x v="26"/>
    <x v="56"/>
    <x v="58"/>
    <x v="318"/>
    <x v="398"/>
    <s v="Good shoes, tolerable price."/>
    <n v="1456876800"/>
    <s v="Not Specified"/>
    <s v="Not Specified"/>
    <s v="Not Specified"/>
    <n v="55"/>
    <x v="0"/>
    <x v="2"/>
  </r>
  <r>
    <x v="0"/>
    <x v="0"/>
    <x v="335"/>
    <x v="1"/>
    <x v="9"/>
    <x v="399"/>
    <x v="26"/>
    <x v="59"/>
    <x v="23"/>
    <x v="327"/>
    <x v="424"/>
    <s v="Five Stars"/>
    <n v="1530748800"/>
    <s v="Not Specified"/>
    <s v="Not Specified"/>
    <s v="Not Specified"/>
    <n v="41"/>
    <x v="0"/>
    <x v="2"/>
  </r>
  <r>
    <x v="0"/>
    <x v="0"/>
    <x v="336"/>
    <x v="1"/>
    <x v="9"/>
    <x v="400"/>
    <x v="26"/>
    <x v="60"/>
    <x v="17"/>
    <x v="328"/>
    <x v="425"/>
    <s v="I absolutely LOVE these shoes"/>
    <n v="1530662400"/>
    <s v="Not Specified"/>
    <s v="Not Specified"/>
    <s v="Not Specified"/>
    <n v="337"/>
    <x v="0"/>
    <x v="2"/>
  </r>
  <r>
    <x v="0"/>
    <x v="0"/>
    <x v="337"/>
    <x v="1"/>
    <x v="9"/>
    <x v="401"/>
    <x v="26"/>
    <x v="57"/>
    <x v="36"/>
    <x v="5"/>
    <x v="426"/>
    <s v="Five Stars"/>
    <n v="1530489600"/>
    <s v="Not Specified"/>
    <s v="Not Specified"/>
    <s v="Not Specified"/>
    <n v="12"/>
    <x v="0"/>
    <x v="2"/>
  </r>
  <r>
    <x v="0"/>
    <x v="0"/>
    <x v="338"/>
    <x v="1"/>
    <x v="6"/>
    <x v="402"/>
    <x v="26"/>
    <x v="61"/>
    <x v="23"/>
    <x v="329"/>
    <x v="427"/>
    <s v="Comfortable"/>
    <n v="1530144000"/>
    <s v="Not Specified"/>
    <s v="Not Specified"/>
    <s v="Not Specified"/>
    <n v="27"/>
    <x v="0"/>
    <x v="2"/>
  </r>
  <r>
    <x v="0"/>
    <x v="0"/>
    <x v="339"/>
    <x v="1"/>
    <x v="6"/>
    <x v="403"/>
    <x v="26"/>
    <x v="60"/>
    <x v="21"/>
    <x v="5"/>
    <x v="428"/>
    <s v="Five Stars"/>
    <n v="1529884800"/>
    <s v="Not Specified"/>
    <s v="Not Specified"/>
    <s v="Not Specified"/>
    <n v="21"/>
    <x v="0"/>
    <x v="2"/>
  </r>
  <r>
    <x v="0"/>
    <x v="0"/>
    <x v="340"/>
    <x v="1"/>
    <x v="6"/>
    <x v="404"/>
    <x v="26"/>
    <x v="54"/>
    <x v="21"/>
    <x v="330"/>
    <x v="429"/>
    <s v="Love them!"/>
    <n v="1529452800"/>
    <s v="Not Specified"/>
    <s v="Not Specified"/>
    <n v="2"/>
    <n v="382"/>
    <x v="0"/>
    <x v="2"/>
  </r>
  <r>
    <x v="0"/>
    <x v="0"/>
    <x v="341"/>
    <x v="1"/>
    <x v="6"/>
    <x v="405"/>
    <x v="26"/>
    <x v="17"/>
    <x v="17"/>
    <x v="167"/>
    <x v="430"/>
    <s v="Five Stars"/>
    <n v="1529107200"/>
    <s v="Not Specified"/>
    <s v="Not Specified"/>
    <s v="Not Specified"/>
    <n v="44"/>
    <x v="0"/>
    <x v="2"/>
  </r>
  <r>
    <x v="0"/>
    <x v="0"/>
    <x v="322"/>
    <x v="1"/>
    <x v="6"/>
    <x v="395"/>
    <x v="26"/>
    <x v="60"/>
    <x v="17"/>
    <x v="324"/>
    <x v="405"/>
    <s v="Five Stars"/>
    <n v="1527984000"/>
    <s v="Not Specified"/>
    <s v="Not Specified"/>
    <s v="Not Specified"/>
    <n v="47"/>
    <x v="0"/>
    <x v="2"/>
  </r>
  <r>
    <x v="0"/>
    <x v="0"/>
    <x v="321"/>
    <x v="1"/>
    <x v="1"/>
    <x v="393"/>
    <x v="26"/>
    <x v="62"/>
    <x v="21"/>
    <x v="322"/>
    <x v="403"/>
    <s v="LOVE my new sneakers!"/>
    <n v="1526947200"/>
    <s v="Not Specified"/>
    <s v="Not Specified"/>
    <n v="2"/>
    <n v="372"/>
    <x v="0"/>
    <x v="2"/>
  </r>
  <r>
    <x v="0"/>
    <x v="0"/>
    <x v="319"/>
    <x v="1"/>
    <x v="1"/>
    <x v="394"/>
    <x v="26"/>
    <x v="63"/>
    <x v="17"/>
    <x v="323"/>
    <x v="404"/>
    <s v="Very confortable!"/>
    <n v="1526428800"/>
    <s v="Not Specified"/>
    <s v="Not Specified"/>
    <s v="Not Specified"/>
    <n v="17"/>
    <x v="0"/>
    <x v="2"/>
  </r>
  <r>
    <x v="0"/>
    <x v="0"/>
    <x v="319"/>
    <x v="1"/>
    <x v="1"/>
    <x v="390"/>
    <x v="26"/>
    <x v="58"/>
    <x v="17"/>
    <x v="151"/>
    <x v="13"/>
    <s v="Five Stars"/>
    <n v="1526428800"/>
    <s v="Not Specified"/>
    <s v="Not Specified"/>
    <s v="Not Specified"/>
    <n v="11"/>
    <x v="0"/>
    <x v="2"/>
  </r>
  <r>
    <x v="1"/>
    <x v="0"/>
    <x v="320"/>
    <x v="1"/>
    <x v="1"/>
    <x v="391"/>
    <x v="26"/>
    <x v="57"/>
    <x v="21"/>
    <x v="5"/>
    <x v="401"/>
    <s v="Three Stars"/>
    <n v="1526342400"/>
    <s v="Not Specified"/>
    <s v="Not Specified"/>
    <s v="Not Specified"/>
    <n v="39"/>
    <x v="1"/>
    <x v="2"/>
  </r>
  <r>
    <x v="1"/>
    <x v="0"/>
    <x v="320"/>
    <x v="1"/>
    <x v="1"/>
    <x v="392"/>
    <x v="26"/>
    <x v="54"/>
    <x v="21"/>
    <x v="321"/>
    <x v="402"/>
    <s v="somewhat large fit"/>
    <n v="1526342400"/>
    <s v="Not Specified"/>
    <s v="Not Specified"/>
    <s v="Not Specified"/>
    <n v="173"/>
    <x v="1"/>
    <x v="2"/>
  </r>
  <r>
    <x v="0"/>
    <x v="0"/>
    <x v="317"/>
    <x v="1"/>
    <x v="1"/>
    <x v="388"/>
    <x v="26"/>
    <x v="57"/>
    <x v="36"/>
    <x v="319"/>
    <x v="399"/>
    <s v="Five Stars"/>
    <n v="1525478400"/>
    <s v="Not Specified"/>
    <s v="Not Specified"/>
    <s v="Not Specified"/>
    <n v="71"/>
    <x v="0"/>
    <x v="2"/>
  </r>
  <r>
    <x v="0"/>
    <x v="0"/>
    <x v="318"/>
    <x v="1"/>
    <x v="1"/>
    <x v="389"/>
    <x v="26"/>
    <x v="60"/>
    <x v="34"/>
    <x v="320"/>
    <x v="400"/>
    <s v="Five Stars"/>
    <n v="1525305600"/>
    <s v="Not Specified"/>
    <s v="Not Specified"/>
    <s v="Not Specified"/>
    <n v="90"/>
    <x v="0"/>
    <x v="2"/>
  </r>
  <r>
    <x v="1"/>
    <x v="0"/>
    <x v="310"/>
    <x v="1"/>
    <x v="10"/>
    <x v="381"/>
    <x v="26"/>
    <x v="64"/>
    <x v="29"/>
    <x v="5"/>
    <x v="392"/>
    <s v="Three Stars"/>
    <n v="1525046400"/>
    <s v="Not Specified"/>
    <s v="Not Specified"/>
    <s v="Not Specified"/>
    <n v="14"/>
    <x v="1"/>
    <x v="2"/>
  </r>
  <r>
    <x v="0"/>
    <x v="0"/>
    <x v="311"/>
    <x v="1"/>
    <x v="10"/>
    <x v="382"/>
    <x v="26"/>
    <x v="65"/>
    <x v="31"/>
    <x v="315"/>
    <x v="393"/>
    <s v="Five Stars"/>
    <n v="1524700800"/>
    <s v="Not Specified"/>
    <s v="Not Specified"/>
    <s v="Not Specified"/>
    <n v="43"/>
    <x v="0"/>
    <x v="2"/>
  </r>
  <r>
    <x v="0"/>
    <x v="0"/>
    <x v="312"/>
    <x v="1"/>
    <x v="10"/>
    <x v="383"/>
    <x v="26"/>
    <x v="65"/>
    <x v="17"/>
    <x v="316"/>
    <x v="394"/>
    <s v="Great Shoe"/>
    <n v="1524528000"/>
    <s v="Not Specified"/>
    <s v="Not Specified"/>
    <s v="Not Specified"/>
    <n v="160"/>
    <x v="0"/>
    <x v="2"/>
  </r>
  <r>
    <x v="0"/>
    <x v="0"/>
    <x v="50"/>
    <x v="1"/>
    <x v="10"/>
    <x v="40"/>
    <x v="26"/>
    <x v="59"/>
    <x v="17"/>
    <x v="36"/>
    <x v="58"/>
    <s v="Love these shoes"/>
    <n v="1524355200"/>
    <s v="Not Specified"/>
    <s v="Not Specified"/>
    <s v="Not Specified"/>
    <n v="148"/>
    <x v="0"/>
    <x v="2"/>
  </r>
  <r>
    <x v="1"/>
    <x v="0"/>
    <x v="51"/>
    <x v="1"/>
    <x v="10"/>
    <x v="41"/>
    <x v="26"/>
    <x v="54"/>
    <x v="21"/>
    <x v="37"/>
    <x v="59"/>
    <s v="Its not as comfortable as I was expecting"/>
    <n v="1524096000"/>
    <s v="Not Specified"/>
    <s v="Not Specified"/>
    <s v="Not Specified"/>
    <n v="125"/>
    <x v="1"/>
    <x v="2"/>
  </r>
  <r>
    <x v="0"/>
    <x v="0"/>
    <x v="52"/>
    <x v="1"/>
    <x v="10"/>
    <x v="42"/>
    <x v="26"/>
    <x v="65"/>
    <x v="17"/>
    <x v="38"/>
    <x v="60"/>
    <s v="Very Comfortable"/>
    <n v="1524009600"/>
    <s v="Not Specified"/>
    <s v="Not Specified"/>
    <s v="Not Specified"/>
    <n v="123"/>
    <x v="0"/>
    <x v="2"/>
  </r>
  <r>
    <x v="0"/>
    <x v="0"/>
    <x v="52"/>
    <x v="1"/>
    <x v="10"/>
    <x v="43"/>
    <x v="26"/>
    <x v="59"/>
    <x v="21"/>
    <x v="5"/>
    <x v="61"/>
    <s v="The color pattern and fit is what I liked the most what I liked the least is that ..."/>
    <n v="1524009600"/>
    <s v="Not Specified"/>
    <s v="Not Specified"/>
    <s v="Not Specified"/>
    <n v="155"/>
    <x v="0"/>
    <x v="2"/>
  </r>
  <r>
    <x v="0"/>
    <x v="0"/>
    <x v="53"/>
    <x v="1"/>
    <x v="10"/>
    <x v="44"/>
    <x v="26"/>
    <x v="62"/>
    <x v="12"/>
    <x v="39"/>
    <x v="62"/>
    <s v="Great shoe for the price!"/>
    <n v="1523836800"/>
    <s v="Not Specified"/>
    <s v="Not Specified"/>
    <s v="Not Specified"/>
    <n v="158"/>
    <x v="0"/>
    <x v="2"/>
  </r>
  <r>
    <x v="0"/>
    <x v="0"/>
    <x v="54"/>
    <x v="1"/>
    <x v="10"/>
    <x v="45"/>
    <x v="26"/>
    <x v="17"/>
    <x v="17"/>
    <x v="40"/>
    <x v="63"/>
    <s v="Great shoe!"/>
    <n v="1523750400"/>
    <s v="Not Specified"/>
    <s v="Not Specified"/>
    <n v="3"/>
    <n v="774"/>
    <x v="0"/>
    <x v="2"/>
  </r>
  <r>
    <x v="1"/>
    <x v="0"/>
    <x v="55"/>
    <x v="1"/>
    <x v="10"/>
    <x v="46"/>
    <x v="26"/>
    <x v="60"/>
    <x v="21"/>
    <x v="41"/>
    <x v="64"/>
    <s v="Three Stars"/>
    <n v="1523577600"/>
    <s v="Not Specified"/>
    <s v="Not Specified"/>
    <s v="Not Specified"/>
    <n v="85"/>
    <x v="1"/>
    <x v="2"/>
  </r>
  <r>
    <x v="1"/>
    <x v="0"/>
    <x v="56"/>
    <x v="1"/>
    <x v="10"/>
    <x v="47"/>
    <x v="26"/>
    <x v="59"/>
    <x v="23"/>
    <x v="42"/>
    <x v="65"/>
    <s v="Three Stars"/>
    <n v="1523232000"/>
    <s v="Not Specified"/>
    <s v="Not Specified"/>
    <s v="Not Specified"/>
    <n v="4"/>
    <x v="1"/>
    <x v="2"/>
  </r>
  <r>
    <x v="0"/>
    <x v="0"/>
    <x v="56"/>
    <x v="1"/>
    <x v="10"/>
    <x v="48"/>
    <x v="26"/>
    <x v="59"/>
    <x v="17"/>
    <x v="43"/>
    <x v="66"/>
    <s v="Five Stars"/>
    <n v="1523232000"/>
    <s v="Not Specified"/>
    <s v="Not Specified"/>
    <s v="Not Specified"/>
    <n v="7"/>
    <x v="0"/>
    <x v="2"/>
  </r>
  <r>
    <x v="0"/>
    <x v="0"/>
    <x v="57"/>
    <x v="1"/>
    <x v="10"/>
    <x v="49"/>
    <x v="26"/>
    <x v="60"/>
    <x v="17"/>
    <x v="44"/>
    <x v="67"/>
    <s v="Love these shoes"/>
    <n v="1523145600"/>
    <s v="Not Specified"/>
    <s v="Not Specified"/>
    <s v="Not Specified"/>
    <n v="157"/>
    <x v="0"/>
    <x v="2"/>
  </r>
  <r>
    <x v="0"/>
    <x v="0"/>
    <x v="58"/>
    <x v="1"/>
    <x v="10"/>
    <x v="50"/>
    <x v="26"/>
    <x v="25"/>
    <x v="23"/>
    <x v="45"/>
    <x v="68"/>
    <s v="Five Stars"/>
    <n v="1523059200"/>
    <s v="Not Specified"/>
    <s v="Not Specified"/>
    <s v="Not Specified"/>
    <n v="0"/>
    <x v="0"/>
    <x v="2"/>
  </r>
  <r>
    <x v="0"/>
    <x v="0"/>
    <x v="59"/>
    <x v="1"/>
    <x v="10"/>
    <x v="51"/>
    <x v="26"/>
    <x v="17"/>
    <x v="17"/>
    <x v="46"/>
    <x v="69"/>
    <s v="Great cross trainer"/>
    <n v="1522800000"/>
    <s v="Not Specified"/>
    <s v="Not Specified"/>
    <s v="Not Specified"/>
    <n v="35"/>
    <x v="0"/>
    <x v="2"/>
  </r>
  <r>
    <x v="4"/>
    <x v="0"/>
    <x v="60"/>
    <x v="1"/>
    <x v="10"/>
    <x v="52"/>
    <x v="26"/>
    <x v="57"/>
    <x v="23"/>
    <x v="47"/>
    <x v="70"/>
    <s v="They are comfortable for the most but just a bit narrow"/>
    <n v="1522713600"/>
    <s v="Not Specified"/>
    <s v="Not Specified"/>
    <s v="Not Specified"/>
    <n v="213"/>
    <x v="0"/>
    <x v="2"/>
  </r>
  <r>
    <x v="0"/>
    <x v="0"/>
    <x v="60"/>
    <x v="1"/>
    <x v="10"/>
    <x v="53"/>
    <x v="26"/>
    <x v="17"/>
    <x v="17"/>
    <x v="48"/>
    <x v="71"/>
    <s v="staple sneakers"/>
    <n v="1522713600"/>
    <s v="Not Specified"/>
    <s v="Not Specified"/>
    <s v="Not Specified"/>
    <n v="105"/>
    <x v="0"/>
    <x v="2"/>
  </r>
  <r>
    <x v="0"/>
    <x v="0"/>
    <x v="61"/>
    <x v="1"/>
    <x v="5"/>
    <x v="54"/>
    <x v="26"/>
    <x v="57"/>
    <x v="17"/>
    <x v="49"/>
    <x v="72"/>
    <s v="Great looking shoe"/>
    <n v="1522454400"/>
    <s v="Not Specified"/>
    <s v="Not Specified"/>
    <s v="Not Specified"/>
    <n v="48"/>
    <x v="0"/>
    <x v="2"/>
  </r>
  <r>
    <x v="0"/>
    <x v="0"/>
    <x v="62"/>
    <x v="1"/>
    <x v="5"/>
    <x v="55"/>
    <x v="26"/>
    <x v="14"/>
    <x v="24"/>
    <x v="50"/>
    <x v="73"/>
    <s v="Great shoes."/>
    <n v="1522195200"/>
    <s v="Not Specified"/>
    <s v="Not Specified"/>
    <s v="Not Specified"/>
    <n v="90"/>
    <x v="0"/>
    <x v="2"/>
  </r>
  <r>
    <x v="1"/>
    <x v="0"/>
    <x v="63"/>
    <x v="1"/>
    <x v="5"/>
    <x v="56"/>
    <x v="26"/>
    <x v="57"/>
    <x v="23"/>
    <x v="51"/>
    <x v="74"/>
    <s v="Style 10/10, Comfort 3/10"/>
    <n v="1522108800"/>
    <s v="Not Specified"/>
    <s v="Not Specified"/>
    <s v="Not Specified"/>
    <n v="121"/>
    <x v="1"/>
    <x v="2"/>
  </r>
  <r>
    <x v="0"/>
    <x v="0"/>
    <x v="64"/>
    <x v="1"/>
    <x v="5"/>
    <x v="57"/>
    <x v="26"/>
    <x v="54"/>
    <x v="21"/>
    <x v="52"/>
    <x v="75"/>
    <s v="these shoes are great! Very lightweight and fits comfortably on my feet ..."/>
    <n v="1521676800"/>
    <s v="Not Specified"/>
    <s v="Not Specified"/>
    <n v="2"/>
    <n v="277"/>
    <x v="0"/>
    <x v="2"/>
  </r>
  <r>
    <x v="0"/>
    <x v="0"/>
    <x v="64"/>
    <x v="1"/>
    <x v="5"/>
    <x v="58"/>
    <x v="26"/>
    <x v="65"/>
    <x v="17"/>
    <x v="53"/>
    <x v="76"/>
    <s v="Great shoes. Fit perfectly"/>
    <n v="1521676800"/>
    <s v="Not Specified"/>
    <s v="Not Specified"/>
    <s v="Not Specified"/>
    <n v="129"/>
    <x v="0"/>
    <x v="2"/>
  </r>
  <r>
    <x v="0"/>
    <x v="0"/>
    <x v="65"/>
    <x v="1"/>
    <x v="5"/>
    <x v="59"/>
    <x v="26"/>
    <x v="66"/>
    <x v="23"/>
    <x v="54"/>
    <x v="77"/>
    <s v="Five Stars"/>
    <n v="1521590400"/>
    <s v="Not Specified"/>
    <s v="Not Specified"/>
    <s v="Not Specified"/>
    <n v="56"/>
    <x v="0"/>
    <x v="2"/>
  </r>
  <r>
    <x v="0"/>
    <x v="0"/>
    <x v="66"/>
    <x v="1"/>
    <x v="5"/>
    <x v="60"/>
    <x v="26"/>
    <x v="60"/>
    <x v="17"/>
    <x v="55"/>
    <x v="78"/>
    <s v="Perfect. Lightweight and comfortable all day"/>
    <n v="1521504000"/>
    <s v="Not Specified"/>
    <s v="Not Specified"/>
    <s v="Not Specified"/>
    <n v="137"/>
    <x v="0"/>
    <x v="2"/>
  </r>
  <r>
    <x v="0"/>
    <x v="0"/>
    <x v="67"/>
    <x v="1"/>
    <x v="5"/>
    <x v="61"/>
    <x v="26"/>
    <x v="57"/>
    <x v="17"/>
    <x v="56"/>
    <x v="79"/>
    <s v="My knees feel better so so hard so good"/>
    <n v="1521417600"/>
    <s v="Not Specified"/>
    <s v="Not Specified"/>
    <s v="Not Specified"/>
    <n v="211"/>
    <x v="0"/>
    <x v="2"/>
  </r>
  <r>
    <x v="0"/>
    <x v="0"/>
    <x v="67"/>
    <x v="1"/>
    <x v="5"/>
    <x v="62"/>
    <x v="26"/>
    <x v="21"/>
    <x v="24"/>
    <x v="57"/>
    <x v="80"/>
    <s v="Five Stars"/>
    <n v="1521417600"/>
    <s v="Not Specified"/>
    <s v="Not Specified"/>
    <s v="Not Specified"/>
    <n v="15"/>
    <x v="0"/>
    <x v="2"/>
  </r>
  <r>
    <x v="4"/>
    <x v="0"/>
    <x v="68"/>
    <x v="1"/>
    <x v="5"/>
    <x v="63"/>
    <x v="26"/>
    <x v="46"/>
    <x v="25"/>
    <x v="58"/>
    <x v="81"/>
    <s v="Comfortable, lightweight Xtrainer"/>
    <n v="1521244800"/>
    <s v="Not Specified"/>
    <s v="Not Specified"/>
    <s v="Not Specified"/>
    <n v="127"/>
    <x v="0"/>
    <x v="2"/>
  </r>
  <r>
    <x v="0"/>
    <x v="0"/>
    <x v="69"/>
    <x v="1"/>
    <x v="5"/>
    <x v="64"/>
    <x v="26"/>
    <x v="22"/>
    <x v="17"/>
    <x v="59"/>
    <x v="82"/>
    <s v="Great shoe!"/>
    <n v="1520899200"/>
    <s v="Not Specified"/>
    <s v="Not Specified"/>
    <s v="Not Specified"/>
    <n v="174"/>
    <x v="0"/>
    <x v="2"/>
  </r>
  <r>
    <x v="3"/>
    <x v="0"/>
    <x v="70"/>
    <x v="1"/>
    <x v="5"/>
    <x v="65"/>
    <x v="26"/>
    <x v="65"/>
    <x v="26"/>
    <x v="60"/>
    <x v="83"/>
    <s v="Returned...looked cheap"/>
    <n v="1520726400"/>
    <s v="Not Specified"/>
    <s v="Not Specified"/>
    <s v="Not Specified"/>
    <n v="22"/>
    <x v="2"/>
    <x v="2"/>
  </r>
  <r>
    <x v="0"/>
    <x v="0"/>
    <x v="71"/>
    <x v="1"/>
    <x v="5"/>
    <x v="66"/>
    <x v="26"/>
    <x v="17"/>
    <x v="17"/>
    <x v="5"/>
    <x v="84"/>
    <s v="Fits to size"/>
    <n v="1520208000"/>
    <s v="Not Specified"/>
    <s v="Not Specified"/>
    <s v="Not Specified"/>
    <n v="22"/>
    <x v="0"/>
    <x v="2"/>
  </r>
  <r>
    <x v="0"/>
    <x v="0"/>
    <x v="72"/>
    <x v="1"/>
    <x v="5"/>
    <x v="67"/>
    <x v="26"/>
    <x v="67"/>
    <x v="17"/>
    <x v="61"/>
    <x v="85"/>
    <s v="Very comfortable shoes. This is my second pair of this ..."/>
    <n v="1519948800"/>
    <s v="Not Specified"/>
    <s v="Not Specified"/>
    <s v="Not Specified"/>
    <n v="100"/>
    <x v="0"/>
    <x v="2"/>
  </r>
  <r>
    <x v="0"/>
    <x v="0"/>
    <x v="73"/>
    <x v="1"/>
    <x v="8"/>
    <x v="68"/>
    <x v="26"/>
    <x v="22"/>
    <x v="17"/>
    <x v="62"/>
    <x v="86"/>
    <s v="Sleek and sporty"/>
    <n v="1519776000"/>
    <s v="Not Specified"/>
    <s v="Not Specified"/>
    <s v="Not Specified"/>
    <n v="58"/>
    <x v="0"/>
    <x v="2"/>
  </r>
  <r>
    <x v="0"/>
    <x v="0"/>
    <x v="74"/>
    <x v="1"/>
    <x v="8"/>
    <x v="69"/>
    <x v="26"/>
    <x v="57"/>
    <x v="17"/>
    <x v="5"/>
    <x v="87"/>
    <s v="I love the shoes and the description and photos were accurate"/>
    <n v="1519689600"/>
    <s v="Not Specified"/>
    <s v="Not Specified"/>
    <s v="Not Specified"/>
    <n v="269"/>
    <x v="0"/>
    <x v="2"/>
  </r>
  <r>
    <x v="0"/>
    <x v="0"/>
    <x v="74"/>
    <x v="1"/>
    <x v="8"/>
    <x v="70"/>
    <x v="26"/>
    <x v="57"/>
    <x v="21"/>
    <x v="63"/>
    <x v="88"/>
    <s v="Great fit!"/>
    <n v="1519689600"/>
    <s v="Not Specified"/>
    <s v="Not Specified"/>
    <s v="Not Specified"/>
    <n v="152"/>
    <x v="0"/>
    <x v="2"/>
  </r>
  <r>
    <x v="0"/>
    <x v="0"/>
    <x v="74"/>
    <x v="1"/>
    <x v="8"/>
    <x v="71"/>
    <x v="26"/>
    <x v="65"/>
    <x v="17"/>
    <x v="64"/>
    <x v="89"/>
    <s v="Lightweight"/>
    <n v="1519689600"/>
    <s v="Not Specified"/>
    <s v="Not Specified"/>
    <s v="Not Specified"/>
    <n v="46"/>
    <x v="0"/>
    <x v="2"/>
  </r>
  <r>
    <x v="3"/>
    <x v="0"/>
    <x v="75"/>
    <x v="1"/>
    <x v="8"/>
    <x v="72"/>
    <x v="26"/>
    <x v="57"/>
    <x v="17"/>
    <x v="65"/>
    <x v="90"/>
    <s v="Squeaky soles"/>
    <n v="1519516800"/>
    <s v="Not Specified"/>
    <s v="Not Specified"/>
    <s v="Not Specified"/>
    <n v="282"/>
    <x v="2"/>
    <x v="2"/>
  </r>
  <r>
    <x v="2"/>
    <x v="0"/>
    <x v="75"/>
    <x v="1"/>
    <x v="8"/>
    <x v="73"/>
    <x v="26"/>
    <x v="17"/>
    <x v="17"/>
    <x v="5"/>
    <x v="91"/>
    <s v="Two Stars"/>
    <n v="1519516800"/>
    <s v="Not Specified"/>
    <s v="Not Specified"/>
    <s v="Not Specified"/>
    <n v="89"/>
    <x v="2"/>
    <x v="2"/>
  </r>
  <r>
    <x v="0"/>
    <x v="0"/>
    <x v="76"/>
    <x v="1"/>
    <x v="8"/>
    <x v="74"/>
    <x v="26"/>
    <x v="60"/>
    <x v="17"/>
    <x v="66"/>
    <x v="92"/>
    <s v="Comfortable and"/>
    <n v="1519171200"/>
    <s v="Not Specified"/>
    <s v="Not Specified"/>
    <s v="Not Specified"/>
    <n v="45"/>
    <x v="0"/>
    <x v="2"/>
  </r>
  <r>
    <x v="0"/>
    <x v="0"/>
    <x v="77"/>
    <x v="1"/>
    <x v="8"/>
    <x v="75"/>
    <x v="26"/>
    <x v="22"/>
    <x v="23"/>
    <x v="67"/>
    <x v="93"/>
    <s v="Their Cute and Pink"/>
    <n v="1519084800"/>
    <s v="Not Specified"/>
    <s v="Not Specified"/>
    <s v="Not Specified"/>
    <n v="47"/>
    <x v="0"/>
    <x v="2"/>
  </r>
  <r>
    <x v="0"/>
    <x v="0"/>
    <x v="78"/>
    <x v="1"/>
    <x v="8"/>
    <x v="76"/>
    <x v="26"/>
    <x v="57"/>
    <x v="21"/>
    <x v="68"/>
    <x v="94"/>
    <s v="Five Stars"/>
    <n v="1518566400"/>
    <s v="Not Specified"/>
    <s v="Not Specified"/>
    <s v="Not Specified"/>
    <n v="46"/>
    <x v="0"/>
    <x v="2"/>
  </r>
  <r>
    <x v="0"/>
    <x v="0"/>
    <x v="78"/>
    <x v="1"/>
    <x v="8"/>
    <x v="77"/>
    <x v="26"/>
    <x v="59"/>
    <x v="17"/>
    <x v="5"/>
    <x v="95"/>
    <s v="Smooth and confortable."/>
    <n v="1518566400"/>
    <s v="Not Specified"/>
    <s v="Not Specified"/>
    <s v="Not Specified"/>
    <n v="17"/>
    <x v="0"/>
    <x v="2"/>
  </r>
  <r>
    <x v="0"/>
    <x v="0"/>
    <x v="79"/>
    <x v="1"/>
    <x v="8"/>
    <x v="78"/>
    <x v="26"/>
    <x v="60"/>
    <x v="27"/>
    <x v="69"/>
    <x v="96"/>
    <s v="Five Stars"/>
    <n v="1518393600"/>
    <s v="Not Specified"/>
    <s v="Not Specified"/>
    <s v="Not Specified"/>
    <n v="19"/>
    <x v="0"/>
    <x v="2"/>
  </r>
  <r>
    <x v="0"/>
    <x v="0"/>
    <x v="80"/>
    <x v="1"/>
    <x v="8"/>
    <x v="79"/>
    <x v="26"/>
    <x v="57"/>
    <x v="28"/>
    <x v="70"/>
    <x v="97"/>
    <s v="decent arch support and comfortably to wear all day doing regular activity and sprinting"/>
    <n v="1517443200"/>
    <s v="Not Specified"/>
    <s v="Not Specified"/>
    <s v="Not Specified"/>
    <n v="102"/>
    <x v="0"/>
    <x v="2"/>
  </r>
  <r>
    <x v="0"/>
    <x v="0"/>
    <x v="80"/>
    <x v="1"/>
    <x v="8"/>
    <x v="80"/>
    <x v="26"/>
    <x v="59"/>
    <x v="17"/>
    <x v="71"/>
    <x v="98"/>
    <s v="Five Stars"/>
    <n v="1517443200"/>
    <s v="Not Specified"/>
    <s v="Not Specified"/>
    <s v="Not Specified"/>
    <n v="19"/>
    <x v="0"/>
    <x v="2"/>
  </r>
  <r>
    <x v="0"/>
    <x v="0"/>
    <x v="81"/>
    <x v="1"/>
    <x v="2"/>
    <x v="81"/>
    <x v="26"/>
    <x v="66"/>
    <x v="28"/>
    <x v="72"/>
    <x v="99"/>
    <s v="Good shoes"/>
    <n v="1517184000"/>
    <s v="Not Specified"/>
    <s v="Not Specified"/>
    <s v="Not Specified"/>
    <n v="132"/>
    <x v="0"/>
    <x v="2"/>
  </r>
  <r>
    <x v="4"/>
    <x v="0"/>
    <x v="2"/>
    <x v="1"/>
    <x v="2"/>
    <x v="82"/>
    <x v="26"/>
    <x v="65"/>
    <x v="17"/>
    <x v="73"/>
    <x v="100"/>
    <s v="Good shoes"/>
    <n v="1516838400"/>
    <s v="Not Specified"/>
    <s v="Not Specified"/>
    <s v="Not Specified"/>
    <n v="860"/>
    <x v="0"/>
    <x v="2"/>
  </r>
  <r>
    <x v="0"/>
    <x v="0"/>
    <x v="82"/>
    <x v="1"/>
    <x v="2"/>
    <x v="83"/>
    <x v="26"/>
    <x v="55"/>
    <x v="29"/>
    <x v="74"/>
    <x v="101"/>
    <s v="Five Stars"/>
    <n v="1516233600"/>
    <s v="Not Specified"/>
    <s v="Not Specified"/>
    <s v="Not Specified"/>
    <n v="16"/>
    <x v="0"/>
    <x v="2"/>
  </r>
  <r>
    <x v="0"/>
    <x v="0"/>
    <x v="83"/>
    <x v="1"/>
    <x v="2"/>
    <x v="84"/>
    <x v="26"/>
    <x v="44"/>
    <x v="25"/>
    <x v="75"/>
    <x v="102"/>
    <s v="Five Stars"/>
    <n v="1515628800"/>
    <s v="Not Specified"/>
    <s v="Not Specified"/>
    <s v="Not Specified"/>
    <n v="81"/>
    <x v="0"/>
    <x v="2"/>
  </r>
  <r>
    <x v="3"/>
    <x v="0"/>
    <x v="84"/>
    <x v="1"/>
    <x v="2"/>
    <x v="85"/>
    <x v="26"/>
    <x v="62"/>
    <x v="30"/>
    <x v="76"/>
    <x v="103"/>
    <s v="One Star"/>
    <n v="1515542400"/>
    <s v="Not Specified"/>
    <s v="Not Specified"/>
    <s v="Not Specified"/>
    <n v="27"/>
    <x v="2"/>
    <x v="2"/>
  </r>
  <r>
    <x v="0"/>
    <x v="0"/>
    <x v="84"/>
    <x v="1"/>
    <x v="2"/>
    <x v="86"/>
    <x v="26"/>
    <x v="65"/>
    <x v="17"/>
    <x v="331"/>
    <x v="104"/>
    <s v="Glad I read the reviews and ordered a half size ..."/>
    <n v="1515542400"/>
    <s v="Not Specified"/>
    <s v="Not Specified"/>
    <n v="3"/>
    <n v="617"/>
    <x v="0"/>
    <x v="2"/>
  </r>
  <r>
    <x v="1"/>
    <x v="0"/>
    <x v="85"/>
    <x v="1"/>
    <x v="2"/>
    <x v="87"/>
    <x v="26"/>
    <x v="65"/>
    <x v="21"/>
    <x v="78"/>
    <x v="105"/>
    <s v="Not in perfect condition"/>
    <n v="1515456000"/>
    <s v="Not Specified"/>
    <s v="Not Specified"/>
    <s v="Not Specified"/>
    <n v="54"/>
    <x v="1"/>
    <x v="2"/>
  </r>
  <r>
    <x v="0"/>
    <x v="0"/>
    <x v="86"/>
    <x v="1"/>
    <x v="2"/>
    <x v="88"/>
    <x v="26"/>
    <x v="17"/>
    <x v="17"/>
    <x v="79"/>
    <x v="106"/>
    <s v="Very comfortable, cute, and long-lasting"/>
    <n v="1515369600"/>
    <s v="Not Specified"/>
    <s v="Not Specified"/>
    <s v="Not Specified"/>
    <n v="715"/>
    <x v="0"/>
    <x v="2"/>
  </r>
  <r>
    <x v="0"/>
    <x v="0"/>
    <x v="86"/>
    <x v="1"/>
    <x v="2"/>
    <x v="89"/>
    <x v="26"/>
    <x v="62"/>
    <x v="31"/>
    <x v="80"/>
    <x v="107"/>
    <s v="Super light-weight, nice tread and arch support - love them so far!"/>
    <n v="1515369600"/>
    <s v="Not Specified"/>
    <s v="Not Specified"/>
    <s v="Not Specified"/>
    <n v="1003"/>
    <x v="0"/>
    <x v="2"/>
  </r>
  <r>
    <x v="0"/>
    <x v="0"/>
    <x v="87"/>
    <x v="1"/>
    <x v="2"/>
    <x v="90"/>
    <x v="26"/>
    <x v="57"/>
    <x v="23"/>
    <x v="81"/>
    <x v="108"/>
    <s v="Five Stars"/>
    <n v="1515283200"/>
    <s v="Not Specified"/>
    <s v="Not Specified"/>
    <s v="Not Specified"/>
    <n v="51"/>
    <x v="0"/>
    <x v="2"/>
  </r>
  <r>
    <x v="0"/>
    <x v="0"/>
    <x v="88"/>
    <x v="2"/>
    <x v="11"/>
    <x v="91"/>
    <x v="26"/>
    <x v="42"/>
    <x v="25"/>
    <x v="5"/>
    <x v="109"/>
    <s v="My wife loves these shoes. We have both been ..."/>
    <n v="1514505600"/>
    <s v="Not Specified"/>
    <s v="Not Specified"/>
    <s v="Not Specified"/>
    <n v="240"/>
    <x v="0"/>
    <x v="2"/>
  </r>
  <r>
    <x v="0"/>
    <x v="0"/>
    <x v="89"/>
    <x v="2"/>
    <x v="11"/>
    <x v="92"/>
    <x v="26"/>
    <x v="60"/>
    <x v="27"/>
    <x v="82"/>
    <x v="110"/>
    <s v="New Favorite Shoes"/>
    <n v="1514419200"/>
    <s v="Not Specified"/>
    <s v="Not Specified"/>
    <s v="Not Specified"/>
    <n v="68"/>
    <x v="0"/>
    <x v="2"/>
  </r>
  <r>
    <x v="2"/>
    <x v="0"/>
    <x v="90"/>
    <x v="2"/>
    <x v="11"/>
    <x v="93"/>
    <x v="26"/>
    <x v="67"/>
    <x v="29"/>
    <x v="83"/>
    <x v="111"/>
    <s v="Foam compresses"/>
    <n v="1513468800"/>
    <s v="Not Specified"/>
    <s v="Not Specified"/>
    <s v="Not Specified"/>
    <n v="263"/>
    <x v="2"/>
    <x v="2"/>
  </r>
  <r>
    <x v="0"/>
    <x v="0"/>
    <x v="90"/>
    <x v="2"/>
    <x v="11"/>
    <x v="94"/>
    <x v="26"/>
    <x v="57"/>
    <x v="17"/>
    <x v="84"/>
    <x v="112"/>
    <s v="Five Stars"/>
    <n v="1513468800"/>
    <s v="Not Specified"/>
    <s v="Not Specified"/>
    <s v="Not Specified"/>
    <n v="14"/>
    <x v="0"/>
    <x v="2"/>
  </r>
  <r>
    <x v="1"/>
    <x v="0"/>
    <x v="91"/>
    <x v="2"/>
    <x v="11"/>
    <x v="95"/>
    <x v="26"/>
    <x v="54"/>
    <x v="23"/>
    <x v="85"/>
    <x v="113"/>
    <s v="I usually wear a 9 but could have easily ordered a 8"/>
    <n v="1512432000"/>
    <s v="Not Specified"/>
    <s v="Not Specified"/>
    <s v="Not Specified"/>
    <n v="757"/>
    <x v="1"/>
    <x v="2"/>
  </r>
  <r>
    <x v="0"/>
    <x v="0"/>
    <x v="91"/>
    <x v="2"/>
    <x v="11"/>
    <x v="96"/>
    <x v="26"/>
    <x v="21"/>
    <x v="24"/>
    <x v="86"/>
    <x v="114"/>
    <s v="Five Stars"/>
    <n v="1512432000"/>
    <s v="Not Specified"/>
    <s v="Not Specified"/>
    <s v="Not Specified"/>
    <n v="5"/>
    <x v="0"/>
    <x v="2"/>
  </r>
  <r>
    <x v="0"/>
    <x v="0"/>
    <x v="92"/>
    <x v="2"/>
    <x v="11"/>
    <x v="97"/>
    <x v="26"/>
    <x v="66"/>
    <x v="24"/>
    <x v="5"/>
    <x v="115"/>
    <s v="Five Stars"/>
    <n v="1512345600"/>
    <s v="Not Specified"/>
    <s v="Not Specified"/>
    <s v="Not Specified"/>
    <n v="1"/>
    <x v="0"/>
    <x v="2"/>
  </r>
  <r>
    <x v="0"/>
    <x v="0"/>
    <x v="93"/>
    <x v="2"/>
    <x v="7"/>
    <x v="98"/>
    <x v="26"/>
    <x v="54"/>
    <x v="23"/>
    <x v="87"/>
    <x v="116"/>
    <s v="Five Stars"/>
    <n v="1512000000"/>
    <s v="Not Specified"/>
    <s v="Not Specified"/>
    <s v="Not Specified"/>
    <n v="10"/>
    <x v="0"/>
    <x v="2"/>
  </r>
  <r>
    <x v="1"/>
    <x v="0"/>
    <x v="93"/>
    <x v="2"/>
    <x v="7"/>
    <x v="99"/>
    <x v="26"/>
    <x v="17"/>
    <x v="17"/>
    <x v="5"/>
    <x v="117"/>
    <s v="Fits snug"/>
    <n v="1512000000"/>
    <s v="Not Specified"/>
    <s v="Not Specified"/>
    <s v="Not Specified"/>
    <n v="192"/>
    <x v="1"/>
    <x v="2"/>
  </r>
  <r>
    <x v="1"/>
    <x v="0"/>
    <x v="94"/>
    <x v="2"/>
    <x v="7"/>
    <x v="100"/>
    <x v="26"/>
    <x v="62"/>
    <x v="12"/>
    <x v="88"/>
    <x v="118"/>
    <s v="Not sure why, but my mid section of my ..."/>
    <n v="1511827200"/>
    <s v="Not Specified"/>
    <s v="Not Specified"/>
    <s v="Not Specified"/>
    <n v="194"/>
    <x v="1"/>
    <x v="2"/>
  </r>
  <r>
    <x v="0"/>
    <x v="0"/>
    <x v="95"/>
    <x v="2"/>
    <x v="7"/>
    <x v="102"/>
    <x v="26"/>
    <x v="54"/>
    <x v="24"/>
    <x v="90"/>
    <x v="120"/>
    <s v="Five Stars"/>
    <n v="1511740800"/>
    <s v="Not Specified"/>
    <s v="Not Specified"/>
    <s v="Not Specified"/>
    <n v="8"/>
    <x v="0"/>
    <x v="2"/>
  </r>
  <r>
    <x v="0"/>
    <x v="0"/>
    <x v="95"/>
    <x v="2"/>
    <x v="7"/>
    <x v="102"/>
    <x v="26"/>
    <x v="54"/>
    <x v="27"/>
    <x v="90"/>
    <x v="120"/>
    <s v="Five Stars"/>
    <n v="1511740800"/>
    <s v="Not Specified"/>
    <s v="Not Specified"/>
    <s v="Not Specified"/>
    <n v="8"/>
    <x v="0"/>
    <x v="2"/>
  </r>
  <r>
    <x v="3"/>
    <x v="0"/>
    <x v="96"/>
    <x v="2"/>
    <x v="7"/>
    <x v="103"/>
    <x v="26"/>
    <x v="60"/>
    <x v="17"/>
    <x v="91"/>
    <x v="121"/>
    <s v="TOO NARROW!"/>
    <n v="1511049600"/>
    <s v="Not Specified"/>
    <s v="Not Specified"/>
    <s v="Not Specified"/>
    <n v="133"/>
    <x v="2"/>
    <x v="2"/>
  </r>
  <r>
    <x v="0"/>
    <x v="0"/>
    <x v="97"/>
    <x v="2"/>
    <x v="7"/>
    <x v="104"/>
    <x v="26"/>
    <x v="54"/>
    <x v="24"/>
    <x v="92"/>
    <x v="122"/>
    <s v="Consider sizing down 1 size"/>
    <n v="1510617600"/>
    <s v="Not Specified"/>
    <s v="Not Specified"/>
    <s v="Not Specified"/>
    <n v="232"/>
    <x v="0"/>
    <x v="2"/>
  </r>
  <r>
    <x v="4"/>
    <x v="0"/>
    <x v="98"/>
    <x v="2"/>
    <x v="7"/>
    <x v="105"/>
    <x v="26"/>
    <x v="57"/>
    <x v="32"/>
    <x v="93"/>
    <x v="123"/>
    <s v="Seem to Run Big"/>
    <n v="1510358400"/>
    <s v="Not Specified"/>
    <s v="Not Specified"/>
    <s v="Not Specified"/>
    <n v="104"/>
    <x v="0"/>
    <x v="2"/>
  </r>
  <r>
    <x v="0"/>
    <x v="0"/>
    <x v="99"/>
    <x v="2"/>
    <x v="7"/>
    <x v="106"/>
    <x v="26"/>
    <x v="63"/>
    <x v="28"/>
    <x v="94"/>
    <x v="124"/>
    <s v="Five Stars"/>
    <n v="1510272000"/>
    <s v="Not Specified"/>
    <s v="Not Specified"/>
    <s v="Not Specified"/>
    <n v="15"/>
    <x v="0"/>
    <x v="2"/>
  </r>
  <r>
    <x v="0"/>
    <x v="0"/>
    <x v="100"/>
    <x v="2"/>
    <x v="7"/>
    <x v="107"/>
    <x v="26"/>
    <x v="59"/>
    <x v="17"/>
    <x v="5"/>
    <x v="125"/>
    <s v="Perfect for trails"/>
    <n v="1510185600"/>
    <s v="Not Specified"/>
    <s v="Not Specified"/>
    <s v="Not Specified"/>
    <n v="278"/>
    <x v="0"/>
    <x v="2"/>
  </r>
  <r>
    <x v="4"/>
    <x v="0"/>
    <x v="101"/>
    <x v="2"/>
    <x v="7"/>
    <x v="108"/>
    <x v="26"/>
    <x v="54"/>
    <x v="23"/>
    <x v="95"/>
    <x v="126"/>
    <s v="Four Stars"/>
    <n v="1510012800"/>
    <s v="Not Specified"/>
    <s v="Not Specified"/>
    <s v="Not Specified"/>
    <n v="8"/>
    <x v="0"/>
    <x v="2"/>
  </r>
  <r>
    <x v="2"/>
    <x v="0"/>
    <x v="102"/>
    <x v="2"/>
    <x v="7"/>
    <x v="109"/>
    <x v="26"/>
    <x v="59"/>
    <x v="33"/>
    <x v="5"/>
    <x v="127"/>
    <s v="Zumba) - and really wanted to like them, since I loved the color and the ..."/>
    <n v="1509840000"/>
    <s v="Not Specified"/>
    <s v="Not Specified"/>
    <n v="6"/>
    <n v="467"/>
    <x v="2"/>
    <x v="2"/>
  </r>
  <r>
    <x v="0"/>
    <x v="0"/>
    <x v="103"/>
    <x v="2"/>
    <x v="7"/>
    <x v="110"/>
    <x v="26"/>
    <x v="22"/>
    <x v="23"/>
    <x v="96"/>
    <x v="128"/>
    <s v="Five Stars"/>
    <n v="1509753600"/>
    <s v="Not Specified"/>
    <s v="Not Specified"/>
    <s v="Not Specified"/>
    <n v="39"/>
    <x v="0"/>
    <x v="2"/>
  </r>
  <r>
    <x v="1"/>
    <x v="0"/>
    <x v="103"/>
    <x v="2"/>
    <x v="7"/>
    <x v="111"/>
    <x v="26"/>
    <x v="65"/>
    <x v="33"/>
    <x v="97"/>
    <x v="129"/>
    <s v="Three Stars"/>
    <n v="1509753600"/>
    <s v="Not Specified"/>
    <s v="Not Specified"/>
    <s v="Not Specified"/>
    <n v="38"/>
    <x v="1"/>
    <x v="2"/>
  </r>
  <r>
    <x v="4"/>
    <x v="0"/>
    <x v="104"/>
    <x v="2"/>
    <x v="7"/>
    <x v="112"/>
    <x v="26"/>
    <x v="57"/>
    <x v="23"/>
    <x v="98"/>
    <x v="130"/>
    <s v="Size problem"/>
    <n v="1509667200"/>
    <s v="Not Specified"/>
    <s v="Not Specified"/>
    <s v="Not Specified"/>
    <n v="23"/>
    <x v="0"/>
    <x v="2"/>
  </r>
  <r>
    <x v="0"/>
    <x v="0"/>
    <x v="105"/>
    <x v="2"/>
    <x v="7"/>
    <x v="113"/>
    <x v="26"/>
    <x v="21"/>
    <x v="24"/>
    <x v="99"/>
    <x v="116"/>
    <s v="Five Stars"/>
    <n v="1509580800"/>
    <s v="Not Specified"/>
    <s v="Not Specified"/>
    <s v="Not Specified"/>
    <n v="10"/>
    <x v="0"/>
    <x v="2"/>
  </r>
  <r>
    <x v="4"/>
    <x v="0"/>
    <x v="106"/>
    <x v="2"/>
    <x v="3"/>
    <x v="114"/>
    <x v="26"/>
    <x v="60"/>
    <x v="34"/>
    <x v="100"/>
    <x v="131"/>
    <s v="True to size, would recommend"/>
    <n v="1509408000"/>
    <s v="Not Specified"/>
    <s v="Not Specified"/>
    <s v="Not Specified"/>
    <n v="152"/>
    <x v="0"/>
    <x v="2"/>
  </r>
  <r>
    <x v="0"/>
    <x v="0"/>
    <x v="107"/>
    <x v="2"/>
    <x v="3"/>
    <x v="115"/>
    <x v="26"/>
    <x v="22"/>
    <x v="23"/>
    <x v="101"/>
    <x v="132"/>
    <s v="Best birthday present"/>
    <n v="1509235200"/>
    <s v="Not Specified"/>
    <s v="Not Specified"/>
    <s v="Not Specified"/>
    <n v="21"/>
    <x v="0"/>
    <x v="2"/>
  </r>
  <r>
    <x v="0"/>
    <x v="0"/>
    <x v="108"/>
    <x v="2"/>
    <x v="3"/>
    <x v="116"/>
    <x v="26"/>
    <x v="63"/>
    <x v="17"/>
    <x v="102"/>
    <x v="133"/>
    <s v="Purchased these for my wife as she has a similar ..."/>
    <n v="1508976000"/>
    <s v="Not Specified"/>
    <s v="Not Specified"/>
    <s v="Not Specified"/>
    <n v="185"/>
    <x v="0"/>
    <x v="2"/>
  </r>
  <r>
    <x v="0"/>
    <x v="0"/>
    <x v="108"/>
    <x v="2"/>
    <x v="3"/>
    <x v="117"/>
    <x v="26"/>
    <x v="14"/>
    <x v="24"/>
    <x v="103"/>
    <x v="134"/>
    <s v="I have pretty high arches and my calves always hurt at the ..."/>
    <n v="1508976000"/>
    <s v="Not Specified"/>
    <s v="Not Specified"/>
    <s v="Not Specified"/>
    <n v="351"/>
    <x v="0"/>
    <x v="2"/>
  </r>
  <r>
    <x v="0"/>
    <x v="0"/>
    <x v="12"/>
    <x v="2"/>
    <x v="3"/>
    <x v="118"/>
    <x v="26"/>
    <x v="57"/>
    <x v="35"/>
    <x v="104"/>
    <x v="135"/>
    <s v="Five Stars"/>
    <n v="1508889600"/>
    <s v="Not Specified"/>
    <s v="Not Specified"/>
    <s v="Not Specified"/>
    <n v="11"/>
    <x v="0"/>
    <x v="2"/>
  </r>
  <r>
    <x v="0"/>
    <x v="0"/>
    <x v="109"/>
    <x v="2"/>
    <x v="3"/>
    <x v="119"/>
    <x v="26"/>
    <x v="60"/>
    <x v="33"/>
    <x v="105"/>
    <x v="136"/>
    <s v="Five Stars"/>
    <n v="1508803200"/>
    <s v="Not Specified"/>
    <s v="Not Specified"/>
    <s v="Not Specified"/>
    <n v="35"/>
    <x v="0"/>
    <x v="2"/>
  </r>
  <r>
    <x v="0"/>
    <x v="0"/>
    <x v="110"/>
    <x v="2"/>
    <x v="3"/>
    <x v="120"/>
    <x v="26"/>
    <x v="57"/>
    <x v="36"/>
    <x v="106"/>
    <x v="137"/>
    <s v="Five Stars"/>
    <n v="1508630400"/>
    <s v="Not Specified"/>
    <s v="Not Specified"/>
    <s v="Not Specified"/>
    <n v="14"/>
    <x v="0"/>
    <x v="2"/>
  </r>
  <r>
    <x v="1"/>
    <x v="0"/>
    <x v="111"/>
    <x v="2"/>
    <x v="3"/>
    <x v="121"/>
    <x v="26"/>
    <x v="54"/>
    <x v="23"/>
    <x v="107"/>
    <x v="138"/>
    <s v="They are really light and not as sturdy as what I was looking for but over all ..."/>
    <n v="1508284800"/>
    <s v="Not Specified"/>
    <s v="Not Specified"/>
    <s v="Not Specified"/>
    <n v="201"/>
    <x v="1"/>
    <x v="2"/>
  </r>
  <r>
    <x v="0"/>
    <x v="0"/>
    <x v="112"/>
    <x v="2"/>
    <x v="3"/>
    <x v="122"/>
    <x v="26"/>
    <x v="60"/>
    <x v="24"/>
    <x v="5"/>
    <x v="139"/>
    <s v="Five Stars"/>
    <n v="1507852800"/>
    <s v="Not Specified"/>
    <s v="Not Specified"/>
    <s v="Not Specified"/>
    <n v="25"/>
    <x v="0"/>
    <x v="2"/>
  </r>
  <r>
    <x v="1"/>
    <x v="0"/>
    <x v="113"/>
    <x v="2"/>
    <x v="3"/>
    <x v="123"/>
    <x v="26"/>
    <x v="58"/>
    <x v="17"/>
    <x v="108"/>
    <x v="140"/>
    <s v="l always buy Nike shoes and been happy so far"/>
    <n v="1507593600"/>
    <s v="Not Specified"/>
    <s v="Not Specified"/>
    <s v="Not Specified"/>
    <n v="192"/>
    <x v="1"/>
    <x v="2"/>
  </r>
  <r>
    <x v="0"/>
    <x v="0"/>
    <x v="114"/>
    <x v="2"/>
    <x v="3"/>
    <x v="124"/>
    <x v="26"/>
    <x v="62"/>
    <x v="12"/>
    <x v="109"/>
    <x v="141"/>
    <s v="Honestly Fantastic Shoes"/>
    <n v="1506988800"/>
    <s v="Not Specified"/>
    <s v="Not Specified"/>
    <s v="Not Specified"/>
    <n v="230"/>
    <x v="0"/>
    <x v="2"/>
  </r>
  <r>
    <x v="0"/>
    <x v="0"/>
    <x v="115"/>
    <x v="2"/>
    <x v="3"/>
    <x v="125"/>
    <x v="26"/>
    <x v="60"/>
    <x v="24"/>
    <x v="5"/>
    <x v="142"/>
    <s v="Absolutely love these shoes and color"/>
    <n v="1506902400"/>
    <s v="Not Specified"/>
    <s v="Not Specified"/>
    <s v="Not Specified"/>
    <n v="171"/>
    <x v="0"/>
    <x v="2"/>
  </r>
  <r>
    <x v="0"/>
    <x v="0"/>
    <x v="116"/>
    <x v="2"/>
    <x v="0"/>
    <x v="126"/>
    <x v="26"/>
    <x v="54"/>
    <x v="12"/>
    <x v="110"/>
    <x v="143"/>
    <s v="Five Stars"/>
    <n v="1506470400"/>
    <s v="Not Specified"/>
    <s v="Not Specified"/>
    <s v="Not Specified"/>
    <n v="12"/>
    <x v="0"/>
    <x v="2"/>
  </r>
  <r>
    <x v="0"/>
    <x v="0"/>
    <x v="33"/>
    <x v="2"/>
    <x v="0"/>
    <x v="128"/>
    <x v="26"/>
    <x v="65"/>
    <x v="17"/>
    <x v="112"/>
    <x v="145"/>
    <s v="Five Stars"/>
    <n v="1506384000"/>
    <s v="Not Specified"/>
    <s v="Not Specified"/>
    <s v="Not Specified"/>
    <n v="9"/>
    <x v="0"/>
    <x v="2"/>
  </r>
  <r>
    <x v="0"/>
    <x v="0"/>
    <x v="117"/>
    <x v="2"/>
    <x v="0"/>
    <x v="129"/>
    <x v="26"/>
    <x v="22"/>
    <x v="17"/>
    <x v="113"/>
    <x v="146"/>
    <s v="Five Stars"/>
    <n v="1506297600"/>
    <s v="Not Specified"/>
    <s v="Not Specified"/>
    <s v="Not Specified"/>
    <n v="50"/>
    <x v="0"/>
    <x v="2"/>
  </r>
  <r>
    <x v="0"/>
    <x v="0"/>
    <x v="118"/>
    <x v="2"/>
    <x v="0"/>
    <x v="130"/>
    <x v="26"/>
    <x v="55"/>
    <x v="12"/>
    <x v="5"/>
    <x v="147"/>
    <s v="Very Happy Customer"/>
    <n v="1505865600"/>
    <s v="Not Specified"/>
    <s v="Not Specified"/>
    <s v="Not Specified"/>
    <n v="370"/>
    <x v="0"/>
    <x v="2"/>
  </r>
  <r>
    <x v="0"/>
    <x v="0"/>
    <x v="119"/>
    <x v="2"/>
    <x v="0"/>
    <x v="131"/>
    <x v="26"/>
    <x v="57"/>
    <x v="17"/>
    <x v="114"/>
    <x v="148"/>
    <s v="and very comfortable."/>
    <n v="1505692800"/>
    <s v="Not Specified"/>
    <s v="Not Specified"/>
    <s v="Not Specified"/>
    <n v="49"/>
    <x v="0"/>
    <x v="2"/>
  </r>
  <r>
    <x v="0"/>
    <x v="0"/>
    <x v="120"/>
    <x v="2"/>
    <x v="0"/>
    <x v="132"/>
    <x v="26"/>
    <x v="55"/>
    <x v="33"/>
    <x v="5"/>
    <x v="149"/>
    <s v="nice sneakers. Fit as expected"/>
    <n v="1505520000"/>
    <s v="Not Specified"/>
    <s v="Not Specified"/>
    <s v="Not Specified"/>
    <n v="40"/>
    <x v="0"/>
    <x v="2"/>
  </r>
  <r>
    <x v="0"/>
    <x v="0"/>
    <x v="121"/>
    <x v="2"/>
    <x v="0"/>
    <x v="133"/>
    <x v="26"/>
    <x v="60"/>
    <x v="34"/>
    <x v="332"/>
    <x v="150"/>
    <s v="5 stars"/>
    <n v="1505347200"/>
    <s v="Not Specified"/>
    <s v="Not Specified"/>
    <s v="Not Specified"/>
    <n v="23"/>
    <x v="0"/>
    <x v="2"/>
  </r>
  <r>
    <x v="0"/>
    <x v="0"/>
    <x v="122"/>
    <x v="2"/>
    <x v="0"/>
    <x v="134"/>
    <x v="26"/>
    <x v="57"/>
    <x v="38"/>
    <x v="116"/>
    <x v="151"/>
    <s v="Five Stars"/>
    <n v="1505260800"/>
    <s v="Not Specified"/>
    <s v="Not Specified"/>
    <s v="Not Specified"/>
    <n v="28"/>
    <x v="0"/>
    <x v="2"/>
  </r>
  <r>
    <x v="0"/>
    <x v="0"/>
    <x v="123"/>
    <x v="2"/>
    <x v="0"/>
    <x v="135"/>
    <x v="26"/>
    <x v="54"/>
    <x v="23"/>
    <x v="5"/>
    <x v="152"/>
    <s v="Five Stars"/>
    <n v="1505001600"/>
    <s v="Not Specified"/>
    <s v="Not Specified"/>
    <s v="Not Specified"/>
    <n v="48"/>
    <x v="0"/>
    <x v="2"/>
  </r>
  <r>
    <x v="0"/>
    <x v="0"/>
    <x v="124"/>
    <x v="2"/>
    <x v="0"/>
    <x v="136"/>
    <x v="26"/>
    <x v="57"/>
    <x v="33"/>
    <x v="117"/>
    <x v="153"/>
    <s v="These shoes fit like a glove"/>
    <n v="1504742400"/>
    <s v="Not Specified"/>
    <s v="Not Specified"/>
    <s v="Not Specified"/>
    <n v="119"/>
    <x v="0"/>
    <x v="2"/>
  </r>
  <r>
    <x v="0"/>
    <x v="0"/>
    <x v="125"/>
    <x v="2"/>
    <x v="0"/>
    <x v="137"/>
    <x v="26"/>
    <x v="22"/>
    <x v="23"/>
    <x v="118"/>
    <x v="154"/>
    <s v="Five Stars"/>
    <n v="1504569600"/>
    <s v="Not Specified"/>
    <s v="Not Specified"/>
    <s v="Not Specified"/>
    <n v="16"/>
    <x v="0"/>
    <x v="2"/>
  </r>
  <r>
    <x v="0"/>
    <x v="0"/>
    <x v="126"/>
    <x v="2"/>
    <x v="0"/>
    <x v="138"/>
    <x v="26"/>
    <x v="22"/>
    <x v="17"/>
    <x v="119"/>
    <x v="155"/>
    <s v="Five Stars"/>
    <n v="1504483200"/>
    <s v="Not Specified"/>
    <s v="Not Specified"/>
    <s v="Not Specified"/>
    <n v="12"/>
    <x v="0"/>
    <x v="2"/>
  </r>
  <r>
    <x v="4"/>
    <x v="0"/>
    <x v="127"/>
    <x v="2"/>
    <x v="4"/>
    <x v="139"/>
    <x v="26"/>
    <x v="57"/>
    <x v="33"/>
    <x v="120"/>
    <x v="156"/>
    <s v="Nike always makes a good shoe."/>
    <n v="1503964800"/>
    <s v="Not Specified"/>
    <s v="Not Specified"/>
    <s v="Not Specified"/>
    <n v="118"/>
    <x v="0"/>
    <x v="2"/>
  </r>
  <r>
    <x v="3"/>
    <x v="0"/>
    <x v="127"/>
    <x v="2"/>
    <x v="4"/>
    <x v="140"/>
    <x v="26"/>
    <x v="58"/>
    <x v="17"/>
    <x v="121"/>
    <x v="157"/>
    <s v="One Star"/>
    <n v="1503964800"/>
    <s v="Not Specified"/>
    <s v="Not Specified"/>
    <s v="Not Specified"/>
    <n v="52"/>
    <x v="2"/>
    <x v="2"/>
  </r>
  <r>
    <x v="0"/>
    <x v="0"/>
    <x v="127"/>
    <x v="2"/>
    <x v="4"/>
    <x v="141"/>
    <x v="26"/>
    <x v="17"/>
    <x v="17"/>
    <x v="122"/>
    <x v="158"/>
    <s v="Five Stars"/>
    <n v="1503964800"/>
    <s v="Not Specified"/>
    <s v="Not Specified"/>
    <s v="Not Specified"/>
    <n v="30"/>
    <x v="0"/>
    <x v="2"/>
  </r>
  <r>
    <x v="0"/>
    <x v="0"/>
    <x v="128"/>
    <x v="2"/>
    <x v="4"/>
    <x v="142"/>
    <x v="26"/>
    <x v="60"/>
    <x v="12"/>
    <x v="123"/>
    <x v="159"/>
    <s v=" Shoes"/>
    <n v="1503792000"/>
    <s v="Not Specified"/>
    <s v="Not Specified"/>
    <s v="Not Specified"/>
    <n v="17"/>
    <x v="0"/>
    <x v="2"/>
  </r>
  <r>
    <x v="4"/>
    <x v="0"/>
    <x v="129"/>
    <x v="2"/>
    <x v="4"/>
    <x v="143"/>
    <x v="26"/>
    <x v="54"/>
    <x v="31"/>
    <x v="124"/>
    <x v="160"/>
    <s v="Love these shoes"/>
    <n v="1503532800"/>
    <s v="Not Specified"/>
    <s v="Not Specified"/>
    <s v="Not Specified"/>
    <n v="225"/>
    <x v="0"/>
    <x v="2"/>
  </r>
  <r>
    <x v="3"/>
    <x v="0"/>
    <x v="129"/>
    <x v="2"/>
    <x v="4"/>
    <x v="144"/>
    <x v="26"/>
    <x v="55"/>
    <x v="29"/>
    <x v="125"/>
    <x v="161"/>
    <s v="I loved these shoes"/>
    <n v="1503532800"/>
    <s v="Not Specified"/>
    <s v="Not Specified"/>
    <s v="Not Specified"/>
    <n v="213"/>
    <x v="2"/>
    <x v="2"/>
  </r>
  <r>
    <x v="0"/>
    <x v="0"/>
    <x v="130"/>
    <x v="2"/>
    <x v="4"/>
    <x v="145"/>
    <x v="26"/>
    <x v="30"/>
    <x v="24"/>
    <x v="126"/>
    <x v="162"/>
    <s v="perfect"/>
    <n v="1503273600"/>
    <s v="Not Specified"/>
    <s v="Not Specified"/>
    <s v="Not Specified"/>
    <n v="55"/>
    <x v="0"/>
    <x v="2"/>
  </r>
  <r>
    <x v="0"/>
    <x v="0"/>
    <x v="131"/>
    <x v="2"/>
    <x v="4"/>
    <x v="146"/>
    <x v="26"/>
    <x v="59"/>
    <x v="17"/>
    <x v="127"/>
    <x v="163"/>
    <s v="Five Stars"/>
    <n v="1503187200"/>
    <s v="Not Specified"/>
    <s v="Not Specified"/>
    <s v="Not Specified"/>
    <n v="10"/>
    <x v="0"/>
    <x v="2"/>
  </r>
  <r>
    <x v="1"/>
    <x v="0"/>
    <x v="132"/>
    <x v="2"/>
    <x v="4"/>
    <x v="147"/>
    <x v="26"/>
    <x v="63"/>
    <x v="39"/>
    <x v="128"/>
    <x v="164"/>
    <s v="found a Ryka pair I liked"/>
    <n v="1502928000"/>
    <s v="Not Specified"/>
    <s v="Not Specified"/>
    <s v="Not Specified"/>
    <n v="50"/>
    <x v="1"/>
    <x v="2"/>
  </r>
  <r>
    <x v="0"/>
    <x v="0"/>
    <x v="132"/>
    <x v="2"/>
    <x v="4"/>
    <x v="148"/>
    <x v="26"/>
    <x v="60"/>
    <x v="17"/>
    <x v="129"/>
    <x v="165"/>
    <s v="Five Stars"/>
    <n v="1502928000"/>
    <s v="Not Specified"/>
    <s v="Not Specified"/>
    <s v="Not Specified"/>
    <n v="37"/>
    <x v="0"/>
    <x v="2"/>
  </r>
  <r>
    <x v="0"/>
    <x v="0"/>
    <x v="133"/>
    <x v="2"/>
    <x v="4"/>
    <x v="149"/>
    <x v="26"/>
    <x v="3"/>
    <x v="26"/>
    <x v="5"/>
    <x v="166"/>
    <s v="Five Stars"/>
    <n v="1502755200"/>
    <s v="Not Specified"/>
    <s v="Not Specified"/>
    <s v="Not Specified"/>
    <n v="16"/>
    <x v="0"/>
    <x v="2"/>
  </r>
  <r>
    <x v="0"/>
    <x v="0"/>
    <x v="134"/>
    <x v="2"/>
    <x v="4"/>
    <x v="150"/>
    <x v="26"/>
    <x v="57"/>
    <x v="17"/>
    <x v="130"/>
    <x v="167"/>
    <s v="the best sneakers by far"/>
    <n v="1502668800"/>
    <s v="Not Specified"/>
    <s v="Not Specified"/>
    <s v="Not Specified"/>
    <n v="145"/>
    <x v="0"/>
    <x v="2"/>
  </r>
  <r>
    <x v="0"/>
    <x v="0"/>
    <x v="135"/>
    <x v="2"/>
    <x v="4"/>
    <x v="151"/>
    <x v="26"/>
    <x v="17"/>
    <x v="17"/>
    <x v="131"/>
    <x v="168"/>
    <s v="Classically comfortable and durable"/>
    <n v="1502496000"/>
    <s v="Not Specified"/>
    <s v="Not Specified"/>
    <s v="Not Specified"/>
    <n v="230"/>
    <x v="0"/>
    <x v="2"/>
  </r>
  <r>
    <x v="4"/>
    <x v="0"/>
    <x v="136"/>
    <x v="2"/>
    <x v="4"/>
    <x v="152"/>
    <x v="26"/>
    <x v="63"/>
    <x v="17"/>
    <x v="132"/>
    <x v="169"/>
    <s v="Four Stars"/>
    <n v="1502409600"/>
    <s v="Not Specified"/>
    <s v="Not Specified"/>
    <s v="Not Specified"/>
    <n v="59"/>
    <x v="0"/>
    <x v="2"/>
  </r>
  <r>
    <x v="1"/>
    <x v="0"/>
    <x v="137"/>
    <x v="2"/>
    <x v="4"/>
    <x v="153"/>
    <x v="26"/>
    <x v="17"/>
    <x v="17"/>
    <x v="133"/>
    <x v="170"/>
    <s v="the Nike Womens Flex Trainer 6 is way better looking and costs about the same"/>
    <n v="1502150400"/>
    <s v="Not Specified"/>
    <s v="Not Specified"/>
    <s v="Not Specified"/>
    <n v="138"/>
    <x v="1"/>
    <x v="2"/>
  </r>
  <r>
    <x v="0"/>
    <x v="0"/>
    <x v="137"/>
    <x v="2"/>
    <x v="4"/>
    <x v="154"/>
    <x v="26"/>
    <x v="67"/>
    <x v="17"/>
    <x v="134"/>
    <x v="171"/>
    <s v="Five Stars"/>
    <n v="1502150400"/>
    <s v="Not Specified"/>
    <s v="Not Specified"/>
    <s v="Not Specified"/>
    <n v="27"/>
    <x v="0"/>
    <x v="2"/>
  </r>
  <r>
    <x v="0"/>
    <x v="0"/>
    <x v="138"/>
    <x v="2"/>
    <x v="4"/>
    <x v="155"/>
    <x v="26"/>
    <x v="57"/>
    <x v="28"/>
    <x v="135"/>
    <x v="172"/>
    <s v="Five Stars"/>
    <n v="1502064000"/>
    <s v="Not Specified"/>
    <s v="Not Specified"/>
    <s v="Not Specified"/>
    <n v="10"/>
    <x v="0"/>
    <x v="2"/>
  </r>
  <r>
    <x v="0"/>
    <x v="0"/>
    <x v="139"/>
    <x v="2"/>
    <x v="4"/>
    <x v="156"/>
    <x v="26"/>
    <x v="22"/>
    <x v="23"/>
    <x v="136"/>
    <x v="173"/>
    <s v="Love the color and fit"/>
    <n v="1501804800"/>
    <s v="Not Specified"/>
    <s v="Not Specified"/>
    <s v="Not Specified"/>
    <n v="114"/>
    <x v="0"/>
    <x v="2"/>
  </r>
  <r>
    <x v="1"/>
    <x v="0"/>
    <x v="140"/>
    <x v="2"/>
    <x v="4"/>
    <x v="157"/>
    <x v="26"/>
    <x v="61"/>
    <x v="17"/>
    <x v="137"/>
    <x v="174"/>
    <s v="OK"/>
    <n v="1501632000"/>
    <s v="Not Specified"/>
    <s v="Not Specified"/>
    <s v="Not Specified"/>
    <n v="264"/>
    <x v="1"/>
    <x v="2"/>
  </r>
  <r>
    <x v="0"/>
    <x v="0"/>
    <x v="141"/>
    <x v="2"/>
    <x v="9"/>
    <x v="158"/>
    <x v="26"/>
    <x v="17"/>
    <x v="17"/>
    <x v="5"/>
    <x v="175"/>
    <s v="Great fit!"/>
    <n v="1500508800"/>
    <s v="Not Specified"/>
    <s v="Not Specified"/>
    <s v="Not Specified"/>
    <n v="34"/>
    <x v="0"/>
    <x v="2"/>
  </r>
  <r>
    <x v="0"/>
    <x v="0"/>
    <x v="142"/>
    <x v="2"/>
    <x v="9"/>
    <x v="159"/>
    <x v="26"/>
    <x v="57"/>
    <x v="33"/>
    <x v="138"/>
    <x v="176"/>
    <s v="Very satisfied with the seller - delivered on time"/>
    <n v="1500336000"/>
    <s v="Not Specified"/>
    <s v="Not Specified"/>
    <s v="Not Specified"/>
    <n v="124"/>
    <x v="0"/>
    <x v="2"/>
  </r>
  <r>
    <x v="4"/>
    <x v="0"/>
    <x v="142"/>
    <x v="2"/>
    <x v="9"/>
    <x v="160"/>
    <x v="26"/>
    <x v="55"/>
    <x v="26"/>
    <x v="139"/>
    <x v="177"/>
    <s v="Four Stars"/>
    <n v="1500336000"/>
    <s v="Not Specified"/>
    <s v="Not Specified"/>
    <s v="Not Specified"/>
    <n v="28"/>
    <x v="0"/>
    <x v="2"/>
  </r>
  <r>
    <x v="0"/>
    <x v="0"/>
    <x v="142"/>
    <x v="2"/>
    <x v="9"/>
    <x v="161"/>
    <x v="26"/>
    <x v="59"/>
    <x v="17"/>
    <x v="140"/>
    <x v="178"/>
    <s v="Comfortable shoe for both workout sessions and walking"/>
    <n v="1500336000"/>
    <s v="Not Specified"/>
    <s v="Not Specified"/>
    <s v="Not Specified"/>
    <n v="184"/>
    <x v="0"/>
    <x v="2"/>
  </r>
  <r>
    <x v="0"/>
    <x v="0"/>
    <x v="142"/>
    <x v="2"/>
    <x v="9"/>
    <x v="162"/>
    <x v="26"/>
    <x v="65"/>
    <x v="17"/>
    <x v="141"/>
    <x v="68"/>
    <s v="Five Stars"/>
    <n v="1500336000"/>
    <s v="Not Specified"/>
    <s v="Not Specified"/>
    <s v="Not Specified"/>
    <n v="0"/>
    <x v="0"/>
    <x v="2"/>
  </r>
  <r>
    <x v="0"/>
    <x v="0"/>
    <x v="142"/>
    <x v="2"/>
    <x v="9"/>
    <x v="163"/>
    <x v="26"/>
    <x v="54"/>
    <x v="12"/>
    <x v="142"/>
    <x v="65"/>
    <s v="Five Stars"/>
    <n v="1500336000"/>
    <s v="Not Specified"/>
    <s v="Not Specified"/>
    <s v="Not Specified"/>
    <n v="4"/>
    <x v="0"/>
    <x v="2"/>
  </r>
  <r>
    <x v="0"/>
    <x v="0"/>
    <x v="142"/>
    <x v="2"/>
    <x v="9"/>
    <x v="164"/>
    <x v="26"/>
    <x v="54"/>
    <x v="39"/>
    <x v="5"/>
    <x v="179"/>
    <s v="These are the best shoes I have ever use for my workouts"/>
    <n v="1500336000"/>
    <s v="Not Specified"/>
    <s v="Not Specified"/>
    <s v="Not Specified"/>
    <n v="99"/>
    <x v="0"/>
    <x v="2"/>
  </r>
  <r>
    <x v="0"/>
    <x v="0"/>
    <x v="142"/>
    <x v="2"/>
    <x v="9"/>
    <x v="165"/>
    <x v="26"/>
    <x v="60"/>
    <x v="17"/>
    <x v="143"/>
    <x v="180"/>
    <s v="I love these shoes"/>
    <n v="1500336000"/>
    <s v="Not Specified"/>
    <s v="Not Specified"/>
    <s v="Not Specified"/>
    <n v="178"/>
    <x v="0"/>
    <x v="2"/>
  </r>
  <r>
    <x v="0"/>
    <x v="0"/>
    <x v="143"/>
    <x v="2"/>
    <x v="9"/>
    <x v="166"/>
    <x v="26"/>
    <x v="65"/>
    <x v="28"/>
    <x v="144"/>
    <x v="181"/>
    <s v="Five Stars"/>
    <n v="1500076800"/>
    <s v="Not Specified"/>
    <s v="Not Specified"/>
    <s v="Not Specified"/>
    <n v="30"/>
    <x v="0"/>
    <x v="2"/>
  </r>
  <r>
    <x v="1"/>
    <x v="0"/>
    <x v="143"/>
    <x v="2"/>
    <x v="9"/>
    <x v="167"/>
    <x v="26"/>
    <x v="57"/>
    <x v="23"/>
    <x v="145"/>
    <x v="182"/>
    <s v="Low cut heels"/>
    <n v="1500076800"/>
    <s v="Not Specified"/>
    <s v="Not Specified"/>
    <s v="Not Specified"/>
    <n v="130"/>
    <x v="1"/>
    <x v="2"/>
  </r>
  <r>
    <x v="0"/>
    <x v="0"/>
    <x v="144"/>
    <x v="2"/>
    <x v="9"/>
    <x v="168"/>
    <x v="26"/>
    <x v="63"/>
    <x v="30"/>
    <x v="146"/>
    <x v="183"/>
    <s v="Perfect"/>
    <n v="1499558400"/>
    <s v="Not Specified"/>
    <s v="Not Specified"/>
    <s v="Not Specified"/>
    <n v="112"/>
    <x v="0"/>
    <x v="2"/>
  </r>
  <r>
    <x v="0"/>
    <x v="0"/>
    <x v="145"/>
    <x v="2"/>
    <x v="9"/>
    <x v="169"/>
    <x v="26"/>
    <x v="68"/>
    <x v="25"/>
    <x v="147"/>
    <x v="184"/>
    <s v="Exactly what I wanted"/>
    <n v="1499472000"/>
    <s v="Not Specified"/>
    <s v="Not Specified"/>
    <s v="Not Specified"/>
    <n v="22"/>
    <x v="0"/>
    <x v="2"/>
  </r>
  <r>
    <x v="4"/>
    <x v="0"/>
    <x v="146"/>
    <x v="2"/>
    <x v="9"/>
    <x v="170"/>
    <x v="26"/>
    <x v="60"/>
    <x v="17"/>
    <x v="148"/>
    <x v="185"/>
    <s v="Light shoes"/>
    <n v="1499385600"/>
    <s v="Not Specified"/>
    <s v="Not Specified"/>
    <s v="Not Specified"/>
    <n v="453"/>
    <x v="0"/>
    <x v="2"/>
  </r>
  <r>
    <x v="1"/>
    <x v="1"/>
    <x v="147"/>
    <x v="2"/>
    <x v="9"/>
    <x v="171"/>
    <x v="26"/>
    <x v="62"/>
    <x v="12"/>
    <x v="149"/>
    <x v="186"/>
    <s v="Good indoor training shoes"/>
    <n v="1498867200"/>
    <s v="Not Specified"/>
    <s v="Not Specified"/>
    <s v="Not Specified"/>
    <n v="566"/>
    <x v="1"/>
    <x v="2"/>
  </r>
  <r>
    <x v="0"/>
    <x v="0"/>
    <x v="148"/>
    <x v="2"/>
    <x v="6"/>
    <x v="172"/>
    <x v="26"/>
    <x v="60"/>
    <x v="17"/>
    <x v="150"/>
    <x v="187"/>
    <s v="So Perf."/>
    <n v="1498780800"/>
    <s v="Not Specified"/>
    <s v="Not Specified"/>
    <s v="Not Specified"/>
    <n v="5"/>
    <x v="0"/>
    <x v="2"/>
  </r>
  <r>
    <x v="0"/>
    <x v="0"/>
    <x v="149"/>
    <x v="2"/>
    <x v="6"/>
    <x v="173"/>
    <x v="26"/>
    <x v="55"/>
    <x v="32"/>
    <x v="151"/>
    <x v="188"/>
    <s v="Five Stars"/>
    <n v="1498608000"/>
    <s v="Not Specified"/>
    <s v="Not Specified"/>
    <s v="Not Specified"/>
    <n v="18"/>
    <x v="0"/>
    <x v="2"/>
  </r>
  <r>
    <x v="0"/>
    <x v="0"/>
    <x v="150"/>
    <x v="2"/>
    <x v="6"/>
    <x v="174"/>
    <x v="26"/>
    <x v="60"/>
    <x v="34"/>
    <x v="152"/>
    <x v="189"/>
    <s v="Five Stars"/>
    <n v="1498435200"/>
    <s v="Not Specified"/>
    <s v="Not Specified"/>
    <s v="Not Specified"/>
    <n v="8"/>
    <x v="0"/>
    <x v="2"/>
  </r>
  <r>
    <x v="0"/>
    <x v="0"/>
    <x v="151"/>
    <x v="2"/>
    <x v="6"/>
    <x v="175"/>
    <x v="26"/>
    <x v="54"/>
    <x v="24"/>
    <x v="5"/>
    <x v="190"/>
    <s v="Great work out shoe"/>
    <n v="1498003200"/>
    <s v="Not Specified"/>
    <s v="Not Specified"/>
    <s v="Not Specified"/>
    <n v="141"/>
    <x v="0"/>
    <x v="2"/>
  </r>
  <r>
    <x v="0"/>
    <x v="0"/>
    <x v="152"/>
    <x v="2"/>
    <x v="6"/>
    <x v="176"/>
    <x v="26"/>
    <x v="44"/>
    <x v="25"/>
    <x v="153"/>
    <x v="191"/>
    <s v="I love these shoes so much that I reordered another pair ..."/>
    <n v="1497916800"/>
    <s v="Not Specified"/>
    <s v="Not Specified"/>
    <s v="Not Specified"/>
    <n v="275"/>
    <x v="0"/>
    <x v="2"/>
  </r>
  <r>
    <x v="0"/>
    <x v="0"/>
    <x v="152"/>
    <x v="2"/>
    <x v="6"/>
    <x v="177"/>
    <x v="26"/>
    <x v="60"/>
    <x v="17"/>
    <x v="154"/>
    <x v="192"/>
    <s v="Comfortable, light weight, nice."/>
    <n v="1497916800"/>
    <s v="Not Specified"/>
    <s v="Not Specified"/>
    <s v="Not Specified"/>
    <n v="69"/>
    <x v="0"/>
    <x v="2"/>
  </r>
  <r>
    <x v="4"/>
    <x v="0"/>
    <x v="153"/>
    <x v="2"/>
    <x v="6"/>
    <x v="178"/>
    <x v="26"/>
    <x v="60"/>
    <x v="17"/>
    <x v="155"/>
    <x v="193"/>
    <s v="Four Stars"/>
    <n v="1497830400"/>
    <s v="Not Specified"/>
    <s v="Not Specified"/>
    <s v="Not Specified"/>
    <n v="12"/>
    <x v="0"/>
    <x v="2"/>
  </r>
  <r>
    <x v="0"/>
    <x v="0"/>
    <x v="153"/>
    <x v="2"/>
    <x v="6"/>
    <x v="179"/>
    <x v="26"/>
    <x v="67"/>
    <x v="17"/>
    <x v="156"/>
    <x v="194"/>
    <s v="I feel like this pair of shoes was made for my feet"/>
    <n v="1497830400"/>
    <s v="Not Specified"/>
    <s v="Not Specified"/>
    <s v="Not Specified"/>
    <n v="108"/>
    <x v="0"/>
    <x v="2"/>
  </r>
  <r>
    <x v="0"/>
    <x v="0"/>
    <x v="153"/>
    <x v="2"/>
    <x v="6"/>
    <x v="180"/>
    <x v="26"/>
    <x v="17"/>
    <x v="17"/>
    <x v="5"/>
    <x v="195"/>
    <s v="Awesome shoes!!!"/>
    <n v="1497830400"/>
    <s v="Not Specified"/>
    <s v="Not Specified"/>
    <s v="Not Specified"/>
    <n v="76"/>
    <x v="0"/>
    <x v="2"/>
  </r>
  <r>
    <x v="1"/>
    <x v="0"/>
    <x v="15"/>
    <x v="2"/>
    <x v="6"/>
    <x v="181"/>
    <x v="26"/>
    <x v="65"/>
    <x v="17"/>
    <x v="157"/>
    <x v="196"/>
    <s v="Just wasn't what i was looking for"/>
    <n v="1497571200"/>
    <s v="Not Specified"/>
    <s v="Not Specified"/>
    <s v="Not Specified"/>
    <n v="468"/>
    <x v="1"/>
    <x v="2"/>
  </r>
  <r>
    <x v="0"/>
    <x v="0"/>
    <x v="154"/>
    <x v="2"/>
    <x v="6"/>
    <x v="182"/>
    <x v="26"/>
    <x v="22"/>
    <x v="17"/>
    <x v="158"/>
    <x v="197"/>
    <s v="So comfortable, I don't even feel like I have a ..."/>
    <n v="1497484800"/>
    <s v="Not Specified"/>
    <s v="Not Specified"/>
    <s v="Not Specified"/>
    <n v="125"/>
    <x v="0"/>
    <x v="2"/>
  </r>
  <r>
    <x v="0"/>
    <x v="0"/>
    <x v="154"/>
    <x v="2"/>
    <x v="6"/>
    <x v="183"/>
    <x v="26"/>
    <x v="54"/>
    <x v="30"/>
    <x v="159"/>
    <x v="198"/>
    <s v="Five Stars"/>
    <n v="1497484800"/>
    <s v="Not Specified"/>
    <s v="Not Specified"/>
    <s v="Not Specified"/>
    <n v="56"/>
    <x v="0"/>
    <x v="2"/>
  </r>
  <r>
    <x v="0"/>
    <x v="0"/>
    <x v="155"/>
    <x v="2"/>
    <x v="6"/>
    <x v="184"/>
    <x v="26"/>
    <x v="60"/>
    <x v="18"/>
    <x v="5"/>
    <x v="199"/>
    <s v="Five Stars"/>
    <n v="1497398400"/>
    <s v="Not Specified"/>
    <s v="Not Specified"/>
    <s v="Not Specified"/>
    <n v="21"/>
    <x v="0"/>
    <x v="2"/>
  </r>
  <r>
    <x v="0"/>
    <x v="0"/>
    <x v="156"/>
    <x v="2"/>
    <x v="6"/>
    <x v="185"/>
    <x v="26"/>
    <x v="55"/>
    <x v="32"/>
    <x v="160"/>
    <x v="200"/>
    <s v="Five Stars"/>
    <n v="1497312000"/>
    <s v="Not Specified"/>
    <s v="Not Specified"/>
    <s v="Not Specified"/>
    <n v="64"/>
    <x v="0"/>
    <x v="2"/>
  </r>
  <r>
    <x v="0"/>
    <x v="0"/>
    <x v="157"/>
    <x v="2"/>
    <x v="6"/>
    <x v="186"/>
    <x v="26"/>
    <x v="55"/>
    <x v="24"/>
    <x v="161"/>
    <x v="201"/>
    <s v="Five Stars"/>
    <n v="1496880000"/>
    <s v="Not Specified"/>
    <s v="Not Specified"/>
    <s v="Not Specified"/>
    <n v="27"/>
    <x v="0"/>
    <x v="2"/>
  </r>
  <r>
    <x v="3"/>
    <x v="0"/>
    <x v="158"/>
    <x v="2"/>
    <x v="6"/>
    <x v="187"/>
    <x v="26"/>
    <x v="42"/>
    <x v="25"/>
    <x v="162"/>
    <x v="202"/>
    <s v="Falling apart already!!"/>
    <n v="1496620800"/>
    <s v="Not Specified"/>
    <s v="Not Specified"/>
    <s v="Not Specified"/>
    <n v="75"/>
    <x v="2"/>
    <x v="2"/>
  </r>
  <r>
    <x v="0"/>
    <x v="0"/>
    <x v="159"/>
    <x v="2"/>
    <x v="6"/>
    <x v="188"/>
    <x v="26"/>
    <x v="57"/>
    <x v="17"/>
    <x v="163"/>
    <x v="203"/>
    <s v="Five Stars"/>
    <n v="1496361600"/>
    <s v="Not Specified"/>
    <s v="Not Specified"/>
    <s v="Not Specified"/>
    <n v="91"/>
    <x v="0"/>
    <x v="2"/>
  </r>
  <r>
    <x v="0"/>
    <x v="0"/>
    <x v="160"/>
    <x v="2"/>
    <x v="1"/>
    <x v="189"/>
    <x v="26"/>
    <x v="59"/>
    <x v="17"/>
    <x v="164"/>
    <x v="135"/>
    <s v="Five Stars"/>
    <n v="1496102400"/>
    <s v="Not Specified"/>
    <s v="Not Specified"/>
    <s v="Not Specified"/>
    <n v="11"/>
    <x v="0"/>
    <x v="2"/>
  </r>
  <r>
    <x v="0"/>
    <x v="0"/>
    <x v="160"/>
    <x v="2"/>
    <x v="1"/>
    <x v="190"/>
    <x v="26"/>
    <x v="63"/>
    <x v="26"/>
    <x v="165"/>
    <x v="204"/>
    <s v="love the fit"/>
    <n v="1496102400"/>
    <s v="Not Specified"/>
    <s v="Not Specified"/>
    <s v="Not Specified"/>
    <n v="61"/>
    <x v="0"/>
    <x v="2"/>
  </r>
  <r>
    <x v="4"/>
    <x v="0"/>
    <x v="161"/>
    <x v="2"/>
    <x v="1"/>
    <x v="191"/>
    <x v="26"/>
    <x v="44"/>
    <x v="25"/>
    <x v="166"/>
    <x v="205"/>
    <s v="Nike"/>
    <n v="1496016000"/>
    <s v="Not Specified"/>
    <s v="Not Specified"/>
    <s v="Not Specified"/>
    <n v="65"/>
    <x v="0"/>
    <x v="2"/>
  </r>
  <r>
    <x v="1"/>
    <x v="0"/>
    <x v="162"/>
    <x v="2"/>
    <x v="1"/>
    <x v="192"/>
    <x v="26"/>
    <x v="63"/>
    <x v="17"/>
    <x v="167"/>
    <x v="206"/>
    <s v="Nope"/>
    <n v="1495670400"/>
    <s v="Not Specified"/>
    <s v="Not Specified"/>
    <s v="Not Specified"/>
    <n v="40"/>
    <x v="1"/>
    <x v="2"/>
  </r>
  <r>
    <x v="0"/>
    <x v="0"/>
    <x v="163"/>
    <x v="2"/>
    <x v="1"/>
    <x v="193"/>
    <x v="26"/>
    <x v="57"/>
    <x v="17"/>
    <x v="168"/>
    <x v="207"/>
    <s v="It is comfortable."/>
    <n v="1495411200"/>
    <s v="Not Specified"/>
    <s v="Not Specified"/>
    <s v="Not Specified"/>
    <n v="45"/>
    <x v="0"/>
    <x v="2"/>
  </r>
  <r>
    <x v="0"/>
    <x v="0"/>
    <x v="163"/>
    <x v="2"/>
    <x v="1"/>
    <x v="194"/>
    <x v="26"/>
    <x v="17"/>
    <x v="17"/>
    <x v="169"/>
    <x v="208"/>
    <s v="Perfect cross trainers"/>
    <n v="1495411200"/>
    <s v="Not Specified"/>
    <s v="Not Specified"/>
    <s v="Not Specified"/>
    <n v="86"/>
    <x v="0"/>
    <x v="2"/>
  </r>
  <r>
    <x v="0"/>
    <x v="1"/>
    <x v="164"/>
    <x v="2"/>
    <x v="1"/>
    <x v="195"/>
    <x v="26"/>
    <x v="45"/>
    <x v="25"/>
    <x v="170"/>
    <x v="209"/>
    <s v="Great training shoes"/>
    <n v="1495152000"/>
    <s v="Not Specified"/>
    <s v="Not Specified"/>
    <n v="2"/>
    <n v="109"/>
    <x v="0"/>
    <x v="2"/>
  </r>
  <r>
    <x v="0"/>
    <x v="1"/>
    <x v="164"/>
    <x v="2"/>
    <x v="1"/>
    <x v="195"/>
    <x v="26"/>
    <x v="63"/>
    <x v="28"/>
    <x v="170"/>
    <x v="210"/>
    <s v="Amazing training Sneakers."/>
    <n v="1495152000"/>
    <s v="Not Specified"/>
    <s v="Not Specified"/>
    <n v="4"/>
    <n v="274"/>
    <x v="0"/>
    <x v="2"/>
  </r>
  <r>
    <x v="4"/>
    <x v="0"/>
    <x v="165"/>
    <x v="2"/>
    <x v="1"/>
    <x v="196"/>
    <x v="26"/>
    <x v="60"/>
    <x v="17"/>
    <x v="171"/>
    <x v="211"/>
    <s v="HIIT shoes"/>
    <n v="1495065600"/>
    <s v="Not Specified"/>
    <s v="Not Specified"/>
    <s v="Not Specified"/>
    <n v="20"/>
    <x v="0"/>
    <x v="2"/>
  </r>
  <r>
    <x v="4"/>
    <x v="0"/>
    <x v="166"/>
    <x v="2"/>
    <x v="1"/>
    <x v="197"/>
    <x v="26"/>
    <x v="60"/>
    <x v="34"/>
    <x v="172"/>
    <x v="212"/>
    <s v="Four Stars"/>
    <n v="1494806400"/>
    <s v="Not Specified"/>
    <s v="Not Specified"/>
    <s v="Not Specified"/>
    <n v="40"/>
    <x v="0"/>
    <x v="2"/>
  </r>
  <r>
    <x v="1"/>
    <x v="0"/>
    <x v="167"/>
    <x v="2"/>
    <x v="1"/>
    <x v="198"/>
    <x v="26"/>
    <x v="17"/>
    <x v="17"/>
    <x v="173"/>
    <x v="213"/>
    <s v="Lack support but overall good shoe"/>
    <n v="1494374400"/>
    <s v="Not Specified"/>
    <s v="Not Specified"/>
    <s v="Not Specified"/>
    <n v="170"/>
    <x v="1"/>
    <x v="2"/>
  </r>
  <r>
    <x v="0"/>
    <x v="0"/>
    <x v="168"/>
    <x v="2"/>
    <x v="1"/>
    <x v="199"/>
    <x v="26"/>
    <x v="66"/>
    <x v="40"/>
    <x v="174"/>
    <x v="214"/>
    <s v="Adorable shoes"/>
    <n v="1494115200"/>
    <s v="Not Specified"/>
    <s v="Not Specified"/>
    <s v="Not Specified"/>
    <n v="193"/>
    <x v="0"/>
    <x v="2"/>
  </r>
  <r>
    <x v="0"/>
    <x v="0"/>
    <x v="169"/>
    <x v="2"/>
    <x v="1"/>
    <x v="200"/>
    <x v="26"/>
    <x v="68"/>
    <x v="25"/>
    <x v="175"/>
    <x v="215"/>
    <s v="Wide sneaker for wide feet"/>
    <n v="1494028800"/>
    <s v="Not Specified"/>
    <s v="Not Specified"/>
    <s v="Not Specified"/>
    <n v="126"/>
    <x v="0"/>
    <x v="2"/>
  </r>
  <r>
    <x v="0"/>
    <x v="0"/>
    <x v="170"/>
    <x v="2"/>
    <x v="1"/>
    <x v="201"/>
    <x v="26"/>
    <x v="57"/>
    <x v="28"/>
    <x v="176"/>
    <x v="216"/>
    <s v="I've been using these to exercise and they are nice a roomy and allow my feet to breath"/>
    <n v="1493942400"/>
    <s v="Not Specified"/>
    <s v="Not Specified"/>
    <s v="Not Specified"/>
    <n v="110"/>
    <x v="0"/>
    <x v="2"/>
  </r>
  <r>
    <x v="0"/>
    <x v="0"/>
    <x v="171"/>
    <x v="2"/>
    <x v="1"/>
    <x v="202"/>
    <x v="26"/>
    <x v="65"/>
    <x v="17"/>
    <x v="177"/>
    <x v="217"/>
    <s v="Five Stars"/>
    <n v="1493769600"/>
    <s v="Not Specified"/>
    <s v="Not Specified"/>
    <s v="Not Specified"/>
    <n v="42"/>
    <x v="0"/>
    <x v="2"/>
  </r>
  <r>
    <x v="0"/>
    <x v="0"/>
    <x v="171"/>
    <x v="2"/>
    <x v="1"/>
    <x v="203"/>
    <x v="26"/>
    <x v="57"/>
    <x v="17"/>
    <x v="178"/>
    <x v="218"/>
    <s v="Five Stars"/>
    <n v="1493769600"/>
    <s v="Not Specified"/>
    <s v="Not Specified"/>
    <s v="Not Specified"/>
    <n v="12"/>
    <x v="0"/>
    <x v="2"/>
  </r>
  <r>
    <x v="4"/>
    <x v="0"/>
    <x v="172"/>
    <x v="2"/>
    <x v="1"/>
    <x v="204"/>
    <x v="26"/>
    <x v="66"/>
    <x v="40"/>
    <x v="179"/>
    <x v="219"/>
    <s v="Great training shoes"/>
    <n v="1493683200"/>
    <s v="Not Specified"/>
    <s v="Not Specified"/>
    <s v="Not Specified"/>
    <n v="86"/>
    <x v="0"/>
    <x v="2"/>
  </r>
  <r>
    <x v="0"/>
    <x v="0"/>
    <x v="173"/>
    <x v="2"/>
    <x v="1"/>
    <x v="205"/>
    <x v="26"/>
    <x v="26"/>
    <x v="41"/>
    <x v="180"/>
    <x v="220"/>
    <s v="Five Stars"/>
    <n v="1493596800"/>
    <s v="Not Specified"/>
    <s v="Not Specified"/>
    <s v="Not Specified"/>
    <n v="89"/>
    <x v="0"/>
    <x v="2"/>
  </r>
  <r>
    <x v="0"/>
    <x v="0"/>
    <x v="174"/>
    <x v="2"/>
    <x v="10"/>
    <x v="206"/>
    <x v="26"/>
    <x v="55"/>
    <x v="18"/>
    <x v="181"/>
    <x v="221"/>
    <s v="Five Stars"/>
    <n v="1493337600"/>
    <s v="Not Specified"/>
    <s v="Not Specified"/>
    <s v="Not Specified"/>
    <n v="12"/>
    <x v="0"/>
    <x v="2"/>
  </r>
  <r>
    <x v="4"/>
    <x v="0"/>
    <x v="175"/>
    <x v="2"/>
    <x v="10"/>
    <x v="207"/>
    <x v="26"/>
    <x v="45"/>
    <x v="25"/>
    <x v="5"/>
    <x v="222"/>
    <s v="Four Stars"/>
    <n v="1493251200"/>
    <s v="Not Specified"/>
    <s v="Not Specified"/>
    <s v="Not Specified"/>
    <n v="58"/>
    <x v="0"/>
    <x v="2"/>
  </r>
  <r>
    <x v="4"/>
    <x v="0"/>
    <x v="175"/>
    <x v="2"/>
    <x v="10"/>
    <x v="208"/>
    <x v="26"/>
    <x v="43"/>
    <x v="25"/>
    <x v="182"/>
    <x v="223"/>
    <s v="and they were great! Super comfortable"/>
    <n v="1493251200"/>
    <s v="Not Specified"/>
    <s v="Not Specified"/>
    <s v="Not Specified"/>
    <n v="199"/>
    <x v="0"/>
    <x v="2"/>
  </r>
  <r>
    <x v="0"/>
    <x v="0"/>
    <x v="176"/>
    <x v="2"/>
    <x v="10"/>
    <x v="209"/>
    <x v="26"/>
    <x v="22"/>
    <x v="17"/>
    <x v="183"/>
    <x v="224"/>
    <s v="Five Stars"/>
    <n v="1493164800"/>
    <s v="Not Specified"/>
    <s v="Not Specified"/>
    <s v="Not Specified"/>
    <n v="28"/>
    <x v="0"/>
    <x v="2"/>
  </r>
  <r>
    <x v="0"/>
    <x v="0"/>
    <x v="177"/>
    <x v="2"/>
    <x v="10"/>
    <x v="210"/>
    <x v="26"/>
    <x v="44"/>
    <x v="25"/>
    <x v="184"/>
    <x v="225"/>
    <s v="I love these shoes my second pair of 40 plus $ ..."/>
    <n v="1493078400"/>
    <s v="Not Specified"/>
    <s v="Not Specified"/>
    <s v="Not Specified"/>
    <n v="235"/>
    <x v="0"/>
    <x v="2"/>
  </r>
  <r>
    <x v="4"/>
    <x v="0"/>
    <x v="178"/>
    <x v="2"/>
    <x v="10"/>
    <x v="211"/>
    <x v="26"/>
    <x v="60"/>
    <x v="17"/>
    <x v="185"/>
    <x v="226"/>
    <s v="They fit as expected and perfect for training"/>
    <n v="1492992000"/>
    <s v="Not Specified"/>
    <s v="Not Specified"/>
    <s v="Not Specified"/>
    <n v="140"/>
    <x v="0"/>
    <x v="2"/>
  </r>
  <r>
    <x v="0"/>
    <x v="0"/>
    <x v="178"/>
    <x v="2"/>
    <x v="10"/>
    <x v="212"/>
    <x v="26"/>
    <x v="59"/>
    <x v="34"/>
    <x v="5"/>
    <x v="227"/>
    <s v="Five Stars"/>
    <n v="1492992000"/>
    <s v="Not Specified"/>
    <s v="Not Specified"/>
    <s v="Not Specified"/>
    <n v="39"/>
    <x v="0"/>
    <x v="2"/>
  </r>
  <r>
    <x v="0"/>
    <x v="0"/>
    <x v="179"/>
    <x v="2"/>
    <x v="10"/>
    <x v="213"/>
    <x v="26"/>
    <x v="57"/>
    <x v="17"/>
    <x v="5"/>
    <x v="228"/>
    <s v="Five Stars"/>
    <n v="1492646400"/>
    <s v="Not Specified"/>
    <s v="Not Specified"/>
    <s v="Not Specified"/>
    <n v="7"/>
    <x v="0"/>
    <x v="2"/>
  </r>
  <r>
    <x v="0"/>
    <x v="0"/>
    <x v="180"/>
    <x v="2"/>
    <x v="10"/>
    <x v="214"/>
    <x v="26"/>
    <x v="17"/>
    <x v="17"/>
    <x v="5"/>
    <x v="229"/>
    <s v="Five Stars"/>
    <n v="1492560000"/>
    <s v="Not Specified"/>
    <s v="Not Specified"/>
    <s v="Not Specified"/>
    <n v="9"/>
    <x v="0"/>
    <x v="2"/>
  </r>
  <r>
    <x v="0"/>
    <x v="1"/>
    <x v="16"/>
    <x v="2"/>
    <x v="10"/>
    <x v="215"/>
    <x v="26"/>
    <x v="60"/>
    <x v="17"/>
    <x v="186"/>
    <x v="230"/>
    <s v="Very Good For Everyday"/>
    <n v="1492473600"/>
    <s v="Not Specified"/>
    <s v="Not Specified"/>
    <s v="Not Specified"/>
    <n v="115"/>
    <x v="0"/>
    <x v="2"/>
  </r>
  <r>
    <x v="0"/>
    <x v="0"/>
    <x v="181"/>
    <x v="2"/>
    <x v="10"/>
    <x v="216"/>
    <x v="26"/>
    <x v="57"/>
    <x v="17"/>
    <x v="187"/>
    <x v="231"/>
    <s v="Great shoes"/>
    <n v="1492387200"/>
    <s v="Not Specified"/>
    <s v="Not Specified"/>
    <s v="Not Specified"/>
    <n v="62"/>
    <x v="0"/>
    <x v="2"/>
  </r>
  <r>
    <x v="0"/>
    <x v="0"/>
    <x v="182"/>
    <x v="2"/>
    <x v="10"/>
    <x v="217"/>
    <x v="26"/>
    <x v="62"/>
    <x v="12"/>
    <x v="188"/>
    <x v="232"/>
    <s v="Love these shoes"/>
    <n v="1492214400"/>
    <s v="Not Specified"/>
    <s v="Not Specified"/>
    <s v="Not Specified"/>
    <n v="112"/>
    <x v="0"/>
    <x v="2"/>
  </r>
  <r>
    <x v="0"/>
    <x v="0"/>
    <x v="183"/>
    <x v="2"/>
    <x v="10"/>
    <x v="218"/>
    <x v="26"/>
    <x v="22"/>
    <x v="17"/>
    <x v="5"/>
    <x v="233"/>
    <s v="Five Stars"/>
    <n v="1492128000"/>
    <s v="Not Specified"/>
    <s v="Not Specified"/>
    <s v="Not Specified"/>
    <n v="38"/>
    <x v="0"/>
    <x v="2"/>
  </r>
  <r>
    <x v="4"/>
    <x v="0"/>
    <x v="184"/>
    <x v="2"/>
    <x v="10"/>
    <x v="219"/>
    <x v="26"/>
    <x v="67"/>
    <x v="17"/>
    <x v="189"/>
    <x v="234"/>
    <s v="Super comfortable. I joined Cross Fit and this is ..."/>
    <n v="1491868800"/>
    <s v="Not Specified"/>
    <s v="Not Specified"/>
    <s v="Not Specified"/>
    <n v="67"/>
    <x v="0"/>
    <x v="2"/>
  </r>
  <r>
    <x v="0"/>
    <x v="0"/>
    <x v="184"/>
    <x v="2"/>
    <x v="10"/>
    <x v="220"/>
    <x v="26"/>
    <x v="47"/>
    <x v="25"/>
    <x v="190"/>
    <x v="235"/>
    <s v="Five Stars"/>
    <n v="1491868800"/>
    <s v="Not Specified"/>
    <s v="Not Specified"/>
    <s v="Not Specified"/>
    <n v="13"/>
    <x v="0"/>
    <x v="2"/>
  </r>
  <r>
    <x v="0"/>
    <x v="0"/>
    <x v="185"/>
    <x v="2"/>
    <x v="10"/>
    <x v="221"/>
    <x v="26"/>
    <x v="55"/>
    <x v="29"/>
    <x v="191"/>
    <x v="236"/>
    <s v="Sooo comfortable"/>
    <n v="1491782400"/>
    <s v="Not Specified"/>
    <s v="Not Specified"/>
    <s v="Not Specified"/>
    <n v="49"/>
    <x v="0"/>
    <x v="2"/>
  </r>
  <r>
    <x v="0"/>
    <x v="0"/>
    <x v="185"/>
    <x v="2"/>
    <x v="10"/>
    <x v="222"/>
    <x v="26"/>
    <x v="65"/>
    <x v="28"/>
    <x v="192"/>
    <x v="237"/>
    <s v="So happy."/>
    <n v="1491782400"/>
    <s v="Not Specified"/>
    <s v="Not Specified"/>
    <s v="Not Specified"/>
    <n v="17"/>
    <x v="0"/>
    <x v="2"/>
  </r>
  <r>
    <x v="4"/>
    <x v="0"/>
    <x v="185"/>
    <x v="2"/>
    <x v="10"/>
    <x v="223"/>
    <x v="26"/>
    <x v="67"/>
    <x v="29"/>
    <x v="193"/>
    <x v="238"/>
    <s v="the shoe is nice and provides well for my HIIT and Grit classes ..."/>
    <n v="1491782400"/>
    <s v="Not Specified"/>
    <s v="Not Specified"/>
    <s v="Not Specified"/>
    <n v="177"/>
    <x v="0"/>
    <x v="2"/>
  </r>
  <r>
    <x v="0"/>
    <x v="0"/>
    <x v="186"/>
    <x v="2"/>
    <x v="10"/>
    <x v="224"/>
    <x v="26"/>
    <x v="57"/>
    <x v="17"/>
    <x v="5"/>
    <x v="239"/>
    <s v="Look amazing, runs slightly big."/>
    <n v="1491609600"/>
    <s v="Not Specified"/>
    <s v="Not Specified"/>
    <s v="Not Specified"/>
    <n v="163"/>
    <x v="0"/>
    <x v="2"/>
  </r>
  <r>
    <x v="4"/>
    <x v="0"/>
    <x v="18"/>
    <x v="2"/>
    <x v="10"/>
    <x v="225"/>
    <x v="26"/>
    <x v="63"/>
    <x v="17"/>
    <x v="5"/>
    <x v="240"/>
    <s v="Four Stars"/>
    <n v="1491350400"/>
    <s v="Not Specified"/>
    <s v="Not Specified"/>
    <s v="Not Specified"/>
    <n v="17"/>
    <x v="0"/>
    <x v="2"/>
  </r>
  <r>
    <x v="0"/>
    <x v="0"/>
    <x v="18"/>
    <x v="2"/>
    <x v="10"/>
    <x v="226"/>
    <x v="26"/>
    <x v="17"/>
    <x v="17"/>
    <x v="194"/>
    <x v="241"/>
    <s v="Five Stars"/>
    <n v="1491350400"/>
    <s v="Not Specified"/>
    <s v="Not Specified"/>
    <s v="Not Specified"/>
    <n v="30"/>
    <x v="0"/>
    <x v="2"/>
  </r>
  <r>
    <x v="0"/>
    <x v="0"/>
    <x v="187"/>
    <x v="2"/>
    <x v="10"/>
    <x v="227"/>
    <x v="26"/>
    <x v="63"/>
    <x v="40"/>
    <x v="195"/>
    <x v="242"/>
    <s v="Five Stars"/>
    <n v="1491264000"/>
    <s v="Not Specified"/>
    <s v="Not Specified"/>
    <s v="Not Specified"/>
    <n v="38"/>
    <x v="0"/>
    <x v="2"/>
  </r>
  <r>
    <x v="0"/>
    <x v="0"/>
    <x v="188"/>
    <x v="2"/>
    <x v="10"/>
    <x v="228"/>
    <x v="26"/>
    <x v="65"/>
    <x v="26"/>
    <x v="196"/>
    <x v="243"/>
    <s v="Five Stars"/>
    <n v="1491091200"/>
    <s v="Not Specified"/>
    <s v="Not Specified"/>
    <s v="Not Specified"/>
    <n v="39"/>
    <x v="0"/>
    <x v="2"/>
  </r>
  <r>
    <x v="4"/>
    <x v="0"/>
    <x v="189"/>
    <x v="2"/>
    <x v="5"/>
    <x v="229"/>
    <x v="26"/>
    <x v="65"/>
    <x v="17"/>
    <x v="197"/>
    <x v="244"/>
    <s v="Decent little shoe for the price."/>
    <n v="1490832000"/>
    <s v="Not Specified"/>
    <s v="Not Specified"/>
    <s v="Not Specified"/>
    <n v="87"/>
    <x v="0"/>
    <x v="2"/>
  </r>
  <r>
    <x v="0"/>
    <x v="0"/>
    <x v="190"/>
    <x v="2"/>
    <x v="5"/>
    <x v="230"/>
    <x v="26"/>
    <x v="55"/>
    <x v="29"/>
    <x v="198"/>
    <x v="245"/>
    <s v="Attractive and fit well"/>
    <n v="1490745600"/>
    <s v="Not Specified"/>
    <s v="Not Specified"/>
    <s v="Not Specified"/>
    <n v="120"/>
    <x v="0"/>
    <x v="2"/>
  </r>
  <r>
    <x v="2"/>
    <x v="0"/>
    <x v="191"/>
    <x v="2"/>
    <x v="5"/>
    <x v="231"/>
    <x v="26"/>
    <x v="63"/>
    <x v="18"/>
    <x v="199"/>
    <x v="246"/>
    <s v="Runs large"/>
    <n v="1490486400"/>
    <s v="Not Specified"/>
    <s v="Not Specified"/>
    <s v="Not Specified"/>
    <n v="178"/>
    <x v="2"/>
    <x v="2"/>
  </r>
  <r>
    <x v="3"/>
    <x v="0"/>
    <x v="192"/>
    <x v="2"/>
    <x v="5"/>
    <x v="232"/>
    <x v="26"/>
    <x v="44"/>
    <x v="25"/>
    <x v="200"/>
    <x v="247"/>
    <s v="One Star"/>
    <n v="1490400000"/>
    <s v="Not Specified"/>
    <s v="Not Specified"/>
    <s v="Not Specified"/>
    <n v="84"/>
    <x v="2"/>
    <x v="2"/>
  </r>
  <r>
    <x v="0"/>
    <x v="0"/>
    <x v="19"/>
    <x v="2"/>
    <x v="5"/>
    <x v="233"/>
    <x v="26"/>
    <x v="22"/>
    <x v="17"/>
    <x v="5"/>
    <x v="248"/>
    <s v="Five Stars"/>
    <n v="1490313600"/>
    <s v="Not Specified"/>
    <s v="Not Specified"/>
    <s v="Not Specified"/>
    <n v="10"/>
    <x v="0"/>
    <x v="2"/>
  </r>
  <r>
    <x v="0"/>
    <x v="0"/>
    <x v="19"/>
    <x v="2"/>
    <x v="5"/>
    <x v="234"/>
    <x v="26"/>
    <x v="17"/>
    <x v="17"/>
    <x v="201"/>
    <x v="249"/>
    <s v="I love the fit and they provide support for walking"/>
    <n v="1490313600"/>
    <s v="Not Specified"/>
    <s v="Not Specified"/>
    <s v="Not Specified"/>
    <n v="225"/>
    <x v="0"/>
    <x v="2"/>
  </r>
  <r>
    <x v="0"/>
    <x v="0"/>
    <x v="193"/>
    <x v="2"/>
    <x v="5"/>
    <x v="235"/>
    <x v="26"/>
    <x v="57"/>
    <x v="37"/>
    <x v="202"/>
    <x v="250"/>
    <s v="Good Shoes!"/>
    <n v="1490227200"/>
    <s v="Not Specified"/>
    <s v="Not Specified"/>
    <n v="3"/>
    <n v="401"/>
    <x v="0"/>
    <x v="2"/>
  </r>
  <r>
    <x v="0"/>
    <x v="0"/>
    <x v="194"/>
    <x v="2"/>
    <x v="5"/>
    <x v="236"/>
    <x v="26"/>
    <x v="54"/>
    <x v="30"/>
    <x v="203"/>
    <x v="251"/>
    <s v="Great shoes"/>
    <n v="1490054400"/>
    <s v="Not Specified"/>
    <s v="Not Specified"/>
    <s v="Not Specified"/>
    <n v="110"/>
    <x v="0"/>
    <x v="2"/>
  </r>
  <r>
    <x v="4"/>
    <x v="0"/>
    <x v="195"/>
    <x v="2"/>
    <x v="5"/>
    <x v="237"/>
    <x v="26"/>
    <x v="63"/>
    <x v="26"/>
    <x v="204"/>
    <x v="252"/>
    <s v="Good shoe"/>
    <n v="1489968000"/>
    <s v="Not Specified"/>
    <s v="Not Specified"/>
    <s v="Not Specified"/>
    <n v="23"/>
    <x v="0"/>
    <x v="2"/>
  </r>
  <r>
    <x v="0"/>
    <x v="0"/>
    <x v="196"/>
    <x v="2"/>
    <x v="5"/>
    <x v="238"/>
    <x v="26"/>
    <x v="60"/>
    <x v="17"/>
    <x v="205"/>
    <x v="253"/>
    <s v="Five Stars"/>
    <n v="1489795200"/>
    <s v="Not Specified"/>
    <s v="Not Specified"/>
    <s v="Not Specified"/>
    <n v="40"/>
    <x v="0"/>
    <x v="2"/>
  </r>
  <r>
    <x v="0"/>
    <x v="0"/>
    <x v="196"/>
    <x v="2"/>
    <x v="5"/>
    <x v="239"/>
    <x v="26"/>
    <x v="60"/>
    <x v="30"/>
    <x v="206"/>
    <x v="254"/>
    <s v="Love These Shoes!"/>
    <n v="1489795200"/>
    <s v="Not Specified"/>
    <s v="Not Specified"/>
    <n v="8"/>
    <n v="267"/>
    <x v="0"/>
    <x v="2"/>
  </r>
  <r>
    <x v="1"/>
    <x v="0"/>
    <x v="197"/>
    <x v="2"/>
    <x v="5"/>
    <x v="240"/>
    <x v="26"/>
    <x v="63"/>
    <x v="26"/>
    <x v="233"/>
    <x v="255"/>
    <s v="Not my favorites..."/>
    <n v="1489708800"/>
    <s v="Not Specified"/>
    <s v="Not Specified"/>
    <s v="Not Specified"/>
    <n v="143"/>
    <x v="1"/>
    <x v="2"/>
  </r>
  <r>
    <x v="4"/>
    <x v="0"/>
    <x v="198"/>
    <x v="2"/>
    <x v="5"/>
    <x v="241"/>
    <x v="26"/>
    <x v="60"/>
    <x v="34"/>
    <x v="208"/>
    <x v="256"/>
    <s v="Perfect for the gym"/>
    <n v="1489536000"/>
    <s v="Not Specified"/>
    <s v="Not Specified"/>
    <s v="Not Specified"/>
    <n v="118"/>
    <x v="0"/>
    <x v="2"/>
  </r>
  <r>
    <x v="1"/>
    <x v="0"/>
    <x v="198"/>
    <x v="2"/>
    <x v="5"/>
    <x v="242"/>
    <x v="26"/>
    <x v="55"/>
    <x v="29"/>
    <x v="209"/>
    <x v="257"/>
    <s v="Meh"/>
    <n v="1489536000"/>
    <s v="Not Specified"/>
    <s v="Not Specified"/>
    <n v="2"/>
    <n v="150"/>
    <x v="1"/>
    <x v="2"/>
  </r>
  <r>
    <x v="0"/>
    <x v="0"/>
    <x v="198"/>
    <x v="2"/>
    <x v="5"/>
    <x v="243"/>
    <x v="26"/>
    <x v="60"/>
    <x v="34"/>
    <x v="210"/>
    <x v="258"/>
    <s v="Five Stars"/>
    <n v="1489536000"/>
    <s v="Not Specified"/>
    <s v="Not Specified"/>
    <s v="Not Specified"/>
    <n v="40"/>
    <x v="0"/>
    <x v="2"/>
  </r>
  <r>
    <x v="0"/>
    <x v="0"/>
    <x v="199"/>
    <x v="2"/>
    <x v="5"/>
    <x v="244"/>
    <x v="26"/>
    <x v="65"/>
    <x v="40"/>
    <x v="211"/>
    <x v="259"/>
    <s v="Five Stars"/>
    <n v="1489449600"/>
    <s v="Not Specified"/>
    <s v="Not Specified"/>
    <s v="Not Specified"/>
    <n v="33"/>
    <x v="0"/>
    <x v="2"/>
  </r>
  <r>
    <x v="0"/>
    <x v="0"/>
    <x v="200"/>
    <x v="2"/>
    <x v="5"/>
    <x v="245"/>
    <x v="26"/>
    <x v="54"/>
    <x v="34"/>
    <x v="212"/>
    <x v="260"/>
    <s v="Hurry before they're gone!"/>
    <n v="1489363200"/>
    <s v="Not Specified"/>
    <s v="Not Specified"/>
    <s v="Not Specified"/>
    <n v="297"/>
    <x v="0"/>
    <x v="2"/>
  </r>
  <r>
    <x v="0"/>
    <x v="0"/>
    <x v="201"/>
    <x v="2"/>
    <x v="5"/>
    <x v="246"/>
    <x v="26"/>
    <x v="22"/>
    <x v="17"/>
    <x v="213"/>
    <x v="261"/>
    <s v="Amazing"/>
    <n v="1489276800"/>
    <s v="Not Specified"/>
    <s v="Not Specified"/>
    <s v="Not Specified"/>
    <n v="81"/>
    <x v="0"/>
    <x v="2"/>
  </r>
  <r>
    <x v="0"/>
    <x v="0"/>
    <x v="202"/>
    <x v="2"/>
    <x v="5"/>
    <x v="247"/>
    <x v="26"/>
    <x v="63"/>
    <x v="17"/>
    <x v="214"/>
    <x v="262"/>
    <s v="Five Stars"/>
    <n v="1488931200"/>
    <s v="Not Specified"/>
    <s v="Not Specified"/>
    <s v="Not Specified"/>
    <n v="13"/>
    <x v="0"/>
    <x v="2"/>
  </r>
  <r>
    <x v="4"/>
    <x v="0"/>
    <x v="202"/>
    <x v="2"/>
    <x v="5"/>
    <x v="248"/>
    <x v="26"/>
    <x v="65"/>
    <x v="40"/>
    <x v="5"/>
    <x v="263"/>
    <s v="Not quite wide enough"/>
    <n v="1488931200"/>
    <s v="Not Specified"/>
    <s v="Not Specified"/>
    <s v="Not Specified"/>
    <n v="182"/>
    <x v="0"/>
    <x v="2"/>
  </r>
  <r>
    <x v="4"/>
    <x v="0"/>
    <x v="202"/>
    <x v="2"/>
    <x v="5"/>
    <x v="248"/>
    <x v="26"/>
    <x v="65"/>
    <x v="26"/>
    <x v="5"/>
    <x v="263"/>
    <s v="Not quite wide enough"/>
    <n v="1488931200"/>
    <s v="Not Specified"/>
    <s v="Not Specified"/>
    <s v="Not Specified"/>
    <n v="182"/>
    <x v="0"/>
    <x v="2"/>
  </r>
  <r>
    <x v="0"/>
    <x v="0"/>
    <x v="203"/>
    <x v="2"/>
    <x v="5"/>
    <x v="249"/>
    <x v="26"/>
    <x v="57"/>
    <x v="17"/>
    <x v="215"/>
    <x v="264"/>
    <s v="Five Stars"/>
    <n v="1488758400"/>
    <s v="Not Specified"/>
    <s v="Not Specified"/>
    <s v="Not Specified"/>
    <n v="10"/>
    <x v="0"/>
    <x v="2"/>
  </r>
  <r>
    <x v="0"/>
    <x v="1"/>
    <x v="204"/>
    <x v="2"/>
    <x v="8"/>
    <x v="250"/>
    <x v="26"/>
    <x v="62"/>
    <x v="12"/>
    <x v="333"/>
    <x v="265"/>
    <s v="Simple look, outstanding comfort!"/>
    <n v="1488067200"/>
    <s v="Not Specified"/>
    <s v="Not Specified"/>
    <s v="Not Specified"/>
    <n v="206"/>
    <x v="0"/>
    <x v="2"/>
  </r>
  <r>
    <x v="4"/>
    <x v="0"/>
    <x v="205"/>
    <x v="2"/>
    <x v="8"/>
    <x v="251"/>
    <x v="26"/>
    <x v="59"/>
    <x v="17"/>
    <x v="217"/>
    <x v="266"/>
    <s v="My second favorite."/>
    <n v="1487894400"/>
    <s v="Not Specified"/>
    <s v="Not Specified"/>
    <s v="Not Specified"/>
    <n v="171"/>
    <x v="0"/>
    <x v="2"/>
  </r>
  <r>
    <x v="0"/>
    <x v="0"/>
    <x v="205"/>
    <x v="2"/>
    <x v="8"/>
    <x v="252"/>
    <x v="26"/>
    <x v="59"/>
    <x v="17"/>
    <x v="218"/>
    <x v="267"/>
    <s v="Five Stars"/>
    <n v="1487894400"/>
    <s v="Not Specified"/>
    <s v="Not Specified"/>
    <s v="Not Specified"/>
    <n v="12"/>
    <x v="0"/>
    <x v="2"/>
  </r>
  <r>
    <x v="4"/>
    <x v="0"/>
    <x v="21"/>
    <x v="2"/>
    <x v="8"/>
    <x v="253"/>
    <x v="26"/>
    <x v="60"/>
    <x v="39"/>
    <x v="219"/>
    <x v="268"/>
    <s v="Fit to actual size."/>
    <n v="1487635200"/>
    <s v="Not Specified"/>
    <s v="Not Specified"/>
    <s v="Not Specified"/>
    <n v="126"/>
    <x v="0"/>
    <x v="2"/>
  </r>
  <r>
    <x v="0"/>
    <x v="0"/>
    <x v="21"/>
    <x v="2"/>
    <x v="8"/>
    <x v="254"/>
    <x v="26"/>
    <x v="17"/>
    <x v="17"/>
    <x v="220"/>
    <x v="269"/>
    <s v="Five Stars"/>
    <n v="1487635200"/>
    <s v="Not Specified"/>
    <s v="Not Specified"/>
    <s v="Not Specified"/>
    <n v="56"/>
    <x v="0"/>
    <x v="2"/>
  </r>
  <r>
    <x v="1"/>
    <x v="0"/>
    <x v="206"/>
    <x v="2"/>
    <x v="8"/>
    <x v="255"/>
    <x v="26"/>
    <x v="59"/>
    <x v="34"/>
    <x v="5"/>
    <x v="270"/>
    <s v="Too small, flimsy upper"/>
    <n v="1487203200"/>
    <s v="Not Specified"/>
    <s v="Not Specified"/>
    <s v="Not Specified"/>
    <n v="198"/>
    <x v="1"/>
    <x v="2"/>
  </r>
  <r>
    <x v="0"/>
    <x v="0"/>
    <x v="207"/>
    <x v="2"/>
    <x v="8"/>
    <x v="256"/>
    <x v="26"/>
    <x v="55"/>
    <x v="40"/>
    <x v="221"/>
    <x v="271"/>
    <s v="Great for kickboxing"/>
    <n v="1487116800"/>
    <s v="Not Specified"/>
    <s v="Not Specified"/>
    <n v="5"/>
    <n v="388"/>
    <x v="0"/>
    <x v="2"/>
  </r>
  <r>
    <x v="0"/>
    <x v="0"/>
    <x v="208"/>
    <x v="2"/>
    <x v="8"/>
    <x v="257"/>
    <x v="26"/>
    <x v="65"/>
    <x v="17"/>
    <x v="222"/>
    <x v="272"/>
    <s v="These shoes are great for walking - so very comfortable"/>
    <n v="1486944000"/>
    <s v="Not Specified"/>
    <s v="Not Specified"/>
    <s v="Not Specified"/>
    <n v="87"/>
    <x v="0"/>
    <x v="2"/>
  </r>
  <r>
    <x v="0"/>
    <x v="0"/>
    <x v="209"/>
    <x v="2"/>
    <x v="8"/>
    <x v="258"/>
    <x v="26"/>
    <x v="60"/>
    <x v="17"/>
    <x v="223"/>
    <x v="273"/>
    <s v="Good choice for training shoe"/>
    <n v="1486857600"/>
    <s v="Not Specified"/>
    <s v="Not Specified"/>
    <s v="Not Specified"/>
    <n v="140"/>
    <x v="0"/>
    <x v="2"/>
  </r>
  <r>
    <x v="0"/>
    <x v="0"/>
    <x v="210"/>
    <x v="2"/>
    <x v="8"/>
    <x v="259"/>
    <x v="26"/>
    <x v="26"/>
    <x v="17"/>
    <x v="224"/>
    <x v="274"/>
    <s v="Five Stars"/>
    <n v="1486771200"/>
    <s v="Not Specified"/>
    <s v="Not Specified"/>
    <s v="Not Specified"/>
    <n v="28"/>
    <x v="0"/>
    <x v="2"/>
  </r>
  <r>
    <x v="4"/>
    <x v="0"/>
    <x v="22"/>
    <x v="2"/>
    <x v="8"/>
    <x v="260"/>
    <x v="26"/>
    <x v="60"/>
    <x v="40"/>
    <x v="225"/>
    <x v="275"/>
    <s v="They are slightly longer in look then I was would like but I think that is typical of cross trainers"/>
    <n v="1486512000"/>
    <s v="Not Specified"/>
    <s v="Not Specified"/>
    <n v="4"/>
    <n v="570"/>
    <x v="0"/>
    <x v="2"/>
  </r>
  <r>
    <x v="4"/>
    <x v="0"/>
    <x v="211"/>
    <x v="2"/>
    <x v="8"/>
    <x v="261"/>
    <x v="26"/>
    <x v="60"/>
    <x v="20"/>
    <x v="226"/>
    <x v="276"/>
    <s v="I love them but they are definitely bright orange/coral and not ..."/>
    <n v="1486339200"/>
    <s v="Not Specified"/>
    <s v="Not Specified"/>
    <s v="Not Specified"/>
    <n v="316"/>
    <x v="0"/>
    <x v="2"/>
  </r>
  <r>
    <x v="2"/>
    <x v="0"/>
    <x v="212"/>
    <x v="2"/>
    <x v="8"/>
    <x v="262"/>
    <x v="26"/>
    <x v="65"/>
    <x v="26"/>
    <x v="5"/>
    <x v="277"/>
    <s v="Color was not at all what i expected. It ..."/>
    <n v="1485993600"/>
    <s v="Not Specified"/>
    <s v="Not Specified"/>
    <s v="Not Specified"/>
    <n v="107"/>
    <x v="2"/>
    <x v="2"/>
  </r>
  <r>
    <x v="0"/>
    <x v="0"/>
    <x v="23"/>
    <x v="2"/>
    <x v="8"/>
    <x v="25"/>
    <x v="26"/>
    <x v="26"/>
    <x v="17"/>
    <x v="23"/>
    <x v="278"/>
    <s v="Super cute and on sale!!"/>
    <n v="1485907200"/>
    <s v="Not Specified"/>
    <s v="Not Specified"/>
    <s v="Not Specified"/>
    <n v="122"/>
    <x v="0"/>
    <x v="2"/>
  </r>
  <r>
    <x v="1"/>
    <x v="0"/>
    <x v="213"/>
    <x v="2"/>
    <x v="2"/>
    <x v="263"/>
    <x v="26"/>
    <x v="55"/>
    <x v="30"/>
    <x v="227"/>
    <x v="279"/>
    <s v="Three Stars"/>
    <n v="1485820800"/>
    <s v="Not Specified"/>
    <s v="Not Specified"/>
    <n v="3"/>
    <n v="7"/>
    <x v="1"/>
    <x v="2"/>
  </r>
  <r>
    <x v="0"/>
    <x v="0"/>
    <x v="214"/>
    <x v="2"/>
    <x v="2"/>
    <x v="264"/>
    <x v="26"/>
    <x v="59"/>
    <x v="34"/>
    <x v="5"/>
    <x v="280"/>
    <s v="then you should pretty much know your size"/>
    <n v="1485302400"/>
    <s v="Not Specified"/>
    <s v="Not Specified"/>
    <s v="Not Specified"/>
    <n v="521"/>
    <x v="0"/>
    <x v="2"/>
  </r>
  <r>
    <x v="0"/>
    <x v="0"/>
    <x v="215"/>
    <x v="2"/>
    <x v="2"/>
    <x v="265"/>
    <x v="26"/>
    <x v="65"/>
    <x v="40"/>
    <x v="228"/>
    <x v="281"/>
    <s v="Nice Support"/>
    <n v="1485043200"/>
    <s v="Not Specified"/>
    <s v="Not Specified"/>
    <s v="Not Specified"/>
    <n v="90"/>
    <x v="0"/>
    <x v="2"/>
  </r>
  <r>
    <x v="0"/>
    <x v="0"/>
    <x v="216"/>
    <x v="2"/>
    <x v="2"/>
    <x v="266"/>
    <x v="26"/>
    <x v="54"/>
    <x v="34"/>
    <x v="229"/>
    <x v="282"/>
    <s v="Good Sneaker"/>
    <n v="1484870400"/>
    <s v="Not Specified"/>
    <s v="Not Specified"/>
    <s v="Not Specified"/>
    <n v="40"/>
    <x v="0"/>
    <x v="2"/>
  </r>
  <r>
    <x v="0"/>
    <x v="0"/>
    <x v="217"/>
    <x v="2"/>
    <x v="2"/>
    <x v="267"/>
    <x v="26"/>
    <x v="57"/>
    <x v="28"/>
    <x v="230"/>
    <x v="283"/>
    <s v="Satisfied"/>
    <n v="1484697600"/>
    <s v="Not Specified"/>
    <s v="Not Specified"/>
    <s v="Not Specified"/>
    <n v="105"/>
    <x v="0"/>
    <x v="2"/>
  </r>
  <r>
    <x v="2"/>
    <x v="0"/>
    <x v="217"/>
    <x v="2"/>
    <x v="2"/>
    <x v="268"/>
    <x v="26"/>
    <x v="57"/>
    <x v="17"/>
    <x v="231"/>
    <x v="284"/>
    <s v="Too large"/>
    <n v="1484697600"/>
    <s v="Not Specified"/>
    <s v="Not Specified"/>
    <s v="Not Specified"/>
    <n v="118"/>
    <x v="2"/>
    <x v="2"/>
  </r>
  <r>
    <x v="0"/>
    <x v="0"/>
    <x v="217"/>
    <x v="2"/>
    <x v="2"/>
    <x v="269"/>
    <x v="26"/>
    <x v="59"/>
    <x v="18"/>
    <x v="232"/>
    <x v="285"/>
    <s v="colors look great together."/>
    <n v="1484697600"/>
    <s v="Not Specified"/>
    <s v="Not Specified"/>
    <s v="Not Specified"/>
    <n v="88"/>
    <x v="0"/>
    <x v="2"/>
  </r>
  <r>
    <x v="0"/>
    <x v="0"/>
    <x v="217"/>
    <x v="2"/>
    <x v="2"/>
    <x v="270"/>
    <x v="26"/>
    <x v="55"/>
    <x v="12"/>
    <x v="5"/>
    <x v="286"/>
    <s v="Five Stars"/>
    <n v="1484697600"/>
    <s v="Not Specified"/>
    <s v="Not Specified"/>
    <s v="Not Specified"/>
    <n v="11"/>
    <x v="0"/>
    <x v="2"/>
  </r>
  <r>
    <x v="4"/>
    <x v="0"/>
    <x v="217"/>
    <x v="2"/>
    <x v="2"/>
    <x v="271"/>
    <x v="26"/>
    <x v="60"/>
    <x v="17"/>
    <x v="233"/>
    <x v="287"/>
    <s v="but if I wear thick socks they are fine. Also"/>
    <n v="1484697600"/>
    <s v="Not Specified"/>
    <s v="Not Specified"/>
    <s v="Not Specified"/>
    <n v="316"/>
    <x v="0"/>
    <x v="2"/>
  </r>
  <r>
    <x v="3"/>
    <x v="0"/>
    <x v="218"/>
    <x v="2"/>
    <x v="2"/>
    <x v="272"/>
    <x v="26"/>
    <x v="55"/>
    <x v="29"/>
    <x v="234"/>
    <x v="288"/>
    <s v="Poor quality for Nike"/>
    <n v="1484438400"/>
    <s v="Not Specified"/>
    <s v="Not Specified"/>
    <n v="22"/>
    <n v="69"/>
    <x v="2"/>
    <x v="2"/>
  </r>
  <r>
    <x v="4"/>
    <x v="0"/>
    <x v="219"/>
    <x v="2"/>
    <x v="2"/>
    <x v="273"/>
    <x v="26"/>
    <x v="65"/>
    <x v="42"/>
    <x v="5"/>
    <x v="289"/>
    <s v="4/5"/>
    <n v="1484265600"/>
    <s v="Not Specified"/>
    <s v="Not Specified"/>
    <s v="Not Specified"/>
    <n v="187"/>
    <x v="0"/>
    <x v="2"/>
  </r>
  <r>
    <x v="0"/>
    <x v="0"/>
    <x v="220"/>
    <x v="2"/>
    <x v="2"/>
    <x v="274"/>
    <x v="26"/>
    <x v="57"/>
    <x v="33"/>
    <x v="235"/>
    <x v="290"/>
    <s v="LOVE!"/>
    <n v="1484179200"/>
    <s v="Not Specified"/>
    <s v="Not Specified"/>
    <s v="Not Specified"/>
    <n v="216"/>
    <x v="0"/>
    <x v="2"/>
  </r>
  <r>
    <x v="0"/>
    <x v="0"/>
    <x v="220"/>
    <x v="2"/>
    <x v="2"/>
    <x v="275"/>
    <x v="26"/>
    <x v="60"/>
    <x v="17"/>
    <x v="236"/>
    <x v="291"/>
    <s v="Five Stars"/>
    <n v="1484179200"/>
    <s v="Not Specified"/>
    <s v="Not Specified"/>
    <s v="Not Specified"/>
    <n v="20"/>
    <x v="0"/>
    <x v="2"/>
  </r>
  <r>
    <x v="0"/>
    <x v="0"/>
    <x v="221"/>
    <x v="2"/>
    <x v="2"/>
    <x v="276"/>
    <x v="26"/>
    <x v="55"/>
    <x v="37"/>
    <x v="5"/>
    <x v="240"/>
    <s v="Five Stars"/>
    <n v="1484006400"/>
    <s v="Not Specified"/>
    <s v="Not Specified"/>
    <s v="Not Specified"/>
    <n v="17"/>
    <x v="0"/>
    <x v="2"/>
  </r>
  <r>
    <x v="0"/>
    <x v="0"/>
    <x v="222"/>
    <x v="2"/>
    <x v="2"/>
    <x v="277"/>
    <x v="26"/>
    <x v="22"/>
    <x v="42"/>
    <x v="5"/>
    <x v="292"/>
    <s v="Correct size"/>
    <n v="1483747200"/>
    <s v="Not Specified"/>
    <s v="Not Specified"/>
    <s v="Not Specified"/>
    <n v="92"/>
    <x v="0"/>
    <x v="2"/>
  </r>
  <r>
    <x v="0"/>
    <x v="0"/>
    <x v="222"/>
    <x v="2"/>
    <x v="2"/>
    <x v="278"/>
    <x v="26"/>
    <x v="26"/>
    <x v="42"/>
    <x v="237"/>
    <x v="293"/>
    <s v="Perfect for the gym"/>
    <n v="1483747200"/>
    <s v="Not Specified"/>
    <s v="Not Specified"/>
    <s v="Not Specified"/>
    <n v="182"/>
    <x v="0"/>
    <x v="2"/>
  </r>
  <r>
    <x v="4"/>
    <x v="0"/>
    <x v="223"/>
    <x v="2"/>
    <x v="2"/>
    <x v="279"/>
    <x v="26"/>
    <x v="59"/>
    <x v="42"/>
    <x v="5"/>
    <x v="294"/>
    <s v="... opened the box to see the color is exactly like the image shows"/>
    <n v="1483660800"/>
    <s v="Not Specified"/>
    <s v="Not Specified"/>
    <s v="Not Specified"/>
    <n v="219"/>
    <x v="0"/>
    <x v="2"/>
  </r>
  <r>
    <x v="3"/>
    <x v="0"/>
    <x v="224"/>
    <x v="2"/>
    <x v="2"/>
    <x v="280"/>
    <x v="26"/>
    <x v="16"/>
    <x v="18"/>
    <x v="334"/>
    <x v="295"/>
    <s v="I ordered the Nike Women's Flex Supreme TR3 instead and love them!"/>
    <n v="1483488000"/>
    <s v="Not Specified"/>
    <s v="Not Specified"/>
    <s v="Not Specified"/>
    <n v="258"/>
    <x v="2"/>
    <x v="2"/>
  </r>
  <r>
    <x v="0"/>
    <x v="0"/>
    <x v="224"/>
    <x v="2"/>
    <x v="2"/>
    <x v="281"/>
    <x v="26"/>
    <x v="55"/>
    <x v="12"/>
    <x v="239"/>
    <x v="296"/>
    <s v="so light &amp; comfortable!"/>
    <n v="1483488000"/>
    <s v="Not Specified"/>
    <s v="Not Specified"/>
    <s v="Not Specified"/>
    <n v="69"/>
    <x v="0"/>
    <x v="2"/>
  </r>
  <r>
    <x v="0"/>
    <x v="0"/>
    <x v="225"/>
    <x v="2"/>
    <x v="2"/>
    <x v="282"/>
    <x v="26"/>
    <x v="59"/>
    <x v="42"/>
    <x v="240"/>
    <x v="297"/>
    <s v="Five Stars"/>
    <n v="1483228800"/>
    <s v="Not Specified"/>
    <s v="Not Specified"/>
    <s v="Not Specified"/>
    <n v="32"/>
    <x v="0"/>
    <x v="2"/>
  </r>
  <r>
    <x v="0"/>
    <x v="0"/>
    <x v="225"/>
    <x v="2"/>
    <x v="2"/>
    <x v="283"/>
    <x v="26"/>
    <x v="65"/>
    <x v="17"/>
    <x v="241"/>
    <x v="298"/>
    <s v="Five Stars"/>
    <n v="1483228800"/>
    <s v="Not Specified"/>
    <s v="Not Specified"/>
    <s v="Not Specified"/>
    <n v="36"/>
    <x v="0"/>
    <x v="2"/>
  </r>
  <r>
    <x v="0"/>
    <x v="0"/>
    <x v="226"/>
    <x v="3"/>
    <x v="11"/>
    <x v="284"/>
    <x v="26"/>
    <x v="60"/>
    <x v="17"/>
    <x v="242"/>
    <x v="299"/>
    <s v="these were a perfect fit. They are light and very comfortable"/>
    <n v="1483142400"/>
    <s v="Not Specified"/>
    <s v="Not Specified"/>
    <s v="Not Specified"/>
    <n v="169"/>
    <x v="0"/>
    <x v="2"/>
  </r>
  <r>
    <x v="0"/>
    <x v="0"/>
    <x v="227"/>
    <x v="3"/>
    <x v="11"/>
    <x v="285"/>
    <x v="26"/>
    <x v="60"/>
    <x v="17"/>
    <x v="243"/>
    <x v="300"/>
    <s v="Five Stars"/>
    <n v="1482969600"/>
    <s v="Not Specified"/>
    <s v="Not Specified"/>
    <s v="Not Specified"/>
    <n v="37"/>
    <x v="0"/>
    <x v="2"/>
  </r>
  <r>
    <x v="0"/>
    <x v="0"/>
    <x v="227"/>
    <x v="3"/>
    <x v="11"/>
    <x v="286"/>
    <x v="26"/>
    <x v="54"/>
    <x v="42"/>
    <x v="5"/>
    <x v="301"/>
    <s v="Five Stars"/>
    <n v="1482969600"/>
    <s v="Not Specified"/>
    <s v="Not Specified"/>
    <s v="Not Specified"/>
    <n v="45"/>
    <x v="0"/>
    <x v="2"/>
  </r>
  <r>
    <x v="0"/>
    <x v="0"/>
    <x v="228"/>
    <x v="3"/>
    <x v="11"/>
    <x v="287"/>
    <x v="26"/>
    <x v="60"/>
    <x v="17"/>
    <x v="5"/>
    <x v="120"/>
    <s v="Just what I wanted!"/>
    <n v="1482883200"/>
    <s v="Not Specified"/>
    <s v="Not Specified"/>
    <s v="Not Specified"/>
    <n v="8"/>
    <x v="0"/>
    <x v="2"/>
  </r>
  <r>
    <x v="0"/>
    <x v="0"/>
    <x v="228"/>
    <x v="3"/>
    <x v="11"/>
    <x v="288"/>
    <x v="26"/>
    <x v="57"/>
    <x v="18"/>
    <x v="244"/>
    <x v="302"/>
    <s v="Bought these for my daughter and she loves them. ..."/>
    <n v="1482883200"/>
    <s v="Not Specified"/>
    <s v="Not Specified"/>
    <s v="Not Specified"/>
    <n v="134"/>
    <x v="0"/>
    <x v="2"/>
  </r>
  <r>
    <x v="0"/>
    <x v="0"/>
    <x v="229"/>
    <x v="3"/>
    <x v="11"/>
    <x v="289"/>
    <x v="26"/>
    <x v="65"/>
    <x v="17"/>
    <x v="245"/>
    <x v="303"/>
    <s v="Five Stars"/>
    <n v="1482796800"/>
    <s v="Not Specified"/>
    <s v="Not Specified"/>
    <s v="Not Specified"/>
    <n v="32"/>
    <x v="0"/>
    <x v="2"/>
  </r>
  <r>
    <x v="2"/>
    <x v="0"/>
    <x v="230"/>
    <x v="3"/>
    <x v="11"/>
    <x v="290"/>
    <x v="26"/>
    <x v="63"/>
    <x v="28"/>
    <x v="246"/>
    <x v="304"/>
    <s v="Tried one in the store and bought it online but ..."/>
    <n v="1482624000"/>
    <s v="Not Specified"/>
    <s v="Not Specified"/>
    <n v="2"/>
    <n v="108"/>
    <x v="2"/>
    <x v="2"/>
  </r>
  <r>
    <x v="0"/>
    <x v="0"/>
    <x v="231"/>
    <x v="3"/>
    <x v="11"/>
    <x v="291"/>
    <x v="26"/>
    <x v="63"/>
    <x v="37"/>
    <x v="247"/>
    <x v="305"/>
    <s v="I had the older generation of this shoe that survived ..."/>
    <n v="1482451200"/>
    <s v="Not Specified"/>
    <s v="Not Specified"/>
    <s v="Not Specified"/>
    <n v="198"/>
    <x v="0"/>
    <x v="2"/>
  </r>
  <r>
    <x v="0"/>
    <x v="0"/>
    <x v="232"/>
    <x v="3"/>
    <x v="11"/>
    <x v="292"/>
    <x v="26"/>
    <x v="64"/>
    <x v="29"/>
    <x v="5"/>
    <x v="306"/>
    <s v="Five Stars"/>
    <n v="1482364800"/>
    <s v="Not Specified"/>
    <s v="Not Specified"/>
    <s v="Not Specified"/>
    <n v="105"/>
    <x v="0"/>
    <x v="2"/>
  </r>
  <r>
    <x v="2"/>
    <x v="0"/>
    <x v="233"/>
    <x v="3"/>
    <x v="11"/>
    <x v="293"/>
    <x v="26"/>
    <x v="60"/>
    <x v="34"/>
    <x v="248"/>
    <x v="307"/>
    <s v="Not true to size"/>
    <n v="1481846400"/>
    <s v="Not Specified"/>
    <s v="Not Specified"/>
    <s v="Not Specified"/>
    <n v="63"/>
    <x v="2"/>
    <x v="2"/>
  </r>
  <r>
    <x v="3"/>
    <x v="0"/>
    <x v="234"/>
    <x v="3"/>
    <x v="11"/>
    <x v="294"/>
    <x v="26"/>
    <x v="59"/>
    <x v="42"/>
    <x v="5"/>
    <x v="308"/>
    <s v="One Star"/>
    <n v="1481760000"/>
    <s v="Not Specified"/>
    <s v="Not Specified"/>
    <s v="Not Specified"/>
    <n v="11"/>
    <x v="2"/>
    <x v="2"/>
  </r>
  <r>
    <x v="0"/>
    <x v="0"/>
    <x v="235"/>
    <x v="3"/>
    <x v="11"/>
    <x v="295"/>
    <x v="26"/>
    <x v="42"/>
    <x v="25"/>
    <x v="249"/>
    <x v="309"/>
    <s v="Nice"/>
    <n v="1481500800"/>
    <s v="Not Specified"/>
    <s v="Not Specified"/>
    <s v="Not Specified"/>
    <n v="15"/>
    <x v="0"/>
    <x v="2"/>
  </r>
  <r>
    <x v="0"/>
    <x v="0"/>
    <x v="235"/>
    <x v="3"/>
    <x v="11"/>
    <x v="296"/>
    <x v="26"/>
    <x v="22"/>
    <x v="17"/>
    <x v="250"/>
    <x v="310"/>
    <s v="Great"/>
    <n v="1481500800"/>
    <s v="Not Specified"/>
    <s v="Not Specified"/>
    <n v="4"/>
    <n v="362"/>
    <x v="0"/>
    <x v="2"/>
  </r>
  <r>
    <x v="4"/>
    <x v="0"/>
    <x v="236"/>
    <x v="3"/>
    <x v="11"/>
    <x v="297"/>
    <x v="26"/>
    <x v="59"/>
    <x v="42"/>
    <x v="251"/>
    <x v="311"/>
    <s v="Four Stars"/>
    <n v="1481155200"/>
    <s v="Not Specified"/>
    <s v="Not Specified"/>
    <s v="Not Specified"/>
    <n v="36"/>
    <x v="0"/>
    <x v="2"/>
  </r>
  <r>
    <x v="4"/>
    <x v="0"/>
    <x v="237"/>
    <x v="3"/>
    <x v="11"/>
    <x v="298"/>
    <x v="26"/>
    <x v="66"/>
    <x v="40"/>
    <x v="252"/>
    <x v="312"/>
    <s v="Four Stars"/>
    <n v="1480809600"/>
    <s v="Not Specified"/>
    <s v="Not Specified"/>
    <s v="Not Specified"/>
    <n v="36"/>
    <x v="0"/>
    <x v="2"/>
  </r>
  <r>
    <x v="4"/>
    <x v="0"/>
    <x v="238"/>
    <x v="3"/>
    <x v="11"/>
    <x v="299"/>
    <x v="26"/>
    <x v="68"/>
    <x v="25"/>
    <x v="5"/>
    <x v="313"/>
    <s v="Four Stars"/>
    <n v="1480636800"/>
    <s v="Not Specified"/>
    <s v="Not Specified"/>
    <n v="2"/>
    <n v="29"/>
    <x v="0"/>
    <x v="2"/>
  </r>
  <r>
    <x v="0"/>
    <x v="0"/>
    <x v="238"/>
    <x v="3"/>
    <x v="11"/>
    <x v="300"/>
    <x v="26"/>
    <x v="17"/>
    <x v="17"/>
    <x v="253"/>
    <x v="314"/>
    <s v="Five Stars"/>
    <n v="1480636800"/>
    <s v="Not Specified"/>
    <s v="Not Specified"/>
    <s v="Not Specified"/>
    <n v="43"/>
    <x v="0"/>
    <x v="2"/>
  </r>
  <r>
    <x v="0"/>
    <x v="0"/>
    <x v="239"/>
    <x v="3"/>
    <x v="11"/>
    <x v="301"/>
    <x v="26"/>
    <x v="57"/>
    <x v="28"/>
    <x v="83"/>
    <x v="315"/>
    <s v="Five Stars"/>
    <n v="1480550400"/>
    <s v="Not Specified"/>
    <s v="Not Specified"/>
    <s v="Not Specified"/>
    <n v="93"/>
    <x v="0"/>
    <x v="2"/>
  </r>
  <r>
    <x v="0"/>
    <x v="0"/>
    <x v="240"/>
    <x v="3"/>
    <x v="7"/>
    <x v="302"/>
    <x v="26"/>
    <x v="57"/>
    <x v="17"/>
    <x v="233"/>
    <x v="316"/>
    <s v="Five Stars"/>
    <n v="1480291200"/>
    <s v="Not Specified"/>
    <s v="Not Specified"/>
    <s v="Not Specified"/>
    <n v="90"/>
    <x v="0"/>
    <x v="2"/>
  </r>
  <r>
    <x v="0"/>
    <x v="0"/>
    <x v="241"/>
    <x v="3"/>
    <x v="7"/>
    <x v="303"/>
    <x v="26"/>
    <x v="63"/>
    <x v="41"/>
    <x v="254"/>
    <x v="317"/>
    <s v="Love them"/>
    <n v="1480204800"/>
    <s v="Not Specified"/>
    <s v="Not Specified"/>
    <s v="Not Specified"/>
    <n v="338"/>
    <x v="0"/>
    <x v="2"/>
  </r>
  <r>
    <x v="0"/>
    <x v="0"/>
    <x v="242"/>
    <x v="3"/>
    <x v="7"/>
    <x v="304"/>
    <x v="26"/>
    <x v="60"/>
    <x v="17"/>
    <x v="255"/>
    <x v="318"/>
    <s v="Super light weight versatile"/>
    <n v="1479859200"/>
    <s v="Not Specified"/>
    <s v="Not Specified"/>
    <s v="Not Specified"/>
    <n v="76"/>
    <x v="0"/>
    <x v="2"/>
  </r>
  <r>
    <x v="4"/>
    <x v="1"/>
    <x v="243"/>
    <x v="3"/>
    <x v="7"/>
    <x v="305"/>
    <x v="26"/>
    <x v="26"/>
    <x v="37"/>
    <x v="256"/>
    <x v="319"/>
    <s v="very comfortable but limited use"/>
    <n v="1479686400"/>
    <s v="Not Specified"/>
    <s v="Not Specified"/>
    <s v="Not Specified"/>
    <n v="767"/>
    <x v="0"/>
    <x v="2"/>
  </r>
  <r>
    <x v="4"/>
    <x v="0"/>
    <x v="244"/>
    <x v="3"/>
    <x v="7"/>
    <x v="306"/>
    <x v="26"/>
    <x v="57"/>
    <x v="28"/>
    <x v="257"/>
    <x v="320"/>
    <s v="Four Stars"/>
    <n v="1479254400"/>
    <s v="Not Specified"/>
    <s v="Not Specified"/>
    <s v="Not Specified"/>
    <n v="49"/>
    <x v="0"/>
    <x v="2"/>
  </r>
  <r>
    <x v="0"/>
    <x v="0"/>
    <x v="244"/>
    <x v="3"/>
    <x v="7"/>
    <x v="307"/>
    <x v="26"/>
    <x v="57"/>
    <x v="17"/>
    <x v="5"/>
    <x v="321"/>
    <s v="Five Stars"/>
    <n v="1479254400"/>
    <s v="Not Specified"/>
    <s v="Not Specified"/>
    <s v="Not Specified"/>
    <n v="9"/>
    <x v="0"/>
    <x v="2"/>
  </r>
  <r>
    <x v="1"/>
    <x v="0"/>
    <x v="245"/>
    <x v="3"/>
    <x v="7"/>
    <x v="308"/>
    <x v="26"/>
    <x v="60"/>
    <x v="34"/>
    <x v="258"/>
    <x v="322"/>
    <s v="Not for aerobic exercise"/>
    <n v="1479081600"/>
    <s v="Not Specified"/>
    <s v="Not Specified"/>
    <s v="Not Specified"/>
    <n v="92"/>
    <x v="1"/>
    <x v="2"/>
  </r>
  <r>
    <x v="0"/>
    <x v="0"/>
    <x v="246"/>
    <x v="3"/>
    <x v="7"/>
    <x v="309"/>
    <x v="26"/>
    <x v="55"/>
    <x v="24"/>
    <x v="259"/>
    <x v="323"/>
    <s v="Favorite Nikes ever"/>
    <n v="1478822400"/>
    <s v="Not Specified"/>
    <s v="Not Specified"/>
    <s v="Not Specified"/>
    <n v="133"/>
    <x v="0"/>
    <x v="2"/>
  </r>
  <r>
    <x v="4"/>
    <x v="0"/>
    <x v="246"/>
    <x v="3"/>
    <x v="7"/>
    <x v="310"/>
    <x v="26"/>
    <x v="65"/>
    <x v="28"/>
    <x v="260"/>
    <x v="324"/>
    <s v="Four Stars"/>
    <n v="1478822400"/>
    <s v="Not Specified"/>
    <s v="Not Specified"/>
    <s v="Not Specified"/>
    <n v="25"/>
    <x v="0"/>
    <x v="2"/>
  </r>
  <r>
    <x v="0"/>
    <x v="0"/>
    <x v="247"/>
    <x v="3"/>
    <x v="7"/>
    <x v="311"/>
    <x v="26"/>
    <x v="59"/>
    <x v="17"/>
    <x v="5"/>
    <x v="325"/>
    <s v="... of shoes for cross training and these were the best!"/>
    <n v="1478649600"/>
    <s v="Not Specified"/>
    <s v="Not Specified"/>
    <s v="Not Specified"/>
    <n v="64"/>
    <x v="0"/>
    <x v="2"/>
  </r>
  <r>
    <x v="4"/>
    <x v="0"/>
    <x v="248"/>
    <x v="3"/>
    <x v="7"/>
    <x v="312"/>
    <x v="26"/>
    <x v="66"/>
    <x v="40"/>
    <x v="261"/>
    <x v="326"/>
    <s v="Overall, a grwat shoe."/>
    <n v="1478563200"/>
    <s v="Not Specified"/>
    <s v="Not Specified"/>
    <s v="Not Specified"/>
    <n v="83"/>
    <x v="0"/>
    <x v="2"/>
  </r>
  <r>
    <x v="0"/>
    <x v="0"/>
    <x v="249"/>
    <x v="3"/>
    <x v="7"/>
    <x v="313"/>
    <x v="26"/>
    <x v="63"/>
    <x v="17"/>
    <x v="262"/>
    <x v="327"/>
    <s v="These are as far as comfort goes the most comfortable pair of sneakers I have I suffer from sciatica ..."/>
    <n v="1478476800"/>
    <s v="Not Specified"/>
    <s v="Not Specified"/>
    <n v="3"/>
    <n v="235"/>
    <x v="0"/>
    <x v="2"/>
  </r>
  <r>
    <x v="1"/>
    <x v="0"/>
    <x v="250"/>
    <x v="3"/>
    <x v="7"/>
    <x v="314"/>
    <x v="26"/>
    <x v="57"/>
    <x v="40"/>
    <x v="263"/>
    <x v="328"/>
    <s v="They feel good but I will not recommended if you need Wide ..."/>
    <n v="1478390400"/>
    <s v="Not Specified"/>
    <s v="Not Specified"/>
    <s v="Not Specified"/>
    <n v="115"/>
    <x v="1"/>
    <x v="2"/>
  </r>
  <r>
    <x v="1"/>
    <x v="0"/>
    <x v="251"/>
    <x v="3"/>
    <x v="3"/>
    <x v="315"/>
    <x v="26"/>
    <x v="63"/>
    <x v="28"/>
    <x v="264"/>
    <x v="329"/>
    <s v="Get a half-size or more larger than usual."/>
    <n v="1477785600"/>
    <s v="Not Specified"/>
    <s v="Not Specified"/>
    <s v="Not Specified"/>
    <n v="228"/>
    <x v="1"/>
    <x v="2"/>
  </r>
  <r>
    <x v="0"/>
    <x v="0"/>
    <x v="252"/>
    <x v="3"/>
    <x v="3"/>
    <x v="316"/>
    <x v="26"/>
    <x v="54"/>
    <x v="23"/>
    <x v="265"/>
    <x v="330"/>
    <s v="Love them! Very comfortable and great for weight training"/>
    <n v="1477699200"/>
    <s v="Not Specified"/>
    <s v="Not Specified"/>
    <s v="Not Specified"/>
    <n v="59"/>
    <x v="0"/>
    <x v="2"/>
  </r>
  <r>
    <x v="1"/>
    <x v="0"/>
    <x v="253"/>
    <x v="3"/>
    <x v="3"/>
    <x v="317"/>
    <x v="26"/>
    <x v="57"/>
    <x v="17"/>
    <x v="266"/>
    <x v="331"/>
    <s v="Not as expected"/>
    <n v="1477440000"/>
    <s v="Not Specified"/>
    <s v="Not Specified"/>
    <s v="Not Specified"/>
    <n v="333"/>
    <x v="1"/>
    <x v="2"/>
  </r>
  <r>
    <x v="0"/>
    <x v="0"/>
    <x v="254"/>
    <x v="3"/>
    <x v="3"/>
    <x v="318"/>
    <x v="26"/>
    <x v="62"/>
    <x v="12"/>
    <x v="267"/>
    <x v="332"/>
    <s v="Five Stars"/>
    <n v="1477353600"/>
    <s v="Not Specified"/>
    <s v="Not Specified"/>
    <s v="Not Specified"/>
    <n v="33"/>
    <x v="0"/>
    <x v="2"/>
  </r>
  <r>
    <x v="0"/>
    <x v="1"/>
    <x v="255"/>
    <x v="3"/>
    <x v="3"/>
    <x v="319"/>
    <x v="26"/>
    <x v="59"/>
    <x v="30"/>
    <x v="5"/>
    <x v="333"/>
    <s v="Really Comfortable Shoes"/>
    <n v="1477267200"/>
    <s v="Not Specified"/>
    <s v="Not Specified"/>
    <s v="Not Specified"/>
    <n v="86"/>
    <x v="0"/>
    <x v="2"/>
  </r>
  <r>
    <x v="0"/>
    <x v="0"/>
    <x v="255"/>
    <x v="3"/>
    <x v="3"/>
    <x v="320"/>
    <x v="26"/>
    <x v="59"/>
    <x v="32"/>
    <x v="268"/>
    <x v="334"/>
    <s v="Five Stars"/>
    <n v="1477267200"/>
    <s v="Not Specified"/>
    <s v="Not Specified"/>
    <s v="Not Specified"/>
    <n v="24"/>
    <x v="0"/>
    <x v="2"/>
  </r>
  <r>
    <x v="0"/>
    <x v="0"/>
    <x v="256"/>
    <x v="3"/>
    <x v="3"/>
    <x v="321"/>
    <x v="26"/>
    <x v="26"/>
    <x v="17"/>
    <x v="5"/>
    <x v="335"/>
    <s v="Worth it."/>
    <n v="1476835200"/>
    <s v="Not Specified"/>
    <s v="Not Specified"/>
    <s v="Not Specified"/>
    <n v="35"/>
    <x v="0"/>
    <x v="2"/>
  </r>
  <r>
    <x v="0"/>
    <x v="0"/>
    <x v="4"/>
    <x v="3"/>
    <x v="3"/>
    <x v="322"/>
    <x v="26"/>
    <x v="65"/>
    <x v="28"/>
    <x v="269"/>
    <x v="336"/>
    <s v="Great sneakers!"/>
    <n v="1476662400"/>
    <s v="Not Specified"/>
    <s v="Not Specified"/>
    <n v="5"/>
    <n v="106"/>
    <x v="0"/>
    <x v="2"/>
  </r>
  <r>
    <x v="0"/>
    <x v="0"/>
    <x v="257"/>
    <x v="3"/>
    <x v="3"/>
    <x v="323"/>
    <x v="26"/>
    <x v="65"/>
    <x v="17"/>
    <x v="270"/>
    <x v="337"/>
    <s v="Lightweight yet supportive"/>
    <n v="1476489600"/>
    <s v="Not Specified"/>
    <s v="Not Specified"/>
    <s v="Not Specified"/>
    <n v="57"/>
    <x v="0"/>
    <x v="2"/>
  </r>
  <r>
    <x v="4"/>
    <x v="0"/>
    <x v="258"/>
    <x v="3"/>
    <x v="3"/>
    <x v="324"/>
    <x v="26"/>
    <x v="60"/>
    <x v="40"/>
    <x v="271"/>
    <x v="338"/>
    <s v="but like them so far"/>
    <n v="1476144000"/>
    <s v="Not Specified"/>
    <s v="Not Specified"/>
    <s v="Not Specified"/>
    <n v="181"/>
    <x v="0"/>
    <x v="2"/>
  </r>
  <r>
    <x v="1"/>
    <x v="0"/>
    <x v="259"/>
    <x v="3"/>
    <x v="3"/>
    <x v="325"/>
    <x v="26"/>
    <x v="30"/>
    <x v="20"/>
    <x v="272"/>
    <x v="339"/>
    <s v="Great red color"/>
    <n v="1475971200"/>
    <s v="Not Specified"/>
    <s v="Not Specified"/>
    <s v="Not Specified"/>
    <n v="68"/>
    <x v="1"/>
    <x v="2"/>
  </r>
  <r>
    <x v="4"/>
    <x v="0"/>
    <x v="260"/>
    <x v="3"/>
    <x v="3"/>
    <x v="326"/>
    <x v="26"/>
    <x v="59"/>
    <x v="17"/>
    <x v="273"/>
    <x v="340"/>
    <s v="they'll work great!: )"/>
    <n v="1475625600"/>
    <s v="Not Specified"/>
    <s v="Not Specified"/>
    <s v="Not Specified"/>
    <n v="100"/>
    <x v="0"/>
    <x v="2"/>
  </r>
  <r>
    <x v="1"/>
    <x v="0"/>
    <x v="261"/>
    <x v="3"/>
    <x v="3"/>
    <x v="327"/>
    <x v="26"/>
    <x v="16"/>
    <x v="20"/>
    <x v="274"/>
    <x v="341"/>
    <s v="Shoes looked great but too narrow for most feet"/>
    <n v="1475280000"/>
    <s v="Not Specified"/>
    <s v="Not Specified"/>
    <s v="Not Specified"/>
    <n v="59"/>
    <x v="1"/>
    <x v="2"/>
  </r>
  <r>
    <x v="0"/>
    <x v="0"/>
    <x v="262"/>
    <x v="3"/>
    <x v="0"/>
    <x v="328"/>
    <x v="26"/>
    <x v="63"/>
    <x v="18"/>
    <x v="275"/>
    <x v="342"/>
    <s v="I love these shoes"/>
    <n v="1474848000"/>
    <s v="Not Specified"/>
    <s v="Not Specified"/>
    <s v="Not Specified"/>
    <n v="107"/>
    <x v="0"/>
    <x v="2"/>
  </r>
  <r>
    <x v="0"/>
    <x v="0"/>
    <x v="263"/>
    <x v="3"/>
    <x v="0"/>
    <x v="329"/>
    <x v="26"/>
    <x v="59"/>
    <x v="34"/>
    <x v="276"/>
    <x v="343"/>
    <s v="Five Stars"/>
    <n v="1474588800"/>
    <s v="Not Specified"/>
    <s v="Not Specified"/>
    <s v="Not Specified"/>
    <n v="12"/>
    <x v="0"/>
    <x v="2"/>
  </r>
  <r>
    <x v="0"/>
    <x v="0"/>
    <x v="264"/>
    <x v="3"/>
    <x v="0"/>
    <x v="330"/>
    <x v="26"/>
    <x v="42"/>
    <x v="25"/>
    <x v="5"/>
    <x v="344"/>
    <s v="Very comfortable shoes. I have wide feet with falling arches"/>
    <n v="1474156800"/>
    <s v="Not Specified"/>
    <s v="Not Specified"/>
    <n v="3"/>
    <n v="140"/>
    <x v="0"/>
    <x v="2"/>
  </r>
  <r>
    <x v="3"/>
    <x v="0"/>
    <x v="265"/>
    <x v="3"/>
    <x v="0"/>
    <x v="331"/>
    <x v="26"/>
    <x v="57"/>
    <x v="23"/>
    <x v="277"/>
    <x v="345"/>
    <s v="Did not fit my feet"/>
    <n v="1473638400"/>
    <s v="Not Specified"/>
    <s v="Not Specified"/>
    <s v="Not Specified"/>
    <n v="148"/>
    <x v="2"/>
    <x v="2"/>
  </r>
  <r>
    <x v="3"/>
    <x v="0"/>
    <x v="266"/>
    <x v="3"/>
    <x v="0"/>
    <x v="332"/>
    <x v="26"/>
    <x v="22"/>
    <x v="17"/>
    <x v="278"/>
    <x v="346"/>
    <s v="Poor Quality. Don't buy."/>
    <n v="1473552000"/>
    <s v="Not Specified"/>
    <s v="Not Specified"/>
    <n v="14"/>
    <n v="258"/>
    <x v="2"/>
    <x v="2"/>
  </r>
  <r>
    <x v="0"/>
    <x v="0"/>
    <x v="267"/>
    <x v="3"/>
    <x v="0"/>
    <x v="333"/>
    <x v="26"/>
    <x v="57"/>
    <x v="17"/>
    <x v="279"/>
    <x v="347"/>
    <s v="Five Stars"/>
    <n v="1473379200"/>
    <s v="Not Specified"/>
    <s v="Not Specified"/>
    <s v="Not Specified"/>
    <n v="49"/>
    <x v="0"/>
    <x v="2"/>
  </r>
  <r>
    <x v="4"/>
    <x v="0"/>
    <x v="268"/>
    <x v="3"/>
    <x v="0"/>
    <x v="334"/>
    <x v="26"/>
    <x v="17"/>
    <x v="17"/>
    <x v="280"/>
    <x v="348"/>
    <s v="Does the job!"/>
    <n v="1473120000"/>
    <s v="Not Specified"/>
    <s v="Not Specified"/>
    <n v="2"/>
    <n v="248"/>
    <x v="0"/>
    <x v="2"/>
  </r>
  <r>
    <x v="4"/>
    <x v="0"/>
    <x v="269"/>
    <x v="3"/>
    <x v="0"/>
    <x v="335"/>
    <x v="26"/>
    <x v="55"/>
    <x v="32"/>
    <x v="5"/>
    <x v="349"/>
    <s v="I liked these shoes a lot"/>
    <n v="1472774400"/>
    <s v="Not Specified"/>
    <s v="Not Specified"/>
    <s v="Not Specified"/>
    <n v="177"/>
    <x v="0"/>
    <x v="2"/>
  </r>
  <r>
    <x v="0"/>
    <x v="0"/>
    <x v="270"/>
    <x v="3"/>
    <x v="4"/>
    <x v="336"/>
    <x v="26"/>
    <x v="65"/>
    <x v="17"/>
    <x v="5"/>
    <x v="350"/>
    <s v="Five Stars"/>
    <n v="1472428800"/>
    <s v="Not Specified"/>
    <s v="Not Specified"/>
    <s v="Not Specified"/>
    <n v="13"/>
    <x v="0"/>
    <x v="2"/>
  </r>
  <r>
    <x v="0"/>
    <x v="0"/>
    <x v="271"/>
    <x v="3"/>
    <x v="4"/>
    <x v="337"/>
    <x v="26"/>
    <x v="57"/>
    <x v="30"/>
    <x v="5"/>
    <x v="351"/>
    <s v="Five Stars"/>
    <n v="1472256000"/>
    <s v="Not Specified"/>
    <s v="Not Specified"/>
    <s v="Not Specified"/>
    <n v="62"/>
    <x v="0"/>
    <x v="2"/>
  </r>
  <r>
    <x v="0"/>
    <x v="0"/>
    <x v="271"/>
    <x v="3"/>
    <x v="4"/>
    <x v="338"/>
    <x v="26"/>
    <x v="63"/>
    <x v="17"/>
    <x v="5"/>
    <x v="352"/>
    <s v="... crossfit and find that these shoes help give me good support with my endurance workouts"/>
    <n v="1472256000"/>
    <s v="Not Specified"/>
    <s v="Not Specified"/>
    <n v="5"/>
    <n v="112"/>
    <x v="0"/>
    <x v="2"/>
  </r>
  <r>
    <x v="1"/>
    <x v="0"/>
    <x v="272"/>
    <x v="3"/>
    <x v="4"/>
    <x v="339"/>
    <x v="26"/>
    <x v="57"/>
    <x v="17"/>
    <x v="5"/>
    <x v="353"/>
    <s v="Unnacceptable. Zero support"/>
    <n v="1472169600"/>
    <s v="Not Specified"/>
    <s v="Not Specified"/>
    <n v="2"/>
    <n v="256"/>
    <x v="1"/>
    <x v="2"/>
  </r>
  <r>
    <x v="0"/>
    <x v="0"/>
    <x v="273"/>
    <x v="3"/>
    <x v="4"/>
    <x v="340"/>
    <x v="26"/>
    <x v="57"/>
    <x v="32"/>
    <x v="281"/>
    <x v="354"/>
    <s v="Great for walking!"/>
    <n v="1471910400"/>
    <s v="Not Specified"/>
    <s v="Not Specified"/>
    <s v="Not Specified"/>
    <n v="93"/>
    <x v="0"/>
    <x v="2"/>
  </r>
  <r>
    <x v="0"/>
    <x v="0"/>
    <x v="274"/>
    <x v="3"/>
    <x v="4"/>
    <x v="341"/>
    <x v="26"/>
    <x v="65"/>
    <x v="17"/>
    <x v="282"/>
    <x v="355"/>
    <s v="Simply Supreme."/>
    <n v="1471651200"/>
    <s v="Not Specified"/>
    <s v="Not Specified"/>
    <s v="Not Specified"/>
    <n v="1225"/>
    <x v="0"/>
    <x v="2"/>
  </r>
  <r>
    <x v="0"/>
    <x v="0"/>
    <x v="275"/>
    <x v="3"/>
    <x v="4"/>
    <x v="342"/>
    <x v="26"/>
    <x v="26"/>
    <x v="17"/>
    <x v="283"/>
    <x v="356"/>
    <s v="Soooo comfortable....."/>
    <n v="1471219200"/>
    <s v="Not Specified"/>
    <s v="Not Specified"/>
    <s v="Not Specified"/>
    <n v="246"/>
    <x v="0"/>
    <x v="2"/>
  </r>
  <r>
    <x v="0"/>
    <x v="0"/>
    <x v="275"/>
    <x v="3"/>
    <x v="4"/>
    <x v="343"/>
    <x v="26"/>
    <x v="62"/>
    <x v="12"/>
    <x v="284"/>
    <x v="357"/>
    <s v="Five Stars"/>
    <n v="1471219200"/>
    <s v="Not Specified"/>
    <s v="Not Specified"/>
    <s v="Not Specified"/>
    <n v="40"/>
    <x v="0"/>
    <x v="2"/>
  </r>
  <r>
    <x v="0"/>
    <x v="0"/>
    <x v="276"/>
    <x v="3"/>
    <x v="4"/>
    <x v="344"/>
    <x v="26"/>
    <x v="55"/>
    <x v="41"/>
    <x v="285"/>
    <x v="358"/>
    <s v="BEST SHOES EVER!"/>
    <n v="1471132800"/>
    <s v="Not Specified"/>
    <s v="Not Specified"/>
    <s v="Not Specified"/>
    <n v="224"/>
    <x v="0"/>
    <x v="2"/>
  </r>
  <r>
    <x v="0"/>
    <x v="0"/>
    <x v="277"/>
    <x v="3"/>
    <x v="4"/>
    <x v="345"/>
    <x v="26"/>
    <x v="22"/>
    <x v="17"/>
    <x v="286"/>
    <x v="359"/>
    <s v="... me the motivation to workout because they feel so good and are great for any training"/>
    <n v="1470614400"/>
    <s v="Not Specified"/>
    <s v="Not Specified"/>
    <s v="Not Specified"/>
    <n v="105"/>
    <x v="0"/>
    <x v="2"/>
  </r>
  <r>
    <x v="1"/>
    <x v="0"/>
    <x v="278"/>
    <x v="3"/>
    <x v="4"/>
    <x v="346"/>
    <x v="26"/>
    <x v="65"/>
    <x v="17"/>
    <x v="287"/>
    <x v="360"/>
    <s v="Hurt my knees and back running"/>
    <n v="1470355200"/>
    <s v="Not Specified"/>
    <s v="Not Specified"/>
    <n v="2"/>
    <n v="772"/>
    <x v="1"/>
    <x v="2"/>
  </r>
  <r>
    <x v="0"/>
    <x v="0"/>
    <x v="279"/>
    <x v="3"/>
    <x v="9"/>
    <x v="347"/>
    <x v="26"/>
    <x v="61"/>
    <x v="17"/>
    <x v="288"/>
    <x v="361"/>
    <s v="Very comfortable shoes. Love"/>
    <n v="1469577600"/>
    <s v="Not Specified"/>
    <s v="Not Specified"/>
    <s v="Not Specified"/>
    <n v="37"/>
    <x v="0"/>
    <x v="2"/>
  </r>
  <r>
    <x v="0"/>
    <x v="1"/>
    <x v="280"/>
    <x v="3"/>
    <x v="9"/>
    <x v="348"/>
    <x v="26"/>
    <x v="65"/>
    <x v="26"/>
    <x v="289"/>
    <x v="362"/>
    <s v="Great shoes"/>
    <n v="1469145600"/>
    <s v="Not Specified"/>
    <s v="Not Specified"/>
    <s v="Not Specified"/>
    <n v="427"/>
    <x v="0"/>
    <x v="2"/>
  </r>
  <r>
    <x v="1"/>
    <x v="0"/>
    <x v="281"/>
    <x v="3"/>
    <x v="9"/>
    <x v="349"/>
    <x v="26"/>
    <x v="63"/>
    <x v="17"/>
    <x v="290"/>
    <x v="363"/>
    <s v="large shoe"/>
    <n v="1469059200"/>
    <s v="Not Specified"/>
    <s v="Not Specified"/>
    <s v="Not Specified"/>
    <n v="50"/>
    <x v="1"/>
    <x v="2"/>
  </r>
  <r>
    <x v="0"/>
    <x v="0"/>
    <x v="282"/>
    <x v="3"/>
    <x v="9"/>
    <x v="350"/>
    <x v="26"/>
    <x v="65"/>
    <x v="17"/>
    <x v="291"/>
    <x v="364"/>
    <s v="Five Stars"/>
    <n v="1468886400"/>
    <s v="Not Specified"/>
    <s v="Not Specified"/>
    <s v="Not Specified"/>
    <n v="20"/>
    <x v="0"/>
    <x v="2"/>
  </r>
  <r>
    <x v="0"/>
    <x v="0"/>
    <x v="283"/>
    <x v="3"/>
    <x v="9"/>
    <x v="351"/>
    <x v="26"/>
    <x v="57"/>
    <x v="18"/>
    <x v="292"/>
    <x v="365"/>
    <s v="My wife loves these shoes."/>
    <n v="1468800000"/>
    <s v="Not Specified"/>
    <s v="Not Specified"/>
    <s v="Not Specified"/>
    <n v="306"/>
    <x v="0"/>
    <x v="2"/>
  </r>
  <r>
    <x v="0"/>
    <x v="0"/>
    <x v="284"/>
    <x v="3"/>
    <x v="9"/>
    <x v="352"/>
    <x v="26"/>
    <x v="17"/>
    <x v="17"/>
    <x v="293"/>
    <x v="366"/>
    <s v="Love Love Love"/>
    <n v="1468368000"/>
    <s v="Not Specified"/>
    <s v="Not Specified"/>
    <s v="Not Specified"/>
    <n v="188"/>
    <x v="0"/>
    <x v="2"/>
  </r>
  <r>
    <x v="0"/>
    <x v="0"/>
    <x v="285"/>
    <x v="3"/>
    <x v="9"/>
    <x v="353"/>
    <x v="26"/>
    <x v="26"/>
    <x v="17"/>
    <x v="5"/>
    <x v="367"/>
    <s v="PERFECT"/>
    <n v="1467331200"/>
    <s v="Not Specified"/>
    <s v="Not Specified"/>
    <s v="Not Specified"/>
    <n v="62"/>
    <x v="0"/>
    <x v="2"/>
  </r>
  <r>
    <x v="0"/>
    <x v="0"/>
    <x v="285"/>
    <x v="3"/>
    <x v="9"/>
    <x v="354"/>
    <x v="26"/>
    <x v="65"/>
    <x v="32"/>
    <x v="294"/>
    <x v="368"/>
    <s v="Nice shoe"/>
    <n v="1467331200"/>
    <s v="Not Specified"/>
    <s v="Not Specified"/>
    <n v="5"/>
    <n v="378"/>
    <x v="0"/>
    <x v="2"/>
  </r>
  <r>
    <x v="0"/>
    <x v="0"/>
    <x v="286"/>
    <x v="3"/>
    <x v="6"/>
    <x v="355"/>
    <x v="26"/>
    <x v="60"/>
    <x v="17"/>
    <x v="295"/>
    <x v="369"/>
    <s v="I am so happy with this purchase"/>
    <n v="1467072000"/>
    <s v="Not Specified"/>
    <s v="Not Specified"/>
    <n v="7"/>
    <n v="288"/>
    <x v="0"/>
    <x v="2"/>
  </r>
  <r>
    <x v="0"/>
    <x v="0"/>
    <x v="287"/>
    <x v="3"/>
    <x v="6"/>
    <x v="356"/>
    <x v="26"/>
    <x v="16"/>
    <x v="41"/>
    <x v="296"/>
    <x v="370"/>
    <s v="Five Stars"/>
    <n v="1466812800"/>
    <s v="Not Specified"/>
    <s v="Not Specified"/>
    <s v="Not Specified"/>
    <n v="60"/>
    <x v="0"/>
    <x v="2"/>
  </r>
  <r>
    <x v="1"/>
    <x v="0"/>
    <x v="288"/>
    <x v="3"/>
    <x v="6"/>
    <x v="357"/>
    <x v="26"/>
    <x v="63"/>
    <x v="18"/>
    <x v="5"/>
    <x v="371"/>
    <s v="Cute"/>
    <n v="1466467200"/>
    <s v="Not Specified"/>
    <s v="Not Specified"/>
    <n v="3"/>
    <n v="236"/>
    <x v="1"/>
    <x v="2"/>
  </r>
  <r>
    <x v="0"/>
    <x v="0"/>
    <x v="289"/>
    <x v="3"/>
    <x v="6"/>
    <x v="358"/>
    <x v="26"/>
    <x v="57"/>
    <x v="17"/>
    <x v="297"/>
    <x v="372"/>
    <s v="Love"/>
    <n v="1466294400"/>
    <s v="Not Specified"/>
    <s v="Not Specified"/>
    <n v="3"/>
    <n v="308"/>
    <x v="0"/>
    <x v="2"/>
  </r>
  <r>
    <x v="0"/>
    <x v="1"/>
    <x v="290"/>
    <x v="3"/>
    <x v="6"/>
    <x v="359"/>
    <x v="26"/>
    <x v="57"/>
    <x v="20"/>
    <x v="5"/>
    <x v="373"/>
    <s v="Absolutely Perfect Shoe!!"/>
    <n v="1466035200"/>
    <s v="Not Specified"/>
    <s v="Not Specified"/>
    <n v="3"/>
    <n v="370"/>
    <x v="0"/>
    <x v="2"/>
  </r>
  <r>
    <x v="0"/>
    <x v="0"/>
    <x v="291"/>
    <x v="3"/>
    <x v="6"/>
    <x v="360"/>
    <x v="26"/>
    <x v="58"/>
    <x v="17"/>
    <x v="298"/>
    <x v="374"/>
    <s v="Comfortable and lightweight"/>
    <n v="1465516800"/>
    <s v="Not Specified"/>
    <s v="Not Specified"/>
    <n v="11"/>
    <n v="204"/>
    <x v="0"/>
    <x v="2"/>
  </r>
  <r>
    <x v="0"/>
    <x v="0"/>
    <x v="292"/>
    <x v="3"/>
    <x v="6"/>
    <x v="361"/>
    <x v="26"/>
    <x v="59"/>
    <x v="17"/>
    <x v="299"/>
    <x v="321"/>
    <s v="Five Stars"/>
    <n v="1465084800"/>
    <s v="Not Specified"/>
    <s v="Not Specified"/>
    <s v="Not Specified"/>
    <n v="9"/>
    <x v="0"/>
    <x v="2"/>
  </r>
  <r>
    <x v="0"/>
    <x v="0"/>
    <x v="293"/>
    <x v="3"/>
    <x v="6"/>
    <x v="362"/>
    <x v="26"/>
    <x v="59"/>
    <x v="32"/>
    <x v="300"/>
    <x v="375"/>
    <s v="Awesome shoes!"/>
    <n v="1464825600"/>
    <s v="Not Specified"/>
    <s v="Not Specified"/>
    <s v="Not Specified"/>
    <n v="237"/>
    <x v="0"/>
    <x v="2"/>
  </r>
  <r>
    <x v="0"/>
    <x v="0"/>
    <x v="294"/>
    <x v="3"/>
    <x v="1"/>
    <x v="363"/>
    <x v="26"/>
    <x v="54"/>
    <x v="18"/>
    <x v="301"/>
    <x v="376"/>
    <s v="Five Stars"/>
    <n v="1464480000"/>
    <s v="Not Specified"/>
    <s v="Not Specified"/>
    <s v="Not Specified"/>
    <n v="11"/>
    <x v="0"/>
    <x v="2"/>
  </r>
  <r>
    <x v="0"/>
    <x v="0"/>
    <x v="295"/>
    <x v="3"/>
    <x v="1"/>
    <x v="364"/>
    <x v="26"/>
    <x v="39"/>
    <x v="58"/>
    <x v="5"/>
    <x v="228"/>
    <s v="Five Stars"/>
    <n v="1464393600"/>
    <s v="Not Specified"/>
    <s v="Not Specified"/>
    <s v="Not Specified"/>
    <n v="7"/>
    <x v="0"/>
    <x v="2"/>
  </r>
  <r>
    <x v="0"/>
    <x v="1"/>
    <x v="296"/>
    <x v="3"/>
    <x v="1"/>
    <x v="365"/>
    <x v="26"/>
    <x v="2"/>
    <x v="7"/>
    <x v="302"/>
    <x v="377"/>
    <s v="Time to leave the fad of the month for something that works."/>
    <n v="1464048000"/>
    <s v="Not Specified"/>
    <s v="Not Specified"/>
    <n v="8"/>
    <n v="629"/>
    <x v="0"/>
    <x v="2"/>
  </r>
  <r>
    <x v="4"/>
    <x v="0"/>
    <x v="296"/>
    <x v="3"/>
    <x v="1"/>
    <x v="366"/>
    <x v="26"/>
    <x v="57"/>
    <x v="18"/>
    <x v="335"/>
    <x v="378"/>
    <s v="A little annoying because I have to pay attention but they are ..."/>
    <n v="1464048000"/>
    <s v="Not Specified"/>
    <s v="Not Specified"/>
    <s v="Not Specified"/>
    <n v="148"/>
    <x v="0"/>
    <x v="2"/>
  </r>
  <r>
    <x v="0"/>
    <x v="0"/>
    <x v="297"/>
    <x v="3"/>
    <x v="1"/>
    <x v="367"/>
    <x v="26"/>
    <x v="26"/>
    <x v="17"/>
    <x v="304"/>
    <x v="248"/>
    <s v="Five Stars"/>
    <n v="1463702400"/>
    <s v="Not Specified"/>
    <s v="Not Specified"/>
    <s v="Not Specified"/>
    <n v="10"/>
    <x v="0"/>
    <x v="2"/>
  </r>
  <r>
    <x v="0"/>
    <x v="1"/>
    <x v="298"/>
    <x v="3"/>
    <x v="1"/>
    <x v="368"/>
    <x v="26"/>
    <x v="54"/>
    <x v="34"/>
    <x v="305"/>
    <x v="379"/>
    <s v="and the toe area is pretty wide plus plenty long even with socks"/>
    <n v="1463529600"/>
    <s v="Not Specified"/>
    <s v="Not Specified"/>
    <s v="Not Specified"/>
    <n v="247"/>
    <x v="0"/>
    <x v="2"/>
  </r>
  <r>
    <x v="0"/>
    <x v="0"/>
    <x v="299"/>
    <x v="3"/>
    <x v="1"/>
    <x v="369"/>
    <x v="26"/>
    <x v="22"/>
    <x v="20"/>
    <x v="5"/>
    <x v="380"/>
    <s v="Five Stars"/>
    <n v="1463356800"/>
    <s v="Not Specified"/>
    <s v="Not Specified"/>
    <s v="Not Specified"/>
    <n v="76"/>
    <x v="0"/>
    <x v="2"/>
  </r>
  <r>
    <x v="0"/>
    <x v="0"/>
    <x v="300"/>
    <x v="3"/>
    <x v="1"/>
    <x v="370"/>
    <x v="26"/>
    <x v="60"/>
    <x v="32"/>
    <x v="306"/>
    <x v="381"/>
    <s v="Great and comfy for sports"/>
    <n v="1463270400"/>
    <s v="Not Specified"/>
    <s v="Not Specified"/>
    <s v="Not Specified"/>
    <n v="27"/>
    <x v="0"/>
    <x v="2"/>
  </r>
  <r>
    <x v="4"/>
    <x v="0"/>
    <x v="301"/>
    <x v="3"/>
    <x v="1"/>
    <x v="371"/>
    <x v="26"/>
    <x v="63"/>
    <x v="58"/>
    <x v="307"/>
    <x v="382"/>
    <s v="A bit pointier toe than depicted..."/>
    <n v="1462924800"/>
    <s v="Not Specified"/>
    <s v="Not Specified"/>
    <s v="Not Specified"/>
    <n v="468"/>
    <x v="0"/>
    <x v="2"/>
  </r>
  <r>
    <x v="0"/>
    <x v="1"/>
    <x v="302"/>
    <x v="3"/>
    <x v="1"/>
    <x v="372"/>
    <x v="26"/>
    <x v="54"/>
    <x v="18"/>
    <x v="5"/>
    <x v="383"/>
    <s v="Best shoes ever!!!"/>
    <n v="1462838400"/>
    <s v="Not Specified"/>
    <s v="Not Specified"/>
    <s v="Not Specified"/>
    <n v="166"/>
    <x v="0"/>
    <x v="2"/>
  </r>
  <r>
    <x v="0"/>
    <x v="0"/>
    <x v="303"/>
    <x v="3"/>
    <x v="1"/>
    <x v="373"/>
    <x v="26"/>
    <x v="57"/>
    <x v="17"/>
    <x v="308"/>
    <x v="384"/>
    <s v="Five Stars"/>
    <n v="1462752000"/>
    <s v="Not Specified"/>
    <s v="Not Specified"/>
    <s v="Not Specified"/>
    <n v="33"/>
    <x v="0"/>
    <x v="2"/>
  </r>
  <r>
    <x v="0"/>
    <x v="0"/>
    <x v="304"/>
    <x v="3"/>
    <x v="1"/>
    <x v="374"/>
    <x v="26"/>
    <x v="26"/>
    <x v="17"/>
    <x v="309"/>
    <x v="385"/>
    <s v="Fits wonderful"/>
    <n v="1462665600"/>
    <s v="Not Specified"/>
    <s v="Not Specified"/>
    <s v="Not Specified"/>
    <n v="62"/>
    <x v="0"/>
    <x v="2"/>
  </r>
  <r>
    <x v="4"/>
    <x v="0"/>
    <x v="305"/>
    <x v="3"/>
    <x v="1"/>
    <x v="375"/>
    <x v="26"/>
    <x v="41"/>
    <x v="58"/>
    <x v="310"/>
    <x v="386"/>
    <s v="Four Stars"/>
    <n v="1462579200"/>
    <s v="Not Specified"/>
    <s v="Not Specified"/>
    <s v="Not Specified"/>
    <n v="25"/>
    <x v="0"/>
    <x v="2"/>
  </r>
  <r>
    <x v="4"/>
    <x v="0"/>
    <x v="306"/>
    <x v="3"/>
    <x v="1"/>
    <x v="376"/>
    <x v="26"/>
    <x v="57"/>
    <x v="17"/>
    <x v="311"/>
    <x v="387"/>
    <s v="Comfortable and lightweight"/>
    <n v="1462320000"/>
    <s v="Not Specified"/>
    <s v="Not Specified"/>
    <n v="20"/>
    <n v="1368"/>
    <x v="0"/>
    <x v="2"/>
  </r>
  <r>
    <x v="0"/>
    <x v="0"/>
    <x v="306"/>
    <x v="3"/>
    <x v="1"/>
    <x v="377"/>
    <x v="26"/>
    <x v="41"/>
    <x v="58"/>
    <x v="312"/>
    <x v="388"/>
    <s v="nice"/>
    <n v="1462320000"/>
    <s v="Not Specified"/>
    <s v="Not Specified"/>
    <s v="Not Specified"/>
    <n v="57"/>
    <x v="0"/>
    <x v="2"/>
  </r>
  <r>
    <x v="0"/>
    <x v="0"/>
    <x v="307"/>
    <x v="3"/>
    <x v="10"/>
    <x v="378"/>
    <x v="26"/>
    <x v="65"/>
    <x v="17"/>
    <x v="313"/>
    <x v="389"/>
    <s v="Five Stars"/>
    <n v="1461369600"/>
    <s v="Not Specified"/>
    <s v="Not Specified"/>
    <s v="Not Specified"/>
    <n v="50"/>
    <x v="0"/>
    <x v="2"/>
  </r>
  <r>
    <x v="0"/>
    <x v="0"/>
    <x v="308"/>
    <x v="3"/>
    <x v="10"/>
    <x v="379"/>
    <x v="26"/>
    <x v="63"/>
    <x v="17"/>
    <x v="314"/>
    <x v="390"/>
    <s v="Wide Feet so Somewhat Tight"/>
    <n v="1461196800"/>
    <s v="Not Specified"/>
    <s v="Not Specified"/>
    <n v="3"/>
    <n v="371"/>
    <x v="0"/>
    <x v="2"/>
  </r>
  <r>
    <x v="4"/>
    <x v="0"/>
    <x v="309"/>
    <x v="3"/>
    <x v="10"/>
    <x v="380"/>
    <x v="26"/>
    <x v="65"/>
    <x v="17"/>
    <x v="5"/>
    <x v="391"/>
    <s v="Four Stars"/>
    <n v="1461110400"/>
    <s v="Not Specified"/>
    <s v="Not Specified"/>
    <s v="Not Specified"/>
    <n v="19"/>
    <x v="0"/>
    <x v="2"/>
  </r>
  <r>
    <x v="4"/>
    <x v="0"/>
    <x v="42"/>
    <x v="3"/>
    <x v="10"/>
    <x v="30"/>
    <x v="26"/>
    <x v="59"/>
    <x v="17"/>
    <x v="5"/>
    <x v="49"/>
    <s v="Four Stars"/>
    <n v="1461024000"/>
    <s v="Not Specified"/>
    <s v="Not Specified"/>
    <n v="2"/>
    <n v="60"/>
    <x v="0"/>
    <x v="2"/>
  </r>
  <r>
    <x v="0"/>
    <x v="0"/>
    <x v="43"/>
    <x v="3"/>
    <x v="10"/>
    <x v="31"/>
    <x v="26"/>
    <x v="60"/>
    <x v="17"/>
    <x v="28"/>
    <x v="50"/>
    <s v="Five Stars"/>
    <n v="1460937600"/>
    <s v="Not Specified"/>
    <s v="Not Specified"/>
    <s v="Not Specified"/>
    <n v="22"/>
    <x v="0"/>
    <x v="2"/>
  </r>
  <r>
    <x v="1"/>
    <x v="0"/>
    <x v="44"/>
    <x v="3"/>
    <x v="10"/>
    <x v="32"/>
    <x v="26"/>
    <x v="65"/>
    <x v="17"/>
    <x v="29"/>
    <x v="51"/>
    <s v="LOOKS GOOD, FEELS ICKY!"/>
    <n v="1459728000"/>
    <s v="Not Specified"/>
    <s v="Not Specified"/>
    <n v="2"/>
    <n v="272"/>
    <x v="1"/>
    <x v="2"/>
  </r>
  <r>
    <x v="0"/>
    <x v="0"/>
    <x v="45"/>
    <x v="3"/>
    <x v="5"/>
    <x v="33"/>
    <x v="26"/>
    <x v="54"/>
    <x v="18"/>
    <x v="30"/>
    <x v="52"/>
    <s v="Love it!! Definetly recommend it"/>
    <n v="1459382400"/>
    <s v="Not Specified"/>
    <s v="Not Specified"/>
    <s v="Not Specified"/>
    <n v="123"/>
    <x v="0"/>
    <x v="2"/>
  </r>
  <r>
    <x v="0"/>
    <x v="0"/>
    <x v="10"/>
    <x v="1"/>
    <x v="8"/>
    <x v="6"/>
    <x v="27"/>
    <x v="69"/>
    <x v="59"/>
    <x v="5"/>
    <x v="431"/>
    <s v="Five Stars"/>
    <n v="1518048000"/>
    <s v="Not Specified"/>
    <s v="Not Specified"/>
    <s v="Not Specified"/>
    <n v="35"/>
    <x v="0"/>
    <x v="2"/>
  </r>
  <r>
    <x v="0"/>
    <x v="0"/>
    <x v="80"/>
    <x v="1"/>
    <x v="8"/>
    <x v="80"/>
    <x v="28"/>
    <x v="2"/>
    <x v="60"/>
    <x v="71"/>
    <x v="432"/>
    <s v="Five Stars"/>
    <n v="1517443200"/>
    <s v="Not Specified"/>
    <s v="Not Specified"/>
    <s v="Not Specified"/>
    <n v="6"/>
    <x v="0"/>
    <x v="2"/>
  </r>
  <r>
    <x v="4"/>
    <x v="0"/>
    <x v="342"/>
    <x v="2"/>
    <x v="9"/>
    <x v="28"/>
    <x v="29"/>
    <x v="70"/>
    <x v="61"/>
    <x v="26"/>
    <x v="433"/>
    <s v="Read fiber content carefully"/>
    <n v="1500422400"/>
    <s v="Not Specified"/>
    <s v="Not Specified"/>
    <s v="Not Specified"/>
    <n v="165"/>
    <x v="0"/>
    <x v="2"/>
  </r>
  <r>
    <x v="0"/>
    <x v="0"/>
    <x v="321"/>
    <x v="1"/>
    <x v="1"/>
    <x v="393"/>
    <x v="10"/>
    <x v="24"/>
    <x v="21"/>
    <x v="322"/>
    <x v="403"/>
    <s v="LOVE my new sneakers!"/>
    <n v="1526947200"/>
    <s v="Not Specified"/>
    <s v="Not Specified"/>
    <s v="Not Specified"/>
    <n v="372"/>
    <x v="0"/>
    <x v="8"/>
  </r>
  <r>
    <x v="0"/>
    <x v="0"/>
    <x v="319"/>
    <x v="1"/>
    <x v="1"/>
    <x v="394"/>
    <x v="10"/>
    <x v="30"/>
    <x v="17"/>
    <x v="323"/>
    <x v="404"/>
    <s v="Very confortable!"/>
    <n v="1526428800"/>
    <s v="Not Specified"/>
    <s v="Not Specified"/>
    <s v="Not Specified"/>
    <n v="17"/>
    <x v="0"/>
    <x v="8"/>
  </r>
  <r>
    <x v="0"/>
    <x v="0"/>
    <x v="319"/>
    <x v="1"/>
    <x v="1"/>
    <x v="390"/>
    <x v="10"/>
    <x v="31"/>
    <x v="17"/>
    <x v="151"/>
    <x v="13"/>
    <s v="Five Stars"/>
    <n v="1526428800"/>
    <s v="Not Specified"/>
    <s v="Not Specified"/>
    <s v="Not Specified"/>
    <n v="11"/>
    <x v="0"/>
    <x v="8"/>
  </r>
  <r>
    <x v="1"/>
    <x v="0"/>
    <x v="320"/>
    <x v="1"/>
    <x v="1"/>
    <x v="391"/>
    <x v="10"/>
    <x v="21"/>
    <x v="21"/>
    <x v="5"/>
    <x v="401"/>
    <s v="Three Stars"/>
    <n v="1526342400"/>
    <s v="Not Specified"/>
    <s v="Not Specified"/>
    <s v="Not Specified"/>
    <n v="39"/>
    <x v="1"/>
    <x v="8"/>
  </r>
  <r>
    <x v="1"/>
    <x v="0"/>
    <x v="320"/>
    <x v="1"/>
    <x v="1"/>
    <x v="392"/>
    <x v="10"/>
    <x v="17"/>
    <x v="21"/>
    <x v="321"/>
    <x v="402"/>
    <s v="somewhat large fit"/>
    <n v="1526342400"/>
    <s v="Not Specified"/>
    <s v="Not Specified"/>
    <s v="Not Specified"/>
    <n v="173"/>
    <x v="1"/>
    <x v="8"/>
  </r>
  <r>
    <x v="0"/>
    <x v="0"/>
    <x v="317"/>
    <x v="1"/>
    <x v="1"/>
    <x v="388"/>
    <x v="10"/>
    <x v="21"/>
    <x v="36"/>
    <x v="319"/>
    <x v="399"/>
    <s v="Five Stars"/>
    <n v="1525478400"/>
    <s v="Not Specified"/>
    <s v="Not Specified"/>
    <s v="Not Specified"/>
    <n v="71"/>
    <x v="0"/>
    <x v="8"/>
  </r>
  <r>
    <x v="0"/>
    <x v="0"/>
    <x v="318"/>
    <x v="1"/>
    <x v="1"/>
    <x v="389"/>
    <x v="10"/>
    <x v="15"/>
    <x v="34"/>
    <x v="320"/>
    <x v="400"/>
    <s v="Five Stars"/>
    <n v="1525305600"/>
    <s v="Not Specified"/>
    <s v="Not Specified"/>
    <s v="Not Specified"/>
    <n v="90"/>
    <x v="0"/>
    <x v="8"/>
  </r>
  <r>
    <x v="1"/>
    <x v="0"/>
    <x v="310"/>
    <x v="1"/>
    <x v="10"/>
    <x v="381"/>
    <x v="10"/>
    <x v="38"/>
    <x v="29"/>
    <x v="5"/>
    <x v="392"/>
    <s v="Three Stars"/>
    <n v="1525046400"/>
    <s v="Not Specified"/>
    <s v="Not Specified"/>
    <s v="Not Specified"/>
    <n v="14"/>
    <x v="1"/>
    <x v="8"/>
  </r>
  <r>
    <x v="0"/>
    <x v="0"/>
    <x v="311"/>
    <x v="1"/>
    <x v="10"/>
    <x v="382"/>
    <x v="10"/>
    <x v="16"/>
    <x v="31"/>
    <x v="315"/>
    <x v="393"/>
    <s v="Five Stars"/>
    <n v="1524700800"/>
    <s v="Not Specified"/>
    <s v="Not Specified"/>
    <s v="Not Specified"/>
    <n v="43"/>
    <x v="0"/>
    <x v="8"/>
  </r>
  <r>
    <x v="0"/>
    <x v="0"/>
    <x v="312"/>
    <x v="1"/>
    <x v="10"/>
    <x v="383"/>
    <x v="10"/>
    <x v="16"/>
    <x v="17"/>
    <x v="316"/>
    <x v="394"/>
    <s v="Great Shoe"/>
    <n v="1524528000"/>
    <s v="Not Specified"/>
    <s v="Not Specified"/>
    <s v="Not Specified"/>
    <n v="160"/>
    <x v="0"/>
    <x v="8"/>
  </r>
  <r>
    <x v="3"/>
    <x v="0"/>
    <x v="22"/>
    <x v="2"/>
    <x v="8"/>
    <x v="17"/>
    <x v="11"/>
    <x v="2"/>
    <x v="7"/>
    <x v="15"/>
    <x v="28"/>
    <s v="Was terribly disappointed, the pants were way too large in ..."/>
    <n v="1486512000"/>
    <s v="Not Specified"/>
    <s v="Not Specified"/>
    <s v="Not Specified"/>
    <n v="128"/>
    <x v="2"/>
    <x v="2"/>
  </r>
  <r>
    <x v="0"/>
    <x v="0"/>
    <x v="24"/>
    <x v="2"/>
    <x v="2"/>
    <x v="14"/>
    <x v="11"/>
    <x v="2"/>
    <x v="7"/>
    <x v="5"/>
    <x v="30"/>
    <s v="Five Stars"/>
    <n v="1485129600"/>
    <s v="Not Specified"/>
    <s v="Not Specified"/>
    <s v="Not Specified"/>
    <n v="31"/>
    <x v="0"/>
    <x v="2"/>
  </r>
  <r>
    <x v="4"/>
    <x v="0"/>
    <x v="343"/>
    <x v="2"/>
    <x v="11"/>
    <x v="10"/>
    <x v="30"/>
    <x v="71"/>
    <x v="62"/>
    <x v="9"/>
    <x v="434"/>
    <s v="Cold wash or you'll be handing this down"/>
    <n v="1513555200"/>
    <s v="Not Specified"/>
    <s v=" Short Sleeve Crew Neck Shirt"/>
    <s v="Not Specified"/>
    <n v="65"/>
    <x v="0"/>
    <x v="2"/>
  </r>
  <r>
    <x v="0"/>
    <x v="0"/>
    <x v="340"/>
    <x v="1"/>
    <x v="6"/>
    <x v="404"/>
    <x v="12"/>
    <x v="17"/>
    <x v="21"/>
    <x v="330"/>
    <x v="429"/>
    <s v="Love them!"/>
    <n v="1529452800"/>
    <s v="Not Specified"/>
    <s v="Not Specified"/>
    <s v="Not Specified"/>
    <n v="382"/>
    <x v="0"/>
    <x v="2"/>
  </r>
  <r>
    <x v="0"/>
    <x v="0"/>
    <x v="341"/>
    <x v="1"/>
    <x v="6"/>
    <x v="405"/>
    <x v="12"/>
    <x v="17"/>
    <x v="17"/>
    <x v="167"/>
    <x v="430"/>
    <s v="Five Stars"/>
    <n v="1529107200"/>
    <s v="Not Specified"/>
    <s v="Not Specified"/>
    <s v="Not Specified"/>
    <n v="44"/>
    <x v="0"/>
    <x v="2"/>
  </r>
  <r>
    <x v="0"/>
    <x v="0"/>
    <x v="322"/>
    <x v="1"/>
    <x v="6"/>
    <x v="395"/>
    <x v="12"/>
    <x v="15"/>
    <x v="17"/>
    <x v="324"/>
    <x v="405"/>
    <s v="Five Stars"/>
    <n v="1527984000"/>
    <s v="Not Specified"/>
    <s v="Not Specified"/>
    <s v="Not Specified"/>
    <n v="47"/>
    <x v="0"/>
    <x v="2"/>
  </r>
  <r>
    <x v="0"/>
    <x v="0"/>
    <x v="321"/>
    <x v="1"/>
    <x v="1"/>
    <x v="393"/>
    <x v="12"/>
    <x v="24"/>
    <x v="21"/>
    <x v="322"/>
    <x v="403"/>
    <s v="LOVE my new sneakers!"/>
    <n v="1526947200"/>
    <s v="Not Specified"/>
    <s v="Not Specified"/>
    <s v="Not Specified"/>
    <n v="372"/>
    <x v="0"/>
    <x v="2"/>
  </r>
  <r>
    <x v="0"/>
    <x v="0"/>
    <x v="319"/>
    <x v="1"/>
    <x v="1"/>
    <x v="394"/>
    <x v="12"/>
    <x v="30"/>
    <x v="17"/>
    <x v="323"/>
    <x v="404"/>
    <s v="Very confortable!"/>
    <n v="1526428800"/>
    <s v="Not Specified"/>
    <s v="Not Specified"/>
    <s v="Not Specified"/>
    <n v="17"/>
    <x v="0"/>
    <x v="2"/>
  </r>
  <r>
    <x v="0"/>
    <x v="0"/>
    <x v="319"/>
    <x v="1"/>
    <x v="1"/>
    <x v="390"/>
    <x v="12"/>
    <x v="31"/>
    <x v="17"/>
    <x v="151"/>
    <x v="13"/>
    <s v="Five Stars"/>
    <n v="1526428800"/>
    <s v="Not Specified"/>
    <s v="Not Specified"/>
    <s v="Not Specified"/>
    <n v="11"/>
    <x v="0"/>
    <x v="2"/>
  </r>
  <r>
    <x v="1"/>
    <x v="0"/>
    <x v="320"/>
    <x v="1"/>
    <x v="1"/>
    <x v="391"/>
    <x v="12"/>
    <x v="21"/>
    <x v="21"/>
    <x v="5"/>
    <x v="401"/>
    <s v="Three Stars"/>
    <n v="1526342400"/>
    <s v="Not Specified"/>
    <s v="Not Specified"/>
    <s v="Not Specified"/>
    <n v="39"/>
    <x v="1"/>
    <x v="2"/>
  </r>
  <r>
    <x v="1"/>
    <x v="0"/>
    <x v="320"/>
    <x v="1"/>
    <x v="1"/>
    <x v="392"/>
    <x v="12"/>
    <x v="17"/>
    <x v="21"/>
    <x v="321"/>
    <x v="402"/>
    <s v="somewhat large fit"/>
    <n v="1526342400"/>
    <s v="Not Specified"/>
    <s v="Not Specified"/>
    <s v="Not Specified"/>
    <n v="173"/>
    <x v="1"/>
    <x v="2"/>
  </r>
  <r>
    <x v="0"/>
    <x v="0"/>
    <x v="317"/>
    <x v="1"/>
    <x v="1"/>
    <x v="388"/>
    <x v="12"/>
    <x v="21"/>
    <x v="36"/>
    <x v="319"/>
    <x v="399"/>
    <s v="Five Stars"/>
    <n v="1525478400"/>
    <s v="Not Specified"/>
    <s v="Not Specified"/>
    <s v="Not Specified"/>
    <n v="71"/>
    <x v="0"/>
    <x v="2"/>
  </r>
  <r>
    <x v="0"/>
    <x v="0"/>
    <x v="318"/>
    <x v="1"/>
    <x v="1"/>
    <x v="389"/>
    <x v="12"/>
    <x v="15"/>
    <x v="34"/>
    <x v="320"/>
    <x v="400"/>
    <s v="Five Stars"/>
    <n v="1525305600"/>
    <s v="Not Specified"/>
    <s v="Not Specified"/>
    <s v="Not Specified"/>
    <n v="90"/>
    <x v="0"/>
    <x v="2"/>
  </r>
  <r>
    <x v="0"/>
    <x v="0"/>
    <x v="338"/>
    <x v="1"/>
    <x v="6"/>
    <x v="402"/>
    <x v="13"/>
    <x v="33"/>
    <x v="23"/>
    <x v="329"/>
    <x v="427"/>
    <s v="Comfortable"/>
    <n v="1530144000"/>
    <s v="Not Specified"/>
    <s v="Not Specified"/>
    <s v="Not Specified"/>
    <n v="27"/>
    <x v="0"/>
    <x v="2"/>
  </r>
  <r>
    <x v="0"/>
    <x v="0"/>
    <x v="339"/>
    <x v="1"/>
    <x v="6"/>
    <x v="403"/>
    <x v="13"/>
    <x v="15"/>
    <x v="21"/>
    <x v="5"/>
    <x v="428"/>
    <s v="Five Stars"/>
    <n v="1529884800"/>
    <s v="Not Specified"/>
    <s v="Not Specified"/>
    <s v="Not Specified"/>
    <n v="21"/>
    <x v="0"/>
    <x v="2"/>
  </r>
  <r>
    <x v="0"/>
    <x v="0"/>
    <x v="340"/>
    <x v="1"/>
    <x v="6"/>
    <x v="404"/>
    <x v="13"/>
    <x v="17"/>
    <x v="21"/>
    <x v="330"/>
    <x v="429"/>
    <s v="Love them!"/>
    <n v="1529452800"/>
    <s v="Not Specified"/>
    <s v="Not Specified"/>
    <s v="Not Specified"/>
    <n v="382"/>
    <x v="0"/>
    <x v="2"/>
  </r>
  <r>
    <x v="0"/>
    <x v="0"/>
    <x v="341"/>
    <x v="1"/>
    <x v="6"/>
    <x v="405"/>
    <x v="13"/>
    <x v="17"/>
    <x v="17"/>
    <x v="167"/>
    <x v="430"/>
    <s v="Five Stars"/>
    <n v="1529107200"/>
    <s v="Not Specified"/>
    <s v="Not Specified"/>
    <s v="Not Specified"/>
    <n v="44"/>
    <x v="0"/>
    <x v="2"/>
  </r>
  <r>
    <x v="0"/>
    <x v="0"/>
    <x v="322"/>
    <x v="1"/>
    <x v="6"/>
    <x v="395"/>
    <x v="13"/>
    <x v="15"/>
    <x v="17"/>
    <x v="324"/>
    <x v="405"/>
    <s v="Five Stars"/>
    <n v="1527984000"/>
    <s v="Not Specified"/>
    <s v="Not Specified"/>
    <s v="Not Specified"/>
    <n v="47"/>
    <x v="0"/>
    <x v="2"/>
  </r>
  <r>
    <x v="0"/>
    <x v="0"/>
    <x v="321"/>
    <x v="1"/>
    <x v="1"/>
    <x v="393"/>
    <x v="13"/>
    <x v="24"/>
    <x v="21"/>
    <x v="322"/>
    <x v="403"/>
    <s v="LOVE my new sneakers!"/>
    <n v="1526947200"/>
    <s v="Not Specified"/>
    <s v="Not Specified"/>
    <s v="Not Specified"/>
    <n v="372"/>
    <x v="0"/>
    <x v="2"/>
  </r>
  <r>
    <x v="0"/>
    <x v="0"/>
    <x v="319"/>
    <x v="1"/>
    <x v="1"/>
    <x v="394"/>
    <x v="13"/>
    <x v="30"/>
    <x v="17"/>
    <x v="323"/>
    <x v="404"/>
    <s v="Very confortable!"/>
    <n v="1526428800"/>
    <s v="Not Specified"/>
    <s v="Not Specified"/>
    <s v="Not Specified"/>
    <n v="17"/>
    <x v="0"/>
    <x v="2"/>
  </r>
  <r>
    <x v="0"/>
    <x v="0"/>
    <x v="319"/>
    <x v="1"/>
    <x v="1"/>
    <x v="390"/>
    <x v="13"/>
    <x v="31"/>
    <x v="17"/>
    <x v="151"/>
    <x v="13"/>
    <s v="Five Stars"/>
    <n v="1526428800"/>
    <s v="Not Specified"/>
    <s v="Not Specified"/>
    <s v="Not Specified"/>
    <n v="11"/>
    <x v="0"/>
    <x v="2"/>
  </r>
  <r>
    <x v="1"/>
    <x v="0"/>
    <x v="320"/>
    <x v="1"/>
    <x v="1"/>
    <x v="391"/>
    <x v="13"/>
    <x v="21"/>
    <x v="21"/>
    <x v="5"/>
    <x v="401"/>
    <s v="Three Stars"/>
    <n v="1526342400"/>
    <s v="Not Specified"/>
    <s v="Not Specified"/>
    <s v="Not Specified"/>
    <n v="39"/>
    <x v="1"/>
    <x v="2"/>
  </r>
  <r>
    <x v="1"/>
    <x v="0"/>
    <x v="320"/>
    <x v="1"/>
    <x v="1"/>
    <x v="392"/>
    <x v="13"/>
    <x v="17"/>
    <x v="21"/>
    <x v="321"/>
    <x v="402"/>
    <s v="somewhat large fit"/>
    <n v="1526342400"/>
    <s v="Not Specified"/>
    <s v="Not Specified"/>
    <s v="Not Specified"/>
    <n v="173"/>
    <x v="1"/>
    <x v="2"/>
  </r>
  <r>
    <x v="0"/>
    <x v="0"/>
    <x v="335"/>
    <x v="1"/>
    <x v="9"/>
    <x v="399"/>
    <x v="14"/>
    <x v="14"/>
    <x v="23"/>
    <x v="327"/>
    <x v="424"/>
    <s v="Five Stars"/>
    <n v="1530748800"/>
    <s v="Not Specified"/>
    <s v="Not Specified"/>
    <s v="Not Specified"/>
    <n v="41"/>
    <x v="0"/>
    <x v="2"/>
  </r>
  <r>
    <x v="0"/>
    <x v="0"/>
    <x v="336"/>
    <x v="1"/>
    <x v="9"/>
    <x v="400"/>
    <x v="14"/>
    <x v="15"/>
    <x v="17"/>
    <x v="328"/>
    <x v="425"/>
    <s v="I absolutely LOVE these shoes"/>
    <n v="1530662400"/>
    <s v="Not Specified"/>
    <s v="Not Specified"/>
    <s v="Not Specified"/>
    <n v="337"/>
    <x v="0"/>
    <x v="2"/>
  </r>
  <r>
    <x v="0"/>
    <x v="0"/>
    <x v="337"/>
    <x v="1"/>
    <x v="9"/>
    <x v="401"/>
    <x v="14"/>
    <x v="21"/>
    <x v="36"/>
    <x v="5"/>
    <x v="426"/>
    <s v="Five Stars"/>
    <n v="1530489600"/>
    <s v="Not Specified"/>
    <s v="Not Specified"/>
    <s v="Not Specified"/>
    <n v="12"/>
    <x v="0"/>
    <x v="2"/>
  </r>
  <r>
    <x v="0"/>
    <x v="0"/>
    <x v="338"/>
    <x v="1"/>
    <x v="6"/>
    <x v="402"/>
    <x v="14"/>
    <x v="33"/>
    <x v="23"/>
    <x v="329"/>
    <x v="427"/>
    <s v="Comfortable"/>
    <n v="1530144000"/>
    <s v="Not Specified"/>
    <s v="Not Specified"/>
    <s v="Not Specified"/>
    <n v="27"/>
    <x v="0"/>
    <x v="2"/>
  </r>
  <r>
    <x v="0"/>
    <x v="0"/>
    <x v="339"/>
    <x v="1"/>
    <x v="6"/>
    <x v="403"/>
    <x v="14"/>
    <x v="15"/>
    <x v="21"/>
    <x v="5"/>
    <x v="428"/>
    <s v="Five Stars"/>
    <n v="1529884800"/>
    <s v="Not Specified"/>
    <s v="Not Specified"/>
    <s v="Not Specified"/>
    <n v="21"/>
    <x v="0"/>
    <x v="2"/>
  </r>
  <r>
    <x v="0"/>
    <x v="0"/>
    <x v="340"/>
    <x v="1"/>
    <x v="6"/>
    <x v="404"/>
    <x v="14"/>
    <x v="17"/>
    <x v="21"/>
    <x v="330"/>
    <x v="429"/>
    <s v="Love them!"/>
    <n v="1529452800"/>
    <s v="Not Specified"/>
    <s v="Not Specified"/>
    <s v="Not Specified"/>
    <n v="382"/>
    <x v="0"/>
    <x v="2"/>
  </r>
  <r>
    <x v="0"/>
    <x v="0"/>
    <x v="341"/>
    <x v="1"/>
    <x v="6"/>
    <x v="405"/>
    <x v="14"/>
    <x v="17"/>
    <x v="17"/>
    <x v="167"/>
    <x v="430"/>
    <s v="Five Stars"/>
    <n v="1529107200"/>
    <s v="Not Specified"/>
    <s v="Not Specified"/>
    <s v="Not Specified"/>
    <n v="44"/>
    <x v="0"/>
    <x v="2"/>
  </r>
  <r>
    <x v="0"/>
    <x v="0"/>
    <x v="322"/>
    <x v="1"/>
    <x v="6"/>
    <x v="395"/>
    <x v="14"/>
    <x v="15"/>
    <x v="17"/>
    <x v="324"/>
    <x v="405"/>
    <s v="Five Stars"/>
    <n v="1527984000"/>
    <s v="Not Specified"/>
    <s v="Not Specified"/>
    <s v="Not Specified"/>
    <n v="47"/>
    <x v="0"/>
    <x v="2"/>
  </r>
  <r>
    <x v="0"/>
    <x v="0"/>
    <x v="321"/>
    <x v="1"/>
    <x v="1"/>
    <x v="393"/>
    <x v="14"/>
    <x v="24"/>
    <x v="21"/>
    <x v="322"/>
    <x v="403"/>
    <s v="LOVE my new sneakers!"/>
    <n v="1526947200"/>
    <s v="Not Specified"/>
    <s v="Not Specified"/>
    <s v="Not Specified"/>
    <n v="372"/>
    <x v="0"/>
    <x v="2"/>
  </r>
  <r>
    <x v="0"/>
    <x v="0"/>
    <x v="319"/>
    <x v="1"/>
    <x v="1"/>
    <x v="394"/>
    <x v="14"/>
    <x v="30"/>
    <x v="17"/>
    <x v="323"/>
    <x v="404"/>
    <s v="Very confortable!"/>
    <n v="1526428800"/>
    <s v="Not Specified"/>
    <s v="Not Specified"/>
    <s v="Not Specified"/>
    <n v="17"/>
    <x v="0"/>
    <x v="2"/>
  </r>
  <r>
    <x v="0"/>
    <x v="0"/>
    <x v="335"/>
    <x v="1"/>
    <x v="9"/>
    <x v="399"/>
    <x v="15"/>
    <x v="14"/>
    <x v="23"/>
    <x v="327"/>
    <x v="424"/>
    <s v="Five Stars"/>
    <n v="1530748800"/>
    <s v="Not Specified"/>
    <s v="Not Specified"/>
    <s v="Not Specified"/>
    <n v="41"/>
    <x v="0"/>
    <x v="2"/>
  </r>
  <r>
    <x v="0"/>
    <x v="0"/>
    <x v="336"/>
    <x v="1"/>
    <x v="9"/>
    <x v="400"/>
    <x v="15"/>
    <x v="15"/>
    <x v="17"/>
    <x v="328"/>
    <x v="425"/>
    <s v="I absolutely LOVE these shoes"/>
    <n v="1530662400"/>
    <s v="Not Specified"/>
    <s v="Not Specified"/>
    <s v="Not Specified"/>
    <n v="337"/>
    <x v="0"/>
    <x v="2"/>
  </r>
  <r>
    <x v="0"/>
    <x v="0"/>
    <x v="337"/>
    <x v="1"/>
    <x v="9"/>
    <x v="401"/>
    <x v="15"/>
    <x v="21"/>
    <x v="36"/>
    <x v="5"/>
    <x v="426"/>
    <s v="Five Stars"/>
    <n v="1530489600"/>
    <s v="Not Specified"/>
    <s v="Not Specified"/>
    <s v="Not Specified"/>
    <n v="12"/>
    <x v="0"/>
    <x v="2"/>
  </r>
  <r>
    <x v="0"/>
    <x v="0"/>
    <x v="338"/>
    <x v="1"/>
    <x v="6"/>
    <x v="402"/>
    <x v="15"/>
    <x v="33"/>
    <x v="23"/>
    <x v="329"/>
    <x v="427"/>
    <s v="Comfortable"/>
    <n v="1530144000"/>
    <s v="Not Specified"/>
    <s v="Not Specified"/>
    <s v="Not Specified"/>
    <n v="27"/>
    <x v="0"/>
    <x v="2"/>
  </r>
  <r>
    <x v="0"/>
    <x v="0"/>
    <x v="339"/>
    <x v="1"/>
    <x v="6"/>
    <x v="403"/>
    <x v="15"/>
    <x v="15"/>
    <x v="21"/>
    <x v="5"/>
    <x v="428"/>
    <s v="Five Stars"/>
    <n v="1529884800"/>
    <s v="Not Specified"/>
    <s v="Not Specified"/>
    <s v="Not Specified"/>
    <n v="21"/>
    <x v="0"/>
    <x v="2"/>
  </r>
  <r>
    <x v="0"/>
    <x v="0"/>
    <x v="340"/>
    <x v="1"/>
    <x v="6"/>
    <x v="404"/>
    <x v="15"/>
    <x v="17"/>
    <x v="21"/>
    <x v="330"/>
    <x v="429"/>
    <s v="Love them!"/>
    <n v="1529452800"/>
    <s v="Not Specified"/>
    <s v="Not Specified"/>
    <s v="Not Specified"/>
    <n v="382"/>
    <x v="0"/>
    <x v="2"/>
  </r>
  <r>
    <x v="0"/>
    <x v="0"/>
    <x v="341"/>
    <x v="1"/>
    <x v="6"/>
    <x v="405"/>
    <x v="15"/>
    <x v="17"/>
    <x v="17"/>
    <x v="167"/>
    <x v="430"/>
    <s v="Five Stars"/>
    <n v="1529107200"/>
    <s v="Not Specified"/>
    <s v="Not Specified"/>
    <s v="Not Specified"/>
    <n v="44"/>
    <x v="0"/>
    <x v="2"/>
  </r>
  <r>
    <x v="0"/>
    <x v="0"/>
    <x v="322"/>
    <x v="1"/>
    <x v="6"/>
    <x v="395"/>
    <x v="15"/>
    <x v="15"/>
    <x v="17"/>
    <x v="324"/>
    <x v="405"/>
    <s v="Five Stars"/>
    <n v="1527984000"/>
    <s v="Not Specified"/>
    <s v="Not Specified"/>
    <s v="Not Specified"/>
    <n v="47"/>
    <x v="0"/>
    <x v="2"/>
  </r>
  <r>
    <x v="0"/>
    <x v="0"/>
    <x v="335"/>
    <x v="1"/>
    <x v="9"/>
    <x v="399"/>
    <x v="16"/>
    <x v="14"/>
    <x v="23"/>
    <x v="327"/>
    <x v="424"/>
    <s v="Five Stars"/>
    <n v="1530748800"/>
    <s v="Not Specified"/>
    <s v="Not Specified"/>
    <s v="Not Specified"/>
    <n v="41"/>
    <x v="0"/>
    <x v="2"/>
  </r>
  <r>
    <x v="0"/>
    <x v="0"/>
    <x v="336"/>
    <x v="1"/>
    <x v="9"/>
    <x v="400"/>
    <x v="16"/>
    <x v="15"/>
    <x v="17"/>
    <x v="328"/>
    <x v="425"/>
    <s v="I absolutely LOVE these shoes"/>
    <n v="1530662400"/>
    <s v="Not Specified"/>
    <s v="Not Specified"/>
    <s v="Not Specified"/>
    <n v="337"/>
    <x v="0"/>
    <x v="2"/>
  </r>
  <r>
    <x v="0"/>
    <x v="0"/>
    <x v="337"/>
    <x v="1"/>
    <x v="9"/>
    <x v="401"/>
    <x v="16"/>
    <x v="21"/>
    <x v="36"/>
    <x v="5"/>
    <x v="426"/>
    <s v="Five Stars"/>
    <n v="1530489600"/>
    <s v="Not Specified"/>
    <s v="Not Specified"/>
    <s v="Not Specified"/>
    <n v="12"/>
    <x v="0"/>
    <x v="2"/>
  </r>
  <r>
    <x v="0"/>
    <x v="0"/>
    <x v="338"/>
    <x v="1"/>
    <x v="6"/>
    <x v="402"/>
    <x v="16"/>
    <x v="33"/>
    <x v="23"/>
    <x v="329"/>
    <x v="427"/>
    <s v="Comfortable"/>
    <n v="1530144000"/>
    <s v="Not Specified"/>
    <s v="Not Specified"/>
    <s v="Not Specified"/>
    <n v="27"/>
    <x v="0"/>
    <x v="2"/>
  </r>
  <r>
    <x v="0"/>
    <x v="0"/>
    <x v="339"/>
    <x v="1"/>
    <x v="6"/>
    <x v="403"/>
    <x v="16"/>
    <x v="15"/>
    <x v="21"/>
    <x v="5"/>
    <x v="428"/>
    <s v="Five Stars"/>
    <n v="1529884800"/>
    <s v="Not Specified"/>
    <s v="Not Specified"/>
    <s v="Not Specified"/>
    <n v="21"/>
    <x v="0"/>
    <x v="2"/>
  </r>
  <r>
    <x v="0"/>
    <x v="0"/>
    <x v="340"/>
    <x v="1"/>
    <x v="6"/>
    <x v="404"/>
    <x v="16"/>
    <x v="17"/>
    <x v="21"/>
    <x v="330"/>
    <x v="429"/>
    <s v="Love them!"/>
    <n v="1529452800"/>
    <s v="Not Specified"/>
    <s v="Not Specified"/>
    <s v="Not Specified"/>
    <n v="382"/>
    <x v="0"/>
    <x v="2"/>
  </r>
  <r>
    <x v="0"/>
    <x v="0"/>
    <x v="341"/>
    <x v="1"/>
    <x v="6"/>
    <x v="405"/>
    <x v="16"/>
    <x v="17"/>
    <x v="17"/>
    <x v="167"/>
    <x v="430"/>
    <s v="Five Stars"/>
    <n v="1529107200"/>
    <s v="Not Specified"/>
    <s v="Not Specified"/>
    <s v="Not Specified"/>
    <n v="4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14E5CF-1D4C-4E4E-8551-59B9C8C4E3F4}" name="Rating Distribution"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3:B9" firstHeaderRow="1" firstDataRow="1" firstDataCol="1"/>
  <pivotFields count="19">
    <pivotField axis="axisRow" dataField="1" showAll="0">
      <items count="6">
        <item x="3"/>
        <item x="2"/>
        <item x="1"/>
        <item x="4"/>
        <item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i>
    <i>
      <x v="1"/>
    </i>
    <i>
      <x v="2"/>
    </i>
    <i>
      <x v="3"/>
    </i>
    <i>
      <x v="4"/>
    </i>
    <i t="grand">
      <x/>
    </i>
  </rowItems>
  <colItems count="1">
    <i/>
  </colItems>
  <dataFields count="1">
    <dataField name="Sum of overall" fld="0"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05530B-12C1-43C4-8837-FF6DFF40D451}" name="verified or not"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H10:J13" firstHeaderRow="0" firstDataRow="1" firstDataCol="1"/>
  <pivotFields count="19">
    <pivotField dataField="1" showAll="0"/>
    <pivotField axis="axisRow" showAll="0">
      <items count="3">
        <item x="1"/>
        <item x="0"/>
        <item t="default"/>
      </items>
    </pivotField>
    <pivotField numFmtId="14" showAll="0"/>
    <pivotField showAll="0"/>
    <pivotField showAll="0"/>
    <pivotField dataField="1" showAll="0">
      <items count="407">
        <item x="371"/>
        <item x="196"/>
        <item x="113"/>
        <item x="111"/>
        <item x="281"/>
        <item x="336"/>
        <item x="304"/>
        <item x="386"/>
        <item x="28"/>
        <item x="193"/>
        <item x="340"/>
        <item x="213"/>
        <item x="405"/>
        <item x="81"/>
        <item x="264"/>
        <item x="76"/>
        <item x="237"/>
        <item x="105"/>
        <item x="190"/>
        <item x="369"/>
        <item x="210"/>
        <item x="365"/>
        <item x="68"/>
        <item x="88"/>
        <item x="155"/>
        <item x="209"/>
        <item x="325"/>
        <item x="167"/>
        <item x="94"/>
        <item x="280"/>
        <item x="391"/>
        <item x="359"/>
        <item x="154"/>
        <item x="377"/>
        <item x="44"/>
        <item x="103"/>
        <item x="47"/>
        <item x="50"/>
        <item x="387"/>
        <item x="298"/>
        <item x="400"/>
        <item x="97"/>
        <item x="202"/>
        <item x="257"/>
        <item x="127"/>
        <item x="311"/>
        <item x="10"/>
        <item x="269"/>
        <item x="90"/>
        <item x="13"/>
        <item x="173"/>
        <item x="403"/>
        <item x="250"/>
        <item x="268"/>
        <item x="289"/>
        <item x="152"/>
        <item x="212"/>
        <item x="228"/>
        <item x="165"/>
        <item x="96"/>
        <item x="247"/>
        <item x="283"/>
        <item x="308"/>
        <item x="397"/>
        <item x="138"/>
        <item x="158"/>
        <item x="148"/>
        <item x="181"/>
        <item x="367"/>
        <item x="383"/>
        <item x="300"/>
        <item x="199"/>
        <item x="159"/>
        <item x="297"/>
        <item x="398"/>
        <item x="293"/>
        <item x="56"/>
        <item x="207"/>
        <item x="51"/>
        <item x="373"/>
        <item x="204"/>
        <item x="393"/>
        <item x="319"/>
        <item x="48"/>
        <item x="93"/>
        <item x="40"/>
        <item x="89"/>
        <item x="278"/>
        <item x="34"/>
        <item x="361"/>
        <item x="323"/>
        <item x="16"/>
        <item x="150"/>
        <item x="26"/>
        <item x="240"/>
        <item x="401"/>
        <item x="330"/>
        <item x="17"/>
        <item x="174"/>
        <item x="55"/>
        <item x="208"/>
        <item x="100"/>
        <item x="372"/>
        <item x="101"/>
        <item x="8"/>
        <item x="160"/>
        <item x="85"/>
        <item x="125"/>
        <item x="201"/>
        <item x="239"/>
        <item x="115"/>
        <item x="4"/>
        <item x="19"/>
        <item x="350"/>
        <item x="24"/>
        <item x="185"/>
        <item x="170"/>
        <item x="287"/>
        <item x="253"/>
        <item x="241"/>
        <item x="197"/>
        <item x="221"/>
        <item x="224"/>
        <item x="275"/>
        <item x="14"/>
        <item x="392"/>
        <item x="380"/>
        <item x="316"/>
        <item x="258"/>
        <item x="43"/>
        <item x="313"/>
        <item x="368"/>
        <item x="91"/>
        <item x="35"/>
        <item x="110"/>
        <item x="143"/>
        <item x="352"/>
        <item x="321"/>
        <item x="120"/>
        <item x="214"/>
        <item x="402"/>
        <item x="223"/>
        <item x="49"/>
        <item x="54"/>
        <item x="20"/>
        <item x="126"/>
        <item x="262"/>
        <item x="286"/>
        <item x="179"/>
        <item x="231"/>
        <item x="326"/>
        <item x="232"/>
        <item x="370"/>
        <item x="315"/>
        <item x="238"/>
        <item x="95"/>
        <item x="92"/>
        <item x="123"/>
        <item x="338"/>
        <item x="388"/>
        <item x="243"/>
        <item x="12"/>
        <item x="328"/>
        <item x="245"/>
        <item x="9"/>
        <item x="141"/>
        <item x="64"/>
        <item x="366"/>
        <item x="176"/>
        <item x="98"/>
        <item x="104"/>
        <item x="225"/>
        <item x="357"/>
        <item x="62"/>
        <item x="77"/>
        <item x="324"/>
        <item x="145"/>
        <item x="310"/>
        <item x="67"/>
        <item x="341"/>
        <item x="346"/>
        <item x="133"/>
        <item x="259"/>
        <item x="137"/>
        <item x="33"/>
        <item x="78"/>
        <item x="344"/>
        <item x="21"/>
        <item x="73"/>
        <item x="299"/>
        <item x="29"/>
        <item x="131"/>
        <item x="364"/>
        <item x="144"/>
        <item x="147"/>
        <item x="37"/>
        <item x="389"/>
        <item x="339"/>
        <item x="42"/>
        <item x="194"/>
        <item x="71"/>
        <item x="211"/>
        <item x="117"/>
        <item x="404"/>
        <item x="116"/>
        <item x="399"/>
        <item x="27"/>
        <item x="122"/>
        <item x="274"/>
        <item x="356"/>
        <item x="46"/>
        <item x="106"/>
        <item x="22"/>
        <item x="219"/>
        <item x="83"/>
        <item x="59"/>
        <item x="345"/>
        <item x="163"/>
        <item x="248"/>
        <item x="296"/>
        <item x="285"/>
        <item x="156"/>
        <item x="157"/>
        <item x="277"/>
        <item x="66"/>
        <item x="390"/>
        <item x="149"/>
        <item x="331"/>
        <item x="236"/>
        <item x="282"/>
        <item x="177"/>
        <item x="216"/>
        <item x="244"/>
        <item x="25"/>
        <item x="270"/>
        <item x="23"/>
        <item x="318"/>
        <item x="205"/>
        <item x="309"/>
        <item x="74"/>
        <item x="18"/>
        <item x="230"/>
        <item x="251"/>
        <item x="301"/>
        <item x="322"/>
        <item x="7"/>
        <item x="189"/>
        <item x="395"/>
        <item x="2"/>
        <item x="168"/>
        <item x="349"/>
        <item x="192"/>
        <item x="255"/>
        <item x="114"/>
        <item x="178"/>
        <item x="36"/>
        <item x="57"/>
        <item x="279"/>
        <item x="242"/>
        <item x="151"/>
        <item x="355"/>
        <item x="396"/>
        <item x="288"/>
        <item x="109"/>
        <item x="381"/>
        <item x="166"/>
        <item x="69"/>
        <item x="38"/>
        <item x="102"/>
        <item x="384"/>
        <item x="45"/>
        <item x="254"/>
        <item x="294"/>
        <item x="108"/>
        <item x="267"/>
        <item x="354"/>
        <item x="5"/>
        <item x="39"/>
        <item x="342"/>
        <item x="53"/>
        <item x="75"/>
        <item x="273"/>
        <item x="215"/>
        <item x="332"/>
        <item x="229"/>
        <item x="11"/>
        <item x="187"/>
        <item x="70"/>
        <item x="87"/>
        <item x="30"/>
        <item x="183"/>
        <item x="61"/>
        <item x="129"/>
        <item x="80"/>
        <item x="188"/>
        <item x="1"/>
        <item x="184"/>
        <item x="32"/>
        <item x="79"/>
        <item x="142"/>
        <item x="284"/>
        <item x="256"/>
        <item x="65"/>
        <item x="317"/>
        <item x="327"/>
        <item x="164"/>
        <item x="52"/>
        <item x="272"/>
        <item x="265"/>
        <item x="186"/>
        <item x="302"/>
        <item x="153"/>
        <item x="290"/>
        <item x="234"/>
        <item x="206"/>
        <item x="146"/>
        <item x="252"/>
        <item x="136"/>
        <item x="351"/>
        <item x="260"/>
        <item x="15"/>
        <item x="86"/>
        <item x="337"/>
        <item x="303"/>
        <item x="84"/>
        <item x="320"/>
        <item x="198"/>
        <item x="266"/>
        <item x="226"/>
        <item x="180"/>
        <item x="261"/>
        <item x="171"/>
        <item x="292"/>
        <item x="99"/>
        <item x="235"/>
        <item x="118"/>
        <item x="218"/>
        <item x="246"/>
        <item x="376"/>
        <item x="130"/>
        <item x="132"/>
        <item x="6"/>
        <item x="112"/>
        <item x="58"/>
        <item x="63"/>
        <item x="382"/>
        <item x="200"/>
        <item x="334"/>
        <item x="347"/>
        <item x="362"/>
        <item x="360"/>
        <item x="60"/>
        <item x="374"/>
        <item x="203"/>
        <item x="191"/>
        <item x="314"/>
        <item x="119"/>
        <item x="348"/>
        <item x="121"/>
        <item x="217"/>
        <item x="172"/>
        <item x="107"/>
        <item x="0"/>
        <item x="139"/>
        <item x="333"/>
        <item x="162"/>
        <item x="135"/>
        <item x="263"/>
        <item x="379"/>
        <item x="276"/>
        <item x="41"/>
        <item x="140"/>
        <item x="161"/>
        <item x="124"/>
        <item x="128"/>
        <item x="271"/>
        <item x="353"/>
        <item x="394"/>
        <item x="291"/>
        <item x="335"/>
        <item x="378"/>
        <item x="220"/>
        <item x="195"/>
        <item x="82"/>
        <item x="385"/>
        <item x="306"/>
        <item x="175"/>
        <item x="305"/>
        <item x="72"/>
        <item x="343"/>
        <item x="375"/>
        <item x="134"/>
        <item x="3"/>
        <item x="222"/>
        <item x="182"/>
        <item x="312"/>
        <item x="358"/>
        <item x="169"/>
        <item x="307"/>
        <item x="233"/>
        <item x="363"/>
        <item x="329"/>
        <item x="227"/>
        <item x="295"/>
        <item x="31"/>
        <item x="249"/>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s>
  <rowFields count="1">
    <field x="1"/>
  </rowFields>
  <rowItems count="3">
    <i>
      <x/>
    </i>
    <i>
      <x v="1"/>
    </i>
    <i t="grand">
      <x/>
    </i>
  </rowItems>
  <colFields count="1">
    <field x="-2"/>
  </colFields>
  <colItems count="2">
    <i>
      <x/>
    </i>
    <i i="1">
      <x v="1"/>
    </i>
  </colItems>
  <dataFields count="2">
    <dataField name="Average of overall" fld="0" subtotal="average" baseField="1" baseItem="0"/>
    <dataField name="Count of reviewerID" fld="5"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1"/>
          </reference>
          <reference field="1" count="1" selected="0">
            <x v="0"/>
          </reference>
        </references>
      </pivotArea>
    </chartFormat>
    <chartFormat chart="0" format="5">
      <pivotArea type="data" outline="0" fieldPosition="0">
        <references count="2">
          <reference field="4294967294" count="1" selected="0">
            <x v="1"/>
          </reference>
          <reference field="1"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0"/>
          </reference>
        </references>
      </pivotArea>
    </chartFormat>
    <chartFormat chart="6" format="14">
      <pivotArea type="data" outline="0" fieldPosition="0">
        <references count="2">
          <reference field="4294967294" count="1" selected="0">
            <x v="0"/>
          </reference>
          <reference field="1" count="1" selected="0">
            <x v="1"/>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1" count="1" selected="0">
            <x v="0"/>
          </reference>
        </references>
      </pivotArea>
    </chartFormat>
    <chartFormat chart="6" format="17">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9C74BB-8B1D-4AEF-85D2-D328235F32E9}" name="Review Analysis"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7">
  <location ref="H35:J48" firstHeaderRow="0" firstDataRow="1" firstDataCol="1"/>
  <pivotFields count="19">
    <pivotField dataField="1" showAll="0"/>
    <pivotField showAll="0">
      <items count="3">
        <item x="1"/>
        <item x="0"/>
        <item t="default"/>
      </items>
    </pivotField>
    <pivotField numFmtId="14" showAll="0">
      <items count="345">
        <item x="41"/>
        <item x="11"/>
        <item x="40"/>
        <item x="31"/>
        <item x="8"/>
        <item x="326"/>
        <item x="39"/>
        <item x="331"/>
        <item x="29"/>
        <item x="333"/>
        <item x="1"/>
        <item x="38"/>
        <item x="28"/>
        <item x="27"/>
        <item x="7"/>
        <item x="329"/>
        <item x="37"/>
        <item x="30"/>
        <item x="0"/>
        <item x="26"/>
        <item x="34"/>
        <item x="36"/>
        <item x="35"/>
        <item x="328"/>
        <item x="316"/>
        <item x="315"/>
        <item x="25"/>
        <item x="314"/>
        <item x="313"/>
        <item x="49"/>
        <item x="48"/>
        <item x="6"/>
        <item x="47"/>
        <item x="46"/>
        <item x="45"/>
        <item x="44"/>
        <item x="43"/>
        <item x="42"/>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5"/>
        <item x="273"/>
        <item x="272"/>
        <item x="271"/>
        <item x="334"/>
        <item x="270"/>
        <item x="269"/>
        <item x="268"/>
        <item x="267"/>
        <item x="266"/>
        <item x="265"/>
        <item x="264"/>
        <item x="263"/>
        <item x="262"/>
        <item x="261"/>
        <item x="260"/>
        <item x="259"/>
        <item x="258"/>
        <item x="257"/>
        <item x="4"/>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3"/>
        <item x="223"/>
        <item x="222"/>
        <item x="221"/>
        <item x="220"/>
        <item x="219"/>
        <item x="218"/>
        <item x="217"/>
        <item x="216"/>
        <item x="215"/>
        <item x="24"/>
        <item x="214"/>
        <item x="213"/>
        <item x="23"/>
        <item x="212"/>
        <item x="211"/>
        <item x="22"/>
        <item x="210"/>
        <item x="209"/>
        <item x="208"/>
        <item x="207"/>
        <item x="206"/>
        <item x="21"/>
        <item x="205"/>
        <item x="204"/>
        <item x="203"/>
        <item x="202"/>
        <item x="20"/>
        <item x="201"/>
        <item x="200"/>
        <item x="199"/>
        <item x="198"/>
        <item x="197"/>
        <item x="196"/>
        <item x="195"/>
        <item x="194"/>
        <item x="193"/>
        <item x="19"/>
        <item x="192"/>
        <item x="191"/>
        <item x="190"/>
        <item x="189"/>
        <item x="188"/>
        <item x="187"/>
        <item x="18"/>
        <item x="186"/>
        <item x="185"/>
        <item x="184"/>
        <item x="17"/>
        <item x="183"/>
        <item x="182"/>
        <item x="181"/>
        <item x="16"/>
        <item x="180"/>
        <item x="179"/>
        <item x="178"/>
        <item x="177"/>
        <item x="176"/>
        <item x="175"/>
        <item x="174"/>
        <item x="173"/>
        <item x="172"/>
        <item x="171"/>
        <item x="170"/>
        <item x="169"/>
        <item x="168"/>
        <item x="167"/>
        <item x="166"/>
        <item x="165"/>
        <item x="164"/>
        <item x="325"/>
        <item x="163"/>
        <item x="162"/>
        <item x="161"/>
        <item x="160"/>
        <item x="159"/>
        <item x="158"/>
        <item x="157"/>
        <item x="156"/>
        <item x="155"/>
        <item x="154"/>
        <item x="15"/>
        <item x="153"/>
        <item x="152"/>
        <item x="151"/>
        <item x="332"/>
        <item x="150"/>
        <item x="149"/>
        <item x="148"/>
        <item x="147"/>
        <item x="146"/>
        <item x="145"/>
        <item x="144"/>
        <item x="143"/>
        <item x="142"/>
        <item x="342"/>
        <item x="141"/>
        <item x="327"/>
        <item x="14"/>
        <item x="140"/>
        <item x="139"/>
        <item x="138"/>
        <item x="137"/>
        <item x="136"/>
        <item x="135"/>
        <item x="134"/>
        <item x="133"/>
        <item x="132"/>
        <item x="131"/>
        <item x="130"/>
        <item x="129"/>
        <item x="128"/>
        <item x="127"/>
        <item x="126"/>
        <item x="125"/>
        <item x="124"/>
        <item x="123"/>
        <item x="122"/>
        <item x="121"/>
        <item x="120"/>
        <item x="119"/>
        <item x="118"/>
        <item x="117"/>
        <item x="33"/>
        <item x="116"/>
        <item x="115"/>
        <item x="114"/>
        <item x="113"/>
        <item x="112"/>
        <item x="13"/>
        <item x="111"/>
        <item x="110"/>
        <item x="109"/>
        <item x="12"/>
        <item x="108"/>
        <item x="107"/>
        <item x="106"/>
        <item x="105"/>
        <item x="104"/>
        <item x="103"/>
        <item x="102"/>
        <item x="101"/>
        <item x="100"/>
        <item x="99"/>
        <item x="98"/>
        <item x="97"/>
        <item x="96"/>
        <item x="95"/>
        <item x="94"/>
        <item x="93"/>
        <item x="92"/>
        <item x="91"/>
        <item x="90"/>
        <item x="343"/>
        <item x="89"/>
        <item x="88"/>
        <item x="87"/>
        <item x="86"/>
        <item x="85"/>
        <item x="84"/>
        <item x="83"/>
        <item x="82"/>
        <item x="2"/>
        <item x="81"/>
        <item x="80"/>
        <item x="324"/>
        <item x="10"/>
        <item x="323"/>
        <item x="79"/>
        <item x="78"/>
        <item x="32"/>
        <item x="77"/>
        <item x="76"/>
        <item x="75"/>
        <item x="74"/>
        <item x="73"/>
        <item x="72"/>
        <item x="71"/>
        <item x="70"/>
        <item x="9"/>
        <item x="69"/>
        <item x="68"/>
        <item x="67"/>
        <item x="66"/>
        <item x="65"/>
        <item x="64"/>
        <item x="63"/>
        <item x="62"/>
        <item x="61"/>
        <item x="60"/>
        <item x="59"/>
        <item x="58"/>
        <item x="57"/>
        <item x="56"/>
        <item x="55"/>
        <item x="54"/>
        <item x="53"/>
        <item x="52"/>
        <item x="51"/>
        <item x="50"/>
        <item x="312"/>
        <item x="311"/>
        <item x="310"/>
        <item x="318"/>
        <item x="317"/>
        <item x="330"/>
        <item x="320"/>
        <item x="319"/>
        <item x="321"/>
        <item x="322"/>
        <item x="341"/>
        <item x="340"/>
        <item x="339"/>
        <item x="338"/>
        <item x="337"/>
        <item x="336"/>
        <item x="335"/>
        <item t="default"/>
      </items>
    </pivotField>
    <pivotField showAll="0"/>
    <pivotField showAll="0">
      <items count="13">
        <item x="2"/>
        <item x="8"/>
        <item x="5"/>
        <item x="10"/>
        <item x="1"/>
        <item x="6"/>
        <item x="9"/>
        <item x="4"/>
        <item x="0"/>
        <item x="3"/>
        <item x="7"/>
        <item x="11"/>
        <item t="default"/>
      </items>
    </pivotField>
    <pivotField dataField="1" showAll="0">
      <items count="407">
        <item x="371"/>
        <item x="196"/>
        <item x="113"/>
        <item x="111"/>
        <item x="281"/>
        <item x="336"/>
        <item x="304"/>
        <item x="386"/>
        <item x="28"/>
        <item x="193"/>
        <item x="340"/>
        <item x="213"/>
        <item x="405"/>
        <item x="81"/>
        <item x="264"/>
        <item x="76"/>
        <item x="237"/>
        <item x="105"/>
        <item x="190"/>
        <item x="369"/>
        <item x="210"/>
        <item x="365"/>
        <item x="68"/>
        <item x="88"/>
        <item x="155"/>
        <item x="209"/>
        <item x="325"/>
        <item x="167"/>
        <item x="94"/>
        <item x="280"/>
        <item x="391"/>
        <item x="359"/>
        <item x="154"/>
        <item x="377"/>
        <item x="44"/>
        <item x="103"/>
        <item x="47"/>
        <item x="50"/>
        <item x="387"/>
        <item x="298"/>
        <item x="400"/>
        <item x="97"/>
        <item x="202"/>
        <item x="257"/>
        <item x="127"/>
        <item x="311"/>
        <item x="10"/>
        <item x="269"/>
        <item x="90"/>
        <item x="13"/>
        <item x="173"/>
        <item x="403"/>
        <item x="250"/>
        <item x="268"/>
        <item x="289"/>
        <item x="152"/>
        <item x="212"/>
        <item x="228"/>
        <item x="165"/>
        <item x="96"/>
        <item x="247"/>
        <item x="283"/>
        <item x="308"/>
        <item x="397"/>
        <item x="138"/>
        <item x="158"/>
        <item x="148"/>
        <item x="181"/>
        <item x="367"/>
        <item x="383"/>
        <item x="300"/>
        <item x="199"/>
        <item x="159"/>
        <item x="297"/>
        <item x="398"/>
        <item x="293"/>
        <item x="56"/>
        <item x="207"/>
        <item x="51"/>
        <item x="373"/>
        <item x="204"/>
        <item x="393"/>
        <item x="319"/>
        <item x="48"/>
        <item x="93"/>
        <item x="40"/>
        <item x="89"/>
        <item x="278"/>
        <item x="34"/>
        <item x="361"/>
        <item x="323"/>
        <item x="16"/>
        <item x="150"/>
        <item x="26"/>
        <item x="240"/>
        <item x="401"/>
        <item x="330"/>
        <item x="17"/>
        <item x="174"/>
        <item x="55"/>
        <item x="208"/>
        <item x="100"/>
        <item x="372"/>
        <item x="101"/>
        <item x="8"/>
        <item x="160"/>
        <item x="85"/>
        <item x="125"/>
        <item x="201"/>
        <item x="239"/>
        <item x="115"/>
        <item x="4"/>
        <item x="19"/>
        <item x="350"/>
        <item x="24"/>
        <item x="185"/>
        <item x="170"/>
        <item x="287"/>
        <item x="253"/>
        <item x="241"/>
        <item x="197"/>
        <item x="221"/>
        <item x="224"/>
        <item x="275"/>
        <item x="14"/>
        <item x="392"/>
        <item x="380"/>
        <item x="316"/>
        <item x="258"/>
        <item x="43"/>
        <item x="313"/>
        <item x="368"/>
        <item x="91"/>
        <item x="35"/>
        <item x="110"/>
        <item x="143"/>
        <item x="352"/>
        <item x="321"/>
        <item x="120"/>
        <item x="214"/>
        <item x="402"/>
        <item x="223"/>
        <item x="49"/>
        <item x="54"/>
        <item x="20"/>
        <item x="126"/>
        <item x="262"/>
        <item x="286"/>
        <item x="179"/>
        <item x="231"/>
        <item x="326"/>
        <item x="232"/>
        <item x="370"/>
        <item x="315"/>
        <item x="238"/>
        <item x="95"/>
        <item x="92"/>
        <item x="123"/>
        <item x="338"/>
        <item x="388"/>
        <item x="243"/>
        <item x="12"/>
        <item x="328"/>
        <item x="245"/>
        <item x="9"/>
        <item x="141"/>
        <item x="64"/>
        <item x="366"/>
        <item x="176"/>
        <item x="98"/>
        <item x="104"/>
        <item x="225"/>
        <item x="357"/>
        <item x="62"/>
        <item x="77"/>
        <item x="324"/>
        <item x="145"/>
        <item x="310"/>
        <item x="67"/>
        <item x="341"/>
        <item x="346"/>
        <item x="133"/>
        <item x="259"/>
        <item x="137"/>
        <item x="33"/>
        <item x="78"/>
        <item x="344"/>
        <item x="21"/>
        <item x="73"/>
        <item x="299"/>
        <item x="29"/>
        <item x="131"/>
        <item x="364"/>
        <item x="144"/>
        <item x="147"/>
        <item x="37"/>
        <item x="389"/>
        <item x="339"/>
        <item x="42"/>
        <item x="194"/>
        <item x="71"/>
        <item x="211"/>
        <item x="117"/>
        <item x="404"/>
        <item x="116"/>
        <item x="399"/>
        <item x="27"/>
        <item x="122"/>
        <item x="274"/>
        <item x="356"/>
        <item x="46"/>
        <item x="106"/>
        <item x="22"/>
        <item x="219"/>
        <item x="83"/>
        <item x="59"/>
        <item x="345"/>
        <item x="163"/>
        <item x="248"/>
        <item x="296"/>
        <item x="285"/>
        <item x="156"/>
        <item x="157"/>
        <item x="277"/>
        <item x="66"/>
        <item x="390"/>
        <item x="149"/>
        <item x="331"/>
        <item x="236"/>
        <item x="282"/>
        <item x="177"/>
        <item x="216"/>
        <item x="244"/>
        <item x="25"/>
        <item x="270"/>
        <item x="23"/>
        <item x="318"/>
        <item x="205"/>
        <item x="309"/>
        <item x="74"/>
        <item x="18"/>
        <item x="230"/>
        <item x="251"/>
        <item x="301"/>
        <item x="322"/>
        <item x="7"/>
        <item x="189"/>
        <item x="395"/>
        <item x="2"/>
        <item x="168"/>
        <item x="349"/>
        <item x="192"/>
        <item x="255"/>
        <item x="114"/>
        <item x="178"/>
        <item x="36"/>
        <item x="57"/>
        <item x="279"/>
        <item x="242"/>
        <item x="151"/>
        <item x="355"/>
        <item x="396"/>
        <item x="288"/>
        <item x="109"/>
        <item x="381"/>
        <item x="166"/>
        <item x="69"/>
        <item x="38"/>
        <item x="102"/>
        <item x="384"/>
        <item x="45"/>
        <item x="254"/>
        <item x="294"/>
        <item x="108"/>
        <item x="267"/>
        <item x="354"/>
        <item x="5"/>
        <item x="39"/>
        <item x="342"/>
        <item x="53"/>
        <item x="75"/>
        <item x="273"/>
        <item x="215"/>
        <item x="332"/>
        <item x="229"/>
        <item x="11"/>
        <item x="187"/>
        <item x="70"/>
        <item x="87"/>
        <item x="30"/>
        <item x="183"/>
        <item x="61"/>
        <item x="129"/>
        <item x="80"/>
        <item x="188"/>
        <item x="1"/>
        <item x="184"/>
        <item x="32"/>
        <item x="79"/>
        <item x="142"/>
        <item x="284"/>
        <item x="256"/>
        <item x="65"/>
        <item x="317"/>
        <item x="327"/>
        <item x="164"/>
        <item x="52"/>
        <item x="272"/>
        <item x="265"/>
        <item x="186"/>
        <item x="302"/>
        <item x="153"/>
        <item x="290"/>
        <item x="234"/>
        <item x="206"/>
        <item x="146"/>
        <item x="252"/>
        <item x="136"/>
        <item x="351"/>
        <item x="260"/>
        <item x="15"/>
        <item x="86"/>
        <item x="337"/>
        <item x="303"/>
        <item x="84"/>
        <item x="320"/>
        <item x="198"/>
        <item x="266"/>
        <item x="226"/>
        <item x="180"/>
        <item x="261"/>
        <item x="171"/>
        <item x="292"/>
        <item x="99"/>
        <item x="235"/>
        <item x="118"/>
        <item x="218"/>
        <item x="246"/>
        <item x="376"/>
        <item x="130"/>
        <item x="132"/>
        <item x="6"/>
        <item x="112"/>
        <item x="58"/>
        <item x="63"/>
        <item x="382"/>
        <item x="200"/>
        <item x="334"/>
        <item x="347"/>
        <item x="362"/>
        <item x="360"/>
        <item x="60"/>
        <item x="374"/>
        <item x="203"/>
        <item x="191"/>
        <item x="314"/>
        <item x="119"/>
        <item x="348"/>
        <item x="121"/>
        <item x="217"/>
        <item x="172"/>
        <item x="107"/>
        <item x="0"/>
        <item x="139"/>
        <item x="333"/>
        <item x="162"/>
        <item x="135"/>
        <item x="263"/>
        <item x="379"/>
        <item x="276"/>
        <item x="41"/>
        <item x="140"/>
        <item x="161"/>
        <item x="124"/>
        <item x="128"/>
        <item x="271"/>
        <item x="353"/>
        <item x="394"/>
        <item x="291"/>
        <item x="335"/>
        <item x="378"/>
        <item x="220"/>
        <item x="195"/>
        <item x="82"/>
        <item x="385"/>
        <item x="306"/>
        <item x="175"/>
        <item x="305"/>
        <item x="72"/>
        <item x="343"/>
        <item x="375"/>
        <item x="134"/>
        <item x="3"/>
        <item x="222"/>
        <item x="182"/>
        <item x="312"/>
        <item x="358"/>
        <item x="169"/>
        <item x="307"/>
        <item x="233"/>
        <item x="363"/>
        <item x="329"/>
        <item x="227"/>
        <item x="295"/>
        <item x="31"/>
        <item x="249"/>
        <item t="default"/>
      </items>
    </pivotField>
    <pivotField showAll="0"/>
    <pivotField showAll="0">
      <items count="73">
        <item x="9"/>
        <item x="49"/>
        <item x="30"/>
        <item x="37"/>
        <item x="40"/>
        <item x="63"/>
        <item x="47"/>
        <item x="31"/>
        <item x="23"/>
        <item x="58"/>
        <item x="53"/>
        <item x="25"/>
        <item x="39"/>
        <item x="67"/>
        <item x="32"/>
        <item x="38"/>
        <item x="41"/>
        <item x="64"/>
        <item x="19"/>
        <item x="56"/>
        <item x="13"/>
        <item x="10"/>
        <item x="12"/>
        <item x="11"/>
        <item x="33"/>
        <item x="61"/>
        <item x="48"/>
        <item x="24"/>
        <item x="62"/>
        <item x="50"/>
        <item x="26"/>
        <item x="66"/>
        <item x="14"/>
        <item x="36"/>
        <item x="59"/>
        <item x="43"/>
        <item x="22"/>
        <item x="35"/>
        <item x="18"/>
        <item x="55"/>
        <item x="45"/>
        <item x="15"/>
        <item x="27"/>
        <item x="60"/>
        <item x="46"/>
        <item x="21"/>
        <item x="29"/>
        <item x="57"/>
        <item x="42"/>
        <item x="52"/>
        <item x="17"/>
        <item x="28"/>
        <item x="20"/>
        <item x="54"/>
        <item x="44"/>
        <item x="51"/>
        <item x="16"/>
        <item x="34"/>
        <item x="65"/>
        <item x="68"/>
        <item x="0"/>
        <item x="7"/>
        <item x="71"/>
        <item x="1"/>
        <item x="5"/>
        <item x="70"/>
        <item x="8"/>
        <item x="3"/>
        <item x="69"/>
        <item x="4"/>
        <item x="6"/>
        <item x="2"/>
        <item t="default"/>
      </items>
    </pivotField>
    <pivotField showAll="0"/>
    <pivotField axis="axisRow" showAll="0" measureFilter="1">
      <items count="337">
        <item x="186"/>
        <item x="265"/>
        <item x="58"/>
        <item x="44"/>
        <item x="54"/>
        <item x="316"/>
        <item x="78"/>
        <item x="5"/>
        <item x="287"/>
        <item x="150"/>
        <item x="321"/>
        <item x="317"/>
        <item x="213"/>
        <item x="299"/>
        <item x="67"/>
        <item x="30"/>
        <item x="140"/>
        <item x="252"/>
        <item x="328"/>
        <item x="115"/>
        <item x="332"/>
        <item x="201"/>
        <item x="183"/>
        <item x="41"/>
        <item x="137"/>
        <item x="100"/>
        <item x="155"/>
        <item x="88"/>
        <item x="109"/>
        <item x="22"/>
        <item x="259"/>
        <item x="244"/>
        <item x="154"/>
        <item x="322"/>
        <item x="208"/>
        <item x="272"/>
        <item x="147"/>
        <item x="112"/>
        <item x="218"/>
        <item x="205"/>
        <item x="235"/>
        <item x="131"/>
        <item x="92"/>
        <item x="63"/>
        <item x="224"/>
        <item x="309"/>
        <item x="27"/>
        <item x="295"/>
        <item x="310"/>
        <item x="294"/>
        <item x="187"/>
        <item x="326"/>
        <item x="246"/>
        <item x="293"/>
        <item x="123"/>
        <item x="124"/>
        <item x="166"/>
        <item x="28"/>
        <item x="312"/>
        <item x="133"/>
        <item x="105"/>
        <item x="90"/>
        <item x="298"/>
        <item x="165"/>
        <item x="291"/>
        <item x="12"/>
        <item x="3"/>
        <item x="196"/>
        <item x="249"/>
        <item x="190"/>
        <item x="255"/>
        <item x="45"/>
        <item x="102"/>
        <item x="314"/>
        <item x="127"/>
        <item x="51"/>
        <item x="296"/>
        <item x="262"/>
        <item x="159"/>
        <item x="234"/>
        <item x="169"/>
        <item x="21"/>
        <item x="225"/>
        <item x="204"/>
        <item x="180"/>
        <item x="104"/>
        <item x="222"/>
        <item x="253"/>
        <item x="231"/>
        <item x="323"/>
        <item x="301"/>
        <item x="117"/>
        <item x="2"/>
        <item x="34"/>
        <item x="288"/>
        <item x="219"/>
        <item x="98"/>
        <item x="141"/>
        <item x="215"/>
        <item x="221"/>
        <item x="53"/>
        <item x="139"/>
        <item x="264"/>
        <item x="33"/>
        <item x="145"/>
        <item x="132"/>
        <item x="35"/>
        <item x="87"/>
        <item x="8"/>
        <item x="37"/>
        <item x="19"/>
        <item x="134"/>
        <item x="325"/>
        <item x="77"/>
        <item x="319"/>
        <item x="270"/>
        <item x="130"/>
        <item x="223"/>
        <item x="91"/>
        <item x="331"/>
        <item x="173"/>
        <item x="313"/>
        <item x="164"/>
        <item x="320"/>
        <item x="157"/>
        <item x="83"/>
        <item x="14"/>
        <item x="217"/>
        <item x="17"/>
        <item x="216"/>
        <item x="297"/>
        <item x="32"/>
        <item x="292"/>
        <item x="335"/>
        <item x="303"/>
        <item x="329"/>
        <item x="171"/>
        <item x="236"/>
        <item x="189"/>
        <item x="23"/>
        <item x="170"/>
        <item x="122"/>
        <item x="11"/>
        <item x="64"/>
        <item x="192"/>
        <item x="46"/>
        <item x="193"/>
        <item x="6"/>
        <item x="153"/>
        <item x="144"/>
        <item x="251"/>
        <item x="96"/>
        <item x="72"/>
        <item x="274"/>
        <item x="125"/>
        <item x="61"/>
        <item x="73"/>
        <item x="158"/>
        <item x="211"/>
        <item x="40"/>
        <item x="198"/>
        <item x="114"/>
        <item x="168"/>
        <item x="185"/>
        <item x="226"/>
        <item x="151"/>
        <item x="285"/>
        <item x="238"/>
        <item x="85"/>
        <item x="191"/>
        <item x="120"/>
        <item x="284"/>
        <item x="59"/>
        <item x="210"/>
        <item x="172"/>
        <item x="271"/>
        <item x="55"/>
        <item x="111"/>
        <item x="106"/>
        <item x="258"/>
        <item x="233"/>
        <item x="82"/>
        <item x="277"/>
        <item x="57"/>
        <item x="163"/>
        <item x="39"/>
        <item x="177"/>
        <item x="220"/>
        <item x="202"/>
        <item x="16"/>
        <item x="257"/>
        <item x="261"/>
        <item x="324"/>
        <item x="74"/>
        <item x="38"/>
        <item x="179"/>
        <item x="212"/>
        <item x="119"/>
        <item x="250"/>
        <item x="94"/>
        <item x="7"/>
        <item x="108"/>
        <item x="176"/>
        <item x="143"/>
        <item x="184"/>
        <item x="113"/>
        <item x="245"/>
        <item x="86"/>
        <item x="188"/>
        <item x="31"/>
        <item x="207"/>
        <item x="110"/>
        <item x="281"/>
        <item x="36"/>
        <item x="195"/>
        <item x="121"/>
        <item x="278"/>
        <item x="200"/>
        <item x="68"/>
        <item x="10"/>
        <item x="307"/>
        <item x="199"/>
        <item x="56"/>
        <item x="240"/>
        <item x="48"/>
        <item x="101"/>
        <item x="334"/>
        <item x="103"/>
        <item x="279"/>
        <item x="129"/>
        <item x="315"/>
        <item x="95"/>
        <item x="269"/>
        <item x="311"/>
        <item x="148"/>
        <item x="203"/>
        <item x="283"/>
        <item x="29"/>
        <item x="60"/>
        <item x="214"/>
        <item x="182"/>
        <item x="175"/>
        <item x="209"/>
        <item x="178"/>
        <item x="300"/>
        <item x="142"/>
        <item x="302"/>
        <item x="52"/>
        <item x="1"/>
        <item x="65"/>
        <item x="47"/>
        <item x="174"/>
        <item x="161"/>
        <item x="273"/>
        <item x="42"/>
        <item x="152"/>
        <item x="97"/>
        <item x="330"/>
        <item x="20"/>
        <item x="25"/>
        <item x="84"/>
        <item x="149"/>
        <item x="276"/>
        <item x="89"/>
        <item x="49"/>
        <item x="136"/>
        <item x="243"/>
        <item x="156"/>
        <item x="138"/>
        <item x="275"/>
        <item x="81"/>
        <item x="327"/>
        <item x="181"/>
        <item x="116"/>
        <item x="93"/>
        <item x="70"/>
        <item x="304"/>
        <item x="194"/>
        <item x="146"/>
        <item x="289"/>
        <item x="126"/>
        <item x="66"/>
        <item x="69"/>
        <item x="13"/>
        <item x="128"/>
        <item x="43"/>
        <item x="308"/>
        <item x="306"/>
        <item x="333"/>
        <item x="24"/>
        <item x="135"/>
        <item x="75"/>
        <item x="318"/>
        <item x="254"/>
        <item x="229"/>
        <item x="228"/>
        <item x="197"/>
        <item x="79"/>
        <item x="267"/>
        <item x="15"/>
        <item x="76"/>
        <item x="107"/>
        <item x="282"/>
        <item x="280"/>
        <item x="71"/>
        <item x="237"/>
        <item x="162"/>
        <item x="242"/>
        <item x="167"/>
        <item x="230"/>
        <item x="160"/>
        <item x="286"/>
        <item x="266"/>
        <item x="232"/>
        <item x="26"/>
        <item x="241"/>
        <item x="50"/>
        <item x="305"/>
        <item x="247"/>
        <item x="0"/>
        <item x="80"/>
        <item x="62"/>
        <item x="99"/>
        <item x="118"/>
        <item x="268"/>
        <item x="206"/>
        <item x="9"/>
        <item x="260"/>
        <item x="290"/>
        <item x="239"/>
        <item x="18"/>
        <item x="4"/>
        <item x="248"/>
        <item x="263"/>
        <item x="256"/>
        <item x="227"/>
        <item t="default"/>
      </items>
    </pivotField>
    <pivotField showAll="0"/>
    <pivotField showAll="0"/>
    <pivotField showAll="0"/>
    <pivotField showAll="0"/>
    <pivotField showAll="0"/>
    <pivotField showAll="0"/>
    <pivotField showAll="0"/>
    <pivotField showAll="0"/>
    <pivotField showAll="0">
      <items count="10">
        <item h="1" x="0"/>
        <item x="2"/>
        <item h="1" x="7"/>
        <item h="1" x="4"/>
        <item h="1" x="6"/>
        <item h="1" x="1"/>
        <item h="1" x="8"/>
        <item h="1" x="5"/>
        <item h="1" x="3"/>
        <item t="default"/>
      </items>
    </pivotField>
  </pivotFields>
  <rowFields count="1">
    <field x="9"/>
  </rowFields>
  <rowItems count="13">
    <i>
      <x v="7"/>
    </i>
    <i>
      <x v="61"/>
    </i>
    <i>
      <x v="103"/>
    </i>
    <i>
      <x v="125"/>
    </i>
    <i>
      <x v="139"/>
    </i>
    <i>
      <x v="140"/>
    </i>
    <i>
      <x v="165"/>
    </i>
    <i>
      <x v="180"/>
    </i>
    <i>
      <x v="222"/>
    </i>
    <i>
      <x v="304"/>
    </i>
    <i>
      <x v="308"/>
    </i>
    <i>
      <x v="325"/>
    </i>
    <i t="grand">
      <x/>
    </i>
  </rowItems>
  <colFields count="1">
    <field x="-2"/>
  </colFields>
  <colItems count="2">
    <i>
      <x/>
    </i>
    <i i="1">
      <x v="1"/>
    </i>
  </colItems>
  <dataFields count="2">
    <dataField name="Average of overall" fld="0" subtotal="average" baseField="9" baseItem="0"/>
    <dataField name="Count of reviewerID" fld="5"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2" type="dateBetween" evalOrder="-1" id="35" name="reviewDate">
      <autoFilter ref="A1">
        <filterColumn colId="0">
          <customFilters and="1">
            <customFilter operator="greaterThanOrEqual" val="41456"/>
            <customFilter operator="lessThanOrEqual" val="43281"/>
          </customFilters>
        </filterColumn>
      </autoFilter>
      <extLst>
        <ext xmlns:x15="http://schemas.microsoft.com/office/spreadsheetml/2010/11/main" uri="{0605FD5F-26C8-4aeb-8148-2DB25E43C511}">
          <x15:pivotFilter useWholeDay="1"/>
        </ext>
      </extLst>
    </filter>
    <filter fld="9" type="count" evalOrder="-1" id="3"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3F27AA-B74B-4011-830D-E3B998BDE181}" name="size vs color analysis"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N22:V26" firstHeaderRow="1" firstDataRow="2" firstDataCol="1" rowPageCount="1" colPageCount="1"/>
  <pivotFields count="19">
    <pivotField dataField="1" showAll="0"/>
    <pivotField showAll="0"/>
    <pivotField numFmtId="14" showAll="0"/>
    <pivotField showAll="0"/>
    <pivotField showAll="0"/>
    <pivotField showAll="0"/>
    <pivotField showAll="0"/>
    <pivotField axis="axisRow" showAll="0">
      <items count="73">
        <item x="9"/>
        <item x="49"/>
        <item x="30"/>
        <item x="37"/>
        <item x="40"/>
        <item x="63"/>
        <item x="47"/>
        <item x="31"/>
        <item x="23"/>
        <item x="58"/>
        <item x="53"/>
        <item x="25"/>
        <item x="39"/>
        <item x="67"/>
        <item x="32"/>
        <item x="38"/>
        <item x="41"/>
        <item x="64"/>
        <item x="19"/>
        <item x="56"/>
        <item x="13"/>
        <item x="10"/>
        <item x="12"/>
        <item x="11"/>
        <item x="33"/>
        <item x="61"/>
        <item x="48"/>
        <item x="24"/>
        <item x="62"/>
        <item x="50"/>
        <item x="26"/>
        <item x="66"/>
        <item x="14"/>
        <item x="36"/>
        <item x="59"/>
        <item x="43"/>
        <item x="22"/>
        <item x="35"/>
        <item x="18"/>
        <item x="55"/>
        <item x="45"/>
        <item x="15"/>
        <item x="27"/>
        <item x="60"/>
        <item x="46"/>
        <item x="21"/>
        <item x="29"/>
        <item x="57"/>
        <item x="42"/>
        <item x="52"/>
        <item x="17"/>
        <item x="28"/>
        <item x="20"/>
        <item x="54"/>
        <item x="44"/>
        <item x="51"/>
        <item x="16"/>
        <item x="34"/>
        <item x="65"/>
        <item x="68"/>
        <item x="0"/>
        <item x="7"/>
        <item x="71"/>
        <item x="1"/>
        <item x="5"/>
        <item x="70"/>
        <item x="8"/>
        <item x="3"/>
        <item x="69"/>
        <item x="4"/>
        <item x="6"/>
        <item x="2"/>
        <item t="default"/>
      </items>
    </pivotField>
    <pivotField axis="axisCol" showAll="0">
      <items count="64">
        <item x="48"/>
        <item x="46"/>
        <item x="45"/>
        <item x="47"/>
        <item x="56"/>
        <item x="57"/>
        <item x="12"/>
        <item x="1"/>
        <item x="50"/>
        <item x="33"/>
        <item x="39"/>
        <item x="42"/>
        <item x="13"/>
        <item x="17"/>
        <item x="22"/>
        <item x="18"/>
        <item x="3"/>
        <item x="21"/>
        <item x="2"/>
        <item x="0"/>
        <item x="4"/>
        <item x="55"/>
        <item x="59"/>
        <item x="20"/>
        <item x="8"/>
        <item x="25"/>
        <item x="28"/>
        <item x="37"/>
        <item x="58"/>
        <item x="19"/>
        <item x="29"/>
        <item x="44"/>
        <item x="54"/>
        <item x="9"/>
        <item x="52"/>
        <item x="53"/>
        <item x="27"/>
        <item x="15"/>
        <item x="36"/>
        <item x="34"/>
        <item x="43"/>
        <item x="51"/>
        <item x="24"/>
        <item x="62"/>
        <item x="6"/>
        <item x="11"/>
        <item x="60"/>
        <item x="49"/>
        <item x="10"/>
        <item x="32"/>
        <item x="41"/>
        <item x="38"/>
        <item x="31"/>
        <item x="30"/>
        <item x="61"/>
        <item x="14"/>
        <item x="16"/>
        <item x="5"/>
        <item x="40"/>
        <item x="35"/>
        <item x="23"/>
        <item x="26"/>
        <item x="7"/>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10">
        <item x="0"/>
        <item h="1" x="2"/>
        <item h="1" x="7"/>
        <item h="1" x="4"/>
        <item h="1" x="6"/>
        <item h="1" x="1"/>
        <item h="1" x="8"/>
        <item h="1" x="5"/>
        <item h="1" x="3"/>
        <item t="default"/>
      </items>
    </pivotField>
  </pivotFields>
  <rowFields count="1">
    <field x="7"/>
  </rowFields>
  <rowItems count="3">
    <i>
      <x v="60"/>
    </i>
    <i>
      <x v="63"/>
    </i>
    <i t="grand">
      <x/>
    </i>
  </rowItems>
  <colFields count="1">
    <field x="8"/>
  </colFields>
  <colItems count="8">
    <i>
      <x v="7"/>
    </i>
    <i>
      <x v="16"/>
    </i>
    <i>
      <x v="18"/>
    </i>
    <i>
      <x v="19"/>
    </i>
    <i>
      <x v="20"/>
    </i>
    <i>
      <x v="44"/>
    </i>
    <i>
      <x v="57"/>
    </i>
    <i t="grand">
      <x/>
    </i>
  </colItems>
  <pageFields count="1">
    <pageField fld="18" hier="-1"/>
  </pageFields>
  <dataFields count="1">
    <dataField name="Average of overall" fld="0" subtotal="average" baseField="7" baseItem="0"/>
  </dataFields>
  <chartFormats count="210">
    <chartFormat chart="0" format="0" series="1">
      <pivotArea type="data" outline="0" fieldPosition="0">
        <references count="2">
          <reference field="4294967294" count="1" selected="0">
            <x v="0"/>
          </reference>
          <reference field="8" count="1" selected="0">
            <x v="7"/>
          </reference>
        </references>
      </pivotArea>
    </chartFormat>
    <chartFormat chart="0" format="1" series="1">
      <pivotArea type="data" outline="0" fieldPosition="0">
        <references count="2">
          <reference field="4294967294" count="1" selected="0">
            <x v="0"/>
          </reference>
          <reference field="8" count="1" selected="0">
            <x v="16"/>
          </reference>
        </references>
      </pivotArea>
    </chartFormat>
    <chartFormat chart="0" format="2" series="1">
      <pivotArea type="data" outline="0" fieldPosition="0">
        <references count="2">
          <reference field="4294967294" count="1" selected="0">
            <x v="0"/>
          </reference>
          <reference field="8" count="1" selected="0">
            <x v="18"/>
          </reference>
        </references>
      </pivotArea>
    </chartFormat>
    <chartFormat chart="0" format="3" series="1">
      <pivotArea type="data" outline="0" fieldPosition="0">
        <references count="2">
          <reference field="4294967294" count="1" selected="0">
            <x v="0"/>
          </reference>
          <reference field="8" count="1" selected="0">
            <x v="19"/>
          </reference>
        </references>
      </pivotArea>
    </chartFormat>
    <chartFormat chart="0" format="4" series="1">
      <pivotArea type="data" outline="0" fieldPosition="0">
        <references count="2">
          <reference field="4294967294" count="1" selected="0">
            <x v="0"/>
          </reference>
          <reference field="8" count="1" selected="0">
            <x v="20"/>
          </reference>
        </references>
      </pivotArea>
    </chartFormat>
    <chartFormat chart="0" format="5" series="1">
      <pivotArea type="data" outline="0" fieldPosition="0">
        <references count="2">
          <reference field="4294967294" count="1" selected="0">
            <x v="0"/>
          </reference>
          <reference field="8" count="1" selected="0">
            <x v="44"/>
          </reference>
        </references>
      </pivotArea>
    </chartFormat>
    <chartFormat chart="0" format="6" series="1">
      <pivotArea type="data" outline="0" fieldPosition="0">
        <references count="2">
          <reference field="4294967294" count="1" selected="0">
            <x v="0"/>
          </reference>
          <reference field="8" count="1" selected="0">
            <x v="57"/>
          </reference>
        </references>
      </pivotArea>
    </chartFormat>
    <chartFormat chart="0" format="7" series="1">
      <pivotArea type="data" outline="0" fieldPosition="0">
        <references count="2">
          <reference field="4294967294" count="1" selected="0">
            <x v="0"/>
          </reference>
          <reference field="8" count="1" selected="0">
            <x v="62"/>
          </reference>
        </references>
      </pivotArea>
    </chartFormat>
    <chartFormat chart="2" format="0" series="1">
      <pivotArea type="data" outline="0" fieldPosition="0">
        <references count="2">
          <reference field="4294967294" count="1" selected="0">
            <x v="0"/>
          </reference>
          <reference field="8" count="1" selected="0">
            <x v="7"/>
          </reference>
        </references>
      </pivotArea>
    </chartFormat>
    <chartFormat chart="2" format="1" series="1">
      <pivotArea type="data" outline="0" fieldPosition="0">
        <references count="2">
          <reference field="4294967294" count="1" selected="0">
            <x v="0"/>
          </reference>
          <reference field="8" count="1" selected="0">
            <x v="16"/>
          </reference>
        </references>
      </pivotArea>
    </chartFormat>
    <chartFormat chart="2" format="2" series="1">
      <pivotArea type="data" outline="0" fieldPosition="0">
        <references count="2">
          <reference field="4294967294" count="1" selected="0">
            <x v="0"/>
          </reference>
          <reference field="8" count="1" selected="0">
            <x v="18"/>
          </reference>
        </references>
      </pivotArea>
    </chartFormat>
    <chartFormat chart="2" format="3" series="1">
      <pivotArea type="data" outline="0" fieldPosition="0">
        <references count="2">
          <reference field="4294967294" count="1" selected="0">
            <x v="0"/>
          </reference>
          <reference field="8" count="1" selected="0">
            <x v="19"/>
          </reference>
        </references>
      </pivotArea>
    </chartFormat>
    <chartFormat chart="2" format="4" series="1">
      <pivotArea type="data" outline="0" fieldPosition="0">
        <references count="2">
          <reference field="4294967294" count="1" selected="0">
            <x v="0"/>
          </reference>
          <reference field="8" count="1" selected="0">
            <x v="20"/>
          </reference>
        </references>
      </pivotArea>
    </chartFormat>
    <chartFormat chart="2" format="5" series="1">
      <pivotArea type="data" outline="0" fieldPosition="0">
        <references count="2">
          <reference field="4294967294" count="1" selected="0">
            <x v="0"/>
          </reference>
          <reference field="8" count="1" selected="0">
            <x v="44"/>
          </reference>
        </references>
      </pivotArea>
    </chartFormat>
    <chartFormat chart="2" format="6" series="1">
      <pivotArea type="data" outline="0" fieldPosition="0">
        <references count="2">
          <reference field="4294967294" count="1" selected="0">
            <x v="0"/>
          </reference>
          <reference field="8" count="1" selected="0">
            <x v="57"/>
          </reference>
        </references>
      </pivotArea>
    </chartFormat>
    <chartFormat chart="4" format="7" series="1">
      <pivotArea type="data" outline="0" fieldPosition="0">
        <references count="2">
          <reference field="4294967294" count="1" selected="0">
            <x v="0"/>
          </reference>
          <reference field="8" count="1" selected="0">
            <x v="7"/>
          </reference>
        </references>
      </pivotArea>
    </chartFormat>
    <chartFormat chart="4" format="8" series="1">
      <pivotArea type="data" outline="0" fieldPosition="0">
        <references count="2">
          <reference field="4294967294" count="1" selected="0">
            <x v="0"/>
          </reference>
          <reference field="8" count="1" selected="0">
            <x v="16"/>
          </reference>
        </references>
      </pivotArea>
    </chartFormat>
    <chartFormat chart="4" format="9" series="1">
      <pivotArea type="data" outline="0" fieldPosition="0">
        <references count="2">
          <reference field="4294967294" count="1" selected="0">
            <x v="0"/>
          </reference>
          <reference field="8" count="1" selected="0">
            <x v="18"/>
          </reference>
        </references>
      </pivotArea>
    </chartFormat>
    <chartFormat chart="4" format="10" series="1">
      <pivotArea type="data" outline="0" fieldPosition="0">
        <references count="2">
          <reference field="4294967294" count="1" selected="0">
            <x v="0"/>
          </reference>
          <reference field="8" count="1" selected="0">
            <x v="19"/>
          </reference>
        </references>
      </pivotArea>
    </chartFormat>
    <chartFormat chart="4" format="11" series="1">
      <pivotArea type="data" outline="0" fieldPosition="0">
        <references count="2">
          <reference field="4294967294" count="1" selected="0">
            <x v="0"/>
          </reference>
          <reference field="8" count="1" selected="0">
            <x v="20"/>
          </reference>
        </references>
      </pivotArea>
    </chartFormat>
    <chartFormat chart="4" format="12" series="1">
      <pivotArea type="data" outline="0" fieldPosition="0">
        <references count="2">
          <reference field="4294967294" count="1" selected="0">
            <x v="0"/>
          </reference>
          <reference field="8" count="1" selected="0">
            <x v="44"/>
          </reference>
        </references>
      </pivotArea>
    </chartFormat>
    <chartFormat chart="4" format="13" series="1">
      <pivotArea type="data" outline="0" fieldPosition="0">
        <references count="2">
          <reference field="4294967294" count="1" selected="0">
            <x v="0"/>
          </reference>
          <reference field="8" count="1" selected="0">
            <x v="57"/>
          </reference>
        </references>
      </pivotArea>
    </chartFormat>
    <chartFormat chart="5" format="14" series="1">
      <pivotArea type="data" outline="0" fieldPosition="0">
        <references count="2">
          <reference field="4294967294" count="1" selected="0">
            <x v="0"/>
          </reference>
          <reference field="8" count="1" selected="0">
            <x v="7"/>
          </reference>
        </references>
      </pivotArea>
    </chartFormat>
    <chartFormat chart="5" format="15" series="1">
      <pivotArea type="data" outline="0" fieldPosition="0">
        <references count="2">
          <reference field="4294967294" count="1" selected="0">
            <x v="0"/>
          </reference>
          <reference field="8" count="1" selected="0">
            <x v="16"/>
          </reference>
        </references>
      </pivotArea>
    </chartFormat>
    <chartFormat chart="5" format="16" series="1">
      <pivotArea type="data" outline="0" fieldPosition="0">
        <references count="2">
          <reference field="4294967294" count="1" selected="0">
            <x v="0"/>
          </reference>
          <reference field="8" count="1" selected="0">
            <x v="18"/>
          </reference>
        </references>
      </pivotArea>
    </chartFormat>
    <chartFormat chart="5" format="17" series="1">
      <pivotArea type="data" outline="0" fieldPosition="0">
        <references count="2">
          <reference field="4294967294" count="1" selected="0">
            <x v="0"/>
          </reference>
          <reference field="8" count="1" selected="0">
            <x v="19"/>
          </reference>
        </references>
      </pivotArea>
    </chartFormat>
    <chartFormat chart="5" format="18" series="1">
      <pivotArea type="data" outline="0" fieldPosition="0">
        <references count="2">
          <reference field="4294967294" count="1" selected="0">
            <x v="0"/>
          </reference>
          <reference field="8" count="1" selected="0">
            <x v="20"/>
          </reference>
        </references>
      </pivotArea>
    </chartFormat>
    <chartFormat chart="5" format="19" series="1">
      <pivotArea type="data" outline="0" fieldPosition="0">
        <references count="2">
          <reference field="4294967294" count="1" selected="0">
            <x v="0"/>
          </reference>
          <reference field="8" count="1" selected="0">
            <x v="44"/>
          </reference>
        </references>
      </pivotArea>
    </chartFormat>
    <chartFormat chart="5" format="20" series="1">
      <pivotArea type="data" outline="0" fieldPosition="0">
        <references count="2">
          <reference field="4294967294" count="1" selected="0">
            <x v="0"/>
          </reference>
          <reference field="8" count="1" selected="0">
            <x v="57"/>
          </reference>
        </references>
      </pivotArea>
    </chartFormat>
    <chartFormat chart="5" format="21" series="1">
      <pivotArea type="data" outline="0" fieldPosition="0">
        <references count="2">
          <reference field="4294967294" count="1" selected="0">
            <x v="0"/>
          </reference>
          <reference field="8" count="1" selected="0">
            <x v="12"/>
          </reference>
        </references>
      </pivotArea>
    </chartFormat>
    <chartFormat chart="5" format="22" series="1">
      <pivotArea type="data" outline="0" fieldPosition="0">
        <references count="2">
          <reference field="4294967294" count="1" selected="0">
            <x v="0"/>
          </reference>
          <reference field="8" count="1" selected="0">
            <x v="55"/>
          </reference>
        </references>
      </pivotArea>
    </chartFormat>
    <chartFormat chart="2" format="7" series="1">
      <pivotArea type="data" outline="0" fieldPosition="0">
        <references count="2">
          <reference field="4294967294" count="1" selected="0">
            <x v="0"/>
          </reference>
          <reference field="8" count="1" selected="0">
            <x v="12"/>
          </reference>
        </references>
      </pivotArea>
    </chartFormat>
    <chartFormat chart="2" format="8" series="1">
      <pivotArea type="data" outline="0" fieldPosition="0">
        <references count="2">
          <reference field="4294967294" count="1" selected="0">
            <x v="0"/>
          </reference>
          <reference field="8" count="1" selected="0">
            <x v="55"/>
          </reference>
        </references>
      </pivotArea>
    </chartFormat>
    <chartFormat chart="0" format="8" series="1">
      <pivotArea type="data" outline="0" fieldPosition="0">
        <references count="2">
          <reference field="4294967294" count="1" selected="0">
            <x v="0"/>
          </reference>
          <reference field="8" count="1" selected="0">
            <x v="12"/>
          </reference>
        </references>
      </pivotArea>
    </chartFormat>
    <chartFormat chart="0" format="9" series="1">
      <pivotArea type="data" outline="0" fieldPosition="0">
        <references count="2">
          <reference field="4294967294" count="1" selected="0">
            <x v="0"/>
          </reference>
          <reference field="8" count="1" selected="0">
            <x v="55"/>
          </reference>
        </references>
      </pivotArea>
    </chartFormat>
    <chartFormat chart="5" format="23" series="1">
      <pivotArea type="data" outline="0" fieldPosition="0">
        <references count="2">
          <reference field="4294967294" count="1" selected="0">
            <x v="0"/>
          </reference>
          <reference field="8" count="1" selected="0">
            <x v="37"/>
          </reference>
        </references>
      </pivotArea>
    </chartFormat>
    <chartFormat chart="5" format="24" series="1">
      <pivotArea type="data" outline="0" fieldPosition="0">
        <references count="2">
          <reference field="4294967294" count="1" selected="0">
            <x v="0"/>
          </reference>
          <reference field="8" count="1" selected="0">
            <x v="56"/>
          </reference>
        </references>
      </pivotArea>
    </chartFormat>
    <chartFormat chart="2" format="9" series="1">
      <pivotArea type="data" outline="0" fieldPosition="0">
        <references count="2">
          <reference field="4294967294" count="1" selected="0">
            <x v="0"/>
          </reference>
          <reference field="8" count="1" selected="0">
            <x v="37"/>
          </reference>
        </references>
      </pivotArea>
    </chartFormat>
    <chartFormat chart="2" format="10" series="1">
      <pivotArea type="data" outline="0" fieldPosition="0">
        <references count="2">
          <reference field="4294967294" count="1" selected="0">
            <x v="0"/>
          </reference>
          <reference field="8" count="1" selected="0">
            <x v="56"/>
          </reference>
        </references>
      </pivotArea>
    </chartFormat>
    <chartFormat chart="0" format="10" series="1">
      <pivotArea type="data" outline="0" fieldPosition="0">
        <references count="2">
          <reference field="4294967294" count="1" selected="0">
            <x v="0"/>
          </reference>
          <reference field="8" count="1" selected="0">
            <x v="37"/>
          </reference>
        </references>
      </pivotArea>
    </chartFormat>
    <chartFormat chart="0" format="11" series="1">
      <pivotArea type="data" outline="0" fieldPosition="0">
        <references count="2">
          <reference field="4294967294" count="1" selected="0">
            <x v="0"/>
          </reference>
          <reference field="8" count="1" selected="0">
            <x v="56"/>
          </reference>
        </references>
      </pivotArea>
    </chartFormat>
    <chartFormat chart="5" format="25" series="1">
      <pivotArea type="data" outline="0" fieldPosition="0">
        <references count="2">
          <reference field="4294967294" count="1" selected="0">
            <x v="0"/>
          </reference>
          <reference field="8" count="1" selected="0">
            <x v="2"/>
          </reference>
        </references>
      </pivotArea>
    </chartFormat>
    <chartFormat chart="5" format="26" series="1">
      <pivotArea type="data" outline="0" fieldPosition="0">
        <references count="2">
          <reference field="4294967294" count="1" selected="0">
            <x v="0"/>
          </reference>
          <reference field="8" count="1" selected="0">
            <x v="3"/>
          </reference>
        </references>
      </pivotArea>
    </chartFormat>
    <chartFormat chart="5" format="27" series="1">
      <pivotArea type="data" outline="0" fieldPosition="0">
        <references count="2">
          <reference field="4294967294" count="1" selected="0">
            <x v="0"/>
          </reference>
          <reference field="8" count="1" selected="0">
            <x v="4"/>
          </reference>
        </references>
      </pivotArea>
    </chartFormat>
    <chartFormat chart="5" format="28" series="1">
      <pivotArea type="data" outline="0" fieldPosition="0">
        <references count="2">
          <reference field="4294967294" count="1" selected="0">
            <x v="0"/>
          </reference>
          <reference field="8" count="1" selected="0">
            <x v="5"/>
          </reference>
        </references>
      </pivotArea>
    </chartFormat>
    <chartFormat chart="5" format="29" series="1">
      <pivotArea type="data" outline="0" fieldPosition="0">
        <references count="2">
          <reference field="4294967294" count="1" selected="0">
            <x v="0"/>
          </reference>
          <reference field="8" count="1" selected="0">
            <x v="6"/>
          </reference>
        </references>
      </pivotArea>
    </chartFormat>
    <chartFormat chart="5" format="30" series="1">
      <pivotArea type="data" outline="0" fieldPosition="0">
        <references count="2">
          <reference field="4294967294" count="1" selected="0">
            <x v="0"/>
          </reference>
          <reference field="8" count="1" selected="0">
            <x v="8"/>
          </reference>
        </references>
      </pivotArea>
    </chartFormat>
    <chartFormat chart="5" format="31" series="1">
      <pivotArea type="data" outline="0" fieldPosition="0">
        <references count="2">
          <reference field="4294967294" count="1" selected="0">
            <x v="0"/>
          </reference>
          <reference field="8" count="1" selected="0">
            <x v="9"/>
          </reference>
        </references>
      </pivotArea>
    </chartFormat>
    <chartFormat chart="5" format="32" series="1">
      <pivotArea type="data" outline="0" fieldPosition="0">
        <references count="2">
          <reference field="4294967294" count="1" selected="0">
            <x v="0"/>
          </reference>
          <reference field="8" count="1" selected="0">
            <x v="10"/>
          </reference>
        </references>
      </pivotArea>
    </chartFormat>
    <chartFormat chart="5" format="33" series="1">
      <pivotArea type="data" outline="0" fieldPosition="0">
        <references count="2">
          <reference field="4294967294" count="1" selected="0">
            <x v="0"/>
          </reference>
          <reference field="8" count="1" selected="0">
            <x v="11"/>
          </reference>
        </references>
      </pivotArea>
    </chartFormat>
    <chartFormat chart="5" format="34" series="1">
      <pivotArea type="data" outline="0" fieldPosition="0">
        <references count="2">
          <reference field="4294967294" count="1" selected="0">
            <x v="0"/>
          </reference>
          <reference field="8" count="1" selected="0">
            <x v="13"/>
          </reference>
        </references>
      </pivotArea>
    </chartFormat>
    <chartFormat chart="5" format="35" series="1">
      <pivotArea type="data" outline="0" fieldPosition="0">
        <references count="2">
          <reference field="4294967294" count="1" selected="0">
            <x v="0"/>
          </reference>
          <reference field="8" count="1" selected="0">
            <x v="15"/>
          </reference>
        </references>
      </pivotArea>
    </chartFormat>
    <chartFormat chart="5" format="36" series="1">
      <pivotArea type="data" outline="0" fieldPosition="0">
        <references count="2">
          <reference field="4294967294" count="1" selected="0">
            <x v="0"/>
          </reference>
          <reference field="8" count="1" selected="0">
            <x v="17"/>
          </reference>
        </references>
      </pivotArea>
    </chartFormat>
    <chartFormat chart="5" format="37" series="1">
      <pivotArea type="data" outline="0" fieldPosition="0">
        <references count="2">
          <reference field="4294967294" count="1" selected="0">
            <x v="0"/>
          </reference>
          <reference field="8" count="1" selected="0">
            <x v="21"/>
          </reference>
        </references>
      </pivotArea>
    </chartFormat>
    <chartFormat chart="5" format="38" series="1">
      <pivotArea type="data" outline="0" fieldPosition="0">
        <references count="2">
          <reference field="4294967294" count="1" selected="0">
            <x v="0"/>
          </reference>
          <reference field="8" count="1" selected="0">
            <x v="22"/>
          </reference>
        </references>
      </pivotArea>
    </chartFormat>
    <chartFormat chart="5" format="39" series="1">
      <pivotArea type="data" outline="0" fieldPosition="0">
        <references count="2">
          <reference field="4294967294" count="1" selected="0">
            <x v="0"/>
          </reference>
          <reference field="8" count="1" selected="0">
            <x v="23"/>
          </reference>
        </references>
      </pivotArea>
    </chartFormat>
    <chartFormat chart="5" format="40" series="1">
      <pivotArea type="data" outline="0" fieldPosition="0">
        <references count="2">
          <reference field="4294967294" count="1" selected="0">
            <x v="0"/>
          </reference>
          <reference field="8" count="1" selected="0">
            <x v="25"/>
          </reference>
        </references>
      </pivotArea>
    </chartFormat>
    <chartFormat chart="5" format="41" series="1">
      <pivotArea type="data" outline="0" fieldPosition="0">
        <references count="2">
          <reference field="4294967294" count="1" selected="0">
            <x v="0"/>
          </reference>
          <reference field="8" count="1" selected="0">
            <x v="26"/>
          </reference>
        </references>
      </pivotArea>
    </chartFormat>
    <chartFormat chart="5" format="42" series="1">
      <pivotArea type="data" outline="0" fieldPosition="0">
        <references count="2">
          <reference field="4294967294" count="1" selected="0">
            <x v="0"/>
          </reference>
          <reference field="8" count="1" selected="0">
            <x v="27"/>
          </reference>
        </references>
      </pivotArea>
    </chartFormat>
    <chartFormat chart="5" format="43" series="1">
      <pivotArea type="data" outline="0" fieldPosition="0">
        <references count="2">
          <reference field="4294967294" count="1" selected="0">
            <x v="0"/>
          </reference>
          <reference field="8" count="1" selected="0">
            <x v="28"/>
          </reference>
        </references>
      </pivotArea>
    </chartFormat>
    <chartFormat chart="5" format="44" series="1">
      <pivotArea type="data" outline="0" fieldPosition="0">
        <references count="2">
          <reference field="4294967294" count="1" selected="0">
            <x v="0"/>
          </reference>
          <reference field="8" count="1" selected="0">
            <x v="29"/>
          </reference>
        </references>
      </pivotArea>
    </chartFormat>
    <chartFormat chart="5" format="45" series="1">
      <pivotArea type="data" outline="0" fieldPosition="0">
        <references count="2">
          <reference field="4294967294" count="1" selected="0">
            <x v="0"/>
          </reference>
          <reference field="8" count="1" selected="0">
            <x v="30"/>
          </reference>
        </references>
      </pivotArea>
    </chartFormat>
    <chartFormat chart="5" format="46" series="1">
      <pivotArea type="data" outline="0" fieldPosition="0">
        <references count="2">
          <reference field="4294967294" count="1" selected="0">
            <x v="0"/>
          </reference>
          <reference field="8" count="1" selected="0">
            <x v="31"/>
          </reference>
        </references>
      </pivotArea>
    </chartFormat>
    <chartFormat chart="5" format="47" series="1">
      <pivotArea type="data" outline="0" fieldPosition="0">
        <references count="2">
          <reference field="4294967294" count="1" selected="0">
            <x v="0"/>
          </reference>
          <reference field="8" count="1" selected="0">
            <x v="32"/>
          </reference>
        </references>
      </pivotArea>
    </chartFormat>
    <chartFormat chart="5" format="48" series="1">
      <pivotArea type="data" outline="0" fieldPosition="0">
        <references count="2">
          <reference field="4294967294" count="1" selected="0">
            <x v="0"/>
          </reference>
          <reference field="8" count="1" selected="0">
            <x v="34"/>
          </reference>
        </references>
      </pivotArea>
    </chartFormat>
    <chartFormat chart="5" format="49" series="1">
      <pivotArea type="data" outline="0" fieldPosition="0">
        <references count="2">
          <reference field="4294967294" count="1" selected="0">
            <x v="0"/>
          </reference>
          <reference field="8" count="1" selected="0">
            <x v="35"/>
          </reference>
        </references>
      </pivotArea>
    </chartFormat>
    <chartFormat chart="5" format="50" series="1">
      <pivotArea type="data" outline="0" fieldPosition="0">
        <references count="2">
          <reference field="4294967294" count="1" selected="0">
            <x v="0"/>
          </reference>
          <reference field="8" count="1" selected="0">
            <x v="36"/>
          </reference>
        </references>
      </pivotArea>
    </chartFormat>
    <chartFormat chart="5" format="51" series="1">
      <pivotArea type="data" outline="0" fieldPosition="0">
        <references count="2">
          <reference field="4294967294" count="1" selected="0">
            <x v="0"/>
          </reference>
          <reference field="8" count="1" selected="0">
            <x v="38"/>
          </reference>
        </references>
      </pivotArea>
    </chartFormat>
    <chartFormat chart="5" format="52" series="1">
      <pivotArea type="data" outline="0" fieldPosition="0">
        <references count="2">
          <reference field="4294967294" count="1" selected="0">
            <x v="0"/>
          </reference>
          <reference field="8" count="1" selected="0">
            <x v="39"/>
          </reference>
        </references>
      </pivotArea>
    </chartFormat>
    <chartFormat chart="5" format="53" series="1">
      <pivotArea type="data" outline="0" fieldPosition="0">
        <references count="2">
          <reference field="4294967294" count="1" selected="0">
            <x v="0"/>
          </reference>
          <reference field="8" count="1" selected="0">
            <x v="40"/>
          </reference>
        </references>
      </pivotArea>
    </chartFormat>
    <chartFormat chart="5" format="54" series="1">
      <pivotArea type="data" outline="0" fieldPosition="0">
        <references count="2">
          <reference field="4294967294" count="1" selected="0">
            <x v="0"/>
          </reference>
          <reference field="8" count="1" selected="0">
            <x v="41"/>
          </reference>
        </references>
      </pivotArea>
    </chartFormat>
    <chartFormat chart="5" format="55" series="1">
      <pivotArea type="data" outline="0" fieldPosition="0">
        <references count="2">
          <reference field="4294967294" count="1" selected="0">
            <x v="0"/>
          </reference>
          <reference field="8" count="1" selected="0">
            <x v="42"/>
          </reference>
        </references>
      </pivotArea>
    </chartFormat>
    <chartFormat chart="5" format="56" series="1">
      <pivotArea type="data" outline="0" fieldPosition="0">
        <references count="2">
          <reference field="4294967294" count="1" selected="0">
            <x v="0"/>
          </reference>
          <reference field="8" count="1" selected="0">
            <x v="43"/>
          </reference>
        </references>
      </pivotArea>
    </chartFormat>
    <chartFormat chart="5" format="57" series="1">
      <pivotArea type="data" outline="0" fieldPosition="0">
        <references count="2">
          <reference field="4294967294" count="1" selected="0">
            <x v="0"/>
          </reference>
          <reference field="8" count="1" selected="0">
            <x v="46"/>
          </reference>
        </references>
      </pivotArea>
    </chartFormat>
    <chartFormat chart="5" format="58" series="1">
      <pivotArea type="data" outline="0" fieldPosition="0">
        <references count="2">
          <reference field="4294967294" count="1" selected="0">
            <x v="0"/>
          </reference>
          <reference field="8" count="1" selected="0">
            <x v="47"/>
          </reference>
        </references>
      </pivotArea>
    </chartFormat>
    <chartFormat chart="5" format="59" series="1">
      <pivotArea type="data" outline="0" fieldPosition="0">
        <references count="2">
          <reference field="4294967294" count="1" selected="0">
            <x v="0"/>
          </reference>
          <reference field="8" count="1" selected="0">
            <x v="49"/>
          </reference>
        </references>
      </pivotArea>
    </chartFormat>
    <chartFormat chart="5" format="60" series="1">
      <pivotArea type="data" outline="0" fieldPosition="0">
        <references count="2">
          <reference field="4294967294" count="1" selected="0">
            <x v="0"/>
          </reference>
          <reference field="8" count="1" selected="0">
            <x v="50"/>
          </reference>
        </references>
      </pivotArea>
    </chartFormat>
    <chartFormat chart="5" format="61" series="1">
      <pivotArea type="data" outline="0" fieldPosition="0">
        <references count="2">
          <reference field="4294967294" count="1" selected="0">
            <x v="0"/>
          </reference>
          <reference field="8" count="1" selected="0">
            <x v="51"/>
          </reference>
        </references>
      </pivotArea>
    </chartFormat>
    <chartFormat chart="5" format="62" series="1">
      <pivotArea type="data" outline="0" fieldPosition="0">
        <references count="2">
          <reference field="4294967294" count="1" selected="0">
            <x v="0"/>
          </reference>
          <reference field="8" count="1" selected="0">
            <x v="52"/>
          </reference>
        </references>
      </pivotArea>
    </chartFormat>
    <chartFormat chart="5" format="63" series="1">
      <pivotArea type="data" outline="0" fieldPosition="0">
        <references count="2">
          <reference field="4294967294" count="1" selected="0">
            <x v="0"/>
          </reference>
          <reference field="8" count="1" selected="0">
            <x v="53"/>
          </reference>
        </references>
      </pivotArea>
    </chartFormat>
    <chartFormat chart="5" format="64" series="1">
      <pivotArea type="data" outline="0" fieldPosition="0">
        <references count="2">
          <reference field="4294967294" count="1" selected="0">
            <x v="0"/>
          </reference>
          <reference field="8" count="1" selected="0">
            <x v="54"/>
          </reference>
        </references>
      </pivotArea>
    </chartFormat>
    <chartFormat chart="5" format="65" series="1">
      <pivotArea type="data" outline="0" fieldPosition="0">
        <references count="2">
          <reference field="4294967294" count="1" selected="0">
            <x v="0"/>
          </reference>
          <reference field="8" count="1" selected="0">
            <x v="58"/>
          </reference>
        </references>
      </pivotArea>
    </chartFormat>
    <chartFormat chart="5" format="66" series="1">
      <pivotArea type="data" outline="0" fieldPosition="0">
        <references count="2">
          <reference field="4294967294" count="1" selected="0">
            <x v="0"/>
          </reference>
          <reference field="8" count="1" selected="0">
            <x v="59"/>
          </reference>
        </references>
      </pivotArea>
    </chartFormat>
    <chartFormat chart="5" format="67" series="1">
      <pivotArea type="data" outline="0" fieldPosition="0">
        <references count="2">
          <reference field="4294967294" count="1" selected="0">
            <x v="0"/>
          </reference>
          <reference field="8" count="1" selected="0">
            <x v="60"/>
          </reference>
        </references>
      </pivotArea>
    </chartFormat>
    <chartFormat chart="5" format="68" series="1">
      <pivotArea type="data" outline="0" fieldPosition="0">
        <references count="2">
          <reference field="4294967294" count="1" selected="0">
            <x v="0"/>
          </reference>
          <reference field="8" count="1" selected="0">
            <x v="61"/>
          </reference>
        </references>
      </pivotArea>
    </chartFormat>
    <chartFormat chart="5" format="69" series="1">
      <pivotArea type="data" outline="0" fieldPosition="0">
        <references count="2">
          <reference field="4294967294" count="1" selected="0">
            <x v="0"/>
          </reference>
          <reference field="8" count="1" selected="0">
            <x v="62"/>
          </reference>
        </references>
      </pivotArea>
    </chartFormat>
    <chartFormat chart="5" format="70" series="1">
      <pivotArea type="data" outline="0" fieldPosition="0">
        <references count="2">
          <reference field="4294967294" count="1" selected="0">
            <x v="0"/>
          </reference>
          <reference field="8" count="1" selected="0">
            <x v="0"/>
          </reference>
        </references>
      </pivotArea>
    </chartFormat>
    <chartFormat chart="5" format="71" series="1">
      <pivotArea type="data" outline="0" fieldPosition="0">
        <references count="2">
          <reference field="4294967294" count="1" selected="0">
            <x v="0"/>
          </reference>
          <reference field="8" count="1" selected="0">
            <x v="1"/>
          </reference>
        </references>
      </pivotArea>
    </chartFormat>
    <chartFormat chart="2" format="11" series="1">
      <pivotArea type="data" outline="0" fieldPosition="0">
        <references count="2">
          <reference field="4294967294" count="1" selected="0">
            <x v="0"/>
          </reference>
          <reference field="8" count="1" selected="0">
            <x v="2"/>
          </reference>
        </references>
      </pivotArea>
    </chartFormat>
    <chartFormat chart="2" format="12" series="1">
      <pivotArea type="data" outline="0" fieldPosition="0">
        <references count="2">
          <reference field="4294967294" count="1" selected="0">
            <x v="0"/>
          </reference>
          <reference field="8" count="1" selected="0">
            <x v="3"/>
          </reference>
        </references>
      </pivotArea>
    </chartFormat>
    <chartFormat chart="2" format="13" series="1">
      <pivotArea type="data" outline="0" fieldPosition="0">
        <references count="2">
          <reference field="4294967294" count="1" selected="0">
            <x v="0"/>
          </reference>
          <reference field="8" count="1" selected="0">
            <x v="4"/>
          </reference>
        </references>
      </pivotArea>
    </chartFormat>
    <chartFormat chart="2" format="14" series="1">
      <pivotArea type="data" outline="0" fieldPosition="0">
        <references count="2">
          <reference field="4294967294" count="1" selected="0">
            <x v="0"/>
          </reference>
          <reference field="8" count="1" selected="0">
            <x v="5"/>
          </reference>
        </references>
      </pivotArea>
    </chartFormat>
    <chartFormat chart="2" format="15" series="1">
      <pivotArea type="data" outline="0" fieldPosition="0">
        <references count="2">
          <reference field="4294967294" count="1" selected="0">
            <x v="0"/>
          </reference>
          <reference field="8" count="1" selected="0">
            <x v="6"/>
          </reference>
        </references>
      </pivotArea>
    </chartFormat>
    <chartFormat chart="2" format="16" series="1">
      <pivotArea type="data" outline="0" fieldPosition="0">
        <references count="2">
          <reference field="4294967294" count="1" selected="0">
            <x v="0"/>
          </reference>
          <reference field="8" count="1" selected="0">
            <x v="8"/>
          </reference>
        </references>
      </pivotArea>
    </chartFormat>
    <chartFormat chart="2" format="17" series="1">
      <pivotArea type="data" outline="0" fieldPosition="0">
        <references count="2">
          <reference field="4294967294" count="1" selected="0">
            <x v="0"/>
          </reference>
          <reference field="8" count="1" selected="0">
            <x v="9"/>
          </reference>
        </references>
      </pivotArea>
    </chartFormat>
    <chartFormat chart="2" format="18" series="1">
      <pivotArea type="data" outline="0" fieldPosition="0">
        <references count="2">
          <reference field="4294967294" count="1" selected="0">
            <x v="0"/>
          </reference>
          <reference field="8" count="1" selected="0">
            <x v="10"/>
          </reference>
        </references>
      </pivotArea>
    </chartFormat>
    <chartFormat chart="2" format="19" series="1">
      <pivotArea type="data" outline="0" fieldPosition="0">
        <references count="2">
          <reference field="4294967294" count="1" selected="0">
            <x v="0"/>
          </reference>
          <reference field="8" count="1" selected="0">
            <x v="11"/>
          </reference>
        </references>
      </pivotArea>
    </chartFormat>
    <chartFormat chart="2" format="20" series="1">
      <pivotArea type="data" outline="0" fieldPosition="0">
        <references count="2">
          <reference field="4294967294" count="1" selected="0">
            <x v="0"/>
          </reference>
          <reference field="8" count="1" selected="0">
            <x v="13"/>
          </reference>
        </references>
      </pivotArea>
    </chartFormat>
    <chartFormat chart="2" format="21" series="1">
      <pivotArea type="data" outline="0" fieldPosition="0">
        <references count="2">
          <reference field="4294967294" count="1" selected="0">
            <x v="0"/>
          </reference>
          <reference field="8" count="1" selected="0">
            <x v="15"/>
          </reference>
        </references>
      </pivotArea>
    </chartFormat>
    <chartFormat chart="2" format="22" series="1">
      <pivotArea type="data" outline="0" fieldPosition="0">
        <references count="2">
          <reference field="4294967294" count="1" selected="0">
            <x v="0"/>
          </reference>
          <reference field="8" count="1" selected="0">
            <x v="17"/>
          </reference>
        </references>
      </pivotArea>
    </chartFormat>
    <chartFormat chart="2" format="23" series="1">
      <pivotArea type="data" outline="0" fieldPosition="0">
        <references count="2">
          <reference field="4294967294" count="1" selected="0">
            <x v="0"/>
          </reference>
          <reference field="8" count="1" selected="0">
            <x v="21"/>
          </reference>
        </references>
      </pivotArea>
    </chartFormat>
    <chartFormat chart="2" format="24" series="1">
      <pivotArea type="data" outline="0" fieldPosition="0">
        <references count="2">
          <reference field="4294967294" count="1" selected="0">
            <x v="0"/>
          </reference>
          <reference field="8" count="1" selected="0">
            <x v="22"/>
          </reference>
        </references>
      </pivotArea>
    </chartFormat>
    <chartFormat chart="2" format="25" series="1">
      <pivotArea type="data" outline="0" fieldPosition="0">
        <references count="2">
          <reference field="4294967294" count="1" selected="0">
            <x v="0"/>
          </reference>
          <reference field="8" count="1" selected="0">
            <x v="23"/>
          </reference>
        </references>
      </pivotArea>
    </chartFormat>
    <chartFormat chart="2" format="26" series="1">
      <pivotArea type="data" outline="0" fieldPosition="0">
        <references count="2">
          <reference field="4294967294" count="1" selected="0">
            <x v="0"/>
          </reference>
          <reference field="8" count="1" selected="0">
            <x v="25"/>
          </reference>
        </references>
      </pivotArea>
    </chartFormat>
    <chartFormat chart="2" format="27" series="1">
      <pivotArea type="data" outline="0" fieldPosition="0">
        <references count="2">
          <reference field="4294967294" count="1" selected="0">
            <x v="0"/>
          </reference>
          <reference field="8" count="1" selected="0">
            <x v="26"/>
          </reference>
        </references>
      </pivotArea>
    </chartFormat>
    <chartFormat chart="2" format="28" series="1">
      <pivotArea type="data" outline="0" fieldPosition="0">
        <references count="2">
          <reference field="4294967294" count="1" selected="0">
            <x v="0"/>
          </reference>
          <reference field="8" count="1" selected="0">
            <x v="27"/>
          </reference>
        </references>
      </pivotArea>
    </chartFormat>
    <chartFormat chart="2" format="29" series="1">
      <pivotArea type="data" outline="0" fieldPosition="0">
        <references count="2">
          <reference field="4294967294" count="1" selected="0">
            <x v="0"/>
          </reference>
          <reference field="8" count="1" selected="0">
            <x v="28"/>
          </reference>
        </references>
      </pivotArea>
    </chartFormat>
    <chartFormat chart="2" format="30" series="1">
      <pivotArea type="data" outline="0" fieldPosition="0">
        <references count="2">
          <reference field="4294967294" count="1" selected="0">
            <x v="0"/>
          </reference>
          <reference field="8" count="1" selected="0">
            <x v="29"/>
          </reference>
        </references>
      </pivotArea>
    </chartFormat>
    <chartFormat chart="2" format="31" series="1">
      <pivotArea type="data" outline="0" fieldPosition="0">
        <references count="2">
          <reference field="4294967294" count="1" selected="0">
            <x v="0"/>
          </reference>
          <reference field="8" count="1" selected="0">
            <x v="30"/>
          </reference>
        </references>
      </pivotArea>
    </chartFormat>
    <chartFormat chart="2" format="32" series="1">
      <pivotArea type="data" outline="0" fieldPosition="0">
        <references count="2">
          <reference field="4294967294" count="1" selected="0">
            <x v="0"/>
          </reference>
          <reference field="8" count="1" selected="0">
            <x v="31"/>
          </reference>
        </references>
      </pivotArea>
    </chartFormat>
    <chartFormat chart="2" format="33" series="1">
      <pivotArea type="data" outline="0" fieldPosition="0">
        <references count="2">
          <reference field="4294967294" count="1" selected="0">
            <x v="0"/>
          </reference>
          <reference field="8" count="1" selected="0">
            <x v="32"/>
          </reference>
        </references>
      </pivotArea>
    </chartFormat>
    <chartFormat chart="2" format="34" series="1">
      <pivotArea type="data" outline="0" fieldPosition="0">
        <references count="2">
          <reference field="4294967294" count="1" selected="0">
            <x v="0"/>
          </reference>
          <reference field="8" count="1" selected="0">
            <x v="34"/>
          </reference>
        </references>
      </pivotArea>
    </chartFormat>
    <chartFormat chart="2" format="35" series="1">
      <pivotArea type="data" outline="0" fieldPosition="0">
        <references count="2">
          <reference field="4294967294" count="1" selected="0">
            <x v="0"/>
          </reference>
          <reference field="8" count="1" selected="0">
            <x v="35"/>
          </reference>
        </references>
      </pivotArea>
    </chartFormat>
    <chartFormat chart="2" format="36" series="1">
      <pivotArea type="data" outline="0" fieldPosition="0">
        <references count="2">
          <reference field="4294967294" count="1" selected="0">
            <x v="0"/>
          </reference>
          <reference field="8" count="1" selected="0">
            <x v="36"/>
          </reference>
        </references>
      </pivotArea>
    </chartFormat>
    <chartFormat chart="2" format="37" series="1">
      <pivotArea type="data" outline="0" fieldPosition="0">
        <references count="2">
          <reference field="4294967294" count="1" selected="0">
            <x v="0"/>
          </reference>
          <reference field="8" count="1" selected="0">
            <x v="38"/>
          </reference>
        </references>
      </pivotArea>
    </chartFormat>
    <chartFormat chart="2" format="38" series="1">
      <pivotArea type="data" outline="0" fieldPosition="0">
        <references count="2">
          <reference field="4294967294" count="1" selected="0">
            <x v="0"/>
          </reference>
          <reference field="8" count="1" selected="0">
            <x v="39"/>
          </reference>
        </references>
      </pivotArea>
    </chartFormat>
    <chartFormat chart="2" format="39" series="1">
      <pivotArea type="data" outline="0" fieldPosition="0">
        <references count="2">
          <reference field="4294967294" count="1" selected="0">
            <x v="0"/>
          </reference>
          <reference field="8" count="1" selected="0">
            <x v="40"/>
          </reference>
        </references>
      </pivotArea>
    </chartFormat>
    <chartFormat chart="2" format="40" series="1">
      <pivotArea type="data" outline="0" fieldPosition="0">
        <references count="2">
          <reference field="4294967294" count="1" selected="0">
            <x v="0"/>
          </reference>
          <reference field="8" count="1" selected="0">
            <x v="41"/>
          </reference>
        </references>
      </pivotArea>
    </chartFormat>
    <chartFormat chart="2" format="41" series="1">
      <pivotArea type="data" outline="0" fieldPosition="0">
        <references count="2">
          <reference field="4294967294" count="1" selected="0">
            <x v="0"/>
          </reference>
          <reference field="8" count="1" selected="0">
            <x v="42"/>
          </reference>
        </references>
      </pivotArea>
    </chartFormat>
    <chartFormat chart="2" format="42" series="1">
      <pivotArea type="data" outline="0" fieldPosition="0">
        <references count="2">
          <reference field="4294967294" count="1" selected="0">
            <x v="0"/>
          </reference>
          <reference field="8" count="1" selected="0">
            <x v="43"/>
          </reference>
        </references>
      </pivotArea>
    </chartFormat>
    <chartFormat chart="2" format="43" series="1">
      <pivotArea type="data" outline="0" fieldPosition="0">
        <references count="2">
          <reference field="4294967294" count="1" selected="0">
            <x v="0"/>
          </reference>
          <reference field="8" count="1" selected="0">
            <x v="46"/>
          </reference>
        </references>
      </pivotArea>
    </chartFormat>
    <chartFormat chart="2" format="44" series="1">
      <pivotArea type="data" outline="0" fieldPosition="0">
        <references count="2">
          <reference field="4294967294" count="1" selected="0">
            <x v="0"/>
          </reference>
          <reference field="8" count="1" selected="0">
            <x v="47"/>
          </reference>
        </references>
      </pivotArea>
    </chartFormat>
    <chartFormat chart="2" format="45" series="1">
      <pivotArea type="data" outline="0" fieldPosition="0">
        <references count="2">
          <reference field="4294967294" count="1" selected="0">
            <x v="0"/>
          </reference>
          <reference field="8" count="1" selected="0">
            <x v="49"/>
          </reference>
        </references>
      </pivotArea>
    </chartFormat>
    <chartFormat chart="2" format="46" series="1">
      <pivotArea type="data" outline="0" fieldPosition="0">
        <references count="2">
          <reference field="4294967294" count="1" selected="0">
            <x v="0"/>
          </reference>
          <reference field="8" count="1" selected="0">
            <x v="50"/>
          </reference>
        </references>
      </pivotArea>
    </chartFormat>
    <chartFormat chart="2" format="47" series="1">
      <pivotArea type="data" outline="0" fieldPosition="0">
        <references count="2">
          <reference field="4294967294" count="1" selected="0">
            <x v="0"/>
          </reference>
          <reference field="8" count="1" selected="0">
            <x v="51"/>
          </reference>
        </references>
      </pivotArea>
    </chartFormat>
    <chartFormat chart="2" format="48" series="1">
      <pivotArea type="data" outline="0" fieldPosition="0">
        <references count="2">
          <reference field="4294967294" count="1" selected="0">
            <x v="0"/>
          </reference>
          <reference field="8" count="1" selected="0">
            <x v="52"/>
          </reference>
        </references>
      </pivotArea>
    </chartFormat>
    <chartFormat chart="2" format="49" series="1">
      <pivotArea type="data" outline="0" fieldPosition="0">
        <references count="2">
          <reference field="4294967294" count="1" selected="0">
            <x v="0"/>
          </reference>
          <reference field="8" count="1" selected="0">
            <x v="53"/>
          </reference>
        </references>
      </pivotArea>
    </chartFormat>
    <chartFormat chart="2" format="50" series="1">
      <pivotArea type="data" outline="0" fieldPosition="0">
        <references count="2">
          <reference field="4294967294" count="1" selected="0">
            <x v="0"/>
          </reference>
          <reference field="8" count="1" selected="0">
            <x v="54"/>
          </reference>
        </references>
      </pivotArea>
    </chartFormat>
    <chartFormat chart="2" format="51" series="1">
      <pivotArea type="data" outline="0" fieldPosition="0">
        <references count="2">
          <reference field="4294967294" count="1" selected="0">
            <x v="0"/>
          </reference>
          <reference field="8" count="1" selected="0">
            <x v="58"/>
          </reference>
        </references>
      </pivotArea>
    </chartFormat>
    <chartFormat chart="2" format="52" series="1">
      <pivotArea type="data" outline="0" fieldPosition="0">
        <references count="2">
          <reference field="4294967294" count="1" selected="0">
            <x v="0"/>
          </reference>
          <reference field="8" count="1" selected="0">
            <x v="59"/>
          </reference>
        </references>
      </pivotArea>
    </chartFormat>
    <chartFormat chart="2" format="53" series="1">
      <pivotArea type="data" outline="0" fieldPosition="0">
        <references count="2">
          <reference field="4294967294" count="1" selected="0">
            <x v="0"/>
          </reference>
          <reference field="8" count="1" selected="0">
            <x v="60"/>
          </reference>
        </references>
      </pivotArea>
    </chartFormat>
    <chartFormat chart="2" format="54" series="1">
      <pivotArea type="data" outline="0" fieldPosition="0">
        <references count="2">
          <reference field="4294967294" count="1" selected="0">
            <x v="0"/>
          </reference>
          <reference field="8" count="1" selected="0">
            <x v="61"/>
          </reference>
        </references>
      </pivotArea>
    </chartFormat>
    <chartFormat chart="2" format="55" series="1">
      <pivotArea type="data" outline="0" fieldPosition="0">
        <references count="2">
          <reference field="4294967294" count="1" selected="0">
            <x v="0"/>
          </reference>
          <reference field="8" count="1" selected="0">
            <x v="62"/>
          </reference>
        </references>
      </pivotArea>
    </chartFormat>
    <chartFormat chart="2" format="56" series="1">
      <pivotArea type="data" outline="0" fieldPosition="0">
        <references count="2">
          <reference field="4294967294" count="1" selected="0">
            <x v="0"/>
          </reference>
          <reference field="8" count="1" selected="0">
            <x v="0"/>
          </reference>
        </references>
      </pivotArea>
    </chartFormat>
    <chartFormat chart="2" format="57" series="1">
      <pivotArea type="data" outline="0" fieldPosition="0">
        <references count="2">
          <reference field="4294967294" count="1" selected="0">
            <x v="0"/>
          </reference>
          <reference field="8" count="1" selected="0">
            <x v="1"/>
          </reference>
        </references>
      </pivotArea>
    </chartFormat>
    <chartFormat chart="0" format="12" series="1">
      <pivotArea type="data" outline="0" fieldPosition="0">
        <references count="2">
          <reference field="4294967294" count="1" selected="0">
            <x v="0"/>
          </reference>
          <reference field="8" count="1" selected="0">
            <x v="2"/>
          </reference>
        </references>
      </pivotArea>
    </chartFormat>
    <chartFormat chart="0" format="13" series="1">
      <pivotArea type="data" outline="0" fieldPosition="0">
        <references count="2">
          <reference field="4294967294" count="1" selected="0">
            <x v="0"/>
          </reference>
          <reference field="8" count="1" selected="0">
            <x v="3"/>
          </reference>
        </references>
      </pivotArea>
    </chartFormat>
    <chartFormat chart="0" format="14" series="1">
      <pivotArea type="data" outline="0" fieldPosition="0">
        <references count="2">
          <reference field="4294967294" count="1" selected="0">
            <x v="0"/>
          </reference>
          <reference field="8" count="1" selected="0">
            <x v="4"/>
          </reference>
        </references>
      </pivotArea>
    </chartFormat>
    <chartFormat chart="0" format="15" series="1">
      <pivotArea type="data" outline="0" fieldPosition="0">
        <references count="2">
          <reference field="4294967294" count="1" selected="0">
            <x v="0"/>
          </reference>
          <reference field="8" count="1" selected="0">
            <x v="5"/>
          </reference>
        </references>
      </pivotArea>
    </chartFormat>
    <chartFormat chart="0" format="16" series="1">
      <pivotArea type="data" outline="0" fieldPosition="0">
        <references count="2">
          <reference field="4294967294" count="1" selected="0">
            <x v="0"/>
          </reference>
          <reference field="8" count="1" selected="0">
            <x v="6"/>
          </reference>
        </references>
      </pivotArea>
    </chartFormat>
    <chartFormat chart="0" format="17" series="1">
      <pivotArea type="data" outline="0" fieldPosition="0">
        <references count="2">
          <reference field="4294967294" count="1" selected="0">
            <x v="0"/>
          </reference>
          <reference field="8" count="1" selected="0">
            <x v="8"/>
          </reference>
        </references>
      </pivotArea>
    </chartFormat>
    <chartFormat chart="0" format="18" series="1">
      <pivotArea type="data" outline="0" fieldPosition="0">
        <references count="2">
          <reference field="4294967294" count="1" selected="0">
            <x v="0"/>
          </reference>
          <reference field="8" count="1" selected="0">
            <x v="9"/>
          </reference>
        </references>
      </pivotArea>
    </chartFormat>
    <chartFormat chart="0" format="19" series="1">
      <pivotArea type="data" outline="0" fieldPosition="0">
        <references count="2">
          <reference field="4294967294" count="1" selected="0">
            <x v="0"/>
          </reference>
          <reference field="8" count="1" selected="0">
            <x v="10"/>
          </reference>
        </references>
      </pivotArea>
    </chartFormat>
    <chartFormat chart="0" format="20" series="1">
      <pivotArea type="data" outline="0" fieldPosition="0">
        <references count="2">
          <reference field="4294967294" count="1" selected="0">
            <x v="0"/>
          </reference>
          <reference field="8" count="1" selected="0">
            <x v="11"/>
          </reference>
        </references>
      </pivotArea>
    </chartFormat>
    <chartFormat chart="0" format="21" series="1">
      <pivotArea type="data" outline="0" fieldPosition="0">
        <references count="2">
          <reference field="4294967294" count="1" selected="0">
            <x v="0"/>
          </reference>
          <reference field="8" count="1" selected="0">
            <x v="13"/>
          </reference>
        </references>
      </pivotArea>
    </chartFormat>
    <chartFormat chart="0" format="22" series="1">
      <pivotArea type="data" outline="0" fieldPosition="0">
        <references count="2">
          <reference field="4294967294" count="1" selected="0">
            <x v="0"/>
          </reference>
          <reference field="8" count="1" selected="0">
            <x v="15"/>
          </reference>
        </references>
      </pivotArea>
    </chartFormat>
    <chartFormat chart="0" format="23" series="1">
      <pivotArea type="data" outline="0" fieldPosition="0">
        <references count="2">
          <reference field="4294967294" count="1" selected="0">
            <x v="0"/>
          </reference>
          <reference field="8" count="1" selected="0">
            <x v="17"/>
          </reference>
        </references>
      </pivotArea>
    </chartFormat>
    <chartFormat chart="0" format="24" series="1">
      <pivotArea type="data" outline="0" fieldPosition="0">
        <references count="2">
          <reference field="4294967294" count="1" selected="0">
            <x v="0"/>
          </reference>
          <reference field="8" count="1" selected="0">
            <x v="21"/>
          </reference>
        </references>
      </pivotArea>
    </chartFormat>
    <chartFormat chart="0" format="25" series="1">
      <pivotArea type="data" outline="0" fieldPosition="0">
        <references count="2">
          <reference field="4294967294" count="1" selected="0">
            <x v="0"/>
          </reference>
          <reference field="8" count="1" selected="0">
            <x v="22"/>
          </reference>
        </references>
      </pivotArea>
    </chartFormat>
    <chartFormat chart="0" format="26" series="1">
      <pivotArea type="data" outline="0" fieldPosition="0">
        <references count="2">
          <reference field="4294967294" count="1" selected="0">
            <x v="0"/>
          </reference>
          <reference field="8" count="1" selected="0">
            <x v="23"/>
          </reference>
        </references>
      </pivotArea>
    </chartFormat>
    <chartFormat chart="0" format="27" series="1">
      <pivotArea type="data" outline="0" fieldPosition="0">
        <references count="2">
          <reference field="4294967294" count="1" selected="0">
            <x v="0"/>
          </reference>
          <reference field="8" count="1" selected="0">
            <x v="25"/>
          </reference>
        </references>
      </pivotArea>
    </chartFormat>
    <chartFormat chart="0" format="28" series="1">
      <pivotArea type="data" outline="0" fieldPosition="0">
        <references count="2">
          <reference field="4294967294" count="1" selected="0">
            <x v="0"/>
          </reference>
          <reference field="8" count="1" selected="0">
            <x v="26"/>
          </reference>
        </references>
      </pivotArea>
    </chartFormat>
    <chartFormat chart="0" format="29" series="1">
      <pivotArea type="data" outline="0" fieldPosition="0">
        <references count="2">
          <reference field="4294967294" count="1" selected="0">
            <x v="0"/>
          </reference>
          <reference field="8" count="1" selected="0">
            <x v="27"/>
          </reference>
        </references>
      </pivotArea>
    </chartFormat>
    <chartFormat chart="0" format="30" series="1">
      <pivotArea type="data" outline="0" fieldPosition="0">
        <references count="2">
          <reference field="4294967294" count="1" selected="0">
            <x v="0"/>
          </reference>
          <reference field="8" count="1" selected="0">
            <x v="28"/>
          </reference>
        </references>
      </pivotArea>
    </chartFormat>
    <chartFormat chart="0" format="31" series="1">
      <pivotArea type="data" outline="0" fieldPosition="0">
        <references count="2">
          <reference field="4294967294" count="1" selected="0">
            <x v="0"/>
          </reference>
          <reference field="8" count="1" selected="0">
            <x v="29"/>
          </reference>
        </references>
      </pivotArea>
    </chartFormat>
    <chartFormat chart="0" format="32" series="1">
      <pivotArea type="data" outline="0" fieldPosition="0">
        <references count="2">
          <reference field="4294967294" count="1" selected="0">
            <x v="0"/>
          </reference>
          <reference field="8" count="1" selected="0">
            <x v="30"/>
          </reference>
        </references>
      </pivotArea>
    </chartFormat>
    <chartFormat chart="0" format="33" series="1">
      <pivotArea type="data" outline="0" fieldPosition="0">
        <references count="2">
          <reference field="4294967294" count="1" selected="0">
            <x v="0"/>
          </reference>
          <reference field="8" count="1" selected="0">
            <x v="31"/>
          </reference>
        </references>
      </pivotArea>
    </chartFormat>
    <chartFormat chart="0" format="34" series="1">
      <pivotArea type="data" outline="0" fieldPosition="0">
        <references count="2">
          <reference field="4294967294" count="1" selected="0">
            <x v="0"/>
          </reference>
          <reference field="8" count="1" selected="0">
            <x v="32"/>
          </reference>
        </references>
      </pivotArea>
    </chartFormat>
    <chartFormat chart="0" format="35" series="1">
      <pivotArea type="data" outline="0" fieldPosition="0">
        <references count="2">
          <reference field="4294967294" count="1" selected="0">
            <x v="0"/>
          </reference>
          <reference field="8" count="1" selected="0">
            <x v="34"/>
          </reference>
        </references>
      </pivotArea>
    </chartFormat>
    <chartFormat chart="0" format="36" series="1">
      <pivotArea type="data" outline="0" fieldPosition="0">
        <references count="2">
          <reference field="4294967294" count="1" selected="0">
            <x v="0"/>
          </reference>
          <reference field="8" count="1" selected="0">
            <x v="35"/>
          </reference>
        </references>
      </pivotArea>
    </chartFormat>
    <chartFormat chart="0" format="37" series="1">
      <pivotArea type="data" outline="0" fieldPosition="0">
        <references count="2">
          <reference field="4294967294" count="1" selected="0">
            <x v="0"/>
          </reference>
          <reference field="8" count="1" selected="0">
            <x v="36"/>
          </reference>
        </references>
      </pivotArea>
    </chartFormat>
    <chartFormat chart="0" format="38" series="1">
      <pivotArea type="data" outline="0" fieldPosition="0">
        <references count="2">
          <reference field="4294967294" count="1" selected="0">
            <x v="0"/>
          </reference>
          <reference field="8" count="1" selected="0">
            <x v="38"/>
          </reference>
        </references>
      </pivotArea>
    </chartFormat>
    <chartFormat chart="0" format="39" series="1">
      <pivotArea type="data" outline="0" fieldPosition="0">
        <references count="2">
          <reference field="4294967294" count="1" selected="0">
            <x v="0"/>
          </reference>
          <reference field="8" count="1" selected="0">
            <x v="39"/>
          </reference>
        </references>
      </pivotArea>
    </chartFormat>
    <chartFormat chart="0" format="40" series="1">
      <pivotArea type="data" outline="0" fieldPosition="0">
        <references count="2">
          <reference field="4294967294" count="1" selected="0">
            <x v="0"/>
          </reference>
          <reference field="8" count="1" selected="0">
            <x v="40"/>
          </reference>
        </references>
      </pivotArea>
    </chartFormat>
    <chartFormat chart="0" format="41" series="1">
      <pivotArea type="data" outline="0" fieldPosition="0">
        <references count="2">
          <reference field="4294967294" count="1" selected="0">
            <x v="0"/>
          </reference>
          <reference field="8" count="1" selected="0">
            <x v="41"/>
          </reference>
        </references>
      </pivotArea>
    </chartFormat>
    <chartFormat chart="0" format="42" series="1">
      <pivotArea type="data" outline="0" fieldPosition="0">
        <references count="2">
          <reference field="4294967294" count="1" selected="0">
            <x v="0"/>
          </reference>
          <reference field="8" count="1" selected="0">
            <x v="42"/>
          </reference>
        </references>
      </pivotArea>
    </chartFormat>
    <chartFormat chart="0" format="43" series="1">
      <pivotArea type="data" outline="0" fieldPosition="0">
        <references count="2">
          <reference field="4294967294" count="1" selected="0">
            <x v="0"/>
          </reference>
          <reference field="8" count="1" selected="0">
            <x v="43"/>
          </reference>
        </references>
      </pivotArea>
    </chartFormat>
    <chartFormat chart="0" format="44" series="1">
      <pivotArea type="data" outline="0" fieldPosition="0">
        <references count="2">
          <reference field="4294967294" count="1" selected="0">
            <x v="0"/>
          </reference>
          <reference field="8" count="1" selected="0">
            <x v="46"/>
          </reference>
        </references>
      </pivotArea>
    </chartFormat>
    <chartFormat chart="0" format="45" series="1">
      <pivotArea type="data" outline="0" fieldPosition="0">
        <references count="2">
          <reference field="4294967294" count="1" selected="0">
            <x v="0"/>
          </reference>
          <reference field="8" count="1" selected="0">
            <x v="47"/>
          </reference>
        </references>
      </pivotArea>
    </chartFormat>
    <chartFormat chart="0" format="46" series="1">
      <pivotArea type="data" outline="0" fieldPosition="0">
        <references count="2">
          <reference field="4294967294" count="1" selected="0">
            <x v="0"/>
          </reference>
          <reference field="8" count="1" selected="0">
            <x v="49"/>
          </reference>
        </references>
      </pivotArea>
    </chartFormat>
    <chartFormat chart="0" format="47" series="1">
      <pivotArea type="data" outline="0" fieldPosition="0">
        <references count="2">
          <reference field="4294967294" count="1" selected="0">
            <x v="0"/>
          </reference>
          <reference field="8" count="1" selected="0">
            <x v="50"/>
          </reference>
        </references>
      </pivotArea>
    </chartFormat>
    <chartFormat chart="0" format="48" series="1">
      <pivotArea type="data" outline="0" fieldPosition="0">
        <references count="2">
          <reference field="4294967294" count="1" selected="0">
            <x v="0"/>
          </reference>
          <reference field="8" count="1" selected="0">
            <x v="51"/>
          </reference>
        </references>
      </pivotArea>
    </chartFormat>
    <chartFormat chart="0" format="49" series="1">
      <pivotArea type="data" outline="0" fieldPosition="0">
        <references count="2">
          <reference field="4294967294" count="1" selected="0">
            <x v="0"/>
          </reference>
          <reference field="8" count="1" selected="0">
            <x v="52"/>
          </reference>
        </references>
      </pivotArea>
    </chartFormat>
    <chartFormat chart="0" format="50" series="1">
      <pivotArea type="data" outline="0" fieldPosition="0">
        <references count="2">
          <reference field="4294967294" count="1" selected="0">
            <x v="0"/>
          </reference>
          <reference field="8" count="1" selected="0">
            <x v="53"/>
          </reference>
        </references>
      </pivotArea>
    </chartFormat>
    <chartFormat chart="0" format="51" series="1">
      <pivotArea type="data" outline="0" fieldPosition="0">
        <references count="2">
          <reference field="4294967294" count="1" selected="0">
            <x v="0"/>
          </reference>
          <reference field="8" count="1" selected="0">
            <x v="54"/>
          </reference>
        </references>
      </pivotArea>
    </chartFormat>
    <chartFormat chart="0" format="52" series="1">
      <pivotArea type="data" outline="0" fieldPosition="0">
        <references count="2">
          <reference field="4294967294" count="1" selected="0">
            <x v="0"/>
          </reference>
          <reference field="8" count="1" selected="0">
            <x v="58"/>
          </reference>
        </references>
      </pivotArea>
    </chartFormat>
    <chartFormat chart="0" format="53" series="1">
      <pivotArea type="data" outline="0" fieldPosition="0">
        <references count="2">
          <reference field="4294967294" count="1" selected="0">
            <x v="0"/>
          </reference>
          <reference field="8" count="1" selected="0">
            <x v="59"/>
          </reference>
        </references>
      </pivotArea>
    </chartFormat>
    <chartFormat chart="0" format="54" series="1">
      <pivotArea type="data" outline="0" fieldPosition="0">
        <references count="2">
          <reference field="4294967294" count="1" selected="0">
            <x v="0"/>
          </reference>
          <reference field="8" count="1" selected="0">
            <x v="60"/>
          </reference>
        </references>
      </pivotArea>
    </chartFormat>
    <chartFormat chart="0" format="55" series="1">
      <pivotArea type="data" outline="0" fieldPosition="0">
        <references count="2">
          <reference field="4294967294" count="1" selected="0">
            <x v="0"/>
          </reference>
          <reference field="8" count="1" selected="0">
            <x v="61"/>
          </reference>
        </references>
      </pivotArea>
    </chartFormat>
    <chartFormat chart="0" format="56" series="1">
      <pivotArea type="data" outline="0" fieldPosition="0">
        <references count="2">
          <reference field="4294967294" count="1" selected="0">
            <x v="0"/>
          </reference>
          <reference field="8" count="1" selected="0">
            <x v="0"/>
          </reference>
        </references>
      </pivotArea>
    </chartFormat>
    <chartFormat chart="0" format="57" series="1">
      <pivotArea type="data" outline="0" fieldPosition="0">
        <references count="2">
          <reference field="4294967294" count="1" selected="0">
            <x v="0"/>
          </reference>
          <reference field="8" count="1" selected="0">
            <x v="1"/>
          </reference>
        </references>
      </pivotArea>
    </chartFormat>
    <chartFormat chart="5" format="72" series="1">
      <pivotArea type="data" outline="0" fieldPosition="0">
        <references count="2">
          <reference field="4294967294" count="1" selected="0">
            <x v="0"/>
          </reference>
          <reference field="8" count="1" selected="0">
            <x v="14"/>
          </reference>
        </references>
      </pivotArea>
    </chartFormat>
    <chartFormat chart="5" format="73" series="1">
      <pivotArea type="data" outline="0" fieldPosition="0">
        <references count="2">
          <reference field="4294967294" count="1" selected="0">
            <x v="0"/>
          </reference>
          <reference field="8" count="1" selected="0">
            <x v="24"/>
          </reference>
        </references>
      </pivotArea>
    </chartFormat>
    <chartFormat chart="5" format="74" series="1">
      <pivotArea type="data" outline="0" fieldPosition="0">
        <references count="2">
          <reference field="4294967294" count="1" selected="0">
            <x v="0"/>
          </reference>
          <reference field="8" count="1" selected="0">
            <x v="33"/>
          </reference>
        </references>
      </pivotArea>
    </chartFormat>
    <chartFormat chart="5" format="75" series="1">
      <pivotArea type="data" outline="0" fieldPosition="0">
        <references count="2">
          <reference field="4294967294" count="1" selected="0">
            <x v="0"/>
          </reference>
          <reference field="8" count="1" selected="0">
            <x v="45"/>
          </reference>
        </references>
      </pivotArea>
    </chartFormat>
    <chartFormat chart="5" format="76" series="1">
      <pivotArea type="data" outline="0" fieldPosition="0">
        <references count="2">
          <reference field="4294967294" count="1" selected="0">
            <x v="0"/>
          </reference>
          <reference field="8" count="1" selected="0">
            <x v="48"/>
          </reference>
        </references>
      </pivotArea>
    </chartFormat>
    <chartFormat chart="2" format="58" series="1">
      <pivotArea type="data" outline="0" fieldPosition="0">
        <references count="2">
          <reference field="4294967294" count="1" selected="0">
            <x v="0"/>
          </reference>
          <reference field="8" count="1" selected="0">
            <x v="14"/>
          </reference>
        </references>
      </pivotArea>
    </chartFormat>
    <chartFormat chart="2" format="59" series="1">
      <pivotArea type="data" outline="0" fieldPosition="0">
        <references count="2">
          <reference field="4294967294" count="1" selected="0">
            <x v="0"/>
          </reference>
          <reference field="8" count="1" selected="0">
            <x v="24"/>
          </reference>
        </references>
      </pivotArea>
    </chartFormat>
    <chartFormat chart="2" format="60" series="1">
      <pivotArea type="data" outline="0" fieldPosition="0">
        <references count="2">
          <reference field="4294967294" count="1" selected="0">
            <x v="0"/>
          </reference>
          <reference field="8" count="1" selected="0">
            <x v="33"/>
          </reference>
        </references>
      </pivotArea>
    </chartFormat>
    <chartFormat chart="2" format="61" series="1">
      <pivotArea type="data" outline="0" fieldPosition="0">
        <references count="2">
          <reference field="4294967294" count="1" selected="0">
            <x v="0"/>
          </reference>
          <reference field="8" count="1" selected="0">
            <x v="45"/>
          </reference>
        </references>
      </pivotArea>
    </chartFormat>
    <chartFormat chart="2" format="62" series="1">
      <pivotArea type="data" outline="0" fieldPosition="0">
        <references count="2">
          <reference field="4294967294" count="1" selected="0">
            <x v="0"/>
          </reference>
          <reference field="8" count="1" selected="0">
            <x v="48"/>
          </reference>
        </references>
      </pivotArea>
    </chartFormat>
    <chartFormat chart="0" format="58" series="1">
      <pivotArea type="data" outline="0" fieldPosition="0">
        <references count="2">
          <reference field="4294967294" count="1" selected="0">
            <x v="0"/>
          </reference>
          <reference field="8" count="1" selected="0">
            <x v="14"/>
          </reference>
        </references>
      </pivotArea>
    </chartFormat>
    <chartFormat chart="0" format="59" series="1">
      <pivotArea type="data" outline="0" fieldPosition="0">
        <references count="2">
          <reference field="4294967294" count="1" selected="0">
            <x v="0"/>
          </reference>
          <reference field="8" count="1" selected="0">
            <x v="24"/>
          </reference>
        </references>
      </pivotArea>
    </chartFormat>
    <chartFormat chart="0" format="60" series="1">
      <pivotArea type="data" outline="0" fieldPosition="0">
        <references count="2">
          <reference field="4294967294" count="1" selected="0">
            <x v="0"/>
          </reference>
          <reference field="8" count="1" selected="0">
            <x v="33"/>
          </reference>
        </references>
      </pivotArea>
    </chartFormat>
    <chartFormat chart="0" format="61" series="1">
      <pivotArea type="data" outline="0" fieldPosition="0">
        <references count="2">
          <reference field="4294967294" count="1" selected="0">
            <x v="0"/>
          </reference>
          <reference field="8" count="1" selected="0">
            <x v="45"/>
          </reference>
        </references>
      </pivotArea>
    </chartFormat>
    <chartFormat chart="0" format="62" series="1">
      <pivotArea type="data" outline="0" fieldPosition="0">
        <references count="2">
          <reference field="4294967294" count="1" selected="0">
            <x v="0"/>
          </reference>
          <reference field="8" count="1" selected="0">
            <x v="48"/>
          </reference>
        </references>
      </pivotArea>
    </chartFormat>
    <chartFormat chart="7" format="63" series="1">
      <pivotArea type="data" outline="0" fieldPosition="0">
        <references count="2">
          <reference field="4294967294" count="1" selected="0">
            <x v="0"/>
          </reference>
          <reference field="8" count="1" selected="0">
            <x v="7"/>
          </reference>
        </references>
      </pivotArea>
    </chartFormat>
    <chartFormat chart="7" format="64" series="1">
      <pivotArea type="data" outline="0" fieldPosition="0">
        <references count="2">
          <reference field="4294967294" count="1" selected="0">
            <x v="0"/>
          </reference>
          <reference field="8" count="1" selected="0">
            <x v="16"/>
          </reference>
        </references>
      </pivotArea>
    </chartFormat>
    <chartFormat chart="7" format="65" series="1">
      <pivotArea type="data" outline="0" fieldPosition="0">
        <references count="2">
          <reference field="4294967294" count="1" selected="0">
            <x v="0"/>
          </reference>
          <reference field="8" count="1" selected="0">
            <x v="18"/>
          </reference>
        </references>
      </pivotArea>
    </chartFormat>
    <chartFormat chart="7" format="66" series="1">
      <pivotArea type="data" outline="0" fieldPosition="0">
        <references count="2">
          <reference field="4294967294" count="1" selected="0">
            <x v="0"/>
          </reference>
          <reference field="8" count="1" selected="0">
            <x v="19"/>
          </reference>
        </references>
      </pivotArea>
    </chartFormat>
    <chartFormat chart="7" format="67" series="1">
      <pivotArea type="data" outline="0" fieldPosition="0">
        <references count="2">
          <reference field="4294967294" count="1" selected="0">
            <x v="0"/>
          </reference>
          <reference field="8" count="1" selected="0">
            <x v="20"/>
          </reference>
        </references>
      </pivotArea>
    </chartFormat>
    <chartFormat chart="7" format="68" series="1">
      <pivotArea type="data" outline="0" fieldPosition="0">
        <references count="2">
          <reference field="4294967294" count="1" selected="0">
            <x v="0"/>
          </reference>
          <reference field="8" count="1" selected="0">
            <x v="44"/>
          </reference>
        </references>
      </pivotArea>
    </chartFormat>
    <chartFormat chart="7" format="69" series="1">
      <pivotArea type="data" outline="0" fieldPosition="0">
        <references count="2">
          <reference field="4294967294" count="1" selected="0">
            <x v="0"/>
          </reference>
          <reference field="8" count="1" selected="0">
            <x v="57"/>
          </reference>
        </references>
      </pivotArea>
    </chartFormat>
    <chartFormat chart="8" format="70" series="1">
      <pivotArea type="data" outline="0" fieldPosition="0">
        <references count="2">
          <reference field="4294967294" count="1" selected="0">
            <x v="0"/>
          </reference>
          <reference field="8" count="1" selected="0">
            <x v="7"/>
          </reference>
        </references>
      </pivotArea>
    </chartFormat>
    <chartFormat chart="8" format="71" series="1">
      <pivotArea type="data" outline="0" fieldPosition="0">
        <references count="2">
          <reference field="4294967294" count="1" selected="0">
            <x v="0"/>
          </reference>
          <reference field="8" count="1" selected="0">
            <x v="16"/>
          </reference>
        </references>
      </pivotArea>
    </chartFormat>
    <chartFormat chart="8" format="72" series="1">
      <pivotArea type="data" outline="0" fieldPosition="0">
        <references count="2">
          <reference field="4294967294" count="1" selected="0">
            <x v="0"/>
          </reference>
          <reference field="8" count="1" selected="0">
            <x v="18"/>
          </reference>
        </references>
      </pivotArea>
    </chartFormat>
    <chartFormat chart="8" format="73" series="1">
      <pivotArea type="data" outline="0" fieldPosition="0">
        <references count="2">
          <reference field="4294967294" count="1" selected="0">
            <x v="0"/>
          </reference>
          <reference field="8" count="1" selected="0">
            <x v="19"/>
          </reference>
        </references>
      </pivotArea>
    </chartFormat>
    <chartFormat chart="8" format="74" series="1">
      <pivotArea type="data" outline="0" fieldPosition="0">
        <references count="2">
          <reference field="4294967294" count="1" selected="0">
            <x v="0"/>
          </reference>
          <reference field="8" count="1" selected="0">
            <x v="20"/>
          </reference>
        </references>
      </pivotArea>
    </chartFormat>
    <chartFormat chart="8" format="75" series="1">
      <pivotArea type="data" outline="0" fieldPosition="0">
        <references count="2">
          <reference field="4294967294" count="1" selected="0">
            <x v="0"/>
          </reference>
          <reference field="8" count="1" selected="0">
            <x v="44"/>
          </reference>
        </references>
      </pivotArea>
    </chartFormat>
    <chartFormat chart="8" format="76" series="1">
      <pivotArea type="data" outline="0" fieldPosition="0">
        <references count="2">
          <reference field="4294967294" count="1" selected="0">
            <x v="0"/>
          </reference>
          <reference field="8" count="1" selected="0">
            <x v="5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A2B008-F3EC-4F3D-B586-529781CF030C}" name="Product Performanc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H3:P9" firstHeaderRow="1" firstDataRow="3" firstDataCol="1"/>
  <pivotFields count="19">
    <pivotField dataField="1" showAll="0"/>
    <pivotField showAll="0"/>
    <pivotField numFmtId="14" showAll="0"/>
    <pivotField showAll="0"/>
    <pivotField showAll="0"/>
    <pivotField showAll="0"/>
    <pivotField dataField="1" showAll="0">
      <items count="32">
        <item x="0"/>
        <item x="1"/>
        <item x="2"/>
        <item x="4"/>
        <item x="3"/>
        <item x="5"/>
        <item x="13"/>
        <item x="6"/>
        <item x="7"/>
        <item x="8"/>
        <item x="9"/>
        <item x="10"/>
        <item x="11"/>
        <item x="30"/>
        <item x="12"/>
        <item x="16"/>
        <item x="15"/>
        <item x="14"/>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 axis="axisRow" showAll="0">
      <items count="10">
        <item x="0"/>
        <item x="2"/>
        <item x="7"/>
        <item h="1" x="4"/>
        <item h="1" x="6"/>
        <item h="1" x="1"/>
        <item h="1" x="8"/>
        <item h="1" x="5"/>
        <item h="1" x="3"/>
        <item t="default"/>
      </items>
    </pivotField>
  </pivotFields>
  <rowFields count="1">
    <field x="18"/>
  </rowFields>
  <rowItems count="4">
    <i>
      <x/>
    </i>
    <i>
      <x v="1"/>
    </i>
    <i>
      <x v="2"/>
    </i>
    <i t="grand">
      <x/>
    </i>
  </rowItems>
  <colFields count="2">
    <field x="17"/>
    <field x="-2"/>
  </colFields>
  <colItems count="8">
    <i>
      <x/>
      <x/>
    </i>
    <i r="1" i="1">
      <x v="1"/>
    </i>
    <i>
      <x v="1"/>
      <x/>
    </i>
    <i r="1" i="1">
      <x v="1"/>
    </i>
    <i>
      <x v="2"/>
      <x/>
    </i>
    <i r="1" i="1">
      <x v="1"/>
    </i>
    <i t="grand">
      <x/>
    </i>
    <i t="grand" i="1">
      <x/>
    </i>
  </colItems>
  <dataFields count="2">
    <dataField name="Count of asin" fld="6" subtotal="count" baseField="0" baseItem="0"/>
    <dataField name="Average of overall" fld="0" subtotal="average" baseField="18" baseItem="2"/>
  </dataFields>
  <chartFormats count="12">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1"/>
          </reference>
          <reference field="17" count="1" selected="0">
            <x v="0"/>
          </reference>
        </references>
      </pivotArea>
    </chartFormat>
    <chartFormat chart="0" format="2" series="1">
      <pivotArea type="data" outline="0" fieldPosition="0">
        <references count="2">
          <reference field="4294967294" count="1" selected="0">
            <x v="0"/>
          </reference>
          <reference field="17" count="1" selected="0">
            <x v="1"/>
          </reference>
        </references>
      </pivotArea>
    </chartFormat>
    <chartFormat chart="0" format="3" series="1">
      <pivotArea type="data" outline="0" fieldPosition="0">
        <references count="2">
          <reference field="4294967294" count="1" selected="0">
            <x v="1"/>
          </reference>
          <reference field="17" count="1" selected="0">
            <x v="1"/>
          </reference>
        </references>
      </pivotArea>
    </chartFormat>
    <chartFormat chart="0" format="4" series="1">
      <pivotArea type="data" outline="0" fieldPosition="0">
        <references count="2">
          <reference field="4294967294" count="1" selected="0">
            <x v="0"/>
          </reference>
          <reference field="17" count="1" selected="0">
            <x v="2"/>
          </reference>
        </references>
      </pivotArea>
    </chartFormat>
    <chartFormat chart="0" format="5" series="1">
      <pivotArea type="data" outline="0" fieldPosition="0">
        <references count="2">
          <reference field="4294967294" count="1" selected="0">
            <x v="1"/>
          </reference>
          <reference field="17" count="1" selected="0">
            <x v="2"/>
          </reference>
        </references>
      </pivotArea>
    </chartFormat>
    <chartFormat chart="4" format="12" series="1">
      <pivotArea type="data" outline="0" fieldPosition="0">
        <references count="2">
          <reference field="4294967294" count="1" selected="0">
            <x v="0"/>
          </reference>
          <reference field="17" count="1" selected="0">
            <x v="0"/>
          </reference>
        </references>
      </pivotArea>
    </chartFormat>
    <chartFormat chart="4" format="13" series="1">
      <pivotArea type="data" outline="0" fieldPosition="0">
        <references count="2">
          <reference field="4294967294" count="1" selected="0">
            <x v="1"/>
          </reference>
          <reference field="17" count="1" selected="0">
            <x v="0"/>
          </reference>
        </references>
      </pivotArea>
    </chartFormat>
    <chartFormat chart="4" format="14" series="1">
      <pivotArea type="data" outline="0" fieldPosition="0">
        <references count="2">
          <reference field="4294967294" count="1" selected="0">
            <x v="0"/>
          </reference>
          <reference field="17" count="1" selected="0">
            <x v="1"/>
          </reference>
        </references>
      </pivotArea>
    </chartFormat>
    <chartFormat chart="4" format="15" series="1">
      <pivotArea type="data" outline="0" fieldPosition="0">
        <references count="2">
          <reference field="4294967294" count="1" selected="0">
            <x v="1"/>
          </reference>
          <reference field="17" count="1" selected="0">
            <x v="1"/>
          </reference>
        </references>
      </pivotArea>
    </chartFormat>
    <chartFormat chart="4" format="16" series="1">
      <pivotArea type="data" outline="0" fieldPosition="0">
        <references count="2">
          <reference field="4294967294" count="1" selected="0">
            <x v="0"/>
          </reference>
          <reference field="17" count="1" selected="0">
            <x v="2"/>
          </reference>
        </references>
      </pivotArea>
    </chartFormat>
    <chartFormat chart="4" format="17" series="1">
      <pivotArea type="data" outline="0" fieldPosition="0">
        <references count="2">
          <reference field="4294967294" count="1" selected="0">
            <x v="1"/>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FAC8E2-0681-4DCC-B39F-3D8962A5C99D}" name="Monthly review trends"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29:E79" firstHeaderRow="1" firstDataRow="2" firstDataCol="1"/>
  <pivotFields count="19">
    <pivotField showAll="0"/>
    <pivotField showAll="0"/>
    <pivotField numFmtId="14" showAll="0"/>
    <pivotField axis="axisRow" showAll="0">
      <items count="9">
        <item x="7"/>
        <item x="5"/>
        <item x="6"/>
        <item x="4"/>
        <item x="0"/>
        <item x="3"/>
        <item x="2"/>
        <item h="1" x="1"/>
        <item t="default"/>
      </items>
    </pivotField>
    <pivotField axis="axisRow" showAll="0">
      <items count="13">
        <item x="2"/>
        <item x="8"/>
        <item x="5"/>
        <item x="10"/>
        <item x="1"/>
        <item x="6"/>
        <item x="9"/>
        <item x="4"/>
        <item x="0"/>
        <item x="3"/>
        <item x="7"/>
        <item x="11"/>
        <item t="default"/>
      </items>
    </pivotField>
    <pivotField showAll="0"/>
    <pivotField showAll="0"/>
    <pivotField showAll="0">
      <items count="73">
        <item x="9"/>
        <item x="49"/>
        <item x="30"/>
        <item x="37"/>
        <item x="40"/>
        <item x="63"/>
        <item x="47"/>
        <item x="31"/>
        <item x="23"/>
        <item x="58"/>
        <item x="53"/>
        <item x="25"/>
        <item x="39"/>
        <item x="67"/>
        <item x="32"/>
        <item x="38"/>
        <item x="41"/>
        <item x="64"/>
        <item x="19"/>
        <item x="56"/>
        <item x="13"/>
        <item x="10"/>
        <item x="12"/>
        <item x="11"/>
        <item x="33"/>
        <item x="61"/>
        <item x="48"/>
        <item x="24"/>
        <item x="62"/>
        <item x="50"/>
        <item x="26"/>
        <item x="66"/>
        <item x="14"/>
        <item x="36"/>
        <item x="59"/>
        <item x="43"/>
        <item x="22"/>
        <item x="35"/>
        <item x="18"/>
        <item x="55"/>
        <item x="45"/>
        <item x="15"/>
        <item x="27"/>
        <item x="60"/>
        <item x="46"/>
        <item x="21"/>
        <item x="29"/>
        <item x="57"/>
        <item x="42"/>
        <item x="52"/>
        <item x="17"/>
        <item x="28"/>
        <item x="20"/>
        <item x="54"/>
        <item x="44"/>
        <item x="51"/>
        <item x="16"/>
        <item x="34"/>
        <item x="65"/>
        <item x="68"/>
        <item x="0"/>
        <item x="7"/>
        <item x="71"/>
        <item x="1"/>
        <item x="5"/>
        <item x="70"/>
        <item x="8"/>
        <item x="3"/>
        <item x="69"/>
        <item x="4"/>
        <item x="6"/>
        <item x="2"/>
        <item t="default"/>
      </items>
    </pivotField>
    <pivotField showAll="0"/>
    <pivotField showAll="0"/>
    <pivotField dataField="1" showAll="0">
      <items count="436">
        <item x="68"/>
        <item x="10"/>
        <item x="244"/>
        <item x="370"/>
        <item x="142"/>
        <item x="110"/>
        <item x="288"/>
        <item x="328"/>
        <item x="346"/>
        <item x="373"/>
        <item x="215"/>
        <item x="287"/>
        <item x="103"/>
        <item x="29"/>
        <item x="218"/>
        <item x="23"/>
        <item x="201"/>
        <item x="406"/>
        <item x="188"/>
        <item x="165"/>
        <item x="60"/>
        <item x="358"/>
        <item x="141"/>
        <item x="302"/>
        <item x="174"/>
        <item x="115"/>
        <item x="300"/>
        <item x="277"/>
        <item x="13"/>
        <item x="132"/>
        <item x="224"/>
        <item x="374"/>
        <item x="81"/>
        <item x="217"/>
        <item x="178"/>
        <item x="246"/>
        <item x="312"/>
        <item x="86"/>
        <item x="24"/>
        <item x="39"/>
        <item x="291"/>
        <item x="266"/>
        <item x="148"/>
        <item x="98"/>
        <item x="32"/>
        <item x="92"/>
        <item x="53"/>
        <item x="321"/>
        <item x="166"/>
        <item x="9"/>
        <item x="46"/>
        <item x="17"/>
        <item x="158"/>
        <item x="227"/>
        <item x="231"/>
        <item x="429"/>
        <item x="323"/>
        <item x="355"/>
        <item x="299"/>
        <item x="124"/>
        <item x="401"/>
        <item x="189"/>
        <item x="255"/>
        <item x="336"/>
        <item x="347"/>
        <item x="314"/>
        <item x="20"/>
        <item x="334"/>
        <item x="154"/>
        <item x="145"/>
        <item x="177"/>
        <item x="343"/>
        <item x="298"/>
        <item x="55"/>
        <item x="104"/>
        <item x="273"/>
        <item x="16"/>
        <item x="322"/>
        <item x="186"/>
        <item x="49"/>
        <item x="159"/>
        <item x="15"/>
        <item x="221"/>
        <item x="282"/>
        <item x="163"/>
        <item x="251"/>
        <item x="66"/>
        <item x="114"/>
        <item x="69"/>
        <item x="281"/>
        <item x="243"/>
        <item x="301"/>
        <item x="74"/>
        <item x="14"/>
        <item x="303"/>
        <item x="0"/>
        <item x="122"/>
        <item x="151"/>
        <item x="63"/>
        <item x="135"/>
        <item x="271"/>
        <item x="76"/>
        <item x="357"/>
        <item x="162"/>
        <item x="36"/>
        <item x="421"/>
        <item x="111"/>
        <item x="425"/>
        <item x="310"/>
        <item x="363"/>
        <item x="56"/>
        <item x="89"/>
        <item x="138"/>
        <item x="387"/>
        <item x="423"/>
        <item x="369"/>
        <item x="319"/>
        <item x="329"/>
        <item x="362"/>
        <item x="127"/>
        <item x="365"/>
        <item x="338"/>
        <item x="416"/>
        <item x="194"/>
        <item x="339"/>
        <item x="196"/>
        <item x="305"/>
        <item x="123"/>
        <item x="232"/>
        <item x="254"/>
        <item x="160"/>
        <item x="134"/>
        <item x="205"/>
        <item x="41"/>
        <item x="419"/>
        <item x="349"/>
        <item x="108"/>
        <item x="50"/>
        <item x="360"/>
        <item x="87"/>
        <item x="267"/>
        <item x="77"/>
        <item x="220"/>
        <item x="230"/>
        <item x="225"/>
        <item x="191"/>
        <item x="351"/>
        <item x="96"/>
        <item x="180"/>
        <item x="265"/>
        <item x="342"/>
        <item x="290"/>
        <item x="106"/>
        <item x="424"/>
        <item x="237"/>
        <item x="161"/>
        <item x="263"/>
        <item x="22"/>
        <item x="99"/>
        <item x="391"/>
        <item x="245"/>
        <item x="397"/>
        <item x="164"/>
        <item x="307"/>
        <item x="190"/>
        <item x="420"/>
        <item x="121"/>
        <item x="294"/>
        <item x="270"/>
        <item x="275"/>
        <item x="378"/>
        <item x="430"/>
        <item x="90"/>
        <item x="352"/>
        <item x="280"/>
        <item x="45"/>
        <item x="394"/>
        <item x="48"/>
        <item x="70"/>
        <item x="185"/>
        <item x="260"/>
        <item x="284"/>
        <item x="216"/>
        <item x="390"/>
        <item x="202"/>
        <item x="348"/>
        <item x="214"/>
        <item x="235"/>
        <item x="311"/>
        <item x="183"/>
        <item x="140"/>
        <item x="433"/>
        <item x="274"/>
        <item x="313"/>
        <item x="324"/>
        <item x="219"/>
        <item x="97"/>
        <item x="367"/>
        <item x="264"/>
        <item x="411"/>
        <item x="35"/>
        <item x="52"/>
        <item x="137"/>
        <item x="368"/>
        <item x="173"/>
        <item x="80"/>
        <item x="155"/>
        <item x="297"/>
        <item x="407"/>
        <item x="229"/>
        <item x="350"/>
        <item x="210"/>
        <item x="428"/>
        <item x="116"/>
        <item x="239"/>
        <item x="330"/>
        <item x="203"/>
        <item x="286"/>
        <item x="94"/>
        <item x="78"/>
        <item x="233"/>
        <item x="404"/>
        <item x="405"/>
        <item x="315"/>
        <item x="58"/>
        <item x="67"/>
        <item x="317"/>
        <item x="168"/>
        <item x="400"/>
        <item x="366"/>
        <item x="269"/>
        <item x="62"/>
        <item x="393"/>
        <item x="152"/>
        <item x="192"/>
        <item x="356"/>
        <item x="258"/>
        <item x="236"/>
        <item x="181"/>
        <item x="385"/>
        <item x="184"/>
        <item x="259"/>
        <item x="172"/>
        <item x="257"/>
        <item x="337"/>
        <item x="175"/>
        <item x="72"/>
        <item x="427"/>
        <item x="199"/>
        <item x="125"/>
        <item x="415"/>
        <item x="79"/>
        <item x="119"/>
        <item x="422"/>
        <item x="204"/>
        <item x="398"/>
        <item x="3"/>
        <item x="109"/>
        <item x="65"/>
        <item x="126"/>
        <item x="386"/>
        <item x="25"/>
        <item x="26"/>
        <item x="193"/>
        <item x="248"/>
        <item x="364"/>
        <item x="156"/>
        <item x="276"/>
        <item x="129"/>
        <item x="33"/>
        <item x="268"/>
        <item x="341"/>
        <item x="320"/>
        <item x="34"/>
        <item x="44"/>
        <item x="118"/>
        <item x="147"/>
        <item x="392"/>
        <item x="105"/>
        <item x="149"/>
        <item x="157"/>
        <item x="247"/>
        <item x="144"/>
        <item x="187"/>
        <item x="228"/>
        <item x="37"/>
        <item x="426"/>
        <item x="278"/>
        <item x="150"/>
        <item x="380"/>
        <item x="256"/>
        <item x="120"/>
        <item x="388"/>
        <item x="335"/>
        <item x="8"/>
        <item x="73"/>
        <item x="133"/>
        <item x="316"/>
        <item x="223"/>
        <item x="57"/>
        <item x="195"/>
        <item x="332"/>
        <item x="381"/>
        <item x="399"/>
        <item x="5"/>
        <item x="295"/>
        <item x="169"/>
        <item x="42"/>
        <item x="71"/>
        <item x="252"/>
        <item x="112"/>
        <item x="130"/>
        <item x="38"/>
        <item x="361"/>
        <item x="283"/>
        <item x="293"/>
        <item x="434"/>
        <item x="292"/>
        <item x="31"/>
        <item x="197"/>
        <item x="418"/>
        <item x="171"/>
        <item x="279"/>
        <item x="2"/>
        <item x="340"/>
        <item x="75"/>
        <item x="200"/>
        <item x="403"/>
        <item x="234"/>
        <item x="143"/>
        <item x="262"/>
        <item x="209"/>
        <item x="371"/>
        <item x="376"/>
        <item x="213"/>
        <item x="318"/>
        <item x="107"/>
        <item x="432"/>
        <item x="40"/>
        <item x="167"/>
        <item x="61"/>
        <item x="84"/>
        <item x="146"/>
        <item x="289"/>
        <item x="64"/>
        <item x="382"/>
        <item x="207"/>
        <item x="402"/>
        <item x="261"/>
        <item x="238"/>
        <item x="82"/>
        <item x="395"/>
        <item x="389"/>
        <item x="19"/>
        <item x="250"/>
        <item x="309"/>
        <item x="113"/>
        <item x="327"/>
        <item x="354"/>
        <item x="88"/>
        <item x="179"/>
        <item x="383"/>
        <item x="11"/>
        <item x="379"/>
        <item x="375"/>
        <item x="139"/>
        <item x="102"/>
        <item x="333"/>
        <item x="54"/>
        <item x="153"/>
        <item x="353"/>
        <item x="359"/>
        <item x="136"/>
        <item x="47"/>
        <item x="253"/>
        <item x="198"/>
        <item x="226"/>
        <item x="208"/>
        <item x="21"/>
        <item x="128"/>
        <item x="272"/>
        <item x="83"/>
        <item x="91"/>
        <item x="212"/>
        <item x="93"/>
        <item x="170"/>
        <item x="131"/>
        <item x="51"/>
        <item x="176"/>
        <item x="6"/>
        <item x="249"/>
        <item x="377"/>
        <item x="306"/>
        <item x="59"/>
        <item x="331"/>
        <item x="325"/>
        <item x="304"/>
        <item x="396"/>
        <item x="18"/>
        <item x="206"/>
        <item x="345"/>
        <item x="431"/>
        <item x="384"/>
        <item x="344"/>
        <item x="85"/>
        <item x="222"/>
        <item x="240"/>
        <item x="242"/>
        <item x="30"/>
        <item x="27"/>
        <item x="95"/>
        <item x="100"/>
        <item x="285"/>
        <item x="182"/>
        <item x="413"/>
        <item x="410"/>
        <item x="117"/>
        <item x="241"/>
        <item x="409"/>
        <item x="408"/>
        <item x="12"/>
        <item x="1"/>
        <item x="4"/>
        <item x="28"/>
        <item x="7"/>
        <item x="43"/>
        <item x="211"/>
        <item x="101"/>
        <item x="326"/>
        <item x="372"/>
        <item x="414"/>
        <item x="296"/>
        <item x="417"/>
        <item x="308"/>
        <item x="412"/>
        <item t="default"/>
      </items>
    </pivotField>
    <pivotField showAll="0"/>
    <pivotField showAll="0"/>
    <pivotField showAll="0"/>
    <pivotField showAll="0"/>
    <pivotField showAll="0"/>
    <pivotField showAll="0"/>
    <pivotField axis="axisCol" showAll="0">
      <items count="4">
        <item x="2"/>
        <item x="1"/>
        <item x="0"/>
        <item t="default"/>
      </items>
    </pivotField>
    <pivotField showAll="0">
      <items count="10">
        <item x="0"/>
        <item x="2"/>
        <item x="7"/>
        <item x="4"/>
        <item x="6"/>
        <item x="1"/>
        <item x="8"/>
        <item x="5"/>
        <item x="3"/>
        <item t="default"/>
      </items>
    </pivotField>
  </pivotFields>
  <rowFields count="2">
    <field x="4"/>
    <field x="3"/>
  </rowFields>
  <rowItems count="49">
    <i>
      <x/>
    </i>
    <i r="1">
      <x v="5"/>
    </i>
    <i r="1">
      <x v="6"/>
    </i>
    <i>
      <x v="1"/>
    </i>
    <i r="1">
      <x v="4"/>
    </i>
    <i r="1">
      <x v="5"/>
    </i>
    <i r="1">
      <x v="6"/>
    </i>
    <i>
      <x v="2"/>
    </i>
    <i r="1">
      <x v="5"/>
    </i>
    <i r="1">
      <x v="6"/>
    </i>
    <i>
      <x v="3"/>
    </i>
    <i r="1">
      <x v="5"/>
    </i>
    <i r="1">
      <x v="6"/>
    </i>
    <i>
      <x v="4"/>
    </i>
    <i r="1">
      <x v="4"/>
    </i>
    <i r="1">
      <x v="5"/>
    </i>
    <i r="1">
      <x v="6"/>
    </i>
    <i>
      <x v="5"/>
    </i>
    <i r="1">
      <x v="4"/>
    </i>
    <i r="1">
      <x v="5"/>
    </i>
    <i r="1">
      <x v="6"/>
    </i>
    <i>
      <x v="6"/>
    </i>
    <i r="1">
      <x v="1"/>
    </i>
    <i r="1">
      <x v="4"/>
    </i>
    <i r="1">
      <x v="5"/>
    </i>
    <i r="1">
      <x v="6"/>
    </i>
    <i>
      <x v="7"/>
    </i>
    <i r="1">
      <x v="3"/>
    </i>
    <i r="1">
      <x v="5"/>
    </i>
    <i r="1">
      <x v="6"/>
    </i>
    <i>
      <x v="8"/>
    </i>
    <i r="1">
      <x v="4"/>
    </i>
    <i r="1">
      <x v="5"/>
    </i>
    <i r="1">
      <x v="6"/>
    </i>
    <i>
      <x v="9"/>
    </i>
    <i r="1">
      <x v="4"/>
    </i>
    <i r="1">
      <x v="5"/>
    </i>
    <i r="1">
      <x v="6"/>
    </i>
    <i>
      <x v="10"/>
    </i>
    <i r="1">
      <x v="3"/>
    </i>
    <i r="1">
      <x v="5"/>
    </i>
    <i r="1">
      <x v="6"/>
    </i>
    <i>
      <x v="11"/>
    </i>
    <i r="1">
      <x/>
    </i>
    <i r="1">
      <x v="2"/>
    </i>
    <i r="1">
      <x v="3"/>
    </i>
    <i r="1">
      <x v="5"/>
    </i>
    <i r="1">
      <x v="6"/>
    </i>
    <i t="grand">
      <x/>
    </i>
  </rowItems>
  <colFields count="1">
    <field x="17"/>
  </colFields>
  <colItems count="4">
    <i>
      <x/>
    </i>
    <i>
      <x v="1"/>
    </i>
    <i>
      <x v="2"/>
    </i>
    <i t="grand">
      <x/>
    </i>
  </colItems>
  <dataFields count="1">
    <dataField name="Count of reviewText" fld="10" subtotal="count" baseField="0" baseItem="0"/>
  </dataFields>
  <chartFormats count="6">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2" format="6" series="1">
      <pivotArea type="data" outline="0" fieldPosition="0">
        <references count="2">
          <reference field="4294967294" count="1" selected="0">
            <x v="0"/>
          </reference>
          <reference field="17" count="1" selected="0">
            <x v="0"/>
          </reference>
        </references>
      </pivotArea>
    </chartFormat>
    <chartFormat chart="2" format="7" series="1">
      <pivotArea type="data" outline="0" fieldPosition="0">
        <references count="2">
          <reference field="4294967294" count="1" selected="0">
            <x v="0"/>
          </reference>
          <reference field="17" count="1" selected="0">
            <x v="1"/>
          </reference>
        </references>
      </pivotArea>
    </chartFormat>
    <chartFormat chart="2"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9DDF1D5-DF2E-4E70-803E-5D7A1F2CCB73}" autoFormatId="16" applyNumberFormats="0" applyBorderFormats="0" applyFontFormats="0" applyPatternFormats="0" applyAlignmentFormats="0" applyWidthHeightFormats="0">
  <queryTableRefresh nextId="26" unboundColumnsRight="3">
    <queryTableFields count="19">
      <queryTableField id="1" name="overall" tableColumnId="1"/>
      <queryTableField id="2" name="verified" tableColumnId="2"/>
      <queryTableField id="3" name="reviewTime" tableColumnId="3"/>
      <queryTableField id="18" dataBound="0" tableColumnId="18"/>
      <queryTableField id="19" dataBound="0" tableColumnId="19"/>
      <queryTableField id="4" name="reviewerID" tableColumnId="4"/>
      <queryTableField id="5" name="asin" tableColumnId="5"/>
      <queryTableField id="6" name="style/Size:" tableColumnId="6"/>
      <queryTableField id="7" name="style/Color:" tableColumnId="7"/>
      <queryTableField id="8" name="reviewerName" tableColumnId="8"/>
      <queryTableField id="9" name="reviewText" tableColumnId="9"/>
      <queryTableField id="10" name="summary" tableColumnId="10"/>
      <queryTableField id="11" name="unixReviewTime" tableColumnId="11"/>
      <queryTableField id="12" name="style/Size Name:" tableColumnId="12"/>
      <queryTableField id="13" name="style/Style:" tableColumnId="13"/>
      <queryTableField id="14" name="vote" tableColumnId="14"/>
      <queryTableField id="22" dataBound="0" tableColumnId="15"/>
      <queryTableField id="23" dataBound="0" tableColumnId="16"/>
      <queryTableField id="24" dataBound="0" tableColumnId="17"/>
    </queryTableFields>
    <queryTableDeletedFields count="3">
      <deletedField name="image/0"/>
      <deletedField name="image/1"/>
      <deletedField name="image/2"/>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Year" xr10:uid="{0E484071-BB33-419C-9DDC-9AAE996DC41E}" sourceName="ReviewYear">
  <pivotTables>
    <pivotTable tabId="4" name="Monthly review trends"/>
  </pivotTables>
  <data>
    <tabular pivotCacheId="539885946">
      <items count="8">
        <i x="7" s="1"/>
        <i x="5" s="1"/>
        <i x="6" s="1"/>
        <i x="4" s="1"/>
        <i x="0" s="1"/>
        <i x="3" s="1"/>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7139A39-20F7-499E-AF7E-3B30B31610A5}" sourceName="Category">
  <pivotTables>
    <pivotTable tabId="4" name="Product Performance"/>
  </pivotTables>
  <data>
    <tabular pivotCacheId="539885946">
      <items count="9">
        <i x="0" s="1"/>
        <i x="2" s="1"/>
        <i x="7" s="1"/>
        <i x="4"/>
        <i x="6"/>
        <i x="1"/>
        <i x="8"/>
        <i x="5"/>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rified" xr10:uid="{840BE384-5020-4F01-837B-B11AF0C51527}" sourceName="verified">
  <pivotTables>
    <pivotTable tabId="4" name="Review Analysis"/>
  </pivotTables>
  <data>
    <tabular pivotCacheId="53988594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 xr10:uid="{7FE635C2-2709-40EE-A827-7EB4C4AFB686}" sourceName="Sentiment">
  <pivotTables>
    <pivotTable tabId="4" name="Monthly review trends"/>
    <pivotTable tabId="4" name="Product Performance"/>
  </pivotTables>
  <data>
    <tabular pivotCacheId="53988594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Year" xr10:uid="{3DD70812-8A72-4A0E-AC9F-DDCD6CBEEA20}" cache="Slicer_ReviewYear" caption="ReviewYear" rowHeight="241300"/>
  <slicer name="Category" xr10:uid="{C4E81112-F727-473B-A723-853FD96223C0}" cache="Slicer_Category" caption="Category" rowHeight="241300"/>
  <slicer name="verified" xr10:uid="{B5997F64-27C0-4478-B0AC-3F0DE7B1FF69}" cache="Slicer_verified" caption="verifie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Year 1" xr10:uid="{A153817F-A32A-47E5-9F1B-60EA1A86BED3}" cache="Slicer_ReviewYear" caption="ReviewYear" rowHeight="241300"/>
  <slicer name="Category 1" xr10:uid="{3096F7B4-E0F6-44B2-9249-11368B05BF9C}" cache="Slicer_Category" caption="Category" rowHeight="241300"/>
  <slicer name="verified 1" xr10:uid="{3B043490-FD88-4AFC-95A4-C2A8549205D2}" cache="Slicer_verified" caption="verified" rowHeight="241300"/>
  <slicer name="Sentiment 1" xr10:uid="{1DC093C4-3EB6-46ED-953E-E6272CA0C900}" cache="Slicer_Sentiment" caption="Senti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FB848F-FA31-4C15-A95D-6ACB3811514C}" name="AMAZON_FASHION_5__2" displayName="AMAZON_FASHION_5__2" ref="A1:S3177" tableType="queryTable" totalsRowShown="0">
  <autoFilter ref="A1:S3177" xr:uid="{30FB848F-FA31-4C15-A95D-6ACB3811514C}"/>
  <tableColumns count="19">
    <tableColumn id="1" xr3:uid="{3B5C4D06-7176-4C16-9D8D-199B3A540FA5}" uniqueName="1" name="overall" queryTableFieldId="1"/>
    <tableColumn id="2" xr3:uid="{A3872C04-64A1-4B11-B539-C22A57F68780}" uniqueName="2" name="verified" queryTableFieldId="2"/>
    <tableColumn id="3" xr3:uid="{A1BA511C-0B00-404E-9E10-CA1F0D02C3E6}" uniqueName="3" name="reviewDate" queryTableFieldId="3" dataDxfId="14"/>
    <tableColumn id="18" xr3:uid="{64434461-36B3-47C9-BEC9-4D82F3B6DBEE}" uniqueName="18" name="ReviewYear" queryTableFieldId="18" dataDxfId="13">
      <calculatedColumnFormula>YEAR(AMAZON_FASHION_5__2[[#This Row],[reviewDate]])</calculatedColumnFormula>
    </tableColumn>
    <tableColumn id="19" xr3:uid="{CDAF139D-23E9-44AB-9F01-4D5B3145AD71}" uniqueName="19" name="ReviewMonth" queryTableFieldId="19" dataDxfId="12">
      <calculatedColumnFormula>TEXT(AMAZON_FASHION_5__2[[#This Row],[reviewDate]], "mmmm")</calculatedColumnFormula>
    </tableColumn>
    <tableColumn id="4" xr3:uid="{6C2F7F55-CD74-4173-88E8-B56DF012C188}" uniqueName="4" name="reviewerID" queryTableFieldId="4" dataDxfId="11"/>
    <tableColumn id="5" xr3:uid="{658341C5-4FDC-469F-9D71-2B9AFD8ECF93}" uniqueName="5" name="asin" queryTableFieldId="5" dataDxfId="10"/>
    <tableColumn id="6" xr3:uid="{7F8C9A7C-A292-4E89-B12D-6F593F438515}" uniqueName="6" name="StyleSize" queryTableFieldId="6" dataDxfId="9"/>
    <tableColumn id="7" xr3:uid="{F6ADE4B0-361E-47CF-932F-345A42D309C6}" uniqueName="7" name="StyleColor" queryTableFieldId="7" dataDxfId="8"/>
    <tableColumn id="8" xr3:uid="{FEC48E91-B7D0-42A7-87F6-78FB189859C9}" uniqueName="8" name="reviewerName" queryTableFieldId="8" dataDxfId="7"/>
    <tableColumn id="9" xr3:uid="{CA69F164-6DDB-4477-ABB1-E9E145B3D4B4}" uniqueName="9" name="reviewText" queryTableFieldId="9" dataDxfId="6"/>
    <tableColumn id="10" xr3:uid="{1651BDC7-349F-4907-A785-4F63156CD8EC}" uniqueName="10" name="summary" queryTableFieldId="10" dataDxfId="5"/>
    <tableColumn id="11" xr3:uid="{D37C5182-765C-4E44-BC60-163DECA111A9}" uniqueName="11" name="unixReviewTime" queryTableFieldId="11"/>
    <tableColumn id="12" xr3:uid="{DFE40E74-FAA1-4BF4-B787-3069431AF74E}" uniqueName="12" name="style/Size Name:" queryTableFieldId="12" dataDxfId="4"/>
    <tableColumn id="13" xr3:uid="{F321798C-4F47-4D46-A038-E4F3EB64D004}" uniqueName="13" name="style/Style:" queryTableFieldId="13" dataDxfId="3"/>
    <tableColumn id="14" xr3:uid="{639C4897-E78C-470C-BF2B-E22049123848}" uniqueName="14" name="vote" queryTableFieldId="14"/>
    <tableColumn id="15" xr3:uid="{BA3BE164-7FBE-47E4-962A-B624706DCD92}" uniqueName="15" name="reviewLength" queryTableFieldId="22" dataDxfId="2">
      <calculatedColumnFormula>LEN(AMAZON_FASHION_5__2[[#This Row],[reviewText]])</calculatedColumnFormula>
    </tableColumn>
    <tableColumn id="16" xr3:uid="{562AA636-0565-4B51-9A0A-6988F486F376}" uniqueName="16" name="Sentiment" queryTableFieldId="23" dataDxfId="1">
      <calculatedColumnFormula>IF(AMAZON_FASHION_5__2[[#This Row],[overall]]&gt;=4,"Positive",IF(AMAZON_FASHION_5__2[[#This Row],[overall]]&lt;=2,"Negative","Neutral"))</calculatedColumnFormula>
    </tableColumn>
    <tableColumn id="17" xr3:uid="{BDE3764F-00CF-487F-8D56-7398C85D5AC4}" uniqueName="17" name="Category" queryTableFieldId="24" dataDxfId="0">
      <calculatedColumnFormula>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viewDate" xr10:uid="{835F281A-1580-4757-8058-977FCC8ADC29}" sourceName="reviewDate">
  <pivotTables>
    <pivotTable tabId="4" name="Review Analysis"/>
  </pivotTables>
  <state minimalRefreshVersion="6" lastRefreshVersion="6" pivotCacheId="539885946" filterType="dateBetween">
    <selection startDate="2013-07-01T00:00:00" endDate="2018-06-30T00:00:00"/>
    <bounds startDate="2009-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viewDate" xr10:uid="{8AC063DC-4D7B-4912-8DFE-F3E1CB17FF12}" cache="NativeTimeline_reviewDate" caption="reviewDate" level="2" selectionLevel="1" scrollPosition="201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viewDate 1" xr10:uid="{47022BA2-C28D-4214-B894-162465BA064E}" cache="NativeTimeline_reviewDate" caption="reviewDate" level="1" selectionLevel="1" scrollPosition="2013-03-1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EC01D-3719-48CA-A2A5-5D6507582AA7}">
  <dimension ref="A1:S3177"/>
  <sheetViews>
    <sheetView topLeftCell="L1" workbookViewId="0">
      <selection activeCell="P29" sqref="P29"/>
    </sheetView>
  </sheetViews>
  <sheetFormatPr defaultRowHeight="15" x14ac:dyDescent="0.25"/>
  <cols>
    <col min="1" max="1" width="9.42578125" bestFit="1" customWidth="1"/>
    <col min="2" max="2" width="10.28515625" bestFit="1" customWidth="1"/>
    <col min="3" max="3" width="13.85546875" bestFit="1" customWidth="1"/>
    <col min="4" max="5" width="13.85546875" customWidth="1"/>
    <col min="6" max="6" width="19.42578125" bestFit="1" customWidth="1"/>
    <col min="7" max="7" width="12.5703125" bestFit="1" customWidth="1"/>
    <col min="8" max="8" width="34.42578125" bestFit="1" customWidth="1"/>
    <col min="9" max="9" width="46.5703125" bestFit="1" customWidth="1"/>
    <col min="10" max="10" width="23.7109375" bestFit="1" customWidth="1"/>
    <col min="11" max="12" width="55.7109375" bestFit="1" customWidth="1"/>
    <col min="13" max="13" width="18.28515625" bestFit="1" customWidth="1"/>
    <col min="14" max="14" width="28" bestFit="1" customWidth="1"/>
    <col min="15" max="15" width="27.5703125" bestFit="1" customWidth="1"/>
    <col min="16" max="16" width="27" customWidth="1"/>
    <col min="17" max="17" width="22.85546875" customWidth="1"/>
    <col min="18" max="18" width="21.85546875" customWidth="1"/>
    <col min="19" max="19" width="22" customWidth="1"/>
  </cols>
  <sheetData>
    <row r="1" spans="1:19" x14ac:dyDescent="0.25">
      <c r="A1" t="s">
        <v>0</v>
      </c>
      <c r="B1" t="s">
        <v>1</v>
      </c>
      <c r="C1" t="s">
        <v>1631</v>
      </c>
      <c r="D1" t="s">
        <v>1629</v>
      </c>
      <c r="E1" t="s">
        <v>1630</v>
      </c>
      <c r="F1" t="s">
        <v>2</v>
      </c>
      <c r="G1" t="s">
        <v>3</v>
      </c>
      <c r="H1" t="s">
        <v>1626</v>
      </c>
      <c r="I1" t="s">
        <v>1627</v>
      </c>
      <c r="J1" t="s">
        <v>4</v>
      </c>
      <c r="K1" t="s">
        <v>5</v>
      </c>
      <c r="L1" t="s">
        <v>6</v>
      </c>
      <c r="M1" t="s">
        <v>7</v>
      </c>
      <c r="N1" t="s">
        <v>8</v>
      </c>
      <c r="O1" t="s">
        <v>9</v>
      </c>
      <c r="P1" t="s">
        <v>10</v>
      </c>
      <c r="Q1" t="s">
        <v>1632</v>
      </c>
      <c r="R1" t="s">
        <v>1633</v>
      </c>
      <c r="S1" t="s">
        <v>1634</v>
      </c>
    </row>
    <row r="2" spans="1:19" x14ac:dyDescent="0.25">
      <c r="A2">
        <v>5</v>
      </c>
      <c r="B2" t="b">
        <v>1</v>
      </c>
      <c r="C2" s="1">
        <v>42251</v>
      </c>
      <c r="D2">
        <f>YEAR(AMAZON_FASHION_5__2[[#This Row],[reviewDate]])</f>
        <v>2015</v>
      </c>
      <c r="E2" s="1" t="str">
        <f>TEXT(AMAZON_FASHION_5__2[[#This Row],[reviewDate]], "mmmm")</f>
        <v>September</v>
      </c>
      <c r="F2" t="s">
        <v>11</v>
      </c>
      <c r="G2" t="s">
        <v>12</v>
      </c>
      <c r="H2" t="s">
        <v>13</v>
      </c>
      <c r="I2" t="s">
        <v>14</v>
      </c>
      <c r="J2" t="s">
        <v>15</v>
      </c>
      <c r="K2" t="s">
        <v>16</v>
      </c>
      <c r="L2" t="s">
        <v>17</v>
      </c>
      <c r="M2">
        <v>1441324800</v>
      </c>
      <c r="N2" t="s">
        <v>1628</v>
      </c>
      <c r="O2" t="s">
        <v>1628</v>
      </c>
      <c r="P2" t="s">
        <v>1628</v>
      </c>
      <c r="Q2">
        <f>LEN(AMAZON_FASHION_5__2[[#This Row],[reviewText]])</f>
        <v>24</v>
      </c>
      <c r="R2" t="str">
        <f>IF(AMAZON_FASHION_5__2[[#This Row],[overall]]&gt;=4,"Positive",IF(AMAZON_FASHION_5__2[[#This Row],[overall]]&lt;=2,"Negative","Neutral"))</f>
        <v>Positive</v>
      </c>
      <c r="S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Clothing</v>
      </c>
    </row>
    <row r="3" spans="1:19" x14ac:dyDescent="0.25">
      <c r="A3">
        <v>5</v>
      </c>
      <c r="B3" t="b">
        <v>1</v>
      </c>
      <c r="C3" s="1">
        <v>42251</v>
      </c>
      <c r="D3">
        <f>YEAR(AMAZON_FASHION_5__2[[#This Row],[reviewDate]])</f>
        <v>2015</v>
      </c>
      <c r="E3" s="1" t="str">
        <f>TEXT(AMAZON_FASHION_5__2[[#This Row],[reviewDate]], "mmmm")</f>
        <v>September</v>
      </c>
      <c r="F3" t="s">
        <v>11</v>
      </c>
      <c r="G3" t="s">
        <v>12</v>
      </c>
      <c r="H3" t="s">
        <v>13</v>
      </c>
      <c r="I3" t="s">
        <v>19</v>
      </c>
      <c r="J3" t="s">
        <v>15</v>
      </c>
      <c r="K3" t="s">
        <v>16</v>
      </c>
      <c r="L3" t="s">
        <v>17</v>
      </c>
      <c r="M3">
        <v>1441324800</v>
      </c>
      <c r="N3" t="s">
        <v>1628</v>
      </c>
      <c r="O3" t="s">
        <v>1628</v>
      </c>
      <c r="P3" t="s">
        <v>1628</v>
      </c>
      <c r="Q3">
        <f>LEN(AMAZON_FASHION_5__2[[#This Row],[reviewText]])</f>
        <v>24</v>
      </c>
      <c r="R3" t="str">
        <f>IF(AMAZON_FASHION_5__2[[#This Row],[overall]]&gt;=4,"Positive",IF(AMAZON_FASHION_5__2[[#This Row],[overall]]&lt;=2,"Negative","Neutral"))</f>
        <v>Positive</v>
      </c>
      <c r="S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Clothing</v>
      </c>
    </row>
    <row r="4" spans="1:19" x14ac:dyDescent="0.25">
      <c r="A4">
        <v>5</v>
      </c>
      <c r="B4" t="b">
        <v>1</v>
      </c>
      <c r="C4" s="1">
        <v>42251</v>
      </c>
      <c r="D4">
        <f>YEAR(AMAZON_FASHION_5__2[[#This Row],[reviewDate]])</f>
        <v>2015</v>
      </c>
      <c r="E4" s="1" t="str">
        <f>TEXT(AMAZON_FASHION_5__2[[#This Row],[reviewDate]], "mmmm")</f>
        <v>September</v>
      </c>
      <c r="F4" t="s">
        <v>11</v>
      </c>
      <c r="G4" t="s">
        <v>12</v>
      </c>
      <c r="H4" t="s">
        <v>13</v>
      </c>
      <c r="I4" t="s">
        <v>20</v>
      </c>
      <c r="J4" t="s">
        <v>15</v>
      </c>
      <c r="K4" t="s">
        <v>16</v>
      </c>
      <c r="L4" t="s">
        <v>17</v>
      </c>
      <c r="M4">
        <v>1441324800</v>
      </c>
      <c r="N4" t="s">
        <v>1628</v>
      </c>
      <c r="O4" t="s">
        <v>1628</v>
      </c>
      <c r="P4" t="s">
        <v>1628</v>
      </c>
      <c r="Q4">
        <f>LEN(AMAZON_FASHION_5__2[[#This Row],[reviewText]])</f>
        <v>24</v>
      </c>
      <c r="R4" t="str">
        <f>IF(AMAZON_FASHION_5__2[[#This Row],[overall]]&gt;=4,"Positive",IF(AMAZON_FASHION_5__2[[#This Row],[overall]]&lt;=2,"Negative","Neutral"))</f>
        <v>Positive</v>
      </c>
      <c r="S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Clothing</v>
      </c>
    </row>
    <row r="5" spans="1:19" x14ac:dyDescent="0.25">
      <c r="A5">
        <v>5</v>
      </c>
      <c r="B5" t="b">
        <v>1</v>
      </c>
      <c r="C5" s="1">
        <v>42251</v>
      </c>
      <c r="D5">
        <f>YEAR(AMAZON_FASHION_5__2[[#This Row],[reviewDate]])</f>
        <v>2015</v>
      </c>
      <c r="E5" s="1" t="str">
        <f>TEXT(AMAZON_FASHION_5__2[[#This Row],[reviewDate]], "mmmm")</f>
        <v>September</v>
      </c>
      <c r="F5" t="s">
        <v>11</v>
      </c>
      <c r="G5" t="s">
        <v>12</v>
      </c>
      <c r="H5" t="s">
        <v>13</v>
      </c>
      <c r="I5" t="s">
        <v>21</v>
      </c>
      <c r="J5" t="s">
        <v>15</v>
      </c>
      <c r="K5" t="s">
        <v>16</v>
      </c>
      <c r="L5" t="s">
        <v>17</v>
      </c>
      <c r="M5">
        <v>1441324800</v>
      </c>
      <c r="N5" t="s">
        <v>1628</v>
      </c>
      <c r="O5" t="s">
        <v>1628</v>
      </c>
      <c r="P5" t="s">
        <v>1628</v>
      </c>
      <c r="Q5">
        <f>LEN(AMAZON_FASHION_5__2[[#This Row],[reviewText]])</f>
        <v>24</v>
      </c>
      <c r="R5" t="str">
        <f>IF(AMAZON_FASHION_5__2[[#This Row],[overall]]&gt;=4,"Positive",IF(AMAZON_FASHION_5__2[[#This Row],[overall]]&lt;=2,"Negative","Neutral"))</f>
        <v>Positive</v>
      </c>
      <c r="S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Clothing</v>
      </c>
    </row>
    <row r="6" spans="1:19" x14ac:dyDescent="0.25">
      <c r="A6">
        <v>5</v>
      </c>
      <c r="B6" t="b">
        <v>1</v>
      </c>
      <c r="C6" s="1">
        <v>42251</v>
      </c>
      <c r="D6">
        <f>YEAR(AMAZON_FASHION_5__2[[#This Row],[reviewDate]])</f>
        <v>2015</v>
      </c>
      <c r="E6" s="1" t="str">
        <f>TEXT(AMAZON_FASHION_5__2[[#This Row],[reviewDate]], "mmmm")</f>
        <v>September</v>
      </c>
      <c r="F6" t="s">
        <v>11</v>
      </c>
      <c r="G6" t="s">
        <v>12</v>
      </c>
      <c r="H6" t="s">
        <v>13</v>
      </c>
      <c r="I6" t="s">
        <v>22</v>
      </c>
      <c r="J6" t="s">
        <v>15</v>
      </c>
      <c r="K6" t="s">
        <v>16</v>
      </c>
      <c r="L6" t="s">
        <v>17</v>
      </c>
      <c r="M6">
        <v>1441324800</v>
      </c>
      <c r="N6" t="s">
        <v>1628</v>
      </c>
      <c r="O6" t="s">
        <v>1628</v>
      </c>
      <c r="P6" t="s">
        <v>1628</v>
      </c>
      <c r="Q6">
        <f>LEN(AMAZON_FASHION_5__2[[#This Row],[reviewText]])</f>
        <v>24</v>
      </c>
      <c r="R6" t="str">
        <f>IF(AMAZON_FASHION_5__2[[#This Row],[overall]]&gt;=4,"Positive",IF(AMAZON_FASHION_5__2[[#This Row],[overall]]&lt;=2,"Negative","Neutral"))</f>
        <v>Positive</v>
      </c>
      <c r="S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Clothing</v>
      </c>
    </row>
    <row r="7" spans="1:19" x14ac:dyDescent="0.25">
      <c r="A7">
        <v>3</v>
      </c>
      <c r="B7" t="b">
        <v>1</v>
      </c>
      <c r="C7" s="1">
        <v>42130</v>
      </c>
      <c r="D7">
        <f>YEAR(AMAZON_FASHION_5__2[[#This Row],[reviewDate]])</f>
        <v>2015</v>
      </c>
      <c r="E7" s="1" t="str">
        <f>TEXT(AMAZON_FASHION_5__2[[#This Row],[reviewDate]], "mmmm")</f>
        <v>May</v>
      </c>
      <c r="F7" t="s">
        <v>23</v>
      </c>
      <c r="G7" t="s">
        <v>12</v>
      </c>
      <c r="H7" t="s">
        <v>24</v>
      </c>
      <c r="I7" t="s">
        <v>25</v>
      </c>
      <c r="J7" t="s">
        <v>26</v>
      </c>
      <c r="K7" t="s">
        <v>27</v>
      </c>
      <c r="L7" t="s">
        <v>28</v>
      </c>
      <c r="M7">
        <v>1430870400</v>
      </c>
      <c r="N7" t="s">
        <v>1628</v>
      </c>
      <c r="O7" t="s">
        <v>1628</v>
      </c>
      <c r="P7" t="s">
        <v>1628</v>
      </c>
      <c r="Q7">
        <f>LEN(AMAZON_FASHION_5__2[[#This Row],[reviewText]])</f>
        <v>45</v>
      </c>
      <c r="R7" t="str">
        <f>IF(AMAZON_FASHION_5__2[[#This Row],[overall]]&gt;=4,"Positive",IF(AMAZON_FASHION_5__2[[#This Row],[overall]]&lt;=2,"Negative","Neutral"))</f>
        <v>Neutral</v>
      </c>
      <c r="S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Clothing</v>
      </c>
    </row>
    <row r="8" spans="1:19" x14ac:dyDescent="0.25">
      <c r="A8">
        <v>5</v>
      </c>
      <c r="B8" t="b">
        <v>1</v>
      </c>
      <c r="C8" s="1">
        <v>42130</v>
      </c>
      <c r="D8">
        <f>YEAR(AMAZON_FASHION_5__2[[#This Row],[reviewDate]])</f>
        <v>2015</v>
      </c>
      <c r="E8" s="1" t="str">
        <f>TEXT(AMAZON_FASHION_5__2[[#This Row],[reviewDate]], "mmmm")</f>
        <v>May</v>
      </c>
      <c r="F8" t="s">
        <v>23</v>
      </c>
      <c r="G8" t="s">
        <v>12</v>
      </c>
      <c r="H8" t="s">
        <v>24</v>
      </c>
      <c r="I8" t="s">
        <v>14</v>
      </c>
      <c r="J8" t="s">
        <v>26</v>
      </c>
      <c r="K8" t="s">
        <v>29</v>
      </c>
      <c r="L8" t="s">
        <v>30</v>
      </c>
      <c r="M8">
        <v>1430870400</v>
      </c>
      <c r="N8" t="s">
        <v>1628</v>
      </c>
      <c r="O8" t="s">
        <v>1628</v>
      </c>
      <c r="P8" t="s">
        <v>1628</v>
      </c>
      <c r="Q8">
        <f>LEN(AMAZON_FASHION_5__2[[#This Row],[reviewText]])</f>
        <v>31</v>
      </c>
      <c r="R8" t="str">
        <f>IF(AMAZON_FASHION_5__2[[#This Row],[overall]]&gt;=4,"Positive",IF(AMAZON_FASHION_5__2[[#This Row],[overall]]&lt;=2,"Negative","Neutral"))</f>
        <v>Positive</v>
      </c>
      <c r="S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Clothing</v>
      </c>
    </row>
    <row r="9" spans="1:19" x14ac:dyDescent="0.25">
      <c r="A9">
        <v>5</v>
      </c>
      <c r="B9" t="b">
        <v>1</v>
      </c>
      <c r="C9" s="1">
        <v>42130</v>
      </c>
      <c r="D9">
        <f>YEAR(AMAZON_FASHION_5__2[[#This Row],[reviewDate]])</f>
        <v>2015</v>
      </c>
      <c r="E9" s="1" t="str">
        <f>TEXT(AMAZON_FASHION_5__2[[#This Row],[reviewDate]], "mmmm")</f>
        <v>May</v>
      </c>
      <c r="F9" t="s">
        <v>23</v>
      </c>
      <c r="G9" t="s">
        <v>12</v>
      </c>
      <c r="H9" t="s">
        <v>24</v>
      </c>
      <c r="I9" t="s">
        <v>21</v>
      </c>
      <c r="J9" t="s">
        <v>26</v>
      </c>
      <c r="K9" t="s">
        <v>29</v>
      </c>
      <c r="L9" t="s">
        <v>31</v>
      </c>
      <c r="M9">
        <v>1430870400</v>
      </c>
      <c r="N9" t="s">
        <v>1628</v>
      </c>
      <c r="O9" t="s">
        <v>1628</v>
      </c>
      <c r="P9" t="s">
        <v>1628</v>
      </c>
      <c r="Q9">
        <f>LEN(AMAZON_FASHION_5__2[[#This Row],[reviewText]])</f>
        <v>31</v>
      </c>
      <c r="R9" t="str">
        <f>IF(AMAZON_FASHION_5__2[[#This Row],[overall]]&gt;=4,"Positive",IF(AMAZON_FASHION_5__2[[#This Row],[overall]]&lt;=2,"Negative","Neutral"))</f>
        <v>Positive</v>
      </c>
      <c r="S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Clothing</v>
      </c>
    </row>
    <row r="10" spans="1:19" x14ac:dyDescent="0.25">
      <c r="A10">
        <v>5</v>
      </c>
      <c r="B10" t="b">
        <v>1</v>
      </c>
      <c r="C10" s="1">
        <v>42130</v>
      </c>
      <c r="D10">
        <f>YEAR(AMAZON_FASHION_5__2[[#This Row],[reviewDate]])</f>
        <v>2015</v>
      </c>
      <c r="E10" s="1" t="str">
        <f>TEXT(AMAZON_FASHION_5__2[[#This Row],[reviewDate]], "mmmm")</f>
        <v>May</v>
      </c>
      <c r="F10" t="s">
        <v>23</v>
      </c>
      <c r="G10" t="s">
        <v>12</v>
      </c>
      <c r="H10" t="s">
        <v>24</v>
      </c>
      <c r="I10" t="s">
        <v>22</v>
      </c>
      <c r="J10" t="s">
        <v>26</v>
      </c>
      <c r="K10" t="s">
        <v>32</v>
      </c>
      <c r="L10" t="s">
        <v>30</v>
      </c>
      <c r="M10">
        <v>1430870400</v>
      </c>
      <c r="N10" t="s">
        <v>1628</v>
      </c>
      <c r="O10" t="s">
        <v>1628</v>
      </c>
      <c r="P10" t="s">
        <v>1628</v>
      </c>
      <c r="Q10">
        <f>LEN(AMAZON_FASHION_5__2[[#This Row],[reviewText]])</f>
        <v>60</v>
      </c>
      <c r="R10" t="str">
        <f>IF(AMAZON_FASHION_5__2[[#This Row],[overall]]&gt;=4,"Positive",IF(AMAZON_FASHION_5__2[[#This Row],[overall]]&lt;=2,"Negative","Neutral"))</f>
        <v>Positive</v>
      </c>
      <c r="S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Clothing</v>
      </c>
    </row>
    <row r="11" spans="1:19" x14ac:dyDescent="0.25">
      <c r="A11">
        <v>3</v>
      </c>
      <c r="B11" t="b">
        <v>1</v>
      </c>
      <c r="C11" s="1">
        <v>42130</v>
      </c>
      <c r="D11">
        <f>YEAR(AMAZON_FASHION_5__2[[#This Row],[reviewDate]])</f>
        <v>2015</v>
      </c>
      <c r="E11" s="1" t="str">
        <f>TEXT(AMAZON_FASHION_5__2[[#This Row],[reviewDate]], "mmmm")</f>
        <v>May</v>
      </c>
      <c r="F11" t="s">
        <v>23</v>
      </c>
      <c r="G11" t="s">
        <v>12</v>
      </c>
      <c r="H11" t="s">
        <v>24</v>
      </c>
      <c r="I11" t="s">
        <v>33</v>
      </c>
      <c r="J11" t="s">
        <v>26</v>
      </c>
      <c r="K11" t="s">
        <v>34</v>
      </c>
      <c r="L11" t="s">
        <v>28</v>
      </c>
      <c r="M11">
        <v>1430870400</v>
      </c>
      <c r="N11" t="s">
        <v>1628</v>
      </c>
      <c r="O11" t="s">
        <v>1628</v>
      </c>
      <c r="P11" t="s">
        <v>1628</v>
      </c>
      <c r="Q11">
        <f>LEN(AMAZON_FASHION_5__2[[#This Row],[reviewText]])</f>
        <v>43</v>
      </c>
      <c r="R11" t="str">
        <f>IF(AMAZON_FASHION_5__2[[#This Row],[overall]]&gt;=4,"Positive",IF(AMAZON_FASHION_5__2[[#This Row],[overall]]&lt;=2,"Negative","Neutral"))</f>
        <v>Neutral</v>
      </c>
      <c r="S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Clothing</v>
      </c>
    </row>
    <row r="12" spans="1:19" x14ac:dyDescent="0.25">
      <c r="A12">
        <v>2</v>
      </c>
      <c r="B12" t="b">
        <v>1</v>
      </c>
      <c r="C12" s="1">
        <v>43125</v>
      </c>
      <c r="D12">
        <f>YEAR(AMAZON_FASHION_5__2[[#This Row],[reviewDate]])</f>
        <v>2018</v>
      </c>
      <c r="E12" s="1" t="str">
        <f>TEXT(AMAZON_FASHION_5__2[[#This Row],[reviewDate]], "mmmm")</f>
        <v>January</v>
      </c>
      <c r="F12" t="s">
        <v>35</v>
      </c>
      <c r="G12" t="s">
        <v>36</v>
      </c>
      <c r="H12" t="s">
        <v>1628</v>
      </c>
      <c r="I12" t="s">
        <v>1628</v>
      </c>
      <c r="J12" t="s">
        <v>37</v>
      </c>
      <c r="K12" t="s">
        <v>38</v>
      </c>
      <c r="L12" t="s">
        <v>39</v>
      </c>
      <c r="M12">
        <v>1516838400</v>
      </c>
      <c r="N12" t="s">
        <v>40</v>
      </c>
      <c r="O12" t="s">
        <v>41</v>
      </c>
      <c r="P12" t="s">
        <v>1628</v>
      </c>
      <c r="Q12">
        <f>LEN(AMAZON_FASHION_5__2[[#This Row],[reviewText]])</f>
        <v>130</v>
      </c>
      <c r="R12" t="str">
        <f>IF(AMAZON_FASHION_5__2[[#This Row],[overall]]&gt;=4,"Positive",IF(AMAZON_FASHION_5__2[[#This Row],[overall]]&lt;=2,"Negative","Neutral"))</f>
        <v>Negative</v>
      </c>
      <c r="S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Shoe Inserts</v>
      </c>
    </row>
    <row r="13" spans="1:19" x14ac:dyDescent="0.25">
      <c r="A13">
        <v>2</v>
      </c>
      <c r="B13" t="b">
        <v>1</v>
      </c>
      <c r="C13" s="1">
        <v>42740</v>
      </c>
      <c r="D13">
        <f>YEAR(AMAZON_FASHION_5__2[[#This Row],[reviewDate]])</f>
        <v>2017</v>
      </c>
      <c r="E13" s="1" t="str">
        <f>TEXT(AMAZON_FASHION_5__2[[#This Row],[reviewDate]], "mmmm")</f>
        <v>January</v>
      </c>
      <c r="F13" t="s">
        <v>42</v>
      </c>
      <c r="G13" t="s">
        <v>36</v>
      </c>
      <c r="H13" t="s">
        <v>1628</v>
      </c>
      <c r="I13" t="s">
        <v>1628</v>
      </c>
      <c r="J13" t="s">
        <v>43</v>
      </c>
      <c r="K13" t="s">
        <v>44</v>
      </c>
      <c r="L13" t="s">
        <v>45</v>
      </c>
      <c r="M13">
        <v>1483574400</v>
      </c>
      <c r="N13" t="s">
        <v>46</v>
      </c>
      <c r="O13" t="s">
        <v>41</v>
      </c>
      <c r="P13" t="s">
        <v>1628</v>
      </c>
      <c r="Q13">
        <f>LEN(AMAZON_FASHION_5__2[[#This Row],[reviewText]])</f>
        <v>348</v>
      </c>
      <c r="R13" t="str">
        <f>IF(AMAZON_FASHION_5__2[[#This Row],[overall]]&gt;=4,"Positive",IF(AMAZON_FASHION_5__2[[#This Row],[overall]]&lt;=2,"Negative","Neutral"))</f>
        <v>Negative</v>
      </c>
      <c r="S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Shoe Inserts</v>
      </c>
    </row>
    <row r="14" spans="1:19" x14ac:dyDescent="0.25">
      <c r="A14">
        <v>5</v>
      </c>
      <c r="B14" t="b">
        <v>1</v>
      </c>
      <c r="C14" s="1">
        <v>42660</v>
      </c>
      <c r="D14">
        <f>YEAR(AMAZON_FASHION_5__2[[#This Row],[reviewDate]])</f>
        <v>2016</v>
      </c>
      <c r="E14" s="1" t="str">
        <f>TEXT(AMAZON_FASHION_5__2[[#This Row],[reviewDate]], "mmmm")</f>
        <v>October</v>
      </c>
      <c r="F14" t="s">
        <v>47</v>
      </c>
      <c r="G14" t="s">
        <v>36</v>
      </c>
      <c r="H14" t="s">
        <v>1628</v>
      </c>
      <c r="I14" t="s">
        <v>1628</v>
      </c>
      <c r="J14" t="s">
        <v>48</v>
      </c>
      <c r="K14" t="s">
        <v>49</v>
      </c>
      <c r="L14" t="s">
        <v>50</v>
      </c>
      <c r="M14">
        <v>1476662400</v>
      </c>
      <c r="N14" t="s">
        <v>1628</v>
      </c>
      <c r="O14" t="s">
        <v>1628</v>
      </c>
      <c r="P14" t="s">
        <v>1628</v>
      </c>
      <c r="Q14">
        <f>LEN(AMAZON_FASHION_5__2[[#This Row],[reviewText]])</f>
        <v>66</v>
      </c>
      <c r="R14" t="str">
        <f>IF(AMAZON_FASHION_5__2[[#This Row],[overall]]&gt;=4,"Positive",IF(AMAZON_FASHION_5__2[[#This Row],[overall]]&lt;=2,"Negative","Neutral"))</f>
        <v>Positive</v>
      </c>
      <c r="S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Shoe Inserts</v>
      </c>
    </row>
    <row r="15" spans="1:19" x14ac:dyDescent="0.25">
      <c r="A15">
        <v>5</v>
      </c>
      <c r="B15" t="b">
        <v>1</v>
      </c>
      <c r="C15" s="1">
        <v>42604</v>
      </c>
      <c r="D15">
        <f>YEAR(AMAZON_FASHION_5__2[[#This Row],[reviewDate]])</f>
        <v>2016</v>
      </c>
      <c r="E15" s="1" t="str">
        <f>TEXT(AMAZON_FASHION_5__2[[#This Row],[reviewDate]], "mmmm")</f>
        <v>August</v>
      </c>
      <c r="F15" t="s">
        <v>42</v>
      </c>
      <c r="G15" t="s">
        <v>36</v>
      </c>
      <c r="H15" t="s">
        <v>1628</v>
      </c>
      <c r="I15" t="s">
        <v>1628</v>
      </c>
      <c r="J15" t="s">
        <v>43</v>
      </c>
      <c r="K15" t="s">
        <v>51</v>
      </c>
      <c r="L15" t="s">
        <v>52</v>
      </c>
      <c r="M15">
        <v>1471824000</v>
      </c>
      <c r="N15" t="s">
        <v>1628</v>
      </c>
      <c r="O15" t="s">
        <v>1628</v>
      </c>
      <c r="P15" t="s">
        <v>1628</v>
      </c>
      <c r="Q15">
        <f>LEN(AMAZON_FASHION_5__2[[#This Row],[reviewText]])</f>
        <v>470</v>
      </c>
      <c r="R15" t="str">
        <f>IF(AMAZON_FASHION_5__2[[#This Row],[overall]]&gt;=4,"Positive",IF(AMAZON_FASHION_5__2[[#This Row],[overall]]&lt;=2,"Negative","Neutral"))</f>
        <v>Positive</v>
      </c>
      <c r="S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Shoe Inserts</v>
      </c>
    </row>
    <row r="16" spans="1:19" x14ac:dyDescent="0.25">
      <c r="A16">
        <v>5</v>
      </c>
      <c r="B16" t="b">
        <v>1</v>
      </c>
      <c r="C16" s="1">
        <v>42452</v>
      </c>
      <c r="D16">
        <f>YEAR(AMAZON_FASHION_5__2[[#This Row],[reviewDate]])</f>
        <v>2016</v>
      </c>
      <c r="E16" s="1" t="str">
        <f>TEXT(AMAZON_FASHION_5__2[[#This Row],[reviewDate]], "mmmm")</f>
        <v>March</v>
      </c>
      <c r="F16" t="s">
        <v>47</v>
      </c>
      <c r="G16" t="s">
        <v>36</v>
      </c>
      <c r="H16" t="s">
        <v>1628</v>
      </c>
      <c r="I16" t="s">
        <v>1628</v>
      </c>
      <c r="J16" t="s">
        <v>48</v>
      </c>
      <c r="K16" t="s">
        <v>53</v>
      </c>
      <c r="L16" t="s">
        <v>17</v>
      </c>
      <c r="M16">
        <v>1458691200</v>
      </c>
      <c r="N16" t="s">
        <v>1628</v>
      </c>
      <c r="O16" t="s">
        <v>1628</v>
      </c>
      <c r="P16" t="s">
        <v>1628</v>
      </c>
      <c r="Q16">
        <f>LEN(AMAZON_FASHION_5__2[[#This Row],[reviewText]])</f>
        <v>35</v>
      </c>
      <c r="R16" t="str">
        <f>IF(AMAZON_FASHION_5__2[[#This Row],[overall]]&gt;=4,"Positive",IF(AMAZON_FASHION_5__2[[#This Row],[overall]]&lt;=2,"Negative","Neutral"))</f>
        <v>Positive</v>
      </c>
      <c r="S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Shoe Inserts</v>
      </c>
    </row>
    <row r="17" spans="1:19" x14ac:dyDescent="0.25">
      <c r="A17">
        <v>5</v>
      </c>
      <c r="B17" t="b">
        <v>1</v>
      </c>
      <c r="C17" s="1">
        <v>42179</v>
      </c>
      <c r="D17">
        <f>YEAR(AMAZON_FASHION_5__2[[#This Row],[reviewDate]])</f>
        <v>2015</v>
      </c>
      <c r="E17" s="1" t="str">
        <f>TEXT(AMAZON_FASHION_5__2[[#This Row],[reviewDate]], "mmmm")</f>
        <v>June</v>
      </c>
      <c r="F17" t="s">
        <v>42</v>
      </c>
      <c r="G17" t="s">
        <v>36</v>
      </c>
      <c r="H17" t="s">
        <v>1628</v>
      </c>
      <c r="I17" t="s">
        <v>1628</v>
      </c>
      <c r="J17" t="s">
        <v>43</v>
      </c>
      <c r="K17" t="s">
        <v>54</v>
      </c>
      <c r="L17" t="s">
        <v>55</v>
      </c>
      <c r="M17">
        <v>1435104000</v>
      </c>
      <c r="N17" t="s">
        <v>1628</v>
      </c>
      <c r="O17" t="s">
        <v>1628</v>
      </c>
      <c r="P17" t="s">
        <v>1628</v>
      </c>
      <c r="Q17">
        <f>LEN(AMAZON_FASHION_5__2[[#This Row],[reviewText]])</f>
        <v>158</v>
      </c>
      <c r="R17" t="str">
        <f>IF(AMAZON_FASHION_5__2[[#This Row],[overall]]&gt;=4,"Positive",IF(AMAZON_FASHION_5__2[[#This Row],[overall]]&lt;=2,"Negative","Neutral"))</f>
        <v>Positive</v>
      </c>
      <c r="S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Shoe Inserts</v>
      </c>
    </row>
    <row r="18" spans="1:19" x14ac:dyDescent="0.25">
      <c r="A18">
        <v>5</v>
      </c>
      <c r="B18" t="b">
        <v>1</v>
      </c>
      <c r="C18" s="1">
        <v>41960</v>
      </c>
      <c r="D18">
        <f>YEAR(AMAZON_FASHION_5__2[[#This Row],[reviewDate]])</f>
        <v>2014</v>
      </c>
      <c r="E18" s="1" t="str">
        <f>TEXT(AMAZON_FASHION_5__2[[#This Row],[reviewDate]], "mmmm")</f>
        <v>November</v>
      </c>
      <c r="F18" t="s">
        <v>47</v>
      </c>
      <c r="G18" t="s">
        <v>36</v>
      </c>
      <c r="H18" t="s">
        <v>1628</v>
      </c>
      <c r="I18" t="s">
        <v>1628</v>
      </c>
      <c r="J18" t="s">
        <v>48</v>
      </c>
      <c r="K18" t="s">
        <v>56</v>
      </c>
      <c r="L18" t="s">
        <v>57</v>
      </c>
      <c r="M18">
        <v>1416182400</v>
      </c>
      <c r="N18" t="s">
        <v>1628</v>
      </c>
      <c r="O18" t="s">
        <v>1628</v>
      </c>
      <c r="P18" t="s">
        <v>1628</v>
      </c>
      <c r="Q18">
        <f>LEN(AMAZON_FASHION_5__2[[#This Row],[reviewText]])</f>
        <v>117</v>
      </c>
      <c r="R18" t="str">
        <f>IF(AMAZON_FASHION_5__2[[#This Row],[overall]]&gt;=4,"Positive",IF(AMAZON_FASHION_5__2[[#This Row],[overall]]&lt;=2,"Negative","Neutral"))</f>
        <v>Positive</v>
      </c>
      <c r="S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Shoe Inserts</v>
      </c>
    </row>
    <row r="19" spans="1:19" x14ac:dyDescent="0.25">
      <c r="A19">
        <v>2</v>
      </c>
      <c r="B19" t="b">
        <v>1</v>
      </c>
      <c r="C19" s="1">
        <v>43125</v>
      </c>
      <c r="D19">
        <f>YEAR(AMAZON_FASHION_5__2[[#This Row],[reviewDate]])</f>
        <v>2018</v>
      </c>
      <c r="E19" s="1" t="str">
        <f>TEXT(AMAZON_FASHION_5__2[[#This Row],[reviewDate]], "mmmm")</f>
        <v>January</v>
      </c>
      <c r="F19" t="s">
        <v>35</v>
      </c>
      <c r="G19" t="s">
        <v>58</v>
      </c>
      <c r="H19" t="s">
        <v>1628</v>
      </c>
      <c r="I19" t="s">
        <v>1628</v>
      </c>
      <c r="J19" t="s">
        <v>37</v>
      </c>
      <c r="K19" t="s">
        <v>38</v>
      </c>
      <c r="L19" t="s">
        <v>39</v>
      </c>
      <c r="M19">
        <v>1516838400</v>
      </c>
      <c r="N19" t="s">
        <v>1628</v>
      </c>
      <c r="O19" t="s">
        <v>1628</v>
      </c>
      <c r="P19" t="s">
        <v>1628</v>
      </c>
      <c r="Q19">
        <f>LEN(AMAZON_FASHION_5__2[[#This Row],[reviewText]])</f>
        <v>130</v>
      </c>
      <c r="R19" t="str">
        <f>IF(AMAZON_FASHION_5__2[[#This Row],[overall]]&gt;=4,"Positive",IF(AMAZON_FASHION_5__2[[#This Row],[overall]]&lt;=2,"Negative","Neutral"))</f>
        <v>Negative</v>
      </c>
      <c r="S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 spans="1:19" x14ac:dyDescent="0.25">
      <c r="A20">
        <v>2</v>
      </c>
      <c r="B20" t="b">
        <v>1</v>
      </c>
      <c r="C20" s="1">
        <v>42740</v>
      </c>
      <c r="D20">
        <f>YEAR(AMAZON_FASHION_5__2[[#This Row],[reviewDate]])</f>
        <v>2017</v>
      </c>
      <c r="E20" s="1" t="str">
        <f>TEXT(AMAZON_FASHION_5__2[[#This Row],[reviewDate]], "mmmm")</f>
        <v>January</v>
      </c>
      <c r="F20" t="s">
        <v>42</v>
      </c>
      <c r="G20" t="s">
        <v>58</v>
      </c>
      <c r="H20" t="s">
        <v>1628</v>
      </c>
      <c r="I20" t="s">
        <v>1628</v>
      </c>
      <c r="J20" t="s">
        <v>43</v>
      </c>
      <c r="K20" t="s">
        <v>44</v>
      </c>
      <c r="L20" t="s">
        <v>45</v>
      </c>
      <c r="M20">
        <v>1483574400</v>
      </c>
      <c r="N20" t="s">
        <v>1628</v>
      </c>
      <c r="O20" t="s">
        <v>1628</v>
      </c>
      <c r="P20" t="s">
        <v>1628</v>
      </c>
      <c r="Q20">
        <f>LEN(AMAZON_FASHION_5__2[[#This Row],[reviewText]])</f>
        <v>348</v>
      </c>
      <c r="R20" t="str">
        <f>IF(AMAZON_FASHION_5__2[[#This Row],[overall]]&gt;=4,"Positive",IF(AMAZON_FASHION_5__2[[#This Row],[overall]]&lt;=2,"Negative","Neutral"))</f>
        <v>Negative</v>
      </c>
      <c r="S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 spans="1:19" x14ac:dyDescent="0.25">
      <c r="A21">
        <v>5</v>
      </c>
      <c r="B21" t="b">
        <v>1</v>
      </c>
      <c r="C21" s="1">
        <v>42660</v>
      </c>
      <c r="D21">
        <f>YEAR(AMAZON_FASHION_5__2[[#This Row],[reviewDate]])</f>
        <v>2016</v>
      </c>
      <c r="E21" s="1" t="str">
        <f>TEXT(AMAZON_FASHION_5__2[[#This Row],[reviewDate]], "mmmm")</f>
        <v>October</v>
      </c>
      <c r="F21" t="s">
        <v>47</v>
      </c>
      <c r="G21" t="s">
        <v>58</v>
      </c>
      <c r="H21" t="s">
        <v>1628</v>
      </c>
      <c r="I21" t="s">
        <v>1628</v>
      </c>
      <c r="J21" t="s">
        <v>48</v>
      </c>
      <c r="K21" t="s">
        <v>49</v>
      </c>
      <c r="L21" t="s">
        <v>50</v>
      </c>
      <c r="M21">
        <v>1476662400</v>
      </c>
      <c r="N21" t="s">
        <v>1628</v>
      </c>
      <c r="O21" t="s">
        <v>1628</v>
      </c>
      <c r="P21" t="s">
        <v>1628</v>
      </c>
      <c r="Q21">
        <f>LEN(AMAZON_FASHION_5__2[[#This Row],[reviewText]])</f>
        <v>66</v>
      </c>
      <c r="R21" t="str">
        <f>IF(AMAZON_FASHION_5__2[[#This Row],[overall]]&gt;=4,"Positive",IF(AMAZON_FASHION_5__2[[#This Row],[overall]]&lt;=2,"Negative","Neutral"))</f>
        <v>Positive</v>
      </c>
      <c r="S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 spans="1:19" x14ac:dyDescent="0.25">
      <c r="A22">
        <v>5</v>
      </c>
      <c r="B22" t="b">
        <v>1</v>
      </c>
      <c r="C22" s="1">
        <v>42604</v>
      </c>
      <c r="D22">
        <f>YEAR(AMAZON_FASHION_5__2[[#This Row],[reviewDate]])</f>
        <v>2016</v>
      </c>
      <c r="E22" s="1" t="str">
        <f>TEXT(AMAZON_FASHION_5__2[[#This Row],[reviewDate]], "mmmm")</f>
        <v>August</v>
      </c>
      <c r="F22" t="s">
        <v>42</v>
      </c>
      <c r="G22" t="s">
        <v>58</v>
      </c>
      <c r="H22" t="s">
        <v>1628</v>
      </c>
      <c r="I22" t="s">
        <v>1628</v>
      </c>
      <c r="J22" t="s">
        <v>43</v>
      </c>
      <c r="K22" t="s">
        <v>51</v>
      </c>
      <c r="L22" t="s">
        <v>52</v>
      </c>
      <c r="M22">
        <v>1471824000</v>
      </c>
      <c r="N22" t="s">
        <v>1628</v>
      </c>
      <c r="O22" t="s">
        <v>1628</v>
      </c>
      <c r="P22" t="s">
        <v>1628</v>
      </c>
      <c r="Q22">
        <f>LEN(AMAZON_FASHION_5__2[[#This Row],[reviewText]])</f>
        <v>470</v>
      </c>
      <c r="R22" t="str">
        <f>IF(AMAZON_FASHION_5__2[[#This Row],[overall]]&gt;=4,"Positive",IF(AMAZON_FASHION_5__2[[#This Row],[overall]]&lt;=2,"Negative","Neutral"))</f>
        <v>Positive</v>
      </c>
      <c r="S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 spans="1:19" x14ac:dyDescent="0.25">
      <c r="A23">
        <v>5</v>
      </c>
      <c r="B23" t="b">
        <v>1</v>
      </c>
      <c r="C23" s="1">
        <v>42452</v>
      </c>
      <c r="D23">
        <f>YEAR(AMAZON_FASHION_5__2[[#This Row],[reviewDate]])</f>
        <v>2016</v>
      </c>
      <c r="E23" s="1" t="str">
        <f>TEXT(AMAZON_FASHION_5__2[[#This Row],[reviewDate]], "mmmm")</f>
        <v>March</v>
      </c>
      <c r="F23" t="s">
        <v>47</v>
      </c>
      <c r="G23" t="s">
        <v>58</v>
      </c>
      <c r="H23" t="s">
        <v>1628</v>
      </c>
      <c r="I23" t="s">
        <v>1628</v>
      </c>
      <c r="J23" t="s">
        <v>48</v>
      </c>
      <c r="K23" t="s">
        <v>53</v>
      </c>
      <c r="L23" t="s">
        <v>17</v>
      </c>
      <c r="M23">
        <v>1458691200</v>
      </c>
      <c r="N23" t="s">
        <v>1628</v>
      </c>
      <c r="O23" t="s">
        <v>1628</v>
      </c>
      <c r="P23" t="s">
        <v>1628</v>
      </c>
      <c r="Q23">
        <f>LEN(AMAZON_FASHION_5__2[[#This Row],[reviewText]])</f>
        <v>35</v>
      </c>
      <c r="R23" t="str">
        <f>IF(AMAZON_FASHION_5__2[[#This Row],[overall]]&gt;=4,"Positive",IF(AMAZON_FASHION_5__2[[#This Row],[overall]]&lt;=2,"Negative","Neutral"))</f>
        <v>Positive</v>
      </c>
      <c r="S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 spans="1:19" x14ac:dyDescent="0.25">
      <c r="A24">
        <v>5</v>
      </c>
      <c r="B24" t="b">
        <v>1</v>
      </c>
      <c r="C24" s="1">
        <v>42179</v>
      </c>
      <c r="D24">
        <f>YEAR(AMAZON_FASHION_5__2[[#This Row],[reviewDate]])</f>
        <v>2015</v>
      </c>
      <c r="E24" s="1" t="str">
        <f>TEXT(AMAZON_FASHION_5__2[[#This Row],[reviewDate]], "mmmm")</f>
        <v>June</v>
      </c>
      <c r="F24" t="s">
        <v>42</v>
      </c>
      <c r="G24" t="s">
        <v>58</v>
      </c>
      <c r="H24" t="s">
        <v>1628</v>
      </c>
      <c r="I24" t="s">
        <v>1628</v>
      </c>
      <c r="J24" t="s">
        <v>43</v>
      </c>
      <c r="K24" t="s">
        <v>54</v>
      </c>
      <c r="L24" t="s">
        <v>55</v>
      </c>
      <c r="M24">
        <v>1435104000</v>
      </c>
      <c r="N24" t="s">
        <v>1628</v>
      </c>
      <c r="O24" t="s">
        <v>1628</v>
      </c>
      <c r="P24" t="s">
        <v>1628</v>
      </c>
      <c r="Q24">
        <f>LEN(AMAZON_FASHION_5__2[[#This Row],[reviewText]])</f>
        <v>158</v>
      </c>
      <c r="R24" t="str">
        <f>IF(AMAZON_FASHION_5__2[[#This Row],[overall]]&gt;=4,"Positive",IF(AMAZON_FASHION_5__2[[#This Row],[overall]]&lt;=2,"Negative","Neutral"))</f>
        <v>Positive</v>
      </c>
      <c r="S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 spans="1:19" x14ac:dyDescent="0.25">
      <c r="A25">
        <v>5</v>
      </c>
      <c r="B25" t="b">
        <v>1</v>
      </c>
      <c r="C25" s="1">
        <v>41960</v>
      </c>
      <c r="D25">
        <f>YEAR(AMAZON_FASHION_5__2[[#This Row],[reviewDate]])</f>
        <v>2014</v>
      </c>
      <c r="E25" s="1" t="str">
        <f>TEXT(AMAZON_FASHION_5__2[[#This Row],[reviewDate]], "mmmm")</f>
        <v>November</v>
      </c>
      <c r="F25" t="s">
        <v>47</v>
      </c>
      <c r="G25" t="s">
        <v>58</v>
      </c>
      <c r="H25" t="s">
        <v>1628</v>
      </c>
      <c r="I25" t="s">
        <v>1628</v>
      </c>
      <c r="J25" t="s">
        <v>48</v>
      </c>
      <c r="K25" t="s">
        <v>56</v>
      </c>
      <c r="L25" t="s">
        <v>57</v>
      </c>
      <c r="M25">
        <v>1416182400</v>
      </c>
      <c r="N25" t="s">
        <v>1628</v>
      </c>
      <c r="O25" t="s">
        <v>1628</v>
      </c>
      <c r="P25" t="s">
        <v>1628</v>
      </c>
      <c r="Q25">
        <f>LEN(AMAZON_FASHION_5__2[[#This Row],[reviewText]])</f>
        <v>117</v>
      </c>
      <c r="R25" t="str">
        <f>IF(AMAZON_FASHION_5__2[[#This Row],[overall]]&gt;=4,"Positive",IF(AMAZON_FASHION_5__2[[#This Row],[overall]]&lt;=2,"Negative","Neutral"))</f>
        <v>Positive</v>
      </c>
      <c r="S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 spans="1:19" x14ac:dyDescent="0.25">
      <c r="A26">
        <v>1</v>
      </c>
      <c r="B26" t="b">
        <v>1</v>
      </c>
      <c r="C26" s="1">
        <v>43171</v>
      </c>
      <c r="D26">
        <f>YEAR(AMAZON_FASHION_5__2[[#This Row],[reviewDate]])</f>
        <v>2018</v>
      </c>
      <c r="E26" s="1" t="str">
        <f>TEXT(AMAZON_FASHION_5__2[[#This Row],[reviewDate]], "mmmm")</f>
        <v>March</v>
      </c>
      <c r="F26" t="s">
        <v>59</v>
      </c>
      <c r="G26" t="s">
        <v>60</v>
      </c>
      <c r="H26" t="s">
        <v>61</v>
      </c>
      <c r="I26" t="s">
        <v>62</v>
      </c>
      <c r="J26" t="s">
        <v>63</v>
      </c>
      <c r="K26" t="s">
        <v>64</v>
      </c>
      <c r="L26" t="s">
        <v>65</v>
      </c>
      <c r="M26">
        <v>1520812800</v>
      </c>
      <c r="N26" t="s">
        <v>1628</v>
      </c>
      <c r="O26" t="s">
        <v>1628</v>
      </c>
      <c r="P26" t="s">
        <v>1628</v>
      </c>
      <c r="Q26">
        <f>LEN(AMAZON_FASHION_5__2[[#This Row],[reviewText]])</f>
        <v>14</v>
      </c>
      <c r="R26" t="str">
        <f>IF(AMAZON_FASHION_5__2[[#This Row],[overall]]&gt;=4,"Positive",IF(AMAZON_FASHION_5__2[[#This Row],[overall]]&lt;=2,"Negative","Neutral"))</f>
        <v>Negative</v>
      </c>
      <c r="S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27" spans="1:19" x14ac:dyDescent="0.25">
      <c r="A27">
        <v>5</v>
      </c>
      <c r="B27" t="b">
        <v>1</v>
      </c>
      <c r="C27" s="1">
        <v>43139</v>
      </c>
      <c r="D27">
        <f>YEAR(AMAZON_FASHION_5__2[[#This Row],[reviewDate]])</f>
        <v>2018</v>
      </c>
      <c r="E27" s="1" t="str">
        <f>TEXT(AMAZON_FASHION_5__2[[#This Row],[reviewDate]], "mmmm")</f>
        <v>February</v>
      </c>
      <c r="F27" t="s">
        <v>66</v>
      </c>
      <c r="G27" t="s">
        <v>60</v>
      </c>
      <c r="H27" t="s">
        <v>67</v>
      </c>
      <c r="I27" t="s">
        <v>68</v>
      </c>
      <c r="J27" t="s">
        <v>63</v>
      </c>
      <c r="K27" t="s">
        <v>69</v>
      </c>
      <c r="L27" t="s">
        <v>17</v>
      </c>
      <c r="M27">
        <v>1518048000</v>
      </c>
      <c r="N27" t="s">
        <v>1628</v>
      </c>
      <c r="O27" t="s">
        <v>1628</v>
      </c>
      <c r="P27" t="s">
        <v>1628</v>
      </c>
      <c r="Q27">
        <f>LEN(AMAZON_FASHION_5__2[[#This Row],[reviewText]])</f>
        <v>11</v>
      </c>
      <c r="R27" t="str">
        <f>IF(AMAZON_FASHION_5__2[[#This Row],[overall]]&gt;=4,"Positive",IF(AMAZON_FASHION_5__2[[#This Row],[overall]]&lt;=2,"Negative","Neutral"))</f>
        <v>Positive</v>
      </c>
      <c r="S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28" spans="1:19" x14ac:dyDescent="0.25">
      <c r="A28">
        <v>4</v>
      </c>
      <c r="B28" t="b">
        <v>1</v>
      </c>
      <c r="C28" s="1">
        <v>40360</v>
      </c>
      <c r="D28">
        <f>YEAR(AMAZON_FASHION_5__2[[#This Row],[reviewDate]])</f>
        <v>2010</v>
      </c>
      <c r="E28" s="1" t="str">
        <f>TEXT(AMAZON_FASHION_5__2[[#This Row],[reviewDate]], "mmmm")</f>
        <v>July</v>
      </c>
      <c r="F28" t="s">
        <v>70</v>
      </c>
      <c r="G28" t="s">
        <v>71</v>
      </c>
      <c r="H28" t="s">
        <v>1628</v>
      </c>
      <c r="I28" t="s">
        <v>1628</v>
      </c>
      <c r="J28" t="s">
        <v>72</v>
      </c>
      <c r="K28" t="s">
        <v>73</v>
      </c>
      <c r="L28" t="s">
        <v>74</v>
      </c>
      <c r="M28">
        <v>1277942400</v>
      </c>
      <c r="N28" t="s">
        <v>1628</v>
      </c>
      <c r="O28" t="s">
        <v>1628</v>
      </c>
      <c r="P28">
        <v>35</v>
      </c>
      <c r="Q28">
        <f>LEN(AMAZON_FASHION_5__2[[#This Row],[reviewText]])</f>
        <v>206</v>
      </c>
      <c r="R28" t="str">
        <f>IF(AMAZON_FASHION_5__2[[#This Row],[overall]]&gt;=4,"Positive",IF(AMAZON_FASHION_5__2[[#This Row],[overall]]&lt;=2,"Negative","Neutral"))</f>
        <v>Positive</v>
      </c>
      <c r="S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29" spans="1:19" x14ac:dyDescent="0.25">
      <c r="A29">
        <v>5</v>
      </c>
      <c r="B29" t="b">
        <v>1</v>
      </c>
      <c r="C29" s="1">
        <v>43033</v>
      </c>
      <c r="D29">
        <f>YEAR(AMAZON_FASHION_5__2[[#This Row],[reviewDate]])</f>
        <v>2017</v>
      </c>
      <c r="E29" s="1" t="str">
        <f>TEXT(AMAZON_FASHION_5__2[[#This Row],[reviewDate]], "mmmm")</f>
        <v>October</v>
      </c>
      <c r="F29" t="s">
        <v>75</v>
      </c>
      <c r="G29" t="s">
        <v>60</v>
      </c>
      <c r="H29" t="s">
        <v>61</v>
      </c>
      <c r="I29" t="s">
        <v>76</v>
      </c>
      <c r="J29" t="s">
        <v>77</v>
      </c>
      <c r="K29" t="s">
        <v>78</v>
      </c>
      <c r="L29" t="s">
        <v>17</v>
      </c>
      <c r="M29">
        <v>1508889600</v>
      </c>
      <c r="N29" t="s">
        <v>1628</v>
      </c>
      <c r="O29" t="s">
        <v>1628</v>
      </c>
      <c r="P29" t="s">
        <v>1628</v>
      </c>
      <c r="Q29">
        <f>LEN(AMAZON_FASHION_5__2[[#This Row],[reviewText]])</f>
        <v>58</v>
      </c>
      <c r="R29" t="str">
        <f>IF(AMAZON_FASHION_5__2[[#This Row],[overall]]&gt;=4,"Positive",IF(AMAZON_FASHION_5__2[[#This Row],[overall]]&lt;=2,"Negative","Neutral"))</f>
        <v>Positive</v>
      </c>
      <c r="S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30" spans="1:19" x14ac:dyDescent="0.25">
      <c r="A30">
        <v>5</v>
      </c>
      <c r="B30" t="b">
        <v>1</v>
      </c>
      <c r="C30" s="1">
        <v>43022</v>
      </c>
      <c r="D30">
        <f>YEAR(AMAZON_FASHION_5__2[[#This Row],[reviewDate]])</f>
        <v>2017</v>
      </c>
      <c r="E30" s="1" t="str">
        <f>TEXT(AMAZON_FASHION_5__2[[#This Row],[reviewDate]], "mmmm")</f>
        <v>October</v>
      </c>
      <c r="F30" t="s">
        <v>79</v>
      </c>
      <c r="G30" t="s">
        <v>60</v>
      </c>
      <c r="H30" t="s">
        <v>80</v>
      </c>
      <c r="I30" t="s">
        <v>81</v>
      </c>
      <c r="J30" t="s">
        <v>82</v>
      </c>
      <c r="K30" t="s">
        <v>83</v>
      </c>
      <c r="L30" t="s">
        <v>84</v>
      </c>
      <c r="M30">
        <v>1507939200</v>
      </c>
      <c r="N30" t="s">
        <v>1628</v>
      </c>
      <c r="O30" t="s">
        <v>1628</v>
      </c>
      <c r="P30">
        <v>3</v>
      </c>
      <c r="Q30">
        <f>LEN(AMAZON_FASHION_5__2[[#This Row],[reviewText]])</f>
        <v>223</v>
      </c>
      <c r="R30" t="str">
        <f>IF(AMAZON_FASHION_5__2[[#This Row],[overall]]&gt;=4,"Positive",IF(AMAZON_FASHION_5__2[[#This Row],[overall]]&lt;=2,"Negative","Neutral"))</f>
        <v>Positive</v>
      </c>
      <c r="S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31" spans="1:19" x14ac:dyDescent="0.25">
      <c r="A31">
        <v>1</v>
      </c>
      <c r="B31" t="b">
        <v>1</v>
      </c>
      <c r="C31" s="1">
        <v>43171</v>
      </c>
      <c r="D31">
        <f>YEAR(AMAZON_FASHION_5__2[[#This Row],[reviewDate]])</f>
        <v>2018</v>
      </c>
      <c r="E31" s="1" t="str">
        <f>TEXT(AMAZON_FASHION_5__2[[#This Row],[reviewDate]], "mmmm")</f>
        <v>March</v>
      </c>
      <c r="F31" t="s">
        <v>59</v>
      </c>
      <c r="G31" t="s">
        <v>71</v>
      </c>
      <c r="H31" t="s">
        <v>61</v>
      </c>
      <c r="I31" t="s">
        <v>62</v>
      </c>
      <c r="J31" t="s">
        <v>63</v>
      </c>
      <c r="K31" t="s">
        <v>64</v>
      </c>
      <c r="L31" t="s">
        <v>65</v>
      </c>
      <c r="M31">
        <v>1520812800</v>
      </c>
      <c r="N31" t="s">
        <v>1628</v>
      </c>
      <c r="O31" t="s">
        <v>1628</v>
      </c>
      <c r="P31" t="s">
        <v>1628</v>
      </c>
      <c r="Q31">
        <f>LEN(AMAZON_FASHION_5__2[[#This Row],[reviewText]])</f>
        <v>14</v>
      </c>
      <c r="R31" t="str">
        <f>IF(AMAZON_FASHION_5__2[[#This Row],[overall]]&gt;=4,"Positive",IF(AMAZON_FASHION_5__2[[#This Row],[overall]]&lt;=2,"Negative","Neutral"))</f>
        <v>Negative</v>
      </c>
      <c r="S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32" spans="1:19" x14ac:dyDescent="0.25">
      <c r="A32">
        <v>5</v>
      </c>
      <c r="B32" t="b">
        <v>1</v>
      </c>
      <c r="C32" s="1">
        <v>42946</v>
      </c>
      <c r="D32">
        <f>YEAR(AMAZON_FASHION_5__2[[#This Row],[reviewDate]])</f>
        <v>2017</v>
      </c>
      <c r="E32" s="1" t="str">
        <f>TEXT(AMAZON_FASHION_5__2[[#This Row],[reviewDate]], "mmmm")</f>
        <v>July</v>
      </c>
      <c r="F32" t="s">
        <v>75</v>
      </c>
      <c r="G32" t="s">
        <v>60</v>
      </c>
      <c r="H32" t="s">
        <v>61</v>
      </c>
      <c r="I32" t="s">
        <v>81</v>
      </c>
      <c r="J32" t="s">
        <v>77</v>
      </c>
      <c r="K32" t="s">
        <v>85</v>
      </c>
      <c r="L32" t="s">
        <v>86</v>
      </c>
      <c r="M32">
        <v>1501372800</v>
      </c>
      <c r="N32" t="s">
        <v>1628</v>
      </c>
      <c r="O32" t="s">
        <v>1628</v>
      </c>
      <c r="P32" t="s">
        <v>1628</v>
      </c>
      <c r="Q32">
        <f>LEN(AMAZON_FASHION_5__2[[#This Row],[reviewText]])</f>
        <v>30</v>
      </c>
      <c r="R32" t="str">
        <f>IF(AMAZON_FASHION_5__2[[#This Row],[overall]]&gt;=4,"Positive",IF(AMAZON_FASHION_5__2[[#This Row],[overall]]&lt;=2,"Negative","Neutral"))</f>
        <v>Positive</v>
      </c>
      <c r="S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33" spans="1:19" x14ac:dyDescent="0.25">
      <c r="A33">
        <v>5</v>
      </c>
      <c r="B33" t="b">
        <v>1</v>
      </c>
      <c r="C33" s="1">
        <v>42902</v>
      </c>
      <c r="D33">
        <f>YEAR(AMAZON_FASHION_5__2[[#This Row],[reviewDate]])</f>
        <v>2017</v>
      </c>
      <c r="E33" s="1" t="str">
        <f>TEXT(AMAZON_FASHION_5__2[[#This Row],[reviewDate]], "mmmm")</f>
        <v>June</v>
      </c>
      <c r="F33" t="s">
        <v>87</v>
      </c>
      <c r="G33" t="s">
        <v>60</v>
      </c>
      <c r="H33" t="s">
        <v>88</v>
      </c>
      <c r="I33" t="s">
        <v>68</v>
      </c>
      <c r="J33" t="s">
        <v>89</v>
      </c>
      <c r="K33" t="s">
        <v>90</v>
      </c>
      <c r="L33" t="s">
        <v>91</v>
      </c>
      <c r="M33">
        <v>1497571200</v>
      </c>
      <c r="N33" t="s">
        <v>1628</v>
      </c>
      <c r="O33" t="s">
        <v>1628</v>
      </c>
      <c r="P33" t="s">
        <v>1628</v>
      </c>
      <c r="Q33">
        <f>LEN(AMAZON_FASHION_5__2[[#This Row],[reviewText]])</f>
        <v>70</v>
      </c>
      <c r="R33" t="str">
        <f>IF(AMAZON_FASHION_5__2[[#This Row],[overall]]&gt;=4,"Positive",IF(AMAZON_FASHION_5__2[[#This Row],[overall]]&lt;=2,"Negative","Neutral"))</f>
        <v>Positive</v>
      </c>
      <c r="S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34" spans="1:19" x14ac:dyDescent="0.25">
      <c r="A34">
        <v>3</v>
      </c>
      <c r="B34" t="b">
        <v>1</v>
      </c>
      <c r="C34" s="1">
        <v>42843</v>
      </c>
      <c r="D34">
        <f>YEAR(AMAZON_FASHION_5__2[[#This Row],[reviewDate]])</f>
        <v>2017</v>
      </c>
      <c r="E34" s="1" t="str">
        <f>TEXT(AMAZON_FASHION_5__2[[#This Row],[reviewDate]], "mmmm")</f>
        <v>April</v>
      </c>
      <c r="F34" t="s">
        <v>92</v>
      </c>
      <c r="G34" t="s">
        <v>60</v>
      </c>
      <c r="H34" t="s">
        <v>80</v>
      </c>
      <c r="I34" t="s">
        <v>76</v>
      </c>
      <c r="J34" t="s">
        <v>93</v>
      </c>
      <c r="K34" t="s">
        <v>94</v>
      </c>
      <c r="L34" t="s">
        <v>95</v>
      </c>
      <c r="M34">
        <v>1492473600</v>
      </c>
      <c r="N34" t="s">
        <v>1628</v>
      </c>
      <c r="O34" t="s">
        <v>1628</v>
      </c>
      <c r="P34" t="s">
        <v>1628</v>
      </c>
      <c r="Q34">
        <f>LEN(AMAZON_FASHION_5__2[[#This Row],[reviewText]])</f>
        <v>261</v>
      </c>
      <c r="R34" t="str">
        <f>IF(AMAZON_FASHION_5__2[[#This Row],[overall]]&gt;=4,"Positive",IF(AMAZON_FASHION_5__2[[#This Row],[overall]]&lt;=2,"Negative","Neutral"))</f>
        <v>Neutral</v>
      </c>
      <c r="S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35" spans="1:19" x14ac:dyDescent="0.25">
      <c r="A35">
        <v>5</v>
      </c>
      <c r="B35" t="b">
        <v>1</v>
      </c>
      <c r="C35" s="1">
        <v>42838</v>
      </c>
      <c r="D35">
        <f>YEAR(AMAZON_FASHION_5__2[[#This Row],[reviewDate]])</f>
        <v>2017</v>
      </c>
      <c r="E35" s="1" t="str">
        <f>TEXT(AMAZON_FASHION_5__2[[#This Row],[reviewDate]], "mmmm")</f>
        <v>April</v>
      </c>
      <c r="F35" t="s">
        <v>96</v>
      </c>
      <c r="G35" t="s">
        <v>60</v>
      </c>
      <c r="H35" t="s">
        <v>80</v>
      </c>
      <c r="I35" t="s">
        <v>62</v>
      </c>
      <c r="J35" t="s">
        <v>97</v>
      </c>
      <c r="K35" t="s">
        <v>98</v>
      </c>
      <c r="L35" t="s">
        <v>17</v>
      </c>
      <c r="M35">
        <v>1492041600</v>
      </c>
      <c r="N35" t="s">
        <v>1628</v>
      </c>
      <c r="O35" t="s">
        <v>1628</v>
      </c>
      <c r="P35" t="s">
        <v>1628</v>
      </c>
      <c r="Q35">
        <f>LEN(AMAZON_FASHION_5__2[[#This Row],[reviewText]])</f>
        <v>55</v>
      </c>
      <c r="R35" t="str">
        <f>IF(AMAZON_FASHION_5__2[[#This Row],[overall]]&gt;=4,"Positive",IF(AMAZON_FASHION_5__2[[#This Row],[overall]]&lt;=2,"Negative","Neutral"))</f>
        <v>Positive</v>
      </c>
      <c r="S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36" spans="1:19" x14ac:dyDescent="0.25">
      <c r="A36">
        <v>3</v>
      </c>
      <c r="B36" t="b">
        <v>1</v>
      </c>
      <c r="C36" s="1">
        <v>42838</v>
      </c>
      <c r="D36">
        <f>YEAR(AMAZON_FASHION_5__2[[#This Row],[reviewDate]])</f>
        <v>2017</v>
      </c>
      <c r="E36" s="1" t="str">
        <f>TEXT(AMAZON_FASHION_5__2[[#This Row],[reviewDate]], "mmmm")</f>
        <v>April</v>
      </c>
      <c r="F36" t="s">
        <v>96</v>
      </c>
      <c r="G36" t="s">
        <v>60</v>
      </c>
      <c r="H36" t="s">
        <v>80</v>
      </c>
      <c r="I36" t="s">
        <v>99</v>
      </c>
      <c r="J36" t="s">
        <v>97</v>
      </c>
      <c r="K36" t="s">
        <v>100</v>
      </c>
      <c r="L36" t="s">
        <v>101</v>
      </c>
      <c r="M36">
        <v>1492041600</v>
      </c>
      <c r="N36" t="s">
        <v>1628</v>
      </c>
      <c r="O36" t="s">
        <v>1628</v>
      </c>
      <c r="P36" t="s">
        <v>1628</v>
      </c>
      <c r="Q36">
        <f>LEN(AMAZON_FASHION_5__2[[#This Row],[reviewText]])</f>
        <v>33</v>
      </c>
      <c r="R36" t="str">
        <f>IF(AMAZON_FASHION_5__2[[#This Row],[overall]]&gt;=4,"Positive",IF(AMAZON_FASHION_5__2[[#This Row],[overall]]&lt;=2,"Negative","Neutral"))</f>
        <v>Neutral</v>
      </c>
      <c r="S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37" spans="1:19" x14ac:dyDescent="0.25">
      <c r="A37">
        <v>4</v>
      </c>
      <c r="B37" t="b">
        <v>1</v>
      </c>
      <c r="C37" s="1">
        <v>42830</v>
      </c>
      <c r="D37">
        <f>YEAR(AMAZON_FASHION_5__2[[#This Row],[reviewDate]])</f>
        <v>2017</v>
      </c>
      <c r="E37" s="1" t="str">
        <f>TEXT(AMAZON_FASHION_5__2[[#This Row],[reviewDate]], "mmmm")</f>
        <v>April</v>
      </c>
      <c r="F37" t="s">
        <v>92</v>
      </c>
      <c r="G37" t="s">
        <v>60</v>
      </c>
      <c r="H37" t="s">
        <v>80</v>
      </c>
      <c r="I37" t="s">
        <v>99</v>
      </c>
      <c r="J37" t="s">
        <v>93</v>
      </c>
      <c r="K37" t="s">
        <v>102</v>
      </c>
      <c r="L37" t="s">
        <v>103</v>
      </c>
      <c r="M37">
        <v>1491350400</v>
      </c>
      <c r="N37" t="s">
        <v>1628</v>
      </c>
      <c r="O37" t="s">
        <v>1628</v>
      </c>
      <c r="P37" t="s">
        <v>1628</v>
      </c>
      <c r="Q37">
        <f>LEN(AMAZON_FASHION_5__2[[#This Row],[reviewText]])</f>
        <v>57</v>
      </c>
      <c r="R37" t="str">
        <f>IF(AMAZON_FASHION_5__2[[#This Row],[overall]]&gt;=4,"Positive",IF(AMAZON_FASHION_5__2[[#This Row],[overall]]&lt;=2,"Negative","Neutral"))</f>
        <v>Positive</v>
      </c>
      <c r="S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38" spans="1:19" x14ac:dyDescent="0.25">
      <c r="A38">
        <v>3</v>
      </c>
      <c r="B38" t="b">
        <v>1</v>
      </c>
      <c r="C38" s="1">
        <v>42818</v>
      </c>
      <c r="D38">
        <f>YEAR(AMAZON_FASHION_5__2[[#This Row],[reviewDate]])</f>
        <v>2017</v>
      </c>
      <c r="E38" s="1" t="str">
        <f>TEXT(AMAZON_FASHION_5__2[[#This Row],[reviewDate]], "mmmm")</f>
        <v>March</v>
      </c>
      <c r="F38" t="s">
        <v>104</v>
      </c>
      <c r="G38" t="s">
        <v>60</v>
      </c>
      <c r="H38" t="s">
        <v>67</v>
      </c>
      <c r="I38" t="s">
        <v>68</v>
      </c>
      <c r="J38" t="s">
        <v>105</v>
      </c>
      <c r="K38" t="s">
        <v>106</v>
      </c>
      <c r="L38" t="s">
        <v>101</v>
      </c>
      <c r="M38">
        <v>1490313600</v>
      </c>
      <c r="N38" t="s">
        <v>1628</v>
      </c>
      <c r="O38" t="s">
        <v>1628</v>
      </c>
      <c r="P38" t="s">
        <v>1628</v>
      </c>
      <c r="Q38">
        <f>LEN(AMAZON_FASHION_5__2[[#This Row],[reviewText]])</f>
        <v>31</v>
      </c>
      <c r="R38" t="str">
        <f>IF(AMAZON_FASHION_5__2[[#This Row],[overall]]&gt;=4,"Positive",IF(AMAZON_FASHION_5__2[[#This Row],[overall]]&lt;=2,"Negative","Neutral"))</f>
        <v>Neutral</v>
      </c>
      <c r="S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39" spans="1:19" x14ac:dyDescent="0.25">
      <c r="A39">
        <v>5</v>
      </c>
      <c r="B39" t="b">
        <v>1</v>
      </c>
      <c r="C39" s="1">
        <v>43139</v>
      </c>
      <c r="D39">
        <f>YEAR(AMAZON_FASHION_5__2[[#This Row],[reviewDate]])</f>
        <v>2018</v>
      </c>
      <c r="E39" s="1" t="str">
        <f>TEXT(AMAZON_FASHION_5__2[[#This Row],[reviewDate]], "mmmm")</f>
        <v>February</v>
      </c>
      <c r="F39" t="s">
        <v>66</v>
      </c>
      <c r="G39" t="s">
        <v>71</v>
      </c>
      <c r="H39" t="s">
        <v>67</v>
      </c>
      <c r="I39" t="s">
        <v>68</v>
      </c>
      <c r="J39" t="s">
        <v>63</v>
      </c>
      <c r="K39" t="s">
        <v>69</v>
      </c>
      <c r="L39" t="s">
        <v>17</v>
      </c>
      <c r="M39">
        <v>1518048000</v>
      </c>
      <c r="N39" t="s">
        <v>1628</v>
      </c>
      <c r="O39" t="s">
        <v>1628</v>
      </c>
      <c r="P39" t="s">
        <v>1628</v>
      </c>
      <c r="Q39">
        <f>LEN(AMAZON_FASHION_5__2[[#This Row],[reviewText]])</f>
        <v>11</v>
      </c>
      <c r="R39" t="str">
        <f>IF(AMAZON_FASHION_5__2[[#This Row],[overall]]&gt;=4,"Positive",IF(AMAZON_FASHION_5__2[[#This Row],[overall]]&lt;=2,"Negative","Neutral"))</f>
        <v>Positive</v>
      </c>
      <c r="S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40" spans="1:19" x14ac:dyDescent="0.25">
      <c r="A40">
        <v>5</v>
      </c>
      <c r="B40" t="b">
        <v>1</v>
      </c>
      <c r="C40" s="1">
        <v>42805</v>
      </c>
      <c r="D40">
        <f>YEAR(AMAZON_FASHION_5__2[[#This Row],[reviewDate]])</f>
        <v>2017</v>
      </c>
      <c r="E40" s="1" t="str">
        <f>TEXT(AMAZON_FASHION_5__2[[#This Row],[reviewDate]], "mmmm")</f>
        <v>March</v>
      </c>
      <c r="F40" t="s">
        <v>107</v>
      </c>
      <c r="G40" t="s">
        <v>60</v>
      </c>
      <c r="H40" t="s">
        <v>108</v>
      </c>
      <c r="I40" t="s">
        <v>62</v>
      </c>
      <c r="J40" t="s">
        <v>63</v>
      </c>
      <c r="K40" t="s">
        <v>109</v>
      </c>
      <c r="L40" t="s">
        <v>17</v>
      </c>
      <c r="M40">
        <v>1489190400</v>
      </c>
      <c r="N40" t="s">
        <v>1628</v>
      </c>
      <c r="O40" t="s">
        <v>1628</v>
      </c>
      <c r="P40" t="s">
        <v>1628</v>
      </c>
      <c r="Q40">
        <f>LEN(AMAZON_FASHION_5__2[[#This Row],[reviewText]])</f>
        <v>9</v>
      </c>
      <c r="R40" t="str">
        <f>IF(AMAZON_FASHION_5__2[[#This Row],[overall]]&gt;=4,"Positive",IF(AMAZON_FASHION_5__2[[#This Row],[overall]]&lt;=2,"Negative","Neutral"))</f>
        <v>Positive</v>
      </c>
      <c r="S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41" spans="1:19" x14ac:dyDescent="0.25">
      <c r="A41">
        <v>2</v>
      </c>
      <c r="B41" t="b">
        <v>1</v>
      </c>
      <c r="C41" s="1">
        <v>42787</v>
      </c>
      <c r="D41">
        <f>YEAR(AMAZON_FASHION_5__2[[#This Row],[reviewDate]])</f>
        <v>2017</v>
      </c>
      <c r="E41" s="1" t="str">
        <f>TEXT(AMAZON_FASHION_5__2[[#This Row],[reviewDate]], "mmmm")</f>
        <v>February</v>
      </c>
      <c r="F41" t="s">
        <v>110</v>
      </c>
      <c r="G41" t="s">
        <v>60</v>
      </c>
      <c r="H41" t="s">
        <v>80</v>
      </c>
      <c r="I41" t="s">
        <v>99</v>
      </c>
      <c r="J41" t="s">
        <v>111</v>
      </c>
      <c r="K41" t="s">
        <v>112</v>
      </c>
      <c r="L41" t="s">
        <v>113</v>
      </c>
      <c r="M41">
        <v>1487635200</v>
      </c>
      <c r="N41" t="s">
        <v>1628</v>
      </c>
      <c r="O41" t="s">
        <v>1628</v>
      </c>
      <c r="P41" t="s">
        <v>1628</v>
      </c>
      <c r="Q41">
        <f>LEN(AMAZON_FASHION_5__2[[#This Row],[reviewText]])</f>
        <v>49</v>
      </c>
      <c r="R41" t="str">
        <f>IF(AMAZON_FASHION_5__2[[#This Row],[overall]]&gt;=4,"Positive",IF(AMAZON_FASHION_5__2[[#This Row],[overall]]&lt;=2,"Negative","Neutral"))</f>
        <v>Negative</v>
      </c>
      <c r="S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42" spans="1:19" x14ac:dyDescent="0.25">
      <c r="A42">
        <v>2</v>
      </c>
      <c r="B42" t="b">
        <v>1</v>
      </c>
      <c r="C42" s="1">
        <v>42787</v>
      </c>
      <c r="D42">
        <f>YEAR(AMAZON_FASHION_5__2[[#This Row],[reviewDate]])</f>
        <v>2017</v>
      </c>
      <c r="E42" s="1" t="str">
        <f>TEXT(AMAZON_FASHION_5__2[[#This Row],[reviewDate]], "mmmm")</f>
        <v>February</v>
      </c>
      <c r="F42" t="s">
        <v>110</v>
      </c>
      <c r="G42" t="s">
        <v>60</v>
      </c>
      <c r="H42" t="s">
        <v>80</v>
      </c>
      <c r="I42" t="s">
        <v>76</v>
      </c>
      <c r="J42" t="s">
        <v>111</v>
      </c>
      <c r="K42" t="s">
        <v>114</v>
      </c>
      <c r="L42" t="s">
        <v>115</v>
      </c>
      <c r="M42">
        <v>1487635200</v>
      </c>
      <c r="N42" t="s">
        <v>1628</v>
      </c>
      <c r="O42" t="s">
        <v>1628</v>
      </c>
      <c r="P42" t="s">
        <v>1628</v>
      </c>
      <c r="Q42">
        <f>LEN(AMAZON_FASHION_5__2[[#This Row],[reviewText]])</f>
        <v>51</v>
      </c>
      <c r="R42" t="str">
        <f>IF(AMAZON_FASHION_5__2[[#This Row],[overall]]&gt;=4,"Positive",IF(AMAZON_FASHION_5__2[[#This Row],[overall]]&lt;=2,"Negative","Neutral"))</f>
        <v>Negative</v>
      </c>
      <c r="S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43" spans="1:19" x14ac:dyDescent="0.25">
      <c r="A43">
        <v>4</v>
      </c>
      <c r="B43" t="b">
        <v>1</v>
      </c>
      <c r="C43" s="1">
        <v>42787</v>
      </c>
      <c r="D43">
        <f>YEAR(AMAZON_FASHION_5__2[[#This Row],[reviewDate]])</f>
        <v>2017</v>
      </c>
      <c r="E43" s="1" t="str">
        <f>TEXT(AMAZON_FASHION_5__2[[#This Row],[reviewDate]], "mmmm")</f>
        <v>February</v>
      </c>
      <c r="F43" t="s">
        <v>116</v>
      </c>
      <c r="G43" t="s">
        <v>60</v>
      </c>
      <c r="H43" t="s">
        <v>61</v>
      </c>
      <c r="I43" t="s">
        <v>62</v>
      </c>
      <c r="J43" t="s">
        <v>117</v>
      </c>
      <c r="K43" t="s">
        <v>118</v>
      </c>
      <c r="L43" t="s">
        <v>119</v>
      </c>
      <c r="M43">
        <v>1487635200</v>
      </c>
      <c r="N43" t="s">
        <v>1628</v>
      </c>
      <c r="O43" t="s">
        <v>1628</v>
      </c>
      <c r="P43" t="s">
        <v>1628</v>
      </c>
      <c r="Q43">
        <f>LEN(AMAZON_FASHION_5__2[[#This Row],[reviewText]])</f>
        <v>158</v>
      </c>
      <c r="R43" t="str">
        <f>IF(AMAZON_FASHION_5__2[[#This Row],[overall]]&gt;=4,"Positive",IF(AMAZON_FASHION_5__2[[#This Row],[overall]]&lt;=2,"Negative","Neutral"))</f>
        <v>Positive</v>
      </c>
      <c r="S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44" spans="1:19" x14ac:dyDescent="0.25">
      <c r="A44">
        <v>1</v>
      </c>
      <c r="B44" t="b">
        <v>1</v>
      </c>
      <c r="C44" s="1">
        <v>42774</v>
      </c>
      <c r="D44">
        <f>YEAR(AMAZON_FASHION_5__2[[#This Row],[reviewDate]])</f>
        <v>2017</v>
      </c>
      <c r="E44" s="1" t="str">
        <f>TEXT(AMAZON_FASHION_5__2[[#This Row],[reviewDate]], "mmmm")</f>
        <v>February</v>
      </c>
      <c r="F44" t="s">
        <v>120</v>
      </c>
      <c r="G44" t="s">
        <v>60</v>
      </c>
      <c r="H44" t="s">
        <v>1628</v>
      </c>
      <c r="I44" t="s">
        <v>1628</v>
      </c>
      <c r="J44" t="s">
        <v>121</v>
      </c>
      <c r="K44" t="s">
        <v>122</v>
      </c>
      <c r="L44" t="s">
        <v>123</v>
      </c>
      <c r="M44">
        <v>1486512000</v>
      </c>
      <c r="N44" t="s">
        <v>1628</v>
      </c>
      <c r="O44" t="s">
        <v>1628</v>
      </c>
      <c r="P44" t="s">
        <v>1628</v>
      </c>
      <c r="Q44">
        <f>LEN(AMAZON_FASHION_5__2[[#This Row],[reviewText]])</f>
        <v>128</v>
      </c>
      <c r="R44" t="str">
        <f>IF(AMAZON_FASHION_5__2[[#This Row],[overall]]&gt;=4,"Positive",IF(AMAZON_FASHION_5__2[[#This Row],[overall]]&lt;=2,"Negative","Neutral"))</f>
        <v>Negative</v>
      </c>
      <c r="S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45" spans="1:19" x14ac:dyDescent="0.25">
      <c r="A45">
        <v>3</v>
      </c>
      <c r="B45" t="b">
        <v>1</v>
      </c>
      <c r="C45" s="1">
        <v>42767</v>
      </c>
      <c r="D45">
        <f>YEAR(AMAZON_FASHION_5__2[[#This Row],[reviewDate]])</f>
        <v>2017</v>
      </c>
      <c r="E45" s="1" t="str">
        <f>TEXT(AMAZON_FASHION_5__2[[#This Row],[reviewDate]], "mmmm")</f>
        <v>February</v>
      </c>
      <c r="F45" t="s">
        <v>104</v>
      </c>
      <c r="G45" t="s">
        <v>60</v>
      </c>
      <c r="H45" t="s">
        <v>88</v>
      </c>
      <c r="I45" t="s">
        <v>81</v>
      </c>
      <c r="J45" t="s">
        <v>105</v>
      </c>
      <c r="K45" t="s">
        <v>124</v>
      </c>
      <c r="L45" t="s">
        <v>101</v>
      </c>
      <c r="M45">
        <v>1485907200</v>
      </c>
      <c r="N45" t="s">
        <v>1628</v>
      </c>
      <c r="O45" t="s">
        <v>1628</v>
      </c>
      <c r="P45" t="s">
        <v>1628</v>
      </c>
      <c r="Q45">
        <f>LEN(AMAZON_FASHION_5__2[[#This Row],[reviewText]])</f>
        <v>13</v>
      </c>
      <c r="R45" t="str">
        <f>IF(AMAZON_FASHION_5__2[[#This Row],[overall]]&gt;=4,"Positive",IF(AMAZON_FASHION_5__2[[#This Row],[overall]]&lt;=2,"Negative","Neutral"))</f>
        <v>Neutral</v>
      </c>
      <c r="S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46" spans="1:19" x14ac:dyDescent="0.25">
      <c r="A46">
        <v>5</v>
      </c>
      <c r="B46" t="b">
        <v>1</v>
      </c>
      <c r="C46" s="1">
        <v>42758</v>
      </c>
      <c r="D46">
        <f>YEAR(AMAZON_FASHION_5__2[[#This Row],[reviewDate]])</f>
        <v>2017</v>
      </c>
      <c r="E46" s="1" t="str">
        <f>TEXT(AMAZON_FASHION_5__2[[#This Row],[reviewDate]], "mmmm")</f>
        <v>January</v>
      </c>
      <c r="F46" t="s">
        <v>107</v>
      </c>
      <c r="G46" t="s">
        <v>60</v>
      </c>
      <c r="H46" t="s">
        <v>1628</v>
      </c>
      <c r="I46" t="s">
        <v>1628</v>
      </c>
      <c r="J46" t="s">
        <v>63</v>
      </c>
      <c r="K46" t="s">
        <v>125</v>
      </c>
      <c r="L46" t="s">
        <v>17</v>
      </c>
      <c r="M46">
        <v>1485129600</v>
      </c>
      <c r="N46" t="s">
        <v>1628</v>
      </c>
      <c r="O46" t="s">
        <v>1628</v>
      </c>
      <c r="P46" t="s">
        <v>1628</v>
      </c>
      <c r="Q46">
        <f>LEN(AMAZON_FASHION_5__2[[#This Row],[reviewText]])</f>
        <v>31</v>
      </c>
      <c r="R46" t="str">
        <f>IF(AMAZON_FASHION_5__2[[#This Row],[overall]]&gt;=4,"Positive",IF(AMAZON_FASHION_5__2[[#This Row],[overall]]&lt;=2,"Negative","Neutral"))</f>
        <v>Positive</v>
      </c>
      <c r="S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47" spans="1:19" x14ac:dyDescent="0.25">
      <c r="A47">
        <v>5</v>
      </c>
      <c r="B47" t="b">
        <v>1</v>
      </c>
      <c r="C47" s="1">
        <v>42437</v>
      </c>
      <c r="D47">
        <f>YEAR(AMAZON_FASHION_5__2[[#This Row],[reviewDate]])</f>
        <v>2016</v>
      </c>
      <c r="E47" s="1" t="str">
        <f>TEXT(AMAZON_FASHION_5__2[[#This Row],[reviewDate]], "mmmm")</f>
        <v>March</v>
      </c>
      <c r="F47" t="s">
        <v>126</v>
      </c>
      <c r="G47" t="s">
        <v>60</v>
      </c>
      <c r="H47" t="s">
        <v>1628</v>
      </c>
      <c r="I47" t="s">
        <v>1628</v>
      </c>
      <c r="J47" t="s">
        <v>127</v>
      </c>
      <c r="K47" t="s">
        <v>128</v>
      </c>
      <c r="L47" t="s">
        <v>129</v>
      </c>
      <c r="M47">
        <v>1457395200</v>
      </c>
      <c r="N47" t="s">
        <v>1628</v>
      </c>
      <c r="O47" t="s">
        <v>1628</v>
      </c>
      <c r="P47" t="s">
        <v>1628</v>
      </c>
      <c r="Q47">
        <f>LEN(AMAZON_FASHION_5__2[[#This Row],[reviewText]])</f>
        <v>24</v>
      </c>
      <c r="R47" t="str">
        <f>IF(AMAZON_FASHION_5__2[[#This Row],[overall]]&gt;=4,"Positive",IF(AMAZON_FASHION_5__2[[#This Row],[overall]]&lt;=2,"Negative","Neutral"))</f>
        <v>Positive</v>
      </c>
      <c r="S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48" spans="1:19" x14ac:dyDescent="0.25">
      <c r="A48">
        <v>2</v>
      </c>
      <c r="B48" t="b">
        <v>1</v>
      </c>
      <c r="C48" s="1">
        <v>42303</v>
      </c>
      <c r="D48">
        <f>YEAR(AMAZON_FASHION_5__2[[#This Row],[reviewDate]])</f>
        <v>2015</v>
      </c>
      <c r="E48" s="1" t="str">
        <f>TEXT(AMAZON_FASHION_5__2[[#This Row],[reviewDate]], "mmmm")</f>
        <v>October</v>
      </c>
      <c r="F48" t="s">
        <v>130</v>
      </c>
      <c r="G48" t="s">
        <v>60</v>
      </c>
      <c r="H48" t="s">
        <v>1628</v>
      </c>
      <c r="I48" t="s">
        <v>1628</v>
      </c>
      <c r="J48" t="s">
        <v>131</v>
      </c>
      <c r="K48" t="s">
        <v>132</v>
      </c>
      <c r="L48" t="s">
        <v>133</v>
      </c>
      <c r="M48">
        <v>1445817600</v>
      </c>
      <c r="N48" t="s">
        <v>1628</v>
      </c>
      <c r="O48" t="s">
        <v>1628</v>
      </c>
      <c r="P48" t="s">
        <v>1628</v>
      </c>
      <c r="Q48">
        <f>LEN(AMAZON_FASHION_5__2[[#This Row],[reviewText]])</f>
        <v>151</v>
      </c>
      <c r="R48" t="str">
        <f>IF(AMAZON_FASHION_5__2[[#This Row],[overall]]&gt;=4,"Positive",IF(AMAZON_FASHION_5__2[[#This Row],[overall]]&lt;=2,"Negative","Neutral"))</f>
        <v>Negative</v>
      </c>
      <c r="S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49" spans="1:19" x14ac:dyDescent="0.25">
      <c r="A49">
        <v>3</v>
      </c>
      <c r="B49" t="b">
        <v>1</v>
      </c>
      <c r="C49" s="1">
        <v>42166</v>
      </c>
      <c r="D49">
        <f>YEAR(AMAZON_FASHION_5__2[[#This Row],[reviewDate]])</f>
        <v>2015</v>
      </c>
      <c r="E49" s="1" t="str">
        <f>TEXT(AMAZON_FASHION_5__2[[#This Row],[reviewDate]], "mmmm")</f>
        <v>June</v>
      </c>
      <c r="F49" t="s">
        <v>134</v>
      </c>
      <c r="G49" t="s">
        <v>60</v>
      </c>
      <c r="H49" t="s">
        <v>1628</v>
      </c>
      <c r="I49" t="s">
        <v>1628</v>
      </c>
      <c r="J49" t="s">
        <v>135</v>
      </c>
      <c r="K49" t="s">
        <v>136</v>
      </c>
      <c r="L49" t="s">
        <v>137</v>
      </c>
      <c r="M49">
        <v>1433980800</v>
      </c>
      <c r="N49" t="s">
        <v>1628</v>
      </c>
      <c r="O49" t="s">
        <v>1628</v>
      </c>
      <c r="P49" t="s">
        <v>1628</v>
      </c>
      <c r="Q49">
        <f>LEN(AMAZON_FASHION_5__2[[#This Row],[reviewText]])</f>
        <v>58</v>
      </c>
      <c r="R49" t="str">
        <f>IF(AMAZON_FASHION_5__2[[#This Row],[overall]]&gt;=4,"Positive",IF(AMAZON_FASHION_5__2[[#This Row],[overall]]&lt;=2,"Negative","Neutral"))</f>
        <v>Neutral</v>
      </c>
      <c r="S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50" spans="1:19" x14ac:dyDescent="0.25">
      <c r="A50">
        <v>4</v>
      </c>
      <c r="B50" t="b">
        <v>1</v>
      </c>
      <c r="C50" s="1">
        <v>42148</v>
      </c>
      <c r="D50">
        <f>YEAR(AMAZON_FASHION_5__2[[#This Row],[reviewDate]])</f>
        <v>2015</v>
      </c>
      <c r="E50" s="1" t="str">
        <f>TEXT(AMAZON_FASHION_5__2[[#This Row],[reviewDate]], "mmmm")</f>
        <v>May</v>
      </c>
      <c r="F50" t="s">
        <v>138</v>
      </c>
      <c r="G50" t="s">
        <v>60</v>
      </c>
      <c r="H50" t="s">
        <v>1628</v>
      </c>
      <c r="I50" t="s">
        <v>1628</v>
      </c>
      <c r="J50" t="s">
        <v>139</v>
      </c>
      <c r="K50" t="s">
        <v>140</v>
      </c>
      <c r="L50" t="s">
        <v>141</v>
      </c>
      <c r="M50">
        <v>1432425600</v>
      </c>
      <c r="N50" t="s">
        <v>1628</v>
      </c>
      <c r="O50" t="s">
        <v>1628</v>
      </c>
      <c r="P50" t="s">
        <v>1628</v>
      </c>
      <c r="Q50">
        <f>LEN(AMAZON_FASHION_5__2[[#This Row],[reviewText]])</f>
        <v>112</v>
      </c>
      <c r="R50" t="str">
        <f>IF(AMAZON_FASHION_5__2[[#This Row],[overall]]&gt;=4,"Positive",IF(AMAZON_FASHION_5__2[[#This Row],[overall]]&lt;=2,"Negative","Neutral"))</f>
        <v>Positive</v>
      </c>
      <c r="S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51" spans="1:19" x14ac:dyDescent="0.25">
      <c r="A51">
        <v>5</v>
      </c>
      <c r="B51" t="b">
        <v>1</v>
      </c>
      <c r="C51" s="1">
        <v>42437</v>
      </c>
      <c r="D51">
        <f>YEAR(AMAZON_FASHION_5__2[[#This Row],[reviewDate]])</f>
        <v>2016</v>
      </c>
      <c r="E51" s="1" t="str">
        <f>TEXT(AMAZON_FASHION_5__2[[#This Row],[reviewDate]], "mmmm")</f>
        <v>March</v>
      </c>
      <c r="F51" t="s">
        <v>126</v>
      </c>
      <c r="G51" t="s">
        <v>60</v>
      </c>
      <c r="H51" t="s">
        <v>1628</v>
      </c>
      <c r="I51" t="s">
        <v>1628</v>
      </c>
      <c r="J51" t="s">
        <v>127</v>
      </c>
      <c r="K51" t="s">
        <v>128</v>
      </c>
      <c r="L51" t="s">
        <v>129</v>
      </c>
      <c r="M51">
        <v>1457395200</v>
      </c>
      <c r="N51" t="s">
        <v>1628</v>
      </c>
      <c r="O51" t="s">
        <v>1628</v>
      </c>
      <c r="P51" t="s">
        <v>1628</v>
      </c>
      <c r="Q51">
        <f>LEN(AMAZON_FASHION_5__2[[#This Row],[reviewText]])</f>
        <v>24</v>
      </c>
      <c r="R51" t="str">
        <f>IF(AMAZON_FASHION_5__2[[#This Row],[overall]]&gt;=4,"Positive",IF(AMAZON_FASHION_5__2[[#This Row],[overall]]&lt;=2,"Negative","Neutral"))</f>
        <v>Positive</v>
      </c>
      <c r="S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52" spans="1:19" x14ac:dyDescent="0.25">
      <c r="A52">
        <v>2</v>
      </c>
      <c r="B52" t="b">
        <v>1</v>
      </c>
      <c r="C52" s="1">
        <v>42303</v>
      </c>
      <c r="D52">
        <f>YEAR(AMAZON_FASHION_5__2[[#This Row],[reviewDate]])</f>
        <v>2015</v>
      </c>
      <c r="E52" s="1" t="str">
        <f>TEXT(AMAZON_FASHION_5__2[[#This Row],[reviewDate]], "mmmm")</f>
        <v>October</v>
      </c>
      <c r="F52" t="s">
        <v>130</v>
      </c>
      <c r="G52" t="s">
        <v>60</v>
      </c>
      <c r="H52" t="s">
        <v>1628</v>
      </c>
      <c r="I52" t="s">
        <v>1628</v>
      </c>
      <c r="J52" t="s">
        <v>131</v>
      </c>
      <c r="K52" t="s">
        <v>132</v>
      </c>
      <c r="L52" t="s">
        <v>133</v>
      </c>
      <c r="M52">
        <v>1445817600</v>
      </c>
      <c r="N52" t="s">
        <v>1628</v>
      </c>
      <c r="O52" t="s">
        <v>1628</v>
      </c>
      <c r="P52" t="s">
        <v>1628</v>
      </c>
      <c r="Q52">
        <f>LEN(AMAZON_FASHION_5__2[[#This Row],[reviewText]])</f>
        <v>151</v>
      </c>
      <c r="R52" t="str">
        <f>IF(AMAZON_FASHION_5__2[[#This Row],[overall]]&gt;=4,"Positive",IF(AMAZON_FASHION_5__2[[#This Row],[overall]]&lt;=2,"Negative","Neutral"))</f>
        <v>Negative</v>
      </c>
      <c r="S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53" spans="1:19" x14ac:dyDescent="0.25">
      <c r="A53">
        <v>3</v>
      </c>
      <c r="B53" t="b">
        <v>1</v>
      </c>
      <c r="C53" s="1">
        <v>42166</v>
      </c>
      <c r="D53">
        <f>YEAR(AMAZON_FASHION_5__2[[#This Row],[reviewDate]])</f>
        <v>2015</v>
      </c>
      <c r="E53" s="1" t="str">
        <f>TEXT(AMAZON_FASHION_5__2[[#This Row],[reviewDate]], "mmmm")</f>
        <v>June</v>
      </c>
      <c r="F53" t="s">
        <v>134</v>
      </c>
      <c r="G53" t="s">
        <v>60</v>
      </c>
      <c r="H53" t="s">
        <v>1628</v>
      </c>
      <c r="I53" t="s">
        <v>1628</v>
      </c>
      <c r="J53" t="s">
        <v>135</v>
      </c>
      <c r="K53" t="s">
        <v>136</v>
      </c>
      <c r="L53" t="s">
        <v>137</v>
      </c>
      <c r="M53">
        <v>1433980800</v>
      </c>
      <c r="N53" t="s">
        <v>1628</v>
      </c>
      <c r="O53" t="s">
        <v>1628</v>
      </c>
      <c r="P53" t="s">
        <v>1628</v>
      </c>
      <c r="Q53">
        <f>LEN(AMAZON_FASHION_5__2[[#This Row],[reviewText]])</f>
        <v>58</v>
      </c>
      <c r="R53" t="str">
        <f>IF(AMAZON_FASHION_5__2[[#This Row],[overall]]&gt;=4,"Positive",IF(AMAZON_FASHION_5__2[[#This Row],[overall]]&lt;=2,"Negative","Neutral"))</f>
        <v>Neutral</v>
      </c>
      <c r="S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54" spans="1:19" x14ac:dyDescent="0.25">
      <c r="A54">
        <v>4</v>
      </c>
      <c r="B54" t="b">
        <v>1</v>
      </c>
      <c r="C54" s="1">
        <v>42148</v>
      </c>
      <c r="D54">
        <f>YEAR(AMAZON_FASHION_5__2[[#This Row],[reviewDate]])</f>
        <v>2015</v>
      </c>
      <c r="E54" s="1" t="str">
        <f>TEXT(AMAZON_FASHION_5__2[[#This Row],[reviewDate]], "mmmm")</f>
        <v>May</v>
      </c>
      <c r="F54" t="s">
        <v>138</v>
      </c>
      <c r="G54" t="s">
        <v>60</v>
      </c>
      <c r="H54" t="s">
        <v>1628</v>
      </c>
      <c r="I54" t="s">
        <v>1628</v>
      </c>
      <c r="J54" t="s">
        <v>139</v>
      </c>
      <c r="K54" t="s">
        <v>140</v>
      </c>
      <c r="L54" t="s">
        <v>141</v>
      </c>
      <c r="M54">
        <v>1432425600</v>
      </c>
      <c r="N54" t="s">
        <v>1628</v>
      </c>
      <c r="O54" t="s">
        <v>1628</v>
      </c>
      <c r="P54" t="s">
        <v>1628</v>
      </c>
      <c r="Q54">
        <f>LEN(AMAZON_FASHION_5__2[[#This Row],[reviewText]])</f>
        <v>112</v>
      </c>
      <c r="R54" t="str">
        <f>IF(AMAZON_FASHION_5__2[[#This Row],[overall]]&gt;=4,"Positive",IF(AMAZON_FASHION_5__2[[#This Row],[overall]]&lt;=2,"Negative","Neutral"))</f>
        <v>Positive</v>
      </c>
      <c r="S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55" spans="1:19" x14ac:dyDescent="0.25">
      <c r="A55">
        <v>5</v>
      </c>
      <c r="B55" t="b">
        <v>1</v>
      </c>
      <c r="C55" s="1">
        <v>42039</v>
      </c>
      <c r="D55">
        <f>YEAR(AMAZON_FASHION_5__2[[#This Row],[reviewDate]])</f>
        <v>2015</v>
      </c>
      <c r="E55" s="1" t="str">
        <f>TEXT(AMAZON_FASHION_5__2[[#This Row],[reviewDate]], "mmmm")</f>
        <v>February</v>
      </c>
      <c r="F55" t="s">
        <v>142</v>
      </c>
      <c r="G55" t="s">
        <v>60</v>
      </c>
      <c r="H55" t="s">
        <v>80</v>
      </c>
      <c r="I55" t="s">
        <v>76</v>
      </c>
      <c r="J55" t="s">
        <v>143</v>
      </c>
      <c r="K55" t="s">
        <v>144</v>
      </c>
      <c r="L55" t="s">
        <v>17</v>
      </c>
      <c r="M55">
        <v>1423008000</v>
      </c>
      <c r="N55" t="s">
        <v>1628</v>
      </c>
      <c r="O55" t="s">
        <v>1628</v>
      </c>
      <c r="P55" t="s">
        <v>1628</v>
      </c>
      <c r="Q55">
        <f>LEN(AMAZON_FASHION_5__2[[#This Row],[reviewText]])</f>
        <v>79</v>
      </c>
      <c r="R55" t="str">
        <f>IF(AMAZON_FASHION_5__2[[#This Row],[overall]]&gt;=4,"Positive",IF(AMAZON_FASHION_5__2[[#This Row],[overall]]&lt;=2,"Negative","Neutral"))</f>
        <v>Positive</v>
      </c>
      <c r="S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56" spans="1:19" x14ac:dyDescent="0.25">
      <c r="A56">
        <v>5</v>
      </c>
      <c r="B56" t="b">
        <v>1</v>
      </c>
      <c r="C56" s="1">
        <v>43033</v>
      </c>
      <c r="D56">
        <f>YEAR(AMAZON_FASHION_5__2[[#This Row],[reviewDate]])</f>
        <v>2017</v>
      </c>
      <c r="E56" s="1" t="str">
        <f>TEXT(AMAZON_FASHION_5__2[[#This Row],[reviewDate]], "mmmm")</f>
        <v>October</v>
      </c>
      <c r="F56" t="s">
        <v>75</v>
      </c>
      <c r="G56" t="s">
        <v>71</v>
      </c>
      <c r="H56" t="s">
        <v>61</v>
      </c>
      <c r="I56" t="s">
        <v>76</v>
      </c>
      <c r="J56" t="s">
        <v>77</v>
      </c>
      <c r="K56" t="s">
        <v>78</v>
      </c>
      <c r="L56" t="s">
        <v>17</v>
      </c>
      <c r="M56">
        <v>1508889600</v>
      </c>
      <c r="N56" t="s">
        <v>1628</v>
      </c>
      <c r="O56" t="s">
        <v>1628</v>
      </c>
      <c r="P56" t="s">
        <v>1628</v>
      </c>
      <c r="Q56">
        <f>LEN(AMAZON_FASHION_5__2[[#This Row],[reviewText]])</f>
        <v>58</v>
      </c>
      <c r="R56" t="str">
        <f>IF(AMAZON_FASHION_5__2[[#This Row],[overall]]&gt;=4,"Positive",IF(AMAZON_FASHION_5__2[[#This Row],[overall]]&lt;=2,"Negative","Neutral"))</f>
        <v>Positive</v>
      </c>
      <c r="S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57" spans="1:19" x14ac:dyDescent="0.25">
      <c r="A57">
        <v>5</v>
      </c>
      <c r="B57" t="b">
        <v>1</v>
      </c>
      <c r="C57" s="1">
        <v>43022</v>
      </c>
      <c r="D57">
        <f>YEAR(AMAZON_FASHION_5__2[[#This Row],[reviewDate]])</f>
        <v>2017</v>
      </c>
      <c r="E57" s="1" t="str">
        <f>TEXT(AMAZON_FASHION_5__2[[#This Row],[reviewDate]], "mmmm")</f>
        <v>October</v>
      </c>
      <c r="F57" t="s">
        <v>79</v>
      </c>
      <c r="G57" t="s">
        <v>71</v>
      </c>
      <c r="H57" t="s">
        <v>80</v>
      </c>
      <c r="I57" t="s">
        <v>81</v>
      </c>
      <c r="J57" t="s">
        <v>82</v>
      </c>
      <c r="K57" t="s">
        <v>83</v>
      </c>
      <c r="L57" t="s">
        <v>84</v>
      </c>
      <c r="M57">
        <v>1507939200</v>
      </c>
      <c r="N57" t="s">
        <v>1628</v>
      </c>
      <c r="O57" t="s">
        <v>1628</v>
      </c>
      <c r="P57">
        <v>3</v>
      </c>
      <c r="Q57">
        <f>LEN(AMAZON_FASHION_5__2[[#This Row],[reviewText]])</f>
        <v>223</v>
      </c>
      <c r="R57" t="str">
        <f>IF(AMAZON_FASHION_5__2[[#This Row],[overall]]&gt;=4,"Positive",IF(AMAZON_FASHION_5__2[[#This Row],[overall]]&lt;=2,"Negative","Neutral"))</f>
        <v>Positive</v>
      </c>
      <c r="S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58" spans="1:19" x14ac:dyDescent="0.25">
      <c r="A58">
        <v>4</v>
      </c>
      <c r="B58" t="b">
        <v>1</v>
      </c>
      <c r="C58" s="1">
        <v>40360</v>
      </c>
      <c r="D58">
        <f>YEAR(AMAZON_FASHION_5__2[[#This Row],[reviewDate]])</f>
        <v>2010</v>
      </c>
      <c r="E58" s="1" t="str">
        <f>TEXT(AMAZON_FASHION_5__2[[#This Row],[reviewDate]], "mmmm")</f>
        <v>July</v>
      </c>
      <c r="F58" t="s">
        <v>70</v>
      </c>
      <c r="G58" t="s">
        <v>60</v>
      </c>
      <c r="H58" t="s">
        <v>1628</v>
      </c>
      <c r="I58" t="s">
        <v>1628</v>
      </c>
      <c r="J58" t="s">
        <v>72</v>
      </c>
      <c r="K58" t="s">
        <v>73</v>
      </c>
      <c r="L58" t="s">
        <v>74</v>
      </c>
      <c r="M58">
        <v>1277942400</v>
      </c>
      <c r="N58" t="s">
        <v>1628</v>
      </c>
      <c r="O58" t="s">
        <v>1628</v>
      </c>
      <c r="P58">
        <v>35</v>
      </c>
      <c r="Q58">
        <f>LEN(AMAZON_FASHION_5__2[[#This Row],[reviewText]])</f>
        <v>206</v>
      </c>
      <c r="R58" t="str">
        <f>IF(AMAZON_FASHION_5__2[[#This Row],[overall]]&gt;=4,"Positive",IF(AMAZON_FASHION_5__2[[#This Row],[overall]]&lt;=2,"Negative","Neutral"))</f>
        <v>Positive</v>
      </c>
      <c r="S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59" spans="1:19" x14ac:dyDescent="0.25">
      <c r="A59">
        <v>5</v>
      </c>
      <c r="B59" t="b">
        <v>1</v>
      </c>
      <c r="C59" s="1">
        <v>42946</v>
      </c>
      <c r="D59">
        <f>YEAR(AMAZON_FASHION_5__2[[#This Row],[reviewDate]])</f>
        <v>2017</v>
      </c>
      <c r="E59" s="1" t="str">
        <f>TEXT(AMAZON_FASHION_5__2[[#This Row],[reviewDate]], "mmmm")</f>
        <v>July</v>
      </c>
      <c r="F59" t="s">
        <v>75</v>
      </c>
      <c r="G59" t="s">
        <v>71</v>
      </c>
      <c r="H59" t="s">
        <v>61</v>
      </c>
      <c r="I59" t="s">
        <v>81</v>
      </c>
      <c r="J59" t="s">
        <v>77</v>
      </c>
      <c r="K59" t="s">
        <v>85</v>
      </c>
      <c r="L59" t="s">
        <v>86</v>
      </c>
      <c r="M59">
        <v>1501372800</v>
      </c>
      <c r="N59" t="s">
        <v>1628</v>
      </c>
      <c r="O59" t="s">
        <v>1628</v>
      </c>
      <c r="P59" t="s">
        <v>1628</v>
      </c>
      <c r="Q59">
        <f>LEN(AMAZON_FASHION_5__2[[#This Row],[reviewText]])</f>
        <v>30</v>
      </c>
      <c r="R59" t="str">
        <f>IF(AMAZON_FASHION_5__2[[#This Row],[overall]]&gt;=4,"Positive",IF(AMAZON_FASHION_5__2[[#This Row],[overall]]&lt;=2,"Negative","Neutral"))</f>
        <v>Positive</v>
      </c>
      <c r="S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60" spans="1:19" x14ac:dyDescent="0.25">
      <c r="A60">
        <v>5</v>
      </c>
      <c r="B60" t="b">
        <v>1</v>
      </c>
      <c r="C60" s="1">
        <v>42902</v>
      </c>
      <c r="D60">
        <f>YEAR(AMAZON_FASHION_5__2[[#This Row],[reviewDate]])</f>
        <v>2017</v>
      </c>
      <c r="E60" s="1" t="str">
        <f>TEXT(AMAZON_FASHION_5__2[[#This Row],[reviewDate]], "mmmm")</f>
        <v>June</v>
      </c>
      <c r="F60" t="s">
        <v>87</v>
      </c>
      <c r="G60" t="s">
        <v>71</v>
      </c>
      <c r="H60" t="s">
        <v>88</v>
      </c>
      <c r="I60" t="s">
        <v>68</v>
      </c>
      <c r="J60" t="s">
        <v>89</v>
      </c>
      <c r="K60" t="s">
        <v>90</v>
      </c>
      <c r="L60" t="s">
        <v>91</v>
      </c>
      <c r="M60">
        <v>1497571200</v>
      </c>
      <c r="N60" t="s">
        <v>1628</v>
      </c>
      <c r="O60" t="s">
        <v>1628</v>
      </c>
      <c r="P60" t="s">
        <v>1628</v>
      </c>
      <c r="Q60">
        <f>LEN(AMAZON_FASHION_5__2[[#This Row],[reviewText]])</f>
        <v>70</v>
      </c>
      <c r="R60" t="str">
        <f>IF(AMAZON_FASHION_5__2[[#This Row],[overall]]&gt;=4,"Positive",IF(AMAZON_FASHION_5__2[[#This Row],[overall]]&lt;=2,"Negative","Neutral"))</f>
        <v>Positive</v>
      </c>
      <c r="S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61" spans="1:19" x14ac:dyDescent="0.25">
      <c r="A61">
        <v>3</v>
      </c>
      <c r="B61" t="b">
        <v>1</v>
      </c>
      <c r="C61" s="1">
        <v>42843</v>
      </c>
      <c r="D61">
        <f>YEAR(AMAZON_FASHION_5__2[[#This Row],[reviewDate]])</f>
        <v>2017</v>
      </c>
      <c r="E61" s="1" t="str">
        <f>TEXT(AMAZON_FASHION_5__2[[#This Row],[reviewDate]], "mmmm")</f>
        <v>April</v>
      </c>
      <c r="F61" t="s">
        <v>92</v>
      </c>
      <c r="G61" t="s">
        <v>71</v>
      </c>
      <c r="H61" t="s">
        <v>80</v>
      </c>
      <c r="I61" t="s">
        <v>76</v>
      </c>
      <c r="J61" t="s">
        <v>93</v>
      </c>
      <c r="K61" t="s">
        <v>94</v>
      </c>
      <c r="L61" t="s">
        <v>95</v>
      </c>
      <c r="M61">
        <v>1492473600</v>
      </c>
      <c r="N61" t="s">
        <v>1628</v>
      </c>
      <c r="O61" t="s">
        <v>1628</v>
      </c>
      <c r="P61" t="s">
        <v>1628</v>
      </c>
      <c r="Q61">
        <f>LEN(AMAZON_FASHION_5__2[[#This Row],[reviewText]])</f>
        <v>261</v>
      </c>
      <c r="R61" t="str">
        <f>IF(AMAZON_FASHION_5__2[[#This Row],[overall]]&gt;=4,"Positive",IF(AMAZON_FASHION_5__2[[#This Row],[overall]]&lt;=2,"Negative","Neutral"))</f>
        <v>Neutral</v>
      </c>
      <c r="S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62" spans="1:19" x14ac:dyDescent="0.25">
      <c r="A62">
        <v>5</v>
      </c>
      <c r="B62" t="b">
        <v>1</v>
      </c>
      <c r="C62" s="1">
        <v>42838</v>
      </c>
      <c r="D62">
        <f>YEAR(AMAZON_FASHION_5__2[[#This Row],[reviewDate]])</f>
        <v>2017</v>
      </c>
      <c r="E62" s="1" t="str">
        <f>TEXT(AMAZON_FASHION_5__2[[#This Row],[reviewDate]], "mmmm")</f>
        <v>April</v>
      </c>
      <c r="F62" t="s">
        <v>96</v>
      </c>
      <c r="G62" t="s">
        <v>71</v>
      </c>
      <c r="H62" t="s">
        <v>80</v>
      </c>
      <c r="I62" t="s">
        <v>62</v>
      </c>
      <c r="J62" t="s">
        <v>97</v>
      </c>
      <c r="K62" t="s">
        <v>98</v>
      </c>
      <c r="L62" t="s">
        <v>17</v>
      </c>
      <c r="M62">
        <v>1492041600</v>
      </c>
      <c r="N62" t="s">
        <v>1628</v>
      </c>
      <c r="O62" t="s">
        <v>1628</v>
      </c>
      <c r="P62" t="s">
        <v>1628</v>
      </c>
      <c r="Q62">
        <f>LEN(AMAZON_FASHION_5__2[[#This Row],[reviewText]])</f>
        <v>55</v>
      </c>
      <c r="R62" t="str">
        <f>IF(AMAZON_FASHION_5__2[[#This Row],[overall]]&gt;=4,"Positive",IF(AMAZON_FASHION_5__2[[#This Row],[overall]]&lt;=2,"Negative","Neutral"))</f>
        <v>Positive</v>
      </c>
      <c r="S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63" spans="1:19" x14ac:dyDescent="0.25">
      <c r="A63">
        <v>3</v>
      </c>
      <c r="B63" t="b">
        <v>1</v>
      </c>
      <c r="C63" s="1">
        <v>42838</v>
      </c>
      <c r="D63">
        <f>YEAR(AMAZON_FASHION_5__2[[#This Row],[reviewDate]])</f>
        <v>2017</v>
      </c>
      <c r="E63" s="1" t="str">
        <f>TEXT(AMAZON_FASHION_5__2[[#This Row],[reviewDate]], "mmmm")</f>
        <v>April</v>
      </c>
      <c r="F63" t="s">
        <v>96</v>
      </c>
      <c r="G63" t="s">
        <v>71</v>
      </c>
      <c r="H63" t="s">
        <v>80</v>
      </c>
      <c r="I63" t="s">
        <v>99</v>
      </c>
      <c r="J63" t="s">
        <v>97</v>
      </c>
      <c r="K63" t="s">
        <v>100</v>
      </c>
      <c r="L63" t="s">
        <v>101</v>
      </c>
      <c r="M63">
        <v>1492041600</v>
      </c>
      <c r="N63" t="s">
        <v>1628</v>
      </c>
      <c r="O63" t="s">
        <v>1628</v>
      </c>
      <c r="P63" t="s">
        <v>1628</v>
      </c>
      <c r="Q63">
        <f>LEN(AMAZON_FASHION_5__2[[#This Row],[reviewText]])</f>
        <v>33</v>
      </c>
      <c r="R63" t="str">
        <f>IF(AMAZON_FASHION_5__2[[#This Row],[overall]]&gt;=4,"Positive",IF(AMAZON_FASHION_5__2[[#This Row],[overall]]&lt;=2,"Negative","Neutral"))</f>
        <v>Neutral</v>
      </c>
      <c r="S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64" spans="1:19" x14ac:dyDescent="0.25">
      <c r="A64">
        <v>4</v>
      </c>
      <c r="B64" t="b">
        <v>1</v>
      </c>
      <c r="C64" s="1">
        <v>42830</v>
      </c>
      <c r="D64">
        <f>YEAR(AMAZON_FASHION_5__2[[#This Row],[reviewDate]])</f>
        <v>2017</v>
      </c>
      <c r="E64" s="1" t="str">
        <f>TEXT(AMAZON_FASHION_5__2[[#This Row],[reviewDate]], "mmmm")</f>
        <v>April</v>
      </c>
      <c r="F64" t="s">
        <v>92</v>
      </c>
      <c r="G64" t="s">
        <v>71</v>
      </c>
      <c r="H64" t="s">
        <v>80</v>
      </c>
      <c r="I64" t="s">
        <v>99</v>
      </c>
      <c r="J64" t="s">
        <v>93</v>
      </c>
      <c r="K64" t="s">
        <v>102</v>
      </c>
      <c r="L64" t="s">
        <v>103</v>
      </c>
      <c r="M64">
        <v>1491350400</v>
      </c>
      <c r="N64" t="s">
        <v>1628</v>
      </c>
      <c r="O64" t="s">
        <v>1628</v>
      </c>
      <c r="P64" t="s">
        <v>1628</v>
      </c>
      <c r="Q64">
        <f>LEN(AMAZON_FASHION_5__2[[#This Row],[reviewText]])</f>
        <v>57</v>
      </c>
      <c r="R64" t="str">
        <f>IF(AMAZON_FASHION_5__2[[#This Row],[overall]]&gt;=4,"Positive",IF(AMAZON_FASHION_5__2[[#This Row],[overall]]&lt;=2,"Negative","Neutral"))</f>
        <v>Positive</v>
      </c>
      <c r="S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65" spans="1:19" x14ac:dyDescent="0.25">
      <c r="A65">
        <v>3</v>
      </c>
      <c r="B65" t="b">
        <v>1</v>
      </c>
      <c r="C65" s="1">
        <v>42818</v>
      </c>
      <c r="D65">
        <f>YEAR(AMAZON_FASHION_5__2[[#This Row],[reviewDate]])</f>
        <v>2017</v>
      </c>
      <c r="E65" s="1" t="str">
        <f>TEXT(AMAZON_FASHION_5__2[[#This Row],[reviewDate]], "mmmm")</f>
        <v>March</v>
      </c>
      <c r="F65" t="s">
        <v>104</v>
      </c>
      <c r="G65" t="s">
        <v>71</v>
      </c>
      <c r="H65" t="s">
        <v>67</v>
      </c>
      <c r="I65" t="s">
        <v>68</v>
      </c>
      <c r="J65" t="s">
        <v>105</v>
      </c>
      <c r="K65" t="s">
        <v>106</v>
      </c>
      <c r="L65" t="s">
        <v>101</v>
      </c>
      <c r="M65">
        <v>1490313600</v>
      </c>
      <c r="N65" t="s">
        <v>1628</v>
      </c>
      <c r="O65" t="s">
        <v>1628</v>
      </c>
      <c r="P65" t="s">
        <v>1628</v>
      </c>
      <c r="Q65">
        <f>LEN(AMAZON_FASHION_5__2[[#This Row],[reviewText]])</f>
        <v>31</v>
      </c>
      <c r="R65" t="str">
        <f>IF(AMAZON_FASHION_5__2[[#This Row],[overall]]&gt;=4,"Positive",IF(AMAZON_FASHION_5__2[[#This Row],[overall]]&lt;=2,"Negative","Neutral"))</f>
        <v>Neutral</v>
      </c>
      <c r="S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66" spans="1:19" x14ac:dyDescent="0.25">
      <c r="A66">
        <v>5</v>
      </c>
      <c r="B66" t="b">
        <v>1</v>
      </c>
      <c r="C66" s="1">
        <v>42805</v>
      </c>
      <c r="D66">
        <f>YEAR(AMAZON_FASHION_5__2[[#This Row],[reviewDate]])</f>
        <v>2017</v>
      </c>
      <c r="E66" s="1" t="str">
        <f>TEXT(AMAZON_FASHION_5__2[[#This Row],[reviewDate]], "mmmm")</f>
        <v>March</v>
      </c>
      <c r="F66" t="s">
        <v>107</v>
      </c>
      <c r="G66" t="s">
        <v>71</v>
      </c>
      <c r="H66" t="s">
        <v>108</v>
      </c>
      <c r="I66" t="s">
        <v>62</v>
      </c>
      <c r="J66" t="s">
        <v>63</v>
      </c>
      <c r="K66" t="s">
        <v>109</v>
      </c>
      <c r="L66" t="s">
        <v>17</v>
      </c>
      <c r="M66">
        <v>1489190400</v>
      </c>
      <c r="N66" t="s">
        <v>1628</v>
      </c>
      <c r="O66" t="s">
        <v>1628</v>
      </c>
      <c r="P66" t="s">
        <v>1628</v>
      </c>
      <c r="Q66">
        <f>LEN(AMAZON_FASHION_5__2[[#This Row],[reviewText]])</f>
        <v>9</v>
      </c>
      <c r="R66" t="str">
        <f>IF(AMAZON_FASHION_5__2[[#This Row],[overall]]&gt;=4,"Positive",IF(AMAZON_FASHION_5__2[[#This Row],[overall]]&lt;=2,"Negative","Neutral"))</f>
        <v>Positive</v>
      </c>
      <c r="S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67" spans="1:19" x14ac:dyDescent="0.25">
      <c r="A67">
        <v>2</v>
      </c>
      <c r="B67" t="b">
        <v>1</v>
      </c>
      <c r="C67" s="1">
        <v>42787</v>
      </c>
      <c r="D67">
        <f>YEAR(AMAZON_FASHION_5__2[[#This Row],[reviewDate]])</f>
        <v>2017</v>
      </c>
      <c r="E67" s="1" t="str">
        <f>TEXT(AMAZON_FASHION_5__2[[#This Row],[reviewDate]], "mmmm")</f>
        <v>February</v>
      </c>
      <c r="F67" t="s">
        <v>110</v>
      </c>
      <c r="G67" t="s">
        <v>71</v>
      </c>
      <c r="H67" t="s">
        <v>80</v>
      </c>
      <c r="I67" t="s">
        <v>99</v>
      </c>
      <c r="J67" t="s">
        <v>111</v>
      </c>
      <c r="K67" t="s">
        <v>112</v>
      </c>
      <c r="L67" t="s">
        <v>113</v>
      </c>
      <c r="M67">
        <v>1487635200</v>
      </c>
      <c r="N67" t="s">
        <v>1628</v>
      </c>
      <c r="O67" t="s">
        <v>1628</v>
      </c>
      <c r="P67" t="s">
        <v>1628</v>
      </c>
      <c r="Q67">
        <f>LEN(AMAZON_FASHION_5__2[[#This Row],[reviewText]])</f>
        <v>49</v>
      </c>
      <c r="R67" t="str">
        <f>IF(AMAZON_FASHION_5__2[[#This Row],[overall]]&gt;=4,"Positive",IF(AMAZON_FASHION_5__2[[#This Row],[overall]]&lt;=2,"Negative","Neutral"))</f>
        <v>Negative</v>
      </c>
      <c r="S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68" spans="1:19" x14ac:dyDescent="0.25">
      <c r="A68">
        <v>2</v>
      </c>
      <c r="B68" t="b">
        <v>1</v>
      </c>
      <c r="C68" s="1">
        <v>42787</v>
      </c>
      <c r="D68">
        <f>YEAR(AMAZON_FASHION_5__2[[#This Row],[reviewDate]])</f>
        <v>2017</v>
      </c>
      <c r="E68" s="1" t="str">
        <f>TEXT(AMAZON_FASHION_5__2[[#This Row],[reviewDate]], "mmmm")</f>
        <v>February</v>
      </c>
      <c r="F68" t="s">
        <v>110</v>
      </c>
      <c r="G68" t="s">
        <v>71</v>
      </c>
      <c r="H68" t="s">
        <v>80</v>
      </c>
      <c r="I68" t="s">
        <v>76</v>
      </c>
      <c r="J68" t="s">
        <v>111</v>
      </c>
      <c r="K68" t="s">
        <v>114</v>
      </c>
      <c r="L68" t="s">
        <v>115</v>
      </c>
      <c r="M68">
        <v>1487635200</v>
      </c>
      <c r="N68" t="s">
        <v>1628</v>
      </c>
      <c r="O68" t="s">
        <v>1628</v>
      </c>
      <c r="P68" t="s">
        <v>1628</v>
      </c>
      <c r="Q68">
        <f>LEN(AMAZON_FASHION_5__2[[#This Row],[reviewText]])</f>
        <v>51</v>
      </c>
      <c r="R68" t="str">
        <f>IF(AMAZON_FASHION_5__2[[#This Row],[overall]]&gt;=4,"Positive",IF(AMAZON_FASHION_5__2[[#This Row],[overall]]&lt;=2,"Negative","Neutral"))</f>
        <v>Negative</v>
      </c>
      <c r="S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69" spans="1:19" x14ac:dyDescent="0.25">
      <c r="A69">
        <v>4</v>
      </c>
      <c r="B69" t="b">
        <v>1</v>
      </c>
      <c r="C69" s="1">
        <v>42787</v>
      </c>
      <c r="D69">
        <f>YEAR(AMAZON_FASHION_5__2[[#This Row],[reviewDate]])</f>
        <v>2017</v>
      </c>
      <c r="E69" s="1" t="str">
        <f>TEXT(AMAZON_FASHION_5__2[[#This Row],[reviewDate]], "mmmm")</f>
        <v>February</v>
      </c>
      <c r="F69" t="s">
        <v>116</v>
      </c>
      <c r="G69" t="s">
        <v>71</v>
      </c>
      <c r="H69" t="s">
        <v>61</v>
      </c>
      <c r="I69" t="s">
        <v>62</v>
      </c>
      <c r="J69" t="s">
        <v>117</v>
      </c>
      <c r="K69" t="s">
        <v>118</v>
      </c>
      <c r="L69" t="s">
        <v>119</v>
      </c>
      <c r="M69">
        <v>1487635200</v>
      </c>
      <c r="N69" t="s">
        <v>1628</v>
      </c>
      <c r="O69" t="s">
        <v>1628</v>
      </c>
      <c r="P69" t="s">
        <v>1628</v>
      </c>
      <c r="Q69">
        <f>LEN(AMAZON_FASHION_5__2[[#This Row],[reviewText]])</f>
        <v>158</v>
      </c>
      <c r="R69" t="str">
        <f>IF(AMAZON_FASHION_5__2[[#This Row],[overall]]&gt;=4,"Positive",IF(AMAZON_FASHION_5__2[[#This Row],[overall]]&lt;=2,"Negative","Neutral"))</f>
        <v>Positive</v>
      </c>
      <c r="S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70" spans="1:19" x14ac:dyDescent="0.25">
      <c r="A70">
        <v>1</v>
      </c>
      <c r="B70" t="b">
        <v>1</v>
      </c>
      <c r="C70" s="1">
        <v>42774</v>
      </c>
      <c r="D70">
        <f>YEAR(AMAZON_FASHION_5__2[[#This Row],[reviewDate]])</f>
        <v>2017</v>
      </c>
      <c r="E70" s="1" t="str">
        <f>TEXT(AMAZON_FASHION_5__2[[#This Row],[reviewDate]], "mmmm")</f>
        <v>February</v>
      </c>
      <c r="F70" t="s">
        <v>120</v>
      </c>
      <c r="G70" t="s">
        <v>71</v>
      </c>
      <c r="H70" t="s">
        <v>1628</v>
      </c>
      <c r="I70" t="s">
        <v>1628</v>
      </c>
      <c r="J70" t="s">
        <v>121</v>
      </c>
      <c r="K70" t="s">
        <v>122</v>
      </c>
      <c r="L70" t="s">
        <v>123</v>
      </c>
      <c r="M70">
        <v>1486512000</v>
      </c>
      <c r="N70" t="s">
        <v>1628</v>
      </c>
      <c r="O70" t="s">
        <v>1628</v>
      </c>
      <c r="P70" t="s">
        <v>1628</v>
      </c>
      <c r="Q70">
        <f>LEN(AMAZON_FASHION_5__2[[#This Row],[reviewText]])</f>
        <v>128</v>
      </c>
      <c r="R70" t="str">
        <f>IF(AMAZON_FASHION_5__2[[#This Row],[overall]]&gt;=4,"Positive",IF(AMAZON_FASHION_5__2[[#This Row],[overall]]&lt;=2,"Negative","Neutral"))</f>
        <v>Negative</v>
      </c>
      <c r="S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71" spans="1:19" x14ac:dyDescent="0.25">
      <c r="A71">
        <v>3</v>
      </c>
      <c r="B71" t="b">
        <v>1</v>
      </c>
      <c r="C71" s="1">
        <v>42767</v>
      </c>
      <c r="D71">
        <f>YEAR(AMAZON_FASHION_5__2[[#This Row],[reviewDate]])</f>
        <v>2017</v>
      </c>
      <c r="E71" s="1" t="str">
        <f>TEXT(AMAZON_FASHION_5__2[[#This Row],[reviewDate]], "mmmm")</f>
        <v>February</v>
      </c>
      <c r="F71" t="s">
        <v>104</v>
      </c>
      <c r="G71" t="s">
        <v>71</v>
      </c>
      <c r="H71" t="s">
        <v>88</v>
      </c>
      <c r="I71" t="s">
        <v>81</v>
      </c>
      <c r="J71" t="s">
        <v>105</v>
      </c>
      <c r="K71" t="s">
        <v>124</v>
      </c>
      <c r="L71" t="s">
        <v>101</v>
      </c>
      <c r="M71">
        <v>1485907200</v>
      </c>
      <c r="N71" t="s">
        <v>1628</v>
      </c>
      <c r="O71" t="s">
        <v>1628</v>
      </c>
      <c r="P71" t="s">
        <v>1628</v>
      </c>
      <c r="Q71">
        <f>LEN(AMAZON_FASHION_5__2[[#This Row],[reviewText]])</f>
        <v>13</v>
      </c>
      <c r="R71" t="str">
        <f>IF(AMAZON_FASHION_5__2[[#This Row],[overall]]&gt;=4,"Positive",IF(AMAZON_FASHION_5__2[[#This Row],[overall]]&lt;=2,"Negative","Neutral"))</f>
        <v>Neutral</v>
      </c>
      <c r="S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72" spans="1:19" x14ac:dyDescent="0.25">
      <c r="A72">
        <v>5</v>
      </c>
      <c r="B72" t="b">
        <v>1</v>
      </c>
      <c r="C72" s="1">
        <v>42207</v>
      </c>
      <c r="D72">
        <f>YEAR(AMAZON_FASHION_5__2[[#This Row],[reviewDate]])</f>
        <v>2015</v>
      </c>
      <c r="E72" s="1" t="str">
        <f>TEXT(AMAZON_FASHION_5__2[[#This Row],[reviewDate]], "mmmm")</f>
        <v>July</v>
      </c>
      <c r="F72" t="s">
        <v>145</v>
      </c>
      <c r="G72" t="s">
        <v>146</v>
      </c>
      <c r="H72" t="s">
        <v>1628</v>
      </c>
      <c r="I72" t="s">
        <v>1628</v>
      </c>
      <c r="J72" t="s">
        <v>147</v>
      </c>
      <c r="K72" t="s">
        <v>148</v>
      </c>
      <c r="L72" t="s">
        <v>17</v>
      </c>
      <c r="M72">
        <v>1437523200</v>
      </c>
      <c r="N72" t="s">
        <v>1628</v>
      </c>
      <c r="O72" t="s">
        <v>1628</v>
      </c>
      <c r="P72" t="s">
        <v>1628</v>
      </c>
      <c r="Q72">
        <f>LEN(AMAZON_FASHION_5__2[[#This Row],[reviewText]])</f>
        <v>26</v>
      </c>
      <c r="R72" t="str">
        <f>IF(AMAZON_FASHION_5__2[[#This Row],[overall]]&gt;=4,"Positive",IF(AMAZON_FASHION_5__2[[#This Row],[overall]]&lt;=2,"Negative","Neutral"))</f>
        <v>Positive</v>
      </c>
      <c r="S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Sandals</v>
      </c>
    </row>
    <row r="73" spans="1:19" x14ac:dyDescent="0.25">
      <c r="A73">
        <v>5</v>
      </c>
      <c r="B73" t="b">
        <v>1</v>
      </c>
      <c r="C73" s="1">
        <v>41857</v>
      </c>
      <c r="D73">
        <f>YEAR(AMAZON_FASHION_5__2[[#This Row],[reviewDate]])</f>
        <v>2014</v>
      </c>
      <c r="E73" s="1" t="str">
        <f>TEXT(AMAZON_FASHION_5__2[[#This Row],[reviewDate]], "mmmm")</f>
        <v>August</v>
      </c>
      <c r="F73" t="s">
        <v>145</v>
      </c>
      <c r="G73" t="s">
        <v>146</v>
      </c>
      <c r="H73" t="s">
        <v>1628</v>
      </c>
      <c r="I73" t="s">
        <v>1628</v>
      </c>
      <c r="J73" t="s">
        <v>147</v>
      </c>
      <c r="K73" t="s">
        <v>149</v>
      </c>
      <c r="L73" t="s">
        <v>150</v>
      </c>
      <c r="M73">
        <v>1407283200</v>
      </c>
      <c r="N73" t="s">
        <v>1628</v>
      </c>
      <c r="O73" t="s">
        <v>1628</v>
      </c>
      <c r="P73" t="s">
        <v>1628</v>
      </c>
      <c r="Q73">
        <f>LEN(AMAZON_FASHION_5__2[[#This Row],[reviewText]])</f>
        <v>14</v>
      </c>
      <c r="R73" t="str">
        <f>IF(AMAZON_FASHION_5__2[[#This Row],[overall]]&gt;=4,"Positive",IF(AMAZON_FASHION_5__2[[#This Row],[overall]]&lt;=2,"Negative","Neutral"))</f>
        <v>Positive</v>
      </c>
      <c r="S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Sandals</v>
      </c>
    </row>
    <row r="74" spans="1:19" x14ac:dyDescent="0.25">
      <c r="A74">
        <v>1</v>
      </c>
      <c r="B74" t="b">
        <v>1</v>
      </c>
      <c r="C74" s="1">
        <v>43150</v>
      </c>
      <c r="D74">
        <f>YEAR(AMAZON_FASHION_5__2[[#This Row],[reviewDate]])</f>
        <v>2018</v>
      </c>
      <c r="E74" s="1" t="str">
        <f>TEXT(AMAZON_FASHION_5__2[[#This Row],[reviewDate]], "mmmm")</f>
        <v>February</v>
      </c>
      <c r="F74" t="s">
        <v>151</v>
      </c>
      <c r="G74" t="s">
        <v>152</v>
      </c>
      <c r="H74" t="s">
        <v>153</v>
      </c>
      <c r="I74" t="s">
        <v>154</v>
      </c>
      <c r="J74" t="s">
        <v>155</v>
      </c>
      <c r="K74" t="s">
        <v>156</v>
      </c>
      <c r="L74" t="s">
        <v>65</v>
      </c>
      <c r="M74">
        <v>1518998400</v>
      </c>
      <c r="N74" t="s">
        <v>1628</v>
      </c>
      <c r="O74" t="s">
        <v>1628</v>
      </c>
      <c r="P74" t="s">
        <v>1628</v>
      </c>
      <c r="Q74">
        <f>LEN(AMAZON_FASHION_5__2[[#This Row],[reviewText]])</f>
        <v>69</v>
      </c>
      <c r="R74" t="str">
        <f>IF(AMAZON_FASHION_5__2[[#This Row],[overall]]&gt;=4,"Positive",IF(AMAZON_FASHION_5__2[[#This Row],[overall]]&lt;=2,"Negative","Neutral"))</f>
        <v>Negative</v>
      </c>
      <c r="S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Socks</v>
      </c>
    </row>
    <row r="75" spans="1:19" x14ac:dyDescent="0.25">
      <c r="A75">
        <v>1</v>
      </c>
      <c r="B75" t="b">
        <v>1</v>
      </c>
      <c r="C75" s="1">
        <v>43150</v>
      </c>
      <c r="D75">
        <f>YEAR(AMAZON_FASHION_5__2[[#This Row],[reviewDate]])</f>
        <v>2018</v>
      </c>
      <c r="E75" s="1" t="str">
        <f>TEXT(AMAZON_FASHION_5__2[[#This Row],[reviewDate]], "mmmm")</f>
        <v>February</v>
      </c>
      <c r="F75" t="s">
        <v>151</v>
      </c>
      <c r="G75" t="s">
        <v>152</v>
      </c>
      <c r="H75" t="s">
        <v>153</v>
      </c>
      <c r="I75" t="s">
        <v>25</v>
      </c>
      <c r="J75" t="s">
        <v>155</v>
      </c>
      <c r="K75" t="s">
        <v>157</v>
      </c>
      <c r="L75" t="s">
        <v>65</v>
      </c>
      <c r="M75">
        <v>1518998400</v>
      </c>
      <c r="N75" t="s">
        <v>1628</v>
      </c>
      <c r="O75" t="s">
        <v>1628</v>
      </c>
      <c r="P75" t="s">
        <v>1628</v>
      </c>
      <c r="Q75">
        <f>LEN(AMAZON_FASHION_5__2[[#This Row],[reviewText]])</f>
        <v>21</v>
      </c>
      <c r="R75" t="str">
        <f>IF(AMAZON_FASHION_5__2[[#This Row],[overall]]&gt;=4,"Positive",IF(AMAZON_FASHION_5__2[[#This Row],[overall]]&lt;=2,"Negative","Neutral"))</f>
        <v>Negative</v>
      </c>
      <c r="S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Socks</v>
      </c>
    </row>
    <row r="76" spans="1:19" x14ac:dyDescent="0.25">
      <c r="A76">
        <v>5</v>
      </c>
      <c r="B76" t="b">
        <v>1</v>
      </c>
      <c r="C76" s="1">
        <v>43004</v>
      </c>
      <c r="D76">
        <f>YEAR(AMAZON_FASHION_5__2[[#This Row],[reviewDate]])</f>
        <v>2017</v>
      </c>
      <c r="E76" s="1" t="str">
        <f>TEXT(AMAZON_FASHION_5__2[[#This Row],[reviewDate]], "mmmm")</f>
        <v>September</v>
      </c>
      <c r="F76" t="s">
        <v>158</v>
      </c>
      <c r="G76" t="s">
        <v>152</v>
      </c>
      <c r="H76" t="s">
        <v>153</v>
      </c>
      <c r="I76" t="s">
        <v>159</v>
      </c>
      <c r="J76" t="s">
        <v>160</v>
      </c>
      <c r="K76" t="s">
        <v>161</v>
      </c>
      <c r="L76" t="s">
        <v>162</v>
      </c>
      <c r="M76">
        <v>1506384000</v>
      </c>
      <c r="N76" t="s">
        <v>1628</v>
      </c>
      <c r="O76" t="s">
        <v>1628</v>
      </c>
      <c r="P76" t="s">
        <v>1628</v>
      </c>
      <c r="Q76">
        <f>LEN(AMAZON_FASHION_5__2[[#This Row],[reviewText]])</f>
        <v>66</v>
      </c>
      <c r="R76" t="str">
        <f>IF(AMAZON_FASHION_5__2[[#This Row],[overall]]&gt;=4,"Positive",IF(AMAZON_FASHION_5__2[[#This Row],[overall]]&lt;=2,"Negative","Neutral"))</f>
        <v>Positive</v>
      </c>
      <c r="S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Socks</v>
      </c>
    </row>
    <row r="77" spans="1:19" x14ac:dyDescent="0.25">
      <c r="A77">
        <v>4</v>
      </c>
      <c r="B77" t="b">
        <v>1</v>
      </c>
      <c r="C77" s="1">
        <v>42308</v>
      </c>
      <c r="D77">
        <f>YEAR(AMAZON_FASHION_5__2[[#This Row],[reviewDate]])</f>
        <v>2015</v>
      </c>
      <c r="E77" s="1" t="str">
        <f>TEXT(AMAZON_FASHION_5__2[[#This Row],[reviewDate]], "mmmm")</f>
        <v>October</v>
      </c>
      <c r="F77" t="s">
        <v>151</v>
      </c>
      <c r="G77" t="s">
        <v>152</v>
      </c>
      <c r="H77" t="s">
        <v>153</v>
      </c>
      <c r="I77" t="s">
        <v>159</v>
      </c>
      <c r="J77" t="s">
        <v>155</v>
      </c>
      <c r="K77" t="s">
        <v>163</v>
      </c>
      <c r="L77" t="s">
        <v>164</v>
      </c>
      <c r="M77">
        <v>1446249600</v>
      </c>
      <c r="N77" t="s">
        <v>1628</v>
      </c>
      <c r="O77" t="s">
        <v>1628</v>
      </c>
      <c r="P77" t="s">
        <v>1628</v>
      </c>
      <c r="Q77">
        <f>LEN(AMAZON_FASHION_5__2[[#This Row],[reviewText]])</f>
        <v>37</v>
      </c>
      <c r="R77" t="str">
        <f>IF(AMAZON_FASHION_5__2[[#This Row],[overall]]&gt;=4,"Positive",IF(AMAZON_FASHION_5__2[[#This Row],[overall]]&lt;=2,"Negative","Neutral"))</f>
        <v>Positive</v>
      </c>
      <c r="S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Socks</v>
      </c>
    </row>
    <row r="78" spans="1:19" x14ac:dyDescent="0.25">
      <c r="A78">
        <v>4</v>
      </c>
      <c r="B78" t="b">
        <v>1</v>
      </c>
      <c r="C78" s="1">
        <v>42398</v>
      </c>
      <c r="D78">
        <f>YEAR(AMAZON_FASHION_5__2[[#This Row],[reviewDate]])</f>
        <v>2016</v>
      </c>
      <c r="E78" s="1" t="str">
        <f>TEXT(AMAZON_FASHION_5__2[[#This Row],[reviewDate]], "mmmm")</f>
        <v>January</v>
      </c>
      <c r="F78" t="s">
        <v>35</v>
      </c>
      <c r="G78" t="s">
        <v>165</v>
      </c>
      <c r="H78" t="s">
        <v>153</v>
      </c>
      <c r="I78" t="s">
        <v>166</v>
      </c>
      <c r="J78" t="s">
        <v>37</v>
      </c>
      <c r="K78" t="s">
        <v>167</v>
      </c>
      <c r="L78" t="s">
        <v>103</v>
      </c>
      <c r="M78">
        <v>1454025600</v>
      </c>
      <c r="N78" t="s">
        <v>1628</v>
      </c>
      <c r="O78" t="s">
        <v>1628</v>
      </c>
      <c r="P78" t="s">
        <v>1628</v>
      </c>
      <c r="Q78">
        <f>LEN(AMAZON_FASHION_5__2[[#This Row],[reviewText]])</f>
        <v>45</v>
      </c>
      <c r="R78" t="str">
        <f>IF(AMAZON_FASHION_5__2[[#This Row],[overall]]&gt;=4,"Positive",IF(AMAZON_FASHION_5__2[[#This Row],[overall]]&lt;=2,"Negative","Neutral"))</f>
        <v>Positive</v>
      </c>
      <c r="S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Scarves</v>
      </c>
    </row>
    <row r="79" spans="1:19" x14ac:dyDescent="0.25">
      <c r="A79">
        <v>5</v>
      </c>
      <c r="B79" t="b">
        <v>1</v>
      </c>
      <c r="C79" s="1">
        <v>42391</v>
      </c>
      <c r="D79">
        <f>YEAR(AMAZON_FASHION_5__2[[#This Row],[reviewDate]])</f>
        <v>2016</v>
      </c>
      <c r="E79" s="1" t="str">
        <f>TEXT(AMAZON_FASHION_5__2[[#This Row],[reviewDate]], "mmmm")</f>
        <v>January</v>
      </c>
      <c r="F79" t="s">
        <v>35</v>
      </c>
      <c r="G79" t="s">
        <v>165</v>
      </c>
      <c r="H79" t="s">
        <v>153</v>
      </c>
      <c r="I79" t="s">
        <v>168</v>
      </c>
      <c r="J79" t="s">
        <v>37</v>
      </c>
      <c r="K79" t="s">
        <v>169</v>
      </c>
      <c r="L79" t="s">
        <v>170</v>
      </c>
      <c r="M79">
        <v>1453420800</v>
      </c>
      <c r="N79" t="s">
        <v>1628</v>
      </c>
      <c r="O79" t="s">
        <v>1628</v>
      </c>
      <c r="P79" t="s">
        <v>1628</v>
      </c>
      <c r="Q79">
        <f>LEN(AMAZON_FASHION_5__2[[#This Row],[reviewText]])</f>
        <v>163</v>
      </c>
      <c r="R79" t="str">
        <f>IF(AMAZON_FASHION_5__2[[#This Row],[overall]]&gt;=4,"Positive",IF(AMAZON_FASHION_5__2[[#This Row],[overall]]&lt;=2,"Negative","Neutral"))</f>
        <v>Positive</v>
      </c>
      <c r="S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Scarves</v>
      </c>
    </row>
    <row r="80" spans="1:19" x14ac:dyDescent="0.25">
      <c r="A80">
        <v>3</v>
      </c>
      <c r="B80" t="b">
        <v>1</v>
      </c>
      <c r="C80" s="1">
        <v>42197</v>
      </c>
      <c r="D80">
        <f>YEAR(AMAZON_FASHION_5__2[[#This Row],[reviewDate]])</f>
        <v>2015</v>
      </c>
      <c r="E80" s="1" t="str">
        <f>TEXT(AMAZON_FASHION_5__2[[#This Row],[reviewDate]], "mmmm")</f>
        <v>July</v>
      </c>
      <c r="F80" t="s">
        <v>171</v>
      </c>
      <c r="G80" t="s">
        <v>172</v>
      </c>
      <c r="H80" t="s">
        <v>173</v>
      </c>
      <c r="I80" t="s">
        <v>1628</v>
      </c>
      <c r="J80" t="s">
        <v>174</v>
      </c>
      <c r="K80" t="s">
        <v>175</v>
      </c>
      <c r="L80" t="s">
        <v>101</v>
      </c>
      <c r="M80">
        <v>1436659200</v>
      </c>
      <c r="N80" t="s">
        <v>1628</v>
      </c>
      <c r="O80" t="s">
        <v>1628</v>
      </c>
      <c r="P80" t="s">
        <v>1628</v>
      </c>
      <c r="Q80">
        <f>LEN(AMAZON_FASHION_5__2[[#This Row],[reviewText]])</f>
        <v>59</v>
      </c>
      <c r="R80" t="str">
        <f>IF(AMAZON_FASHION_5__2[[#This Row],[overall]]&gt;=4,"Positive",IF(AMAZON_FASHION_5__2[[#This Row],[overall]]&lt;=2,"Negative","Neutral"))</f>
        <v>Neutral</v>
      </c>
      <c r="S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Reading Glasses</v>
      </c>
    </row>
    <row r="81" spans="1:19" x14ac:dyDescent="0.25">
      <c r="A81">
        <v>2</v>
      </c>
      <c r="B81" t="b">
        <v>1</v>
      </c>
      <c r="C81" s="1">
        <v>42145</v>
      </c>
      <c r="D81">
        <f>YEAR(AMAZON_FASHION_5__2[[#This Row],[reviewDate]])</f>
        <v>2015</v>
      </c>
      <c r="E81" s="1" t="str">
        <f>TEXT(AMAZON_FASHION_5__2[[#This Row],[reviewDate]], "mmmm")</f>
        <v>May</v>
      </c>
      <c r="F81" t="s">
        <v>142</v>
      </c>
      <c r="G81" t="s">
        <v>172</v>
      </c>
      <c r="H81" t="s">
        <v>176</v>
      </c>
      <c r="I81" t="s">
        <v>1628</v>
      </c>
      <c r="J81" t="s">
        <v>143</v>
      </c>
      <c r="K81" t="s">
        <v>177</v>
      </c>
      <c r="L81" t="s">
        <v>178</v>
      </c>
      <c r="M81">
        <v>1432166400</v>
      </c>
      <c r="N81" t="s">
        <v>1628</v>
      </c>
      <c r="O81" t="s">
        <v>1628</v>
      </c>
      <c r="P81" t="s">
        <v>1628</v>
      </c>
      <c r="Q81">
        <f>LEN(AMAZON_FASHION_5__2[[#This Row],[reviewText]])</f>
        <v>132</v>
      </c>
      <c r="R81" t="str">
        <f>IF(AMAZON_FASHION_5__2[[#This Row],[overall]]&gt;=4,"Positive",IF(AMAZON_FASHION_5__2[[#This Row],[overall]]&lt;=2,"Negative","Neutral"))</f>
        <v>Negative</v>
      </c>
      <c r="S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Reading Glasses</v>
      </c>
    </row>
    <row r="82" spans="1:19" x14ac:dyDescent="0.25">
      <c r="A82">
        <v>4</v>
      </c>
      <c r="B82" t="b">
        <v>1</v>
      </c>
      <c r="C82" s="1">
        <v>42002</v>
      </c>
      <c r="D82">
        <f>YEAR(AMAZON_FASHION_5__2[[#This Row],[reviewDate]])</f>
        <v>2014</v>
      </c>
      <c r="E82" s="1" t="str">
        <f>TEXT(AMAZON_FASHION_5__2[[#This Row],[reviewDate]], "mmmm")</f>
        <v>December</v>
      </c>
      <c r="F82" t="s">
        <v>179</v>
      </c>
      <c r="G82" t="s">
        <v>172</v>
      </c>
      <c r="H82" t="s">
        <v>180</v>
      </c>
      <c r="I82" t="s">
        <v>1628</v>
      </c>
      <c r="J82" t="s">
        <v>181</v>
      </c>
      <c r="K82" t="s">
        <v>182</v>
      </c>
      <c r="L82" t="s">
        <v>183</v>
      </c>
      <c r="M82">
        <v>1419811200</v>
      </c>
      <c r="N82" t="s">
        <v>1628</v>
      </c>
      <c r="O82" t="s">
        <v>1628</v>
      </c>
      <c r="P82" t="s">
        <v>1628</v>
      </c>
      <c r="Q82">
        <f>LEN(AMAZON_FASHION_5__2[[#This Row],[reviewText]])</f>
        <v>15</v>
      </c>
      <c r="R82" t="str">
        <f>IF(AMAZON_FASHION_5__2[[#This Row],[overall]]&gt;=4,"Positive",IF(AMAZON_FASHION_5__2[[#This Row],[overall]]&lt;=2,"Negative","Neutral"))</f>
        <v>Positive</v>
      </c>
      <c r="S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Reading Glasses</v>
      </c>
    </row>
    <row r="83" spans="1:19" x14ac:dyDescent="0.25">
      <c r="A83">
        <v>3</v>
      </c>
      <c r="B83" t="b">
        <v>1</v>
      </c>
      <c r="C83" s="1">
        <v>41257</v>
      </c>
      <c r="D83">
        <f>YEAR(AMAZON_FASHION_5__2[[#This Row],[reviewDate]])</f>
        <v>2012</v>
      </c>
      <c r="E83" s="1" t="str">
        <f>TEXT(AMAZON_FASHION_5__2[[#This Row],[reviewDate]], "mmmm")</f>
        <v>December</v>
      </c>
      <c r="F83" t="s">
        <v>184</v>
      </c>
      <c r="G83" t="s">
        <v>172</v>
      </c>
      <c r="H83" t="s">
        <v>185</v>
      </c>
      <c r="I83" t="s">
        <v>1628</v>
      </c>
      <c r="J83" t="s">
        <v>186</v>
      </c>
      <c r="K83" t="s">
        <v>187</v>
      </c>
      <c r="L83" t="s">
        <v>188</v>
      </c>
      <c r="M83">
        <v>1355443200</v>
      </c>
      <c r="N83" t="s">
        <v>1628</v>
      </c>
      <c r="O83" t="s">
        <v>1628</v>
      </c>
      <c r="P83" t="s">
        <v>1628</v>
      </c>
      <c r="Q83">
        <f>LEN(AMAZON_FASHION_5__2[[#This Row],[reviewText]])</f>
        <v>133</v>
      </c>
      <c r="R83" t="str">
        <f>IF(AMAZON_FASHION_5__2[[#This Row],[overall]]&gt;=4,"Positive",IF(AMAZON_FASHION_5__2[[#This Row],[overall]]&lt;=2,"Negative","Neutral"))</f>
        <v>Neutral</v>
      </c>
      <c r="S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Reading Glasses</v>
      </c>
    </row>
    <row r="84" spans="1:19" x14ac:dyDescent="0.25">
      <c r="A84">
        <v>4</v>
      </c>
      <c r="B84" t="b">
        <v>1</v>
      </c>
      <c r="C84" s="1">
        <v>40172</v>
      </c>
      <c r="D84">
        <f>YEAR(AMAZON_FASHION_5__2[[#This Row],[reviewDate]])</f>
        <v>2009</v>
      </c>
      <c r="E84" s="1" t="str">
        <f>TEXT(AMAZON_FASHION_5__2[[#This Row],[reviewDate]], "mmmm")</f>
        <v>December</v>
      </c>
      <c r="F84" t="s">
        <v>189</v>
      </c>
      <c r="G84" t="s">
        <v>172</v>
      </c>
      <c r="H84" t="s">
        <v>190</v>
      </c>
      <c r="I84" t="s">
        <v>1628</v>
      </c>
      <c r="J84" t="s">
        <v>191</v>
      </c>
      <c r="K84" t="s">
        <v>192</v>
      </c>
      <c r="L84" t="s">
        <v>193</v>
      </c>
      <c r="M84">
        <v>1261699200</v>
      </c>
      <c r="N84" t="s">
        <v>1628</v>
      </c>
      <c r="O84" t="s">
        <v>1628</v>
      </c>
      <c r="P84" t="s">
        <v>1628</v>
      </c>
      <c r="Q84">
        <f>LEN(AMAZON_FASHION_5__2[[#This Row],[reviewText]])</f>
        <v>238</v>
      </c>
      <c r="R84" t="str">
        <f>IF(AMAZON_FASHION_5__2[[#This Row],[overall]]&gt;=4,"Positive",IF(AMAZON_FASHION_5__2[[#This Row],[overall]]&lt;=2,"Negative","Neutral"))</f>
        <v>Positive</v>
      </c>
      <c r="S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Reading Glasses</v>
      </c>
    </row>
    <row r="85" spans="1:19" x14ac:dyDescent="0.25">
      <c r="A85">
        <v>3</v>
      </c>
      <c r="B85" t="b">
        <v>1</v>
      </c>
      <c r="C85" s="1">
        <v>42197</v>
      </c>
      <c r="D85">
        <f>YEAR(AMAZON_FASHION_5__2[[#This Row],[reviewDate]])</f>
        <v>2015</v>
      </c>
      <c r="E85" s="1" t="str">
        <f>TEXT(AMAZON_FASHION_5__2[[#This Row],[reviewDate]], "mmmm")</f>
        <v>July</v>
      </c>
      <c r="F85" t="s">
        <v>171</v>
      </c>
      <c r="G85" t="s">
        <v>194</v>
      </c>
      <c r="H85" t="s">
        <v>1628</v>
      </c>
      <c r="I85" t="s">
        <v>1628</v>
      </c>
      <c r="J85" t="s">
        <v>174</v>
      </c>
      <c r="K85" t="s">
        <v>175</v>
      </c>
      <c r="L85" t="s">
        <v>101</v>
      </c>
      <c r="M85">
        <v>1436659200</v>
      </c>
      <c r="N85" t="s">
        <v>1628</v>
      </c>
      <c r="O85" t="s">
        <v>1628</v>
      </c>
      <c r="P85" t="s">
        <v>1628</v>
      </c>
      <c r="Q85">
        <f>LEN(AMAZON_FASHION_5__2[[#This Row],[reviewText]])</f>
        <v>59</v>
      </c>
      <c r="R85" t="str">
        <f>IF(AMAZON_FASHION_5__2[[#This Row],[overall]]&gt;=4,"Positive",IF(AMAZON_FASHION_5__2[[#This Row],[overall]]&lt;=2,"Negative","Neutral"))</f>
        <v>Neutral</v>
      </c>
      <c r="S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6" spans="1:19" x14ac:dyDescent="0.25">
      <c r="A86">
        <v>2</v>
      </c>
      <c r="B86" t="b">
        <v>1</v>
      </c>
      <c r="C86" s="1">
        <v>42145</v>
      </c>
      <c r="D86">
        <f>YEAR(AMAZON_FASHION_5__2[[#This Row],[reviewDate]])</f>
        <v>2015</v>
      </c>
      <c r="E86" s="1" t="str">
        <f>TEXT(AMAZON_FASHION_5__2[[#This Row],[reviewDate]], "mmmm")</f>
        <v>May</v>
      </c>
      <c r="F86" t="s">
        <v>142</v>
      </c>
      <c r="G86" t="s">
        <v>194</v>
      </c>
      <c r="H86" t="s">
        <v>1628</v>
      </c>
      <c r="I86" t="s">
        <v>1628</v>
      </c>
      <c r="J86" t="s">
        <v>143</v>
      </c>
      <c r="K86" t="s">
        <v>177</v>
      </c>
      <c r="L86" t="s">
        <v>178</v>
      </c>
      <c r="M86">
        <v>1432166400</v>
      </c>
      <c r="N86" t="s">
        <v>1628</v>
      </c>
      <c r="O86" t="s">
        <v>1628</v>
      </c>
      <c r="P86" t="s">
        <v>1628</v>
      </c>
      <c r="Q86">
        <f>LEN(AMAZON_FASHION_5__2[[#This Row],[reviewText]])</f>
        <v>132</v>
      </c>
      <c r="R86" t="str">
        <f>IF(AMAZON_FASHION_5__2[[#This Row],[overall]]&gt;=4,"Positive",IF(AMAZON_FASHION_5__2[[#This Row],[overall]]&lt;=2,"Negative","Neutral"))</f>
        <v>Negative</v>
      </c>
      <c r="S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7" spans="1:19" x14ac:dyDescent="0.25">
      <c r="A87">
        <v>4</v>
      </c>
      <c r="B87" t="b">
        <v>1</v>
      </c>
      <c r="C87" s="1">
        <v>42002</v>
      </c>
      <c r="D87">
        <f>YEAR(AMAZON_FASHION_5__2[[#This Row],[reviewDate]])</f>
        <v>2014</v>
      </c>
      <c r="E87" s="1" t="str">
        <f>TEXT(AMAZON_FASHION_5__2[[#This Row],[reviewDate]], "mmmm")</f>
        <v>December</v>
      </c>
      <c r="F87" t="s">
        <v>179</v>
      </c>
      <c r="G87" t="s">
        <v>194</v>
      </c>
      <c r="H87" t="s">
        <v>1628</v>
      </c>
      <c r="I87" t="s">
        <v>1628</v>
      </c>
      <c r="J87" t="s">
        <v>181</v>
      </c>
      <c r="K87" t="s">
        <v>182</v>
      </c>
      <c r="L87" t="s">
        <v>183</v>
      </c>
      <c r="M87">
        <v>1419811200</v>
      </c>
      <c r="N87" t="s">
        <v>1628</v>
      </c>
      <c r="O87" t="s">
        <v>1628</v>
      </c>
      <c r="P87" t="s">
        <v>1628</v>
      </c>
      <c r="Q87">
        <f>LEN(AMAZON_FASHION_5__2[[#This Row],[reviewText]])</f>
        <v>15</v>
      </c>
      <c r="R87" t="str">
        <f>IF(AMAZON_FASHION_5__2[[#This Row],[overall]]&gt;=4,"Positive",IF(AMAZON_FASHION_5__2[[#This Row],[overall]]&lt;=2,"Negative","Neutral"))</f>
        <v>Positive</v>
      </c>
      <c r="S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8" spans="1:19" x14ac:dyDescent="0.25">
      <c r="A88">
        <v>3</v>
      </c>
      <c r="B88" t="b">
        <v>1</v>
      </c>
      <c r="C88" s="1">
        <v>41257</v>
      </c>
      <c r="D88">
        <f>YEAR(AMAZON_FASHION_5__2[[#This Row],[reviewDate]])</f>
        <v>2012</v>
      </c>
      <c r="E88" s="1" t="str">
        <f>TEXT(AMAZON_FASHION_5__2[[#This Row],[reviewDate]], "mmmm")</f>
        <v>December</v>
      </c>
      <c r="F88" t="s">
        <v>184</v>
      </c>
      <c r="G88" t="s">
        <v>194</v>
      </c>
      <c r="H88" t="s">
        <v>1628</v>
      </c>
      <c r="I88" t="s">
        <v>1628</v>
      </c>
      <c r="J88" t="s">
        <v>186</v>
      </c>
      <c r="K88" t="s">
        <v>187</v>
      </c>
      <c r="L88" t="s">
        <v>188</v>
      </c>
      <c r="M88">
        <v>1355443200</v>
      </c>
      <c r="N88" t="s">
        <v>1628</v>
      </c>
      <c r="O88" t="s">
        <v>1628</v>
      </c>
      <c r="P88" t="s">
        <v>1628</v>
      </c>
      <c r="Q88">
        <f>LEN(AMAZON_FASHION_5__2[[#This Row],[reviewText]])</f>
        <v>133</v>
      </c>
      <c r="R88" t="str">
        <f>IF(AMAZON_FASHION_5__2[[#This Row],[overall]]&gt;=4,"Positive",IF(AMAZON_FASHION_5__2[[#This Row],[overall]]&lt;=2,"Negative","Neutral"))</f>
        <v>Neutral</v>
      </c>
      <c r="S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9" spans="1:19" x14ac:dyDescent="0.25">
      <c r="A89">
        <v>4</v>
      </c>
      <c r="B89" t="b">
        <v>1</v>
      </c>
      <c r="C89" s="1">
        <v>40172</v>
      </c>
      <c r="D89">
        <f>YEAR(AMAZON_FASHION_5__2[[#This Row],[reviewDate]])</f>
        <v>2009</v>
      </c>
      <c r="E89" s="1" t="str">
        <f>TEXT(AMAZON_FASHION_5__2[[#This Row],[reviewDate]], "mmmm")</f>
        <v>December</v>
      </c>
      <c r="F89" t="s">
        <v>189</v>
      </c>
      <c r="G89" t="s">
        <v>194</v>
      </c>
      <c r="H89" t="s">
        <v>1628</v>
      </c>
      <c r="I89" t="s">
        <v>1628</v>
      </c>
      <c r="J89" t="s">
        <v>191</v>
      </c>
      <c r="K89" t="s">
        <v>192</v>
      </c>
      <c r="L89" t="s">
        <v>193</v>
      </c>
      <c r="M89">
        <v>1261699200</v>
      </c>
      <c r="N89" t="s">
        <v>1628</v>
      </c>
      <c r="O89" t="s">
        <v>1628</v>
      </c>
      <c r="P89" t="s">
        <v>1628</v>
      </c>
      <c r="Q89">
        <f>LEN(AMAZON_FASHION_5__2[[#This Row],[reviewText]])</f>
        <v>238</v>
      </c>
      <c r="R89" t="str">
        <f>IF(AMAZON_FASHION_5__2[[#This Row],[overall]]&gt;=4,"Positive",IF(AMAZON_FASHION_5__2[[#This Row],[overall]]&lt;=2,"Negative","Neutral"))</f>
        <v>Positive</v>
      </c>
      <c r="S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0" spans="1:19" x14ac:dyDescent="0.25">
      <c r="A90">
        <v>1</v>
      </c>
      <c r="B90" t="b">
        <v>1</v>
      </c>
      <c r="C90" s="1">
        <v>43171</v>
      </c>
      <c r="D90">
        <f>YEAR(AMAZON_FASHION_5__2[[#This Row],[reviewDate]])</f>
        <v>2018</v>
      </c>
      <c r="E90" s="1" t="str">
        <f>TEXT(AMAZON_FASHION_5__2[[#This Row],[reviewDate]], "mmmm")</f>
        <v>March</v>
      </c>
      <c r="F90" t="s">
        <v>59</v>
      </c>
      <c r="G90" t="s">
        <v>60</v>
      </c>
      <c r="H90" t="s">
        <v>61</v>
      </c>
      <c r="I90" t="s">
        <v>62</v>
      </c>
      <c r="J90" t="s">
        <v>63</v>
      </c>
      <c r="K90" t="s">
        <v>64</v>
      </c>
      <c r="L90" t="s">
        <v>65</v>
      </c>
      <c r="M90">
        <v>1520812800</v>
      </c>
      <c r="N90" t="s">
        <v>1628</v>
      </c>
      <c r="O90" t="s">
        <v>1628</v>
      </c>
      <c r="P90" t="s">
        <v>1628</v>
      </c>
      <c r="Q90">
        <f>LEN(AMAZON_FASHION_5__2[[#This Row],[reviewText]])</f>
        <v>14</v>
      </c>
      <c r="R90" t="str">
        <f>IF(AMAZON_FASHION_5__2[[#This Row],[overall]]&gt;=4,"Positive",IF(AMAZON_FASHION_5__2[[#This Row],[overall]]&lt;=2,"Negative","Neutral"))</f>
        <v>Negative</v>
      </c>
      <c r="S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91" spans="1:19" x14ac:dyDescent="0.25">
      <c r="A91">
        <v>5</v>
      </c>
      <c r="B91" t="b">
        <v>1</v>
      </c>
      <c r="C91" s="1">
        <v>43139</v>
      </c>
      <c r="D91">
        <f>YEAR(AMAZON_FASHION_5__2[[#This Row],[reviewDate]])</f>
        <v>2018</v>
      </c>
      <c r="E91" s="1" t="str">
        <f>TEXT(AMAZON_FASHION_5__2[[#This Row],[reviewDate]], "mmmm")</f>
        <v>February</v>
      </c>
      <c r="F91" t="s">
        <v>66</v>
      </c>
      <c r="G91" t="s">
        <v>60</v>
      </c>
      <c r="H91" t="s">
        <v>67</v>
      </c>
      <c r="I91" t="s">
        <v>68</v>
      </c>
      <c r="J91" t="s">
        <v>63</v>
      </c>
      <c r="K91" t="s">
        <v>69</v>
      </c>
      <c r="L91" t="s">
        <v>17</v>
      </c>
      <c r="M91">
        <v>1518048000</v>
      </c>
      <c r="N91" t="s">
        <v>1628</v>
      </c>
      <c r="O91" t="s">
        <v>1628</v>
      </c>
      <c r="P91" t="s">
        <v>1628</v>
      </c>
      <c r="Q91">
        <f>LEN(AMAZON_FASHION_5__2[[#This Row],[reviewText]])</f>
        <v>11</v>
      </c>
      <c r="R91" t="str">
        <f>IF(AMAZON_FASHION_5__2[[#This Row],[overall]]&gt;=4,"Positive",IF(AMAZON_FASHION_5__2[[#This Row],[overall]]&lt;=2,"Negative","Neutral"))</f>
        <v>Positive</v>
      </c>
      <c r="S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92" spans="1:19" x14ac:dyDescent="0.25">
      <c r="A92">
        <v>4</v>
      </c>
      <c r="B92" t="b">
        <v>1</v>
      </c>
      <c r="C92" s="1">
        <v>40360</v>
      </c>
      <c r="D92">
        <f>YEAR(AMAZON_FASHION_5__2[[#This Row],[reviewDate]])</f>
        <v>2010</v>
      </c>
      <c r="E92" s="1" t="str">
        <f>TEXT(AMAZON_FASHION_5__2[[#This Row],[reviewDate]], "mmmm")</f>
        <v>July</v>
      </c>
      <c r="F92" t="s">
        <v>70</v>
      </c>
      <c r="G92" t="s">
        <v>71</v>
      </c>
      <c r="H92" t="s">
        <v>1628</v>
      </c>
      <c r="I92" t="s">
        <v>1628</v>
      </c>
      <c r="J92" t="s">
        <v>72</v>
      </c>
      <c r="K92" t="s">
        <v>73</v>
      </c>
      <c r="L92" t="s">
        <v>74</v>
      </c>
      <c r="M92">
        <v>1277942400</v>
      </c>
      <c r="N92" t="s">
        <v>1628</v>
      </c>
      <c r="O92" t="s">
        <v>1628</v>
      </c>
      <c r="P92">
        <v>35</v>
      </c>
      <c r="Q92">
        <f>LEN(AMAZON_FASHION_5__2[[#This Row],[reviewText]])</f>
        <v>206</v>
      </c>
      <c r="R92" t="str">
        <f>IF(AMAZON_FASHION_5__2[[#This Row],[overall]]&gt;=4,"Positive",IF(AMAZON_FASHION_5__2[[#This Row],[overall]]&lt;=2,"Negative","Neutral"))</f>
        <v>Positive</v>
      </c>
      <c r="S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93" spans="1:19" x14ac:dyDescent="0.25">
      <c r="A93">
        <v>5</v>
      </c>
      <c r="B93" t="b">
        <v>1</v>
      </c>
      <c r="C93" s="1">
        <v>43033</v>
      </c>
      <c r="D93">
        <f>YEAR(AMAZON_FASHION_5__2[[#This Row],[reviewDate]])</f>
        <v>2017</v>
      </c>
      <c r="E93" s="1" t="str">
        <f>TEXT(AMAZON_FASHION_5__2[[#This Row],[reviewDate]], "mmmm")</f>
        <v>October</v>
      </c>
      <c r="F93" t="s">
        <v>75</v>
      </c>
      <c r="G93" t="s">
        <v>60</v>
      </c>
      <c r="H93" t="s">
        <v>61</v>
      </c>
      <c r="I93" t="s">
        <v>76</v>
      </c>
      <c r="J93" t="s">
        <v>77</v>
      </c>
      <c r="K93" t="s">
        <v>78</v>
      </c>
      <c r="L93" t="s">
        <v>17</v>
      </c>
      <c r="M93">
        <v>1508889600</v>
      </c>
      <c r="N93" t="s">
        <v>1628</v>
      </c>
      <c r="O93" t="s">
        <v>1628</v>
      </c>
      <c r="P93" t="s">
        <v>1628</v>
      </c>
      <c r="Q93">
        <f>LEN(AMAZON_FASHION_5__2[[#This Row],[reviewText]])</f>
        <v>58</v>
      </c>
      <c r="R93" t="str">
        <f>IF(AMAZON_FASHION_5__2[[#This Row],[overall]]&gt;=4,"Positive",IF(AMAZON_FASHION_5__2[[#This Row],[overall]]&lt;=2,"Negative","Neutral"))</f>
        <v>Positive</v>
      </c>
      <c r="S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94" spans="1:19" x14ac:dyDescent="0.25">
      <c r="A94">
        <v>5</v>
      </c>
      <c r="B94" t="b">
        <v>1</v>
      </c>
      <c r="C94" s="1">
        <v>43022</v>
      </c>
      <c r="D94">
        <f>YEAR(AMAZON_FASHION_5__2[[#This Row],[reviewDate]])</f>
        <v>2017</v>
      </c>
      <c r="E94" s="1" t="str">
        <f>TEXT(AMAZON_FASHION_5__2[[#This Row],[reviewDate]], "mmmm")</f>
        <v>October</v>
      </c>
      <c r="F94" t="s">
        <v>79</v>
      </c>
      <c r="G94" t="s">
        <v>60</v>
      </c>
      <c r="H94" t="s">
        <v>80</v>
      </c>
      <c r="I94" t="s">
        <v>81</v>
      </c>
      <c r="J94" t="s">
        <v>82</v>
      </c>
      <c r="K94" t="s">
        <v>83</v>
      </c>
      <c r="L94" t="s">
        <v>84</v>
      </c>
      <c r="M94">
        <v>1507939200</v>
      </c>
      <c r="N94" t="s">
        <v>1628</v>
      </c>
      <c r="O94" t="s">
        <v>1628</v>
      </c>
      <c r="P94">
        <v>3</v>
      </c>
      <c r="Q94">
        <f>LEN(AMAZON_FASHION_5__2[[#This Row],[reviewText]])</f>
        <v>223</v>
      </c>
      <c r="R94" t="str">
        <f>IF(AMAZON_FASHION_5__2[[#This Row],[overall]]&gt;=4,"Positive",IF(AMAZON_FASHION_5__2[[#This Row],[overall]]&lt;=2,"Negative","Neutral"))</f>
        <v>Positive</v>
      </c>
      <c r="S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95" spans="1:19" x14ac:dyDescent="0.25">
      <c r="A95">
        <v>1</v>
      </c>
      <c r="B95" t="b">
        <v>1</v>
      </c>
      <c r="C95" s="1">
        <v>43171</v>
      </c>
      <c r="D95">
        <f>YEAR(AMAZON_FASHION_5__2[[#This Row],[reviewDate]])</f>
        <v>2018</v>
      </c>
      <c r="E95" s="1" t="str">
        <f>TEXT(AMAZON_FASHION_5__2[[#This Row],[reviewDate]], "mmmm")</f>
        <v>March</v>
      </c>
      <c r="F95" t="s">
        <v>59</v>
      </c>
      <c r="G95" t="s">
        <v>71</v>
      </c>
      <c r="H95" t="s">
        <v>61</v>
      </c>
      <c r="I95" t="s">
        <v>62</v>
      </c>
      <c r="J95" t="s">
        <v>63</v>
      </c>
      <c r="K95" t="s">
        <v>64</v>
      </c>
      <c r="L95" t="s">
        <v>65</v>
      </c>
      <c r="M95">
        <v>1520812800</v>
      </c>
      <c r="N95" t="s">
        <v>1628</v>
      </c>
      <c r="O95" t="s">
        <v>1628</v>
      </c>
      <c r="P95" t="s">
        <v>1628</v>
      </c>
      <c r="Q95">
        <f>LEN(AMAZON_FASHION_5__2[[#This Row],[reviewText]])</f>
        <v>14</v>
      </c>
      <c r="R95" t="str">
        <f>IF(AMAZON_FASHION_5__2[[#This Row],[overall]]&gt;=4,"Positive",IF(AMAZON_FASHION_5__2[[#This Row],[overall]]&lt;=2,"Negative","Neutral"))</f>
        <v>Negative</v>
      </c>
      <c r="S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96" spans="1:19" x14ac:dyDescent="0.25">
      <c r="A96">
        <v>5</v>
      </c>
      <c r="B96" t="b">
        <v>1</v>
      </c>
      <c r="C96" s="1">
        <v>42946</v>
      </c>
      <c r="D96">
        <f>YEAR(AMAZON_FASHION_5__2[[#This Row],[reviewDate]])</f>
        <v>2017</v>
      </c>
      <c r="E96" s="1" t="str">
        <f>TEXT(AMAZON_FASHION_5__2[[#This Row],[reviewDate]], "mmmm")</f>
        <v>July</v>
      </c>
      <c r="F96" t="s">
        <v>75</v>
      </c>
      <c r="G96" t="s">
        <v>60</v>
      </c>
      <c r="H96" t="s">
        <v>61</v>
      </c>
      <c r="I96" t="s">
        <v>81</v>
      </c>
      <c r="J96" t="s">
        <v>77</v>
      </c>
      <c r="K96" t="s">
        <v>85</v>
      </c>
      <c r="L96" t="s">
        <v>86</v>
      </c>
      <c r="M96">
        <v>1501372800</v>
      </c>
      <c r="N96" t="s">
        <v>1628</v>
      </c>
      <c r="O96" t="s">
        <v>1628</v>
      </c>
      <c r="P96" t="s">
        <v>1628</v>
      </c>
      <c r="Q96">
        <f>LEN(AMAZON_FASHION_5__2[[#This Row],[reviewText]])</f>
        <v>30</v>
      </c>
      <c r="R96" t="str">
        <f>IF(AMAZON_FASHION_5__2[[#This Row],[overall]]&gt;=4,"Positive",IF(AMAZON_FASHION_5__2[[#This Row],[overall]]&lt;=2,"Negative","Neutral"))</f>
        <v>Positive</v>
      </c>
      <c r="S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97" spans="1:19" x14ac:dyDescent="0.25">
      <c r="A97">
        <v>5</v>
      </c>
      <c r="B97" t="b">
        <v>1</v>
      </c>
      <c r="C97" s="1">
        <v>42902</v>
      </c>
      <c r="D97">
        <f>YEAR(AMAZON_FASHION_5__2[[#This Row],[reviewDate]])</f>
        <v>2017</v>
      </c>
      <c r="E97" s="1" t="str">
        <f>TEXT(AMAZON_FASHION_5__2[[#This Row],[reviewDate]], "mmmm")</f>
        <v>June</v>
      </c>
      <c r="F97" t="s">
        <v>87</v>
      </c>
      <c r="G97" t="s">
        <v>60</v>
      </c>
      <c r="H97" t="s">
        <v>88</v>
      </c>
      <c r="I97" t="s">
        <v>68</v>
      </c>
      <c r="J97" t="s">
        <v>89</v>
      </c>
      <c r="K97" t="s">
        <v>90</v>
      </c>
      <c r="L97" t="s">
        <v>91</v>
      </c>
      <c r="M97">
        <v>1497571200</v>
      </c>
      <c r="N97" t="s">
        <v>1628</v>
      </c>
      <c r="O97" t="s">
        <v>1628</v>
      </c>
      <c r="P97" t="s">
        <v>1628</v>
      </c>
      <c r="Q97">
        <f>LEN(AMAZON_FASHION_5__2[[#This Row],[reviewText]])</f>
        <v>70</v>
      </c>
      <c r="R97" t="str">
        <f>IF(AMAZON_FASHION_5__2[[#This Row],[overall]]&gt;=4,"Positive",IF(AMAZON_FASHION_5__2[[#This Row],[overall]]&lt;=2,"Negative","Neutral"))</f>
        <v>Positive</v>
      </c>
      <c r="S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98" spans="1:19" x14ac:dyDescent="0.25">
      <c r="A98">
        <v>3</v>
      </c>
      <c r="B98" t="b">
        <v>1</v>
      </c>
      <c r="C98" s="1">
        <v>42843</v>
      </c>
      <c r="D98">
        <f>YEAR(AMAZON_FASHION_5__2[[#This Row],[reviewDate]])</f>
        <v>2017</v>
      </c>
      <c r="E98" s="1" t="str">
        <f>TEXT(AMAZON_FASHION_5__2[[#This Row],[reviewDate]], "mmmm")</f>
        <v>April</v>
      </c>
      <c r="F98" t="s">
        <v>92</v>
      </c>
      <c r="G98" t="s">
        <v>60</v>
      </c>
      <c r="H98" t="s">
        <v>80</v>
      </c>
      <c r="I98" t="s">
        <v>76</v>
      </c>
      <c r="J98" t="s">
        <v>93</v>
      </c>
      <c r="K98" t="s">
        <v>94</v>
      </c>
      <c r="L98" t="s">
        <v>95</v>
      </c>
      <c r="M98">
        <v>1492473600</v>
      </c>
      <c r="N98" t="s">
        <v>1628</v>
      </c>
      <c r="O98" t="s">
        <v>1628</v>
      </c>
      <c r="P98" t="s">
        <v>1628</v>
      </c>
      <c r="Q98">
        <f>LEN(AMAZON_FASHION_5__2[[#This Row],[reviewText]])</f>
        <v>261</v>
      </c>
      <c r="R98" t="str">
        <f>IF(AMAZON_FASHION_5__2[[#This Row],[overall]]&gt;=4,"Positive",IF(AMAZON_FASHION_5__2[[#This Row],[overall]]&lt;=2,"Negative","Neutral"))</f>
        <v>Neutral</v>
      </c>
      <c r="S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99" spans="1:19" x14ac:dyDescent="0.25">
      <c r="A99">
        <v>5</v>
      </c>
      <c r="B99" t="b">
        <v>1</v>
      </c>
      <c r="C99" s="1">
        <v>42838</v>
      </c>
      <c r="D99">
        <f>YEAR(AMAZON_FASHION_5__2[[#This Row],[reviewDate]])</f>
        <v>2017</v>
      </c>
      <c r="E99" s="1" t="str">
        <f>TEXT(AMAZON_FASHION_5__2[[#This Row],[reviewDate]], "mmmm")</f>
        <v>April</v>
      </c>
      <c r="F99" t="s">
        <v>96</v>
      </c>
      <c r="G99" t="s">
        <v>60</v>
      </c>
      <c r="H99" t="s">
        <v>80</v>
      </c>
      <c r="I99" t="s">
        <v>62</v>
      </c>
      <c r="J99" t="s">
        <v>97</v>
      </c>
      <c r="K99" t="s">
        <v>98</v>
      </c>
      <c r="L99" t="s">
        <v>17</v>
      </c>
      <c r="M99">
        <v>1492041600</v>
      </c>
      <c r="N99" t="s">
        <v>1628</v>
      </c>
      <c r="O99" t="s">
        <v>1628</v>
      </c>
      <c r="P99" t="s">
        <v>1628</v>
      </c>
      <c r="Q99">
        <f>LEN(AMAZON_FASHION_5__2[[#This Row],[reviewText]])</f>
        <v>55</v>
      </c>
      <c r="R99" t="str">
        <f>IF(AMAZON_FASHION_5__2[[#This Row],[overall]]&gt;=4,"Positive",IF(AMAZON_FASHION_5__2[[#This Row],[overall]]&lt;=2,"Negative","Neutral"))</f>
        <v>Positive</v>
      </c>
      <c r="S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00" spans="1:19" x14ac:dyDescent="0.25">
      <c r="A100">
        <v>3</v>
      </c>
      <c r="B100" t="b">
        <v>1</v>
      </c>
      <c r="C100" s="1">
        <v>42838</v>
      </c>
      <c r="D100">
        <f>YEAR(AMAZON_FASHION_5__2[[#This Row],[reviewDate]])</f>
        <v>2017</v>
      </c>
      <c r="E100" s="1" t="str">
        <f>TEXT(AMAZON_FASHION_5__2[[#This Row],[reviewDate]], "mmmm")</f>
        <v>April</v>
      </c>
      <c r="F100" t="s">
        <v>96</v>
      </c>
      <c r="G100" t="s">
        <v>60</v>
      </c>
      <c r="H100" t="s">
        <v>80</v>
      </c>
      <c r="I100" t="s">
        <v>99</v>
      </c>
      <c r="J100" t="s">
        <v>97</v>
      </c>
      <c r="K100" t="s">
        <v>100</v>
      </c>
      <c r="L100" t="s">
        <v>101</v>
      </c>
      <c r="M100">
        <v>1492041600</v>
      </c>
      <c r="N100" t="s">
        <v>1628</v>
      </c>
      <c r="O100" t="s">
        <v>1628</v>
      </c>
      <c r="P100" t="s">
        <v>1628</v>
      </c>
      <c r="Q100">
        <f>LEN(AMAZON_FASHION_5__2[[#This Row],[reviewText]])</f>
        <v>33</v>
      </c>
      <c r="R100" t="str">
        <f>IF(AMAZON_FASHION_5__2[[#This Row],[overall]]&gt;=4,"Positive",IF(AMAZON_FASHION_5__2[[#This Row],[overall]]&lt;=2,"Negative","Neutral"))</f>
        <v>Neutral</v>
      </c>
      <c r="S1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01" spans="1:19" x14ac:dyDescent="0.25">
      <c r="A101">
        <v>4</v>
      </c>
      <c r="B101" t="b">
        <v>1</v>
      </c>
      <c r="C101" s="1">
        <v>42830</v>
      </c>
      <c r="D101">
        <f>YEAR(AMAZON_FASHION_5__2[[#This Row],[reviewDate]])</f>
        <v>2017</v>
      </c>
      <c r="E101" s="1" t="str">
        <f>TEXT(AMAZON_FASHION_5__2[[#This Row],[reviewDate]], "mmmm")</f>
        <v>April</v>
      </c>
      <c r="F101" t="s">
        <v>92</v>
      </c>
      <c r="G101" t="s">
        <v>60</v>
      </c>
      <c r="H101" t="s">
        <v>80</v>
      </c>
      <c r="I101" t="s">
        <v>99</v>
      </c>
      <c r="J101" t="s">
        <v>93</v>
      </c>
      <c r="K101" t="s">
        <v>102</v>
      </c>
      <c r="L101" t="s">
        <v>103</v>
      </c>
      <c r="M101">
        <v>1491350400</v>
      </c>
      <c r="N101" t="s">
        <v>1628</v>
      </c>
      <c r="O101" t="s">
        <v>1628</v>
      </c>
      <c r="P101" t="s">
        <v>1628</v>
      </c>
      <c r="Q101">
        <f>LEN(AMAZON_FASHION_5__2[[#This Row],[reviewText]])</f>
        <v>57</v>
      </c>
      <c r="R101" t="str">
        <f>IF(AMAZON_FASHION_5__2[[#This Row],[overall]]&gt;=4,"Positive",IF(AMAZON_FASHION_5__2[[#This Row],[overall]]&lt;=2,"Negative","Neutral"))</f>
        <v>Positive</v>
      </c>
      <c r="S1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02" spans="1:19" x14ac:dyDescent="0.25">
      <c r="A102">
        <v>3</v>
      </c>
      <c r="B102" t="b">
        <v>1</v>
      </c>
      <c r="C102" s="1">
        <v>42818</v>
      </c>
      <c r="D102">
        <f>YEAR(AMAZON_FASHION_5__2[[#This Row],[reviewDate]])</f>
        <v>2017</v>
      </c>
      <c r="E102" s="1" t="str">
        <f>TEXT(AMAZON_FASHION_5__2[[#This Row],[reviewDate]], "mmmm")</f>
        <v>March</v>
      </c>
      <c r="F102" t="s">
        <v>104</v>
      </c>
      <c r="G102" t="s">
        <v>60</v>
      </c>
      <c r="H102" t="s">
        <v>67</v>
      </c>
      <c r="I102" t="s">
        <v>68</v>
      </c>
      <c r="J102" t="s">
        <v>105</v>
      </c>
      <c r="K102" t="s">
        <v>106</v>
      </c>
      <c r="L102" t="s">
        <v>101</v>
      </c>
      <c r="M102">
        <v>1490313600</v>
      </c>
      <c r="N102" t="s">
        <v>1628</v>
      </c>
      <c r="O102" t="s">
        <v>1628</v>
      </c>
      <c r="P102" t="s">
        <v>1628</v>
      </c>
      <c r="Q102">
        <f>LEN(AMAZON_FASHION_5__2[[#This Row],[reviewText]])</f>
        <v>31</v>
      </c>
      <c r="R102" t="str">
        <f>IF(AMAZON_FASHION_5__2[[#This Row],[overall]]&gt;=4,"Positive",IF(AMAZON_FASHION_5__2[[#This Row],[overall]]&lt;=2,"Negative","Neutral"))</f>
        <v>Neutral</v>
      </c>
      <c r="S1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03" spans="1:19" x14ac:dyDescent="0.25">
      <c r="A103">
        <v>5</v>
      </c>
      <c r="B103" t="b">
        <v>1</v>
      </c>
      <c r="C103" s="1">
        <v>43139</v>
      </c>
      <c r="D103">
        <f>YEAR(AMAZON_FASHION_5__2[[#This Row],[reviewDate]])</f>
        <v>2018</v>
      </c>
      <c r="E103" s="1" t="str">
        <f>TEXT(AMAZON_FASHION_5__2[[#This Row],[reviewDate]], "mmmm")</f>
        <v>February</v>
      </c>
      <c r="F103" t="s">
        <v>66</v>
      </c>
      <c r="G103" t="s">
        <v>71</v>
      </c>
      <c r="H103" t="s">
        <v>67</v>
      </c>
      <c r="I103" t="s">
        <v>68</v>
      </c>
      <c r="J103" t="s">
        <v>63</v>
      </c>
      <c r="K103" t="s">
        <v>69</v>
      </c>
      <c r="L103" t="s">
        <v>17</v>
      </c>
      <c r="M103">
        <v>1518048000</v>
      </c>
      <c r="N103" t="s">
        <v>1628</v>
      </c>
      <c r="O103" t="s">
        <v>1628</v>
      </c>
      <c r="P103" t="s">
        <v>1628</v>
      </c>
      <c r="Q103">
        <f>LEN(AMAZON_FASHION_5__2[[#This Row],[reviewText]])</f>
        <v>11</v>
      </c>
      <c r="R103" t="str">
        <f>IF(AMAZON_FASHION_5__2[[#This Row],[overall]]&gt;=4,"Positive",IF(AMAZON_FASHION_5__2[[#This Row],[overall]]&lt;=2,"Negative","Neutral"))</f>
        <v>Positive</v>
      </c>
      <c r="S1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04" spans="1:19" x14ac:dyDescent="0.25">
      <c r="A104">
        <v>5</v>
      </c>
      <c r="B104" t="b">
        <v>1</v>
      </c>
      <c r="C104" s="1">
        <v>42805</v>
      </c>
      <c r="D104">
        <f>YEAR(AMAZON_FASHION_5__2[[#This Row],[reviewDate]])</f>
        <v>2017</v>
      </c>
      <c r="E104" s="1" t="str">
        <f>TEXT(AMAZON_FASHION_5__2[[#This Row],[reviewDate]], "mmmm")</f>
        <v>March</v>
      </c>
      <c r="F104" t="s">
        <v>107</v>
      </c>
      <c r="G104" t="s">
        <v>60</v>
      </c>
      <c r="H104" t="s">
        <v>108</v>
      </c>
      <c r="I104" t="s">
        <v>62</v>
      </c>
      <c r="J104" t="s">
        <v>63</v>
      </c>
      <c r="K104" t="s">
        <v>109</v>
      </c>
      <c r="L104" t="s">
        <v>17</v>
      </c>
      <c r="M104">
        <v>1489190400</v>
      </c>
      <c r="N104" t="s">
        <v>1628</v>
      </c>
      <c r="O104" t="s">
        <v>1628</v>
      </c>
      <c r="P104" t="s">
        <v>1628</v>
      </c>
      <c r="Q104">
        <f>LEN(AMAZON_FASHION_5__2[[#This Row],[reviewText]])</f>
        <v>9</v>
      </c>
      <c r="R104" t="str">
        <f>IF(AMAZON_FASHION_5__2[[#This Row],[overall]]&gt;=4,"Positive",IF(AMAZON_FASHION_5__2[[#This Row],[overall]]&lt;=2,"Negative","Neutral"))</f>
        <v>Positive</v>
      </c>
      <c r="S1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05" spans="1:19" x14ac:dyDescent="0.25">
      <c r="A105">
        <v>2</v>
      </c>
      <c r="B105" t="b">
        <v>1</v>
      </c>
      <c r="C105" s="1">
        <v>42787</v>
      </c>
      <c r="D105">
        <f>YEAR(AMAZON_FASHION_5__2[[#This Row],[reviewDate]])</f>
        <v>2017</v>
      </c>
      <c r="E105" s="1" t="str">
        <f>TEXT(AMAZON_FASHION_5__2[[#This Row],[reviewDate]], "mmmm")</f>
        <v>February</v>
      </c>
      <c r="F105" t="s">
        <v>110</v>
      </c>
      <c r="G105" t="s">
        <v>60</v>
      </c>
      <c r="H105" t="s">
        <v>80</v>
      </c>
      <c r="I105" t="s">
        <v>99</v>
      </c>
      <c r="J105" t="s">
        <v>111</v>
      </c>
      <c r="K105" t="s">
        <v>112</v>
      </c>
      <c r="L105" t="s">
        <v>113</v>
      </c>
      <c r="M105">
        <v>1487635200</v>
      </c>
      <c r="N105" t="s">
        <v>1628</v>
      </c>
      <c r="O105" t="s">
        <v>1628</v>
      </c>
      <c r="P105" t="s">
        <v>1628</v>
      </c>
      <c r="Q105">
        <f>LEN(AMAZON_FASHION_5__2[[#This Row],[reviewText]])</f>
        <v>49</v>
      </c>
      <c r="R105" t="str">
        <f>IF(AMAZON_FASHION_5__2[[#This Row],[overall]]&gt;=4,"Positive",IF(AMAZON_FASHION_5__2[[#This Row],[overall]]&lt;=2,"Negative","Neutral"))</f>
        <v>Negative</v>
      </c>
      <c r="S1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06" spans="1:19" x14ac:dyDescent="0.25">
      <c r="A106">
        <v>2</v>
      </c>
      <c r="B106" t="b">
        <v>1</v>
      </c>
      <c r="C106" s="1">
        <v>42787</v>
      </c>
      <c r="D106">
        <f>YEAR(AMAZON_FASHION_5__2[[#This Row],[reviewDate]])</f>
        <v>2017</v>
      </c>
      <c r="E106" s="1" t="str">
        <f>TEXT(AMAZON_FASHION_5__2[[#This Row],[reviewDate]], "mmmm")</f>
        <v>February</v>
      </c>
      <c r="F106" t="s">
        <v>110</v>
      </c>
      <c r="G106" t="s">
        <v>60</v>
      </c>
      <c r="H106" t="s">
        <v>80</v>
      </c>
      <c r="I106" t="s">
        <v>76</v>
      </c>
      <c r="J106" t="s">
        <v>111</v>
      </c>
      <c r="K106" t="s">
        <v>114</v>
      </c>
      <c r="L106" t="s">
        <v>115</v>
      </c>
      <c r="M106">
        <v>1487635200</v>
      </c>
      <c r="N106" t="s">
        <v>1628</v>
      </c>
      <c r="O106" t="s">
        <v>1628</v>
      </c>
      <c r="P106" t="s">
        <v>1628</v>
      </c>
      <c r="Q106">
        <f>LEN(AMAZON_FASHION_5__2[[#This Row],[reviewText]])</f>
        <v>51</v>
      </c>
      <c r="R106" t="str">
        <f>IF(AMAZON_FASHION_5__2[[#This Row],[overall]]&gt;=4,"Positive",IF(AMAZON_FASHION_5__2[[#This Row],[overall]]&lt;=2,"Negative","Neutral"))</f>
        <v>Negative</v>
      </c>
      <c r="S1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07" spans="1:19" x14ac:dyDescent="0.25">
      <c r="A107">
        <v>4</v>
      </c>
      <c r="B107" t="b">
        <v>1</v>
      </c>
      <c r="C107" s="1">
        <v>42787</v>
      </c>
      <c r="D107">
        <f>YEAR(AMAZON_FASHION_5__2[[#This Row],[reviewDate]])</f>
        <v>2017</v>
      </c>
      <c r="E107" s="1" t="str">
        <f>TEXT(AMAZON_FASHION_5__2[[#This Row],[reviewDate]], "mmmm")</f>
        <v>February</v>
      </c>
      <c r="F107" t="s">
        <v>116</v>
      </c>
      <c r="G107" t="s">
        <v>60</v>
      </c>
      <c r="H107" t="s">
        <v>61</v>
      </c>
      <c r="I107" t="s">
        <v>62</v>
      </c>
      <c r="J107" t="s">
        <v>117</v>
      </c>
      <c r="K107" t="s">
        <v>118</v>
      </c>
      <c r="L107" t="s">
        <v>119</v>
      </c>
      <c r="M107">
        <v>1487635200</v>
      </c>
      <c r="N107" t="s">
        <v>1628</v>
      </c>
      <c r="O107" t="s">
        <v>1628</v>
      </c>
      <c r="P107" t="s">
        <v>1628</v>
      </c>
      <c r="Q107">
        <f>LEN(AMAZON_FASHION_5__2[[#This Row],[reviewText]])</f>
        <v>158</v>
      </c>
      <c r="R107" t="str">
        <f>IF(AMAZON_FASHION_5__2[[#This Row],[overall]]&gt;=4,"Positive",IF(AMAZON_FASHION_5__2[[#This Row],[overall]]&lt;=2,"Negative","Neutral"))</f>
        <v>Positive</v>
      </c>
      <c r="S1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08" spans="1:19" x14ac:dyDescent="0.25">
      <c r="A108">
        <v>1</v>
      </c>
      <c r="B108" t="b">
        <v>1</v>
      </c>
      <c r="C108" s="1">
        <v>42774</v>
      </c>
      <c r="D108">
        <f>YEAR(AMAZON_FASHION_5__2[[#This Row],[reviewDate]])</f>
        <v>2017</v>
      </c>
      <c r="E108" s="1" t="str">
        <f>TEXT(AMAZON_FASHION_5__2[[#This Row],[reviewDate]], "mmmm")</f>
        <v>February</v>
      </c>
      <c r="F108" t="s">
        <v>120</v>
      </c>
      <c r="G108" t="s">
        <v>60</v>
      </c>
      <c r="H108" t="s">
        <v>1628</v>
      </c>
      <c r="I108" t="s">
        <v>1628</v>
      </c>
      <c r="J108" t="s">
        <v>121</v>
      </c>
      <c r="K108" t="s">
        <v>122</v>
      </c>
      <c r="L108" t="s">
        <v>123</v>
      </c>
      <c r="M108">
        <v>1486512000</v>
      </c>
      <c r="N108" t="s">
        <v>1628</v>
      </c>
      <c r="O108" t="s">
        <v>1628</v>
      </c>
      <c r="P108" t="s">
        <v>1628</v>
      </c>
      <c r="Q108">
        <f>LEN(AMAZON_FASHION_5__2[[#This Row],[reviewText]])</f>
        <v>128</v>
      </c>
      <c r="R108" t="str">
        <f>IF(AMAZON_FASHION_5__2[[#This Row],[overall]]&gt;=4,"Positive",IF(AMAZON_FASHION_5__2[[#This Row],[overall]]&lt;=2,"Negative","Neutral"))</f>
        <v>Negative</v>
      </c>
      <c r="S1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09" spans="1:19" x14ac:dyDescent="0.25">
      <c r="A109">
        <v>3</v>
      </c>
      <c r="B109" t="b">
        <v>1</v>
      </c>
      <c r="C109" s="1">
        <v>42767</v>
      </c>
      <c r="D109">
        <f>YEAR(AMAZON_FASHION_5__2[[#This Row],[reviewDate]])</f>
        <v>2017</v>
      </c>
      <c r="E109" s="1" t="str">
        <f>TEXT(AMAZON_FASHION_5__2[[#This Row],[reviewDate]], "mmmm")</f>
        <v>February</v>
      </c>
      <c r="F109" t="s">
        <v>104</v>
      </c>
      <c r="G109" t="s">
        <v>60</v>
      </c>
      <c r="H109" t="s">
        <v>88</v>
      </c>
      <c r="I109" t="s">
        <v>81</v>
      </c>
      <c r="J109" t="s">
        <v>105</v>
      </c>
      <c r="K109" t="s">
        <v>124</v>
      </c>
      <c r="L109" t="s">
        <v>101</v>
      </c>
      <c r="M109">
        <v>1485907200</v>
      </c>
      <c r="N109" t="s">
        <v>1628</v>
      </c>
      <c r="O109" t="s">
        <v>1628</v>
      </c>
      <c r="P109" t="s">
        <v>1628</v>
      </c>
      <c r="Q109">
        <f>LEN(AMAZON_FASHION_5__2[[#This Row],[reviewText]])</f>
        <v>13</v>
      </c>
      <c r="R109" t="str">
        <f>IF(AMAZON_FASHION_5__2[[#This Row],[overall]]&gt;=4,"Positive",IF(AMAZON_FASHION_5__2[[#This Row],[overall]]&lt;=2,"Negative","Neutral"))</f>
        <v>Neutral</v>
      </c>
      <c r="S1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10" spans="1:19" x14ac:dyDescent="0.25">
      <c r="A110">
        <v>5</v>
      </c>
      <c r="B110" t="b">
        <v>1</v>
      </c>
      <c r="C110" s="1">
        <v>42758</v>
      </c>
      <c r="D110">
        <f>YEAR(AMAZON_FASHION_5__2[[#This Row],[reviewDate]])</f>
        <v>2017</v>
      </c>
      <c r="E110" s="1" t="str">
        <f>TEXT(AMAZON_FASHION_5__2[[#This Row],[reviewDate]], "mmmm")</f>
        <v>January</v>
      </c>
      <c r="F110" t="s">
        <v>107</v>
      </c>
      <c r="G110" t="s">
        <v>60</v>
      </c>
      <c r="H110" t="s">
        <v>1628</v>
      </c>
      <c r="I110" t="s">
        <v>1628</v>
      </c>
      <c r="J110" t="s">
        <v>63</v>
      </c>
      <c r="K110" t="s">
        <v>125</v>
      </c>
      <c r="L110" t="s">
        <v>17</v>
      </c>
      <c r="M110">
        <v>1485129600</v>
      </c>
      <c r="N110" t="s">
        <v>1628</v>
      </c>
      <c r="O110" t="s">
        <v>1628</v>
      </c>
      <c r="P110" t="s">
        <v>1628</v>
      </c>
      <c r="Q110">
        <f>LEN(AMAZON_FASHION_5__2[[#This Row],[reviewText]])</f>
        <v>31</v>
      </c>
      <c r="R110" t="str">
        <f>IF(AMAZON_FASHION_5__2[[#This Row],[overall]]&gt;=4,"Positive",IF(AMAZON_FASHION_5__2[[#This Row],[overall]]&lt;=2,"Negative","Neutral"))</f>
        <v>Positive</v>
      </c>
      <c r="S1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11" spans="1:19" x14ac:dyDescent="0.25">
      <c r="A111">
        <v>5</v>
      </c>
      <c r="B111" t="b">
        <v>1</v>
      </c>
      <c r="C111" s="1">
        <v>42437</v>
      </c>
      <c r="D111">
        <f>YEAR(AMAZON_FASHION_5__2[[#This Row],[reviewDate]])</f>
        <v>2016</v>
      </c>
      <c r="E111" s="1" t="str">
        <f>TEXT(AMAZON_FASHION_5__2[[#This Row],[reviewDate]], "mmmm")</f>
        <v>March</v>
      </c>
      <c r="F111" t="s">
        <v>126</v>
      </c>
      <c r="G111" t="s">
        <v>60</v>
      </c>
      <c r="H111" t="s">
        <v>1628</v>
      </c>
      <c r="I111" t="s">
        <v>1628</v>
      </c>
      <c r="J111" t="s">
        <v>127</v>
      </c>
      <c r="K111" t="s">
        <v>128</v>
      </c>
      <c r="L111" t="s">
        <v>129</v>
      </c>
      <c r="M111">
        <v>1457395200</v>
      </c>
      <c r="N111" t="s">
        <v>1628</v>
      </c>
      <c r="O111" t="s">
        <v>1628</v>
      </c>
      <c r="P111" t="s">
        <v>1628</v>
      </c>
      <c r="Q111">
        <f>LEN(AMAZON_FASHION_5__2[[#This Row],[reviewText]])</f>
        <v>24</v>
      </c>
      <c r="R111" t="str">
        <f>IF(AMAZON_FASHION_5__2[[#This Row],[overall]]&gt;=4,"Positive",IF(AMAZON_FASHION_5__2[[#This Row],[overall]]&lt;=2,"Negative","Neutral"))</f>
        <v>Positive</v>
      </c>
      <c r="S1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12" spans="1:19" x14ac:dyDescent="0.25">
      <c r="A112">
        <v>2</v>
      </c>
      <c r="B112" t="b">
        <v>1</v>
      </c>
      <c r="C112" s="1">
        <v>42303</v>
      </c>
      <c r="D112">
        <f>YEAR(AMAZON_FASHION_5__2[[#This Row],[reviewDate]])</f>
        <v>2015</v>
      </c>
      <c r="E112" s="1" t="str">
        <f>TEXT(AMAZON_FASHION_5__2[[#This Row],[reviewDate]], "mmmm")</f>
        <v>October</v>
      </c>
      <c r="F112" t="s">
        <v>130</v>
      </c>
      <c r="G112" t="s">
        <v>60</v>
      </c>
      <c r="H112" t="s">
        <v>1628</v>
      </c>
      <c r="I112" t="s">
        <v>1628</v>
      </c>
      <c r="J112" t="s">
        <v>131</v>
      </c>
      <c r="K112" t="s">
        <v>132</v>
      </c>
      <c r="L112" t="s">
        <v>133</v>
      </c>
      <c r="M112">
        <v>1445817600</v>
      </c>
      <c r="N112" t="s">
        <v>1628</v>
      </c>
      <c r="O112" t="s">
        <v>1628</v>
      </c>
      <c r="P112" t="s">
        <v>1628</v>
      </c>
      <c r="Q112">
        <f>LEN(AMAZON_FASHION_5__2[[#This Row],[reviewText]])</f>
        <v>151</v>
      </c>
      <c r="R112" t="str">
        <f>IF(AMAZON_FASHION_5__2[[#This Row],[overall]]&gt;=4,"Positive",IF(AMAZON_FASHION_5__2[[#This Row],[overall]]&lt;=2,"Negative","Neutral"))</f>
        <v>Negative</v>
      </c>
      <c r="S1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13" spans="1:19" x14ac:dyDescent="0.25">
      <c r="A113">
        <v>3</v>
      </c>
      <c r="B113" t="b">
        <v>1</v>
      </c>
      <c r="C113" s="1">
        <v>42166</v>
      </c>
      <c r="D113">
        <f>YEAR(AMAZON_FASHION_5__2[[#This Row],[reviewDate]])</f>
        <v>2015</v>
      </c>
      <c r="E113" s="1" t="str">
        <f>TEXT(AMAZON_FASHION_5__2[[#This Row],[reviewDate]], "mmmm")</f>
        <v>June</v>
      </c>
      <c r="F113" t="s">
        <v>134</v>
      </c>
      <c r="G113" t="s">
        <v>60</v>
      </c>
      <c r="H113" t="s">
        <v>1628</v>
      </c>
      <c r="I113" t="s">
        <v>1628</v>
      </c>
      <c r="J113" t="s">
        <v>135</v>
      </c>
      <c r="K113" t="s">
        <v>136</v>
      </c>
      <c r="L113" t="s">
        <v>137</v>
      </c>
      <c r="M113">
        <v>1433980800</v>
      </c>
      <c r="N113" t="s">
        <v>1628</v>
      </c>
      <c r="O113" t="s">
        <v>1628</v>
      </c>
      <c r="P113" t="s">
        <v>1628</v>
      </c>
      <c r="Q113">
        <f>LEN(AMAZON_FASHION_5__2[[#This Row],[reviewText]])</f>
        <v>58</v>
      </c>
      <c r="R113" t="str">
        <f>IF(AMAZON_FASHION_5__2[[#This Row],[overall]]&gt;=4,"Positive",IF(AMAZON_FASHION_5__2[[#This Row],[overall]]&lt;=2,"Negative","Neutral"))</f>
        <v>Neutral</v>
      </c>
      <c r="S1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14" spans="1:19" x14ac:dyDescent="0.25">
      <c r="A114">
        <v>4</v>
      </c>
      <c r="B114" t="b">
        <v>1</v>
      </c>
      <c r="C114" s="1">
        <v>42148</v>
      </c>
      <c r="D114">
        <f>YEAR(AMAZON_FASHION_5__2[[#This Row],[reviewDate]])</f>
        <v>2015</v>
      </c>
      <c r="E114" s="1" t="str">
        <f>TEXT(AMAZON_FASHION_5__2[[#This Row],[reviewDate]], "mmmm")</f>
        <v>May</v>
      </c>
      <c r="F114" t="s">
        <v>138</v>
      </c>
      <c r="G114" t="s">
        <v>60</v>
      </c>
      <c r="H114" t="s">
        <v>1628</v>
      </c>
      <c r="I114" t="s">
        <v>1628</v>
      </c>
      <c r="J114" t="s">
        <v>139</v>
      </c>
      <c r="K114" t="s">
        <v>140</v>
      </c>
      <c r="L114" t="s">
        <v>141</v>
      </c>
      <c r="M114">
        <v>1432425600</v>
      </c>
      <c r="N114" t="s">
        <v>1628</v>
      </c>
      <c r="O114" t="s">
        <v>1628</v>
      </c>
      <c r="P114" t="s">
        <v>1628</v>
      </c>
      <c r="Q114">
        <f>LEN(AMAZON_FASHION_5__2[[#This Row],[reviewText]])</f>
        <v>112</v>
      </c>
      <c r="R114" t="str">
        <f>IF(AMAZON_FASHION_5__2[[#This Row],[overall]]&gt;=4,"Positive",IF(AMAZON_FASHION_5__2[[#This Row],[overall]]&lt;=2,"Negative","Neutral"))</f>
        <v>Positive</v>
      </c>
      <c r="S1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15" spans="1:19" x14ac:dyDescent="0.25">
      <c r="A115">
        <v>5</v>
      </c>
      <c r="B115" t="b">
        <v>1</v>
      </c>
      <c r="C115" s="1">
        <v>42437</v>
      </c>
      <c r="D115">
        <f>YEAR(AMAZON_FASHION_5__2[[#This Row],[reviewDate]])</f>
        <v>2016</v>
      </c>
      <c r="E115" s="1" t="str">
        <f>TEXT(AMAZON_FASHION_5__2[[#This Row],[reviewDate]], "mmmm")</f>
        <v>March</v>
      </c>
      <c r="F115" t="s">
        <v>126</v>
      </c>
      <c r="G115" t="s">
        <v>60</v>
      </c>
      <c r="H115" t="s">
        <v>1628</v>
      </c>
      <c r="I115" t="s">
        <v>1628</v>
      </c>
      <c r="J115" t="s">
        <v>127</v>
      </c>
      <c r="K115" t="s">
        <v>128</v>
      </c>
      <c r="L115" t="s">
        <v>129</v>
      </c>
      <c r="M115">
        <v>1457395200</v>
      </c>
      <c r="N115" t="s">
        <v>1628</v>
      </c>
      <c r="O115" t="s">
        <v>1628</v>
      </c>
      <c r="P115" t="s">
        <v>1628</v>
      </c>
      <c r="Q115">
        <f>LEN(AMAZON_FASHION_5__2[[#This Row],[reviewText]])</f>
        <v>24</v>
      </c>
      <c r="R115" t="str">
        <f>IF(AMAZON_FASHION_5__2[[#This Row],[overall]]&gt;=4,"Positive",IF(AMAZON_FASHION_5__2[[#This Row],[overall]]&lt;=2,"Negative","Neutral"))</f>
        <v>Positive</v>
      </c>
      <c r="S1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16" spans="1:19" x14ac:dyDescent="0.25">
      <c r="A116">
        <v>2</v>
      </c>
      <c r="B116" t="b">
        <v>1</v>
      </c>
      <c r="C116" s="1">
        <v>42303</v>
      </c>
      <c r="D116">
        <f>YEAR(AMAZON_FASHION_5__2[[#This Row],[reviewDate]])</f>
        <v>2015</v>
      </c>
      <c r="E116" s="1" t="str">
        <f>TEXT(AMAZON_FASHION_5__2[[#This Row],[reviewDate]], "mmmm")</f>
        <v>October</v>
      </c>
      <c r="F116" t="s">
        <v>130</v>
      </c>
      <c r="G116" t="s">
        <v>60</v>
      </c>
      <c r="H116" t="s">
        <v>1628</v>
      </c>
      <c r="I116" t="s">
        <v>1628</v>
      </c>
      <c r="J116" t="s">
        <v>131</v>
      </c>
      <c r="K116" t="s">
        <v>132</v>
      </c>
      <c r="L116" t="s">
        <v>133</v>
      </c>
      <c r="M116">
        <v>1445817600</v>
      </c>
      <c r="N116" t="s">
        <v>1628</v>
      </c>
      <c r="O116" t="s">
        <v>1628</v>
      </c>
      <c r="P116" t="s">
        <v>1628</v>
      </c>
      <c r="Q116">
        <f>LEN(AMAZON_FASHION_5__2[[#This Row],[reviewText]])</f>
        <v>151</v>
      </c>
      <c r="R116" t="str">
        <f>IF(AMAZON_FASHION_5__2[[#This Row],[overall]]&gt;=4,"Positive",IF(AMAZON_FASHION_5__2[[#This Row],[overall]]&lt;=2,"Negative","Neutral"))</f>
        <v>Negative</v>
      </c>
      <c r="S1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17" spans="1:19" x14ac:dyDescent="0.25">
      <c r="A117">
        <v>3</v>
      </c>
      <c r="B117" t="b">
        <v>1</v>
      </c>
      <c r="C117" s="1">
        <v>42166</v>
      </c>
      <c r="D117">
        <f>YEAR(AMAZON_FASHION_5__2[[#This Row],[reviewDate]])</f>
        <v>2015</v>
      </c>
      <c r="E117" s="1" t="str">
        <f>TEXT(AMAZON_FASHION_5__2[[#This Row],[reviewDate]], "mmmm")</f>
        <v>June</v>
      </c>
      <c r="F117" t="s">
        <v>134</v>
      </c>
      <c r="G117" t="s">
        <v>60</v>
      </c>
      <c r="H117" t="s">
        <v>1628</v>
      </c>
      <c r="I117" t="s">
        <v>1628</v>
      </c>
      <c r="J117" t="s">
        <v>135</v>
      </c>
      <c r="K117" t="s">
        <v>136</v>
      </c>
      <c r="L117" t="s">
        <v>137</v>
      </c>
      <c r="M117">
        <v>1433980800</v>
      </c>
      <c r="N117" t="s">
        <v>1628</v>
      </c>
      <c r="O117" t="s">
        <v>1628</v>
      </c>
      <c r="P117" t="s">
        <v>1628</v>
      </c>
      <c r="Q117">
        <f>LEN(AMAZON_FASHION_5__2[[#This Row],[reviewText]])</f>
        <v>58</v>
      </c>
      <c r="R117" t="str">
        <f>IF(AMAZON_FASHION_5__2[[#This Row],[overall]]&gt;=4,"Positive",IF(AMAZON_FASHION_5__2[[#This Row],[overall]]&lt;=2,"Negative","Neutral"))</f>
        <v>Neutral</v>
      </c>
      <c r="S1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18" spans="1:19" x14ac:dyDescent="0.25">
      <c r="A118">
        <v>4</v>
      </c>
      <c r="B118" t="b">
        <v>1</v>
      </c>
      <c r="C118" s="1">
        <v>42148</v>
      </c>
      <c r="D118">
        <f>YEAR(AMAZON_FASHION_5__2[[#This Row],[reviewDate]])</f>
        <v>2015</v>
      </c>
      <c r="E118" s="1" t="str">
        <f>TEXT(AMAZON_FASHION_5__2[[#This Row],[reviewDate]], "mmmm")</f>
        <v>May</v>
      </c>
      <c r="F118" t="s">
        <v>138</v>
      </c>
      <c r="G118" t="s">
        <v>60</v>
      </c>
      <c r="H118" t="s">
        <v>1628</v>
      </c>
      <c r="I118" t="s">
        <v>1628</v>
      </c>
      <c r="J118" t="s">
        <v>139</v>
      </c>
      <c r="K118" t="s">
        <v>140</v>
      </c>
      <c r="L118" t="s">
        <v>141</v>
      </c>
      <c r="M118">
        <v>1432425600</v>
      </c>
      <c r="N118" t="s">
        <v>1628</v>
      </c>
      <c r="O118" t="s">
        <v>1628</v>
      </c>
      <c r="P118" t="s">
        <v>1628</v>
      </c>
      <c r="Q118">
        <f>LEN(AMAZON_FASHION_5__2[[#This Row],[reviewText]])</f>
        <v>112</v>
      </c>
      <c r="R118" t="str">
        <f>IF(AMAZON_FASHION_5__2[[#This Row],[overall]]&gt;=4,"Positive",IF(AMAZON_FASHION_5__2[[#This Row],[overall]]&lt;=2,"Negative","Neutral"))</f>
        <v>Positive</v>
      </c>
      <c r="S1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19" spans="1:19" x14ac:dyDescent="0.25">
      <c r="A119">
        <v>5</v>
      </c>
      <c r="B119" t="b">
        <v>1</v>
      </c>
      <c r="C119" s="1">
        <v>42039</v>
      </c>
      <c r="D119">
        <f>YEAR(AMAZON_FASHION_5__2[[#This Row],[reviewDate]])</f>
        <v>2015</v>
      </c>
      <c r="E119" s="1" t="str">
        <f>TEXT(AMAZON_FASHION_5__2[[#This Row],[reviewDate]], "mmmm")</f>
        <v>February</v>
      </c>
      <c r="F119" t="s">
        <v>142</v>
      </c>
      <c r="G119" t="s">
        <v>60</v>
      </c>
      <c r="H119" t="s">
        <v>80</v>
      </c>
      <c r="I119" t="s">
        <v>76</v>
      </c>
      <c r="J119" t="s">
        <v>143</v>
      </c>
      <c r="K119" t="s">
        <v>144</v>
      </c>
      <c r="L119" t="s">
        <v>17</v>
      </c>
      <c r="M119">
        <v>1423008000</v>
      </c>
      <c r="N119" t="s">
        <v>1628</v>
      </c>
      <c r="O119" t="s">
        <v>1628</v>
      </c>
      <c r="P119" t="s">
        <v>1628</v>
      </c>
      <c r="Q119">
        <f>LEN(AMAZON_FASHION_5__2[[#This Row],[reviewText]])</f>
        <v>79</v>
      </c>
      <c r="R119" t="str">
        <f>IF(AMAZON_FASHION_5__2[[#This Row],[overall]]&gt;=4,"Positive",IF(AMAZON_FASHION_5__2[[#This Row],[overall]]&lt;=2,"Negative","Neutral"))</f>
        <v>Positive</v>
      </c>
      <c r="S1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20" spans="1:19" x14ac:dyDescent="0.25">
      <c r="A120">
        <v>5</v>
      </c>
      <c r="B120" t="b">
        <v>1</v>
      </c>
      <c r="C120" s="1">
        <v>43033</v>
      </c>
      <c r="D120">
        <f>YEAR(AMAZON_FASHION_5__2[[#This Row],[reviewDate]])</f>
        <v>2017</v>
      </c>
      <c r="E120" s="1" t="str">
        <f>TEXT(AMAZON_FASHION_5__2[[#This Row],[reviewDate]], "mmmm")</f>
        <v>October</v>
      </c>
      <c r="F120" t="s">
        <v>75</v>
      </c>
      <c r="G120" t="s">
        <v>71</v>
      </c>
      <c r="H120" t="s">
        <v>61</v>
      </c>
      <c r="I120" t="s">
        <v>76</v>
      </c>
      <c r="J120" t="s">
        <v>77</v>
      </c>
      <c r="K120" t="s">
        <v>78</v>
      </c>
      <c r="L120" t="s">
        <v>17</v>
      </c>
      <c r="M120">
        <v>1508889600</v>
      </c>
      <c r="N120" t="s">
        <v>1628</v>
      </c>
      <c r="O120" t="s">
        <v>1628</v>
      </c>
      <c r="P120" t="s">
        <v>1628</v>
      </c>
      <c r="Q120">
        <f>LEN(AMAZON_FASHION_5__2[[#This Row],[reviewText]])</f>
        <v>58</v>
      </c>
      <c r="R120" t="str">
        <f>IF(AMAZON_FASHION_5__2[[#This Row],[overall]]&gt;=4,"Positive",IF(AMAZON_FASHION_5__2[[#This Row],[overall]]&lt;=2,"Negative","Neutral"))</f>
        <v>Positive</v>
      </c>
      <c r="S1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21" spans="1:19" x14ac:dyDescent="0.25">
      <c r="A121">
        <v>5</v>
      </c>
      <c r="B121" t="b">
        <v>1</v>
      </c>
      <c r="C121" s="1">
        <v>43022</v>
      </c>
      <c r="D121">
        <f>YEAR(AMAZON_FASHION_5__2[[#This Row],[reviewDate]])</f>
        <v>2017</v>
      </c>
      <c r="E121" s="1" t="str">
        <f>TEXT(AMAZON_FASHION_5__2[[#This Row],[reviewDate]], "mmmm")</f>
        <v>October</v>
      </c>
      <c r="F121" t="s">
        <v>79</v>
      </c>
      <c r="G121" t="s">
        <v>71</v>
      </c>
      <c r="H121" t="s">
        <v>80</v>
      </c>
      <c r="I121" t="s">
        <v>81</v>
      </c>
      <c r="J121" t="s">
        <v>82</v>
      </c>
      <c r="K121" t="s">
        <v>83</v>
      </c>
      <c r="L121" t="s">
        <v>84</v>
      </c>
      <c r="M121">
        <v>1507939200</v>
      </c>
      <c r="N121" t="s">
        <v>1628</v>
      </c>
      <c r="O121" t="s">
        <v>1628</v>
      </c>
      <c r="P121">
        <v>3</v>
      </c>
      <c r="Q121">
        <f>LEN(AMAZON_FASHION_5__2[[#This Row],[reviewText]])</f>
        <v>223</v>
      </c>
      <c r="R121" t="str">
        <f>IF(AMAZON_FASHION_5__2[[#This Row],[overall]]&gt;=4,"Positive",IF(AMAZON_FASHION_5__2[[#This Row],[overall]]&lt;=2,"Negative","Neutral"))</f>
        <v>Positive</v>
      </c>
      <c r="S1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22" spans="1:19" x14ac:dyDescent="0.25">
      <c r="A122">
        <v>4</v>
      </c>
      <c r="B122" t="b">
        <v>1</v>
      </c>
      <c r="C122" s="1">
        <v>40360</v>
      </c>
      <c r="D122">
        <f>YEAR(AMAZON_FASHION_5__2[[#This Row],[reviewDate]])</f>
        <v>2010</v>
      </c>
      <c r="E122" s="1" t="str">
        <f>TEXT(AMAZON_FASHION_5__2[[#This Row],[reviewDate]], "mmmm")</f>
        <v>July</v>
      </c>
      <c r="F122" t="s">
        <v>70</v>
      </c>
      <c r="G122" t="s">
        <v>60</v>
      </c>
      <c r="H122" t="s">
        <v>1628</v>
      </c>
      <c r="I122" t="s">
        <v>1628</v>
      </c>
      <c r="J122" t="s">
        <v>72</v>
      </c>
      <c r="K122" t="s">
        <v>73</v>
      </c>
      <c r="L122" t="s">
        <v>74</v>
      </c>
      <c r="M122">
        <v>1277942400</v>
      </c>
      <c r="N122" t="s">
        <v>1628</v>
      </c>
      <c r="O122" t="s">
        <v>1628</v>
      </c>
      <c r="P122">
        <v>35</v>
      </c>
      <c r="Q122">
        <f>LEN(AMAZON_FASHION_5__2[[#This Row],[reviewText]])</f>
        <v>206</v>
      </c>
      <c r="R122" t="str">
        <f>IF(AMAZON_FASHION_5__2[[#This Row],[overall]]&gt;=4,"Positive",IF(AMAZON_FASHION_5__2[[#This Row],[overall]]&lt;=2,"Negative","Neutral"))</f>
        <v>Positive</v>
      </c>
      <c r="S1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23" spans="1:19" x14ac:dyDescent="0.25">
      <c r="A123">
        <v>5</v>
      </c>
      <c r="B123" t="b">
        <v>1</v>
      </c>
      <c r="C123" s="1">
        <v>42946</v>
      </c>
      <c r="D123">
        <f>YEAR(AMAZON_FASHION_5__2[[#This Row],[reviewDate]])</f>
        <v>2017</v>
      </c>
      <c r="E123" s="1" t="str">
        <f>TEXT(AMAZON_FASHION_5__2[[#This Row],[reviewDate]], "mmmm")</f>
        <v>July</v>
      </c>
      <c r="F123" t="s">
        <v>75</v>
      </c>
      <c r="G123" t="s">
        <v>71</v>
      </c>
      <c r="H123" t="s">
        <v>61</v>
      </c>
      <c r="I123" t="s">
        <v>81</v>
      </c>
      <c r="J123" t="s">
        <v>77</v>
      </c>
      <c r="K123" t="s">
        <v>85</v>
      </c>
      <c r="L123" t="s">
        <v>86</v>
      </c>
      <c r="M123">
        <v>1501372800</v>
      </c>
      <c r="N123" t="s">
        <v>1628</v>
      </c>
      <c r="O123" t="s">
        <v>1628</v>
      </c>
      <c r="P123" t="s">
        <v>1628</v>
      </c>
      <c r="Q123">
        <f>LEN(AMAZON_FASHION_5__2[[#This Row],[reviewText]])</f>
        <v>30</v>
      </c>
      <c r="R123" t="str">
        <f>IF(AMAZON_FASHION_5__2[[#This Row],[overall]]&gt;=4,"Positive",IF(AMAZON_FASHION_5__2[[#This Row],[overall]]&lt;=2,"Negative","Neutral"))</f>
        <v>Positive</v>
      </c>
      <c r="S1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24" spans="1:19" x14ac:dyDescent="0.25">
      <c r="A124">
        <v>5</v>
      </c>
      <c r="B124" t="b">
        <v>1</v>
      </c>
      <c r="C124" s="1">
        <v>42902</v>
      </c>
      <c r="D124">
        <f>YEAR(AMAZON_FASHION_5__2[[#This Row],[reviewDate]])</f>
        <v>2017</v>
      </c>
      <c r="E124" s="1" t="str">
        <f>TEXT(AMAZON_FASHION_5__2[[#This Row],[reviewDate]], "mmmm")</f>
        <v>June</v>
      </c>
      <c r="F124" t="s">
        <v>87</v>
      </c>
      <c r="G124" t="s">
        <v>71</v>
      </c>
      <c r="H124" t="s">
        <v>88</v>
      </c>
      <c r="I124" t="s">
        <v>68</v>
      </c>
      <c r="J124" t="s">
        <v>89</v>
      </c>
      <c r="K124" t="s">
        <v>90</v>
      </c>
      <c r="L124" t="s">
        <v>91</v>
      </c>
      <c r="M124">
        <v>1497571200</v>
      </c>
      <c r="N124" t="s">
        <v>1628</v>
      </c>
      <c r="O124" t="s">
        <v>1628</v>
      </c>
      <c r="P124" t="s">
        <v>1628</v>
      </c>
      <c r="Q124">
        <f>LEN(AMAZON_FASHION_5__2[[#This Row],[reviewText]])</f>
        <v>70</v>
      </c>
      <c r="R124" t="str">
        <f>IF(AMAZON_FASHION_5__2[[#This Row],[overall]]&gt;=4,"Positive",IF(AMAZON_FASHION_5__2[[#This Row],[overall]]&lt;=2,"Negative","Neutral"))</f>
        <v>Positive</v>
      </c>
      <c r="S1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25" spans="1:19" x14ac:dyDescent="0.25">
      <c r="A125">
        <v>3</v>
      </c>
      <c r="B125" t="b">
        <v>1</v>
      </c>
      <c r="C125" s="1">
        <v>42843</v>
      </c>
      <c r="D125">
        <f>YEAR(AMAZON_FASHION_5__2[[#This Row],[reviewDate]])</f>
        <v>2017</v>
      </c>
      <c r="E125" s="1" t="str">
        <f>TEXT(AMAZON_FASHION_5__2[[#This Row],[reviewDate]], "mmmm")</f>
        <v>April</v>
      </c>
      <c r="F125" t="s">
        <v>92</v>
      </c>
      <c r="G125" t="s">
        <v>71</v>
      </c>
      <c r="H125" t="s">
        <v>80</v>
      </c>
      <c r="I125" t="s">
        <v>76</v>
      </c>
      <c r="J125" t="s">
        <v>93</v>
      </c>
      <c r="K125" t="s">
        <v>94</v>
      </c>
      <c r="L125" t="s">
        <v>95</v>
      </c>
      <c r="M125">
        <v>1492473600</v>
      </c>
      <c r="N125" t="s">
        <v>1628</v>
      </c>
      <c r="O125" t="s">
        <v>1628</v>
      </c>
      <c r="P125" t="s">
        <v>1628</v>
      </c>
      <c r="Q125">
        <f>LEN(AMAZON_FASHION_5__2[[#This Row],[reviewText]])</f>
        <v>261</v>
      </c>
      <c r="R125" t="str">
        <f>IF(AMAZON_FASHION_5__2[[#This Row],[overall]]&gt;=4,"Positive",IF(AMAZON_FASHION_5__2[[#This Row],[overall]]&lt;=2,"Negative","Neutral"))</f>
        <v>Neutral</v>
      </c>
      <c r="S1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26" spans="1:19" x14ac:dyDescent="0.25">
      <c r="A126">
        <v>5</v>
      </c>
      <c r="B126" t="b">
        <v>1</v>
      </c>
      <c r="C126" s="1">
        <v>42838</v>
      </c>
      <c r="D126">
        <f>YEAR(AMAZON_FASHION_5__2[[#This Row],[reviewDate]])</f>
        <v>2017</v>
      </c>
      <c r="E126" s="1" t="str">
        <f>TEXT(AMAZON_FASHION_5__2[[#This Row],[reviewDate]], "mmmm")</f>
        <v>April</v>
      </c>
      <c r="F126" t="s">
        <v>96</v>
      </c>
      <c r="G126" t="s">
        <v>71</v>
      </c>
      <c r="H126" t="s">
        <v>80</v>
      </c>
      <c r="I126" t="s">
        <v>62</v>
      </c>
      <c r="J126" t="s">
        <v>97</v>
      </c>
      <c r="K126" t="s">
        <v>98</v>
      </c>
      <c r="L126" t="s">
        <v>17</v>
      </c>
      <c r="M126">
        <v>1492041600</v>
      </c>
      <c r="N126" t="s">
        <v>1628</v>
      </c>
      <c r="O126" t="s">
        <v>1628</v>
      </c>
      <c r="P126" t="s">
        <v>1628</v>
      </c>
      <c r="Q126">
        <f>LEN(AMAZON_FASHION_5__2[[#This Row],[reviewText]])</f>
        <v>55</v>
      </c>
      <c r="R126" t="str">
        <f>IF(AMAZON_FASHION_5__2[[#This Row],[overall]]&gt;=4,"Positive",IF(AMAZON_FASHION_5__2[[#This Row],[overall]]&lt;=2,"Negative","Neutral"))</f>
        <v>Positive</v>
      </c>
      <c r="S1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27" spans="1:19" x14ac:dyDescent="0.25">
      <c r="A127">
        <v>3</v>
      </c>
      <c r="B127" t="b">
        <v>1</v>
      </c>
      <c r="C127" s="1">
        <v>42838</v>
      </c>
      <c r="D127">
        <f>YEAR(AMAZON_FASHION_5__2[[#This Row],[reviewDate]])</f>
        <v>2017</v>
      </c>
      <c r="E127" s="1" t="str">
        <f>TEXT(AMAZON_FASHION_5__2[[#This Row],[reviewDate]], "mmmm")</f>
        <v>April</v>
      </c>
      <c r="F127" t="s">
        <v>96</v>
      </c>
      <c r="G127" t="s">
        <v>71</v>
      </c>
      <c r="H127" t="s">
        <v>80</v>
      </c>
      <c r="I127" t="s">
        <v>99</v>
      </c>
      <c r="J127" t="s">
        <v>97</v>
      </c>
      <c r="K127" t="s">
        <v>100</v>
      </c>
      <c r="L127" t="s">
        <v>101</v>
      </c>
      <c r="M127">
        <v>1492041600</v>
      </c>
      <c r="N127" t="s">
        <v>1628</v>
      </c>
      <c r="O127" t="s">
        <v>1628</v>
      </c>
      <c r="P127" t="s">
        <v>1628</v>
      </c>
      <c r="Q127">
        <f>LEN(AMAZON_FASHION_5__2[[#This Row],[reviewText]])</f>
        <v>33</v>
      </c>
      <c r="R127" t="str">
        <f>IF(AMAZON_FASHION_5__2[[#This Row],[overall]]&gt;=4,"Positive",IF(AMAZON_FASHION_5__2[[#This Row],[overall]]&lt;=2,"Negative","Neutral"))</f>
        <v>Neutral</v>
      </c>
      <c r="S1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28" spans="1:19" x14ac:dyDescent="0.25">
      <c r="A128">
        <v>4</v>
      </c>
      <c r="B128" t="b">
        <v>1</v>
      </c>
      <c r="C128" s="1">
        <v>42830</v>
      </c>
      <c r="D128">
        <f>YEAR(AMAZON_FASHION_5__2[[#This Row],[reviewDate]])</f>
        <v>2017</v>
      </c>
      <c r="E128" s="1" t="str">
        <f>TEXT(AMAZON_FASHION_5__2[[#This Row],[reviewDate]], "mmmm")</f>
        <v>April</v>
      </c>
      <c r="F128" t="s">
        <v>92</v>
      </c>
      <c r="G128" t="s">
        <v>71</v>
      </c>
      <c r="H128" t="s">
        <v>80</v>
      </c>
      <c r="I128" t="s">
        <v>99</v>
      </c>
      <c r="J128" t="s">
        <v>93</v>
      </c>
      <c r="K128" t="s">
        <v>102</v>
      </c>
      <c r="L128" t="s">
        <v>103</v>
      </c>
      <c r="M128">
        <v>1491350400</v>
      </c>
      <c r="N128" t="s">
        <v>1628</v>
      </c>
      <c r="O128" t="s">
        <v>1628</v>
      </c>
      <c r="P128" t="s">
        <v>1628</v>
      </c>
      <c r="Q128">
        <f>LEN(AMAZON_FASHION_5__2[[#This Row],[reviewText]])</f>
        <v>57</v>
      </c>
      <c r="R128" t="str">
        <f>IF(AMAZON_FASHION_5__2[[#This Row],[overall]]&gt;=4,"Positive",IF(AMAZON_FASHION_5__2[[#This Row],[overall]]&lt;=2,"Negative","Neutral"))</f>
        <v>Positive</v>
      </c>
      <c r="S1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29" spans="1:19" x14ac:dyDescent="0.25">
      <c r="A129">
        <v>3</v>
      </c>
      <c r="B129" t="b">
        <v>1</v>
      </c>
      <c r="C129" s="1">
        <v>42818</v>
      </c>
      <c r="D129">
        <f>YEAR(AMAZON_FASHION_5__2[[#This Row],[reviewDate]])</f>
        <v>2017</v>
      </c>
      <c r="E129" s="1" t="str">
        <f>TEXT(AMAZON_FASHION_5__2[[#This Row],[reviewDate]], "mmmm")</f>
        <v>March</v>
      </c>
      <c r="F129" t="s">
        <v>104</v>
      </c>
      <c r="G129" t="s">
        <v>71</v>
      </c>
      <c r="H129" t="s">
        <v>67</v>
      </c>
      <c r="I129" t="s">
        <v>68</v>
      </c>
      <c r="J129" t="s">
        <v>105</v>
      </c>
      <c r="K129" t="s">
        <v>106</v>
      </c>
      <c r="L129" t="s">
        <v>101</v>
      </c>
      <c r="M129">
        <v>1490313600</v>
      </c>
      <c r="N129" t="s">
        <v>1628</v>
      </c>
      <c r="O129" t="s">
        <v>1628</v>
      </c>
      <c r="P129" t="s">
        <v>1628</v>
      </c>
      <c r="Q129">
        <f>LEN(AMAZON_FASHION_5__2[[#This Row],[reviewText]])</f>
        <v>31</v>
      </c>
      <c r="R129" t="str">
        <f>IF(AMAZON_FASHION_5__2[[#This Row],[overall]]&gt;=4,"Positive",IF(AMAZON_FASHION_5__2[[#This Row],[overall]]&lt;=2,"Negative","Neutral"))</f>
        <v>Neutral</v>
      </c>
      <c r="S1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30" spans="1:19" x14ac:dyDescent="0.25">
      <c r="A130">
        <v>5</v>
      </c>
      <c r="B130" t="b">
        <v>1</v>
      </c>
      <c r="C130" s="1">
        <v>42805</v>
      </c>
      <c r="D130">
        <f>YEAR(AMAZON_FASHION_5__2[[#This Row],[reviewDate]])</f>
        <v>2017</v>
      </c>
      <c r="E130" s="1" t="str">
        <f>TEXT(AMAZON_FASHION_5__2[[#This Row],[reviewDate]], "mmmm")</f>
        <v>March</v>
      </c>
      <c r="F130" t="s">
        <v>107</v>
      </c>
      <c r="G130" t="s">
        <v>71</v>
      </c>
      <c r="H130" t="s">
        <v>108</v>
      </c>
      <c r="I130" t="s">
        <v>62</v>
      </c>
      <c r="J130" t="s">
        <v>63</v>
      </c>
      <c r="K130" t="s">
        <v>109</v>
      </c>
      <c r="L130" t="s">
        <v>17</v>
      </c>
      <c r="M130">
        <v>1489190400</v>
      </c>
      <c r="N130" t="s">
        <v>1628</v>
      </c>
      <c r="O130" t="s">
        <v>1628</v>
      </c>
      <c r="P130" t="s">
        <v>1628</v>
      </c>
      <c r="Q130">
        <f>LEN(AMAZON_FASHION_5__2[[#This Row],[reviewText]])</f>
        <v>9</v>
      </c>
      <c r="R130" t="str">
        <f>IF(AMAZON_FASHION_5__2[[#This Row],[overall]]&gt;=4,"Positive",IF(AMAZON_FASHION_5__2[[#This Row],[overall]]&lt;=2,"Negative","Neutral"))</f>
        <v>Positive</v>
      </c>
      <c r="S1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31" spans="1:19" x14ac:dyDescent="0.25">
      <c r="A131">
        <v>2</v>
      </c>
      <c r="B131" t="b">
        <v>1</v>
      </c>
      <c r="C131" s="1">
        <v>42787</v>
      </c>
      <c r="D131">
        <f>YEAR(AMAZON_FASHION_5__2[[#This Row],[reviewDate]])</f>
        <v>2017</v>
      </c>
      <c r="E131" s="1" t="str">
        <f>TEXT(AMAZON_FASHION_5__2[[#This Row],[reviewDate]], "mmmm")</f>
        <v>February</v>
      </c>
      <c r="F131" t="s">
        <v>110</v>
      </c>
      <c r="G131" t="s">
        <v>71</v>
      </c>
      <c r="H131" t="s">
        <v>80</v>
      </c>
      <c r="I131" t="s">
        <v>99</v>
      </c>
      <c r="J131" t="s">
        <v>111</v>
      </c>
      <c r="K131" t="s">
        <v>112</v>
      </c>
      <c r="L131" t="s">
        <v>113</v>
      </c>
      <c r="M131">
        <v>1487635200</v>
      </c>
      <c r="N131" t="s">
        <v>1628</v>
      </c>
      <c r="O131" t="s">
        <v>1628</v>
      </c>
      <c r="P131" t="s">
        <v>1628</v>
      </c>
      <c r="Q131">
        <f>LEN(AMAZON_FASHION_5__2[[#This Row],[reviewText]])</f>
        <v>49</v>
      </c>
      <c r="R131" t="str">
        <f>IF(AMAZON_FASHION_5__2[[#This Row],[overall]]&gt;=4,"Positive",IF(AMAZON_FASHION_5__2[[#This Row],[overall]]&lt;=2,"Negative","Neutral"))</f>
        <v>Negative</v>
      </c>
      <c r="S1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32" spans="1:19" x14ac:dyDescent="0.25">
      <c r="A132">
        <v>2</v>
      </c>
      <c r="B132" t="b">
        <v>1</v>
      </c>
      <c r="C132" s="1">
        <v>42787</v>
      </c>
      <c r="D132">
        <f>YEAR(AMAZON_FASHION_5__2[[#This Row],[reviewDate]])</f>
        <v>2017</v>
      </c>
      <c r="E132" s="1" t="str">
        <f>TEXT(AMAZON_FASHION_5__2[[#This Row],[reviewDate]], "mmmm")</f>
        <v>February</v>
      </c>
      <c r="F132" t="s">
        <v>110</v>
      </c>
      <c r="G132" t="s">
        <v>71</v>
      </c>
      <c r="H132" t="s">
        <v>80</v>
      </c>
      <c r="I132" t="s">
        <v>76</v>
      </c>
      <c r="J132" t="s">
        <v>111</v>
      </c>
      <c r="K132" t="s">
        <v>114</v>
      </c>
      <c r="L132" t="s">
        <v>115</v>
      </c>
      <c r="M132">
        <v>1487635200</v>
      </c>
      <c r="N132" t="s">
        <v>1628</v>
      </c>
      <c r="O132" t="s">
        <v>1628</v>
      </c>
      <c r="P132" t="s">
        <v>1628</v>
      </c>
      <c r="Q132">
        <f>LEN(AMAZON_FASHION_5__2[[#This Row],[reviewText]])</f>
        <v>51</v>
      </c>
      <c r="R132" t="str">
        <f>IF(AMAZON_FASHION_5__2[[#This Row],[overall]]&gt;=4,"Positive",IF(AMAZON_FASHION_5__2[[#This Row],[overall]]&lt;=2,"Negative","Neutral"))</f>
        <v>Negative</v>
      </c>
      <c r="S1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33" spans="1:19" x14ac:dyDescent="0.25">
      <c r="A133">
        <v>4</v>
      </c>
      <c r="B133" t="b">
        <v>1</v>
      </c>
      <c r="C133" s="1">
        <v>42787</v>
      </c>
      <c r="D133">
        <f>YEAR(AMAZON_FASHION_5__2[[#This Row],[reviewDate]])</f>
        <v>2017</v>
      </c>
      <c r="E133" s="1" t="str">
        <f>TEXT(AMAZON_FASHION_5__2[[#This Row],[reviewDate]], "mmmm")</f>
        <v>February</v>
      </c>
      <c r="F133" t="s">
        <v>116</v>
      </c>
      <c r="G133" t="s">
        <v>71</v>
      </c>
      <c r="H133" t="s">
        <v>61</v>
      </c>
      <c r="I133" t="s">
        <v>62</v>
      </c>
      <c r="J133" t="s">
        <v>117</v>
      </c>
      <c r="K133" t="s">
        <v>118</v>
      </c>
      <c r="L133" t="s">
        <v>119</v>
      </c>
      <c r="M133">
        <v>1487635200</v>
      </c>
      <c r="N133" t="s">
        <v>1628</v>
      </c>
      <c r="O133" t="s">
        <v>1628</v>
      </c>
      <c r="P133" t="s">
        <v>1628</v>
      </c>
      <c r="Q133">
        <f>LEN(AMAZON_FASHION_5__2[[#This Row],[reviewText]])</f>
        <v>158</v>
      </c>
      <c r="R133" t="str">
        <f>IF(AMAZON_FASHION_5__2[[#This Row],[overall]]&gt;=4,"Positive",IF(AMAZON_FASHION_5__2[[#This Row],[overall]]&lt;=2,"Negative","Neutral"))</f>
        <v>Positive</v>
      </c>
      <c r="S1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34" spans="1:19" x14ac:dyDescent="0.25">
      <c r="A134">
        <v>1</v>
      </c>
      <c r="B134" t="b">
        <v>1</v>
      </c>
      <c r="C134" s="1">
        <v>42774</v>
      </c>
      <c r="D134">
        <f>YEAR(AMAZON_FASHION_5__2[[#This Row],[reviewDate]])</f>
        <v>2017</v>
      </c>
      <c r="E134" s="1" t="str">
        <f>TEXT(AMAZON_FASHION_5__2[[#This Row],[reviewDate]], "mmmm")</f>
        <v>February</v>
      </c>
      <c r="F134" t="s">
        <v>120</v>
      </c>
      <c r="G134" t="s">
        <v>71</v>
      </c>
      <c r="H134" t="s">
        <v>1628</v>
      </c>
      <c r="I134" t="s">
        <v>1628</v>
      </c>
      <c r="J134" t="s">
        <v>121</v>
      </c>
      <c r="K134" t="s">
        <v>122</v>
      </c>
      <c r="L134" t="s">
        <v>123</v>
      </c>
      <c r="M134">
        <v>1486512000</v>
      </c>
      <c r="N134" t="s">
        <v>1628</v>
      </c>
      <c r="O134" t="s">
        <v>1628</v>
      </c>
      <c r="P134" t="s">
        <v>1628</v>
      </c>
      <c r="Q134">
        <f>LEN(AMAZON_FASHION_5__2[[#This Row],[reviewText]])</f>
        <v>128</v>
      </c>
      <c r="R134" t="str">
        <f>IF(AMAZON_FASHION_5__2[[#This Row],[overall]]&gt;=4,"Positive",IF(AMAZON_FASHION_5__2[[#This Row],[overall]]&lt;=2,"Negative","Neutral"))</f>
        <v>Negative</v>
      </c>
      <c r="S1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35" spans="1:19" x14ac:dyDescent="0.25">
      <c r="A135">
        <v>3</v>
      </c>
      <c r="B135" t="b">
        <v>1</v>
      </c>
      <c r="C135" s="1">
        <v>42767</v>
      </c>
      <c r="D135">
        <f>YEAR(AMAZON_FASHION_5__2[[#This Row],[reviewDate]])</f>
        <v>2017</v>
      </c>
      <c r="E135" s="1" t="str">
        <f>TEXT(AMAZON_FASHION_5__2[[#This Row],[reviewDate]], "mmmm")</f>
        <v>February</v>
      </c>
      <c r="F135" t="s">
        <v>104</v>
      </c>
      <c r="G135" t="s">
        <v>71</v>
      </c>
      <c r="H135" t="s">
        <v>88</v>
      </c>
      <c r="I135" t="s">
        <v>81</v>
      </c>
      <c r="J135" t="s">
        <v>105</v>
      </c>
      <c r="K135" t="s">
        <v>124</v>
      </c>
      <c r="L135" t="s">
        <v>101</v>
      </c>
      <c r="M135">
        <v>1485907200</v>
      </c>
      <c r="N135" t="s">
        <v>1628</v>
      </c>
      <c r="O135" t="s">
        <v>1628</v>
      </c>
      <c r="P135" t="s">
        <v>1628</v>
      </c>
      <c r="Q135">
        <f>LEN(AMAZON_FASHION_5__2[[#This Row],[reviewText]])</f>
        <v>13</v>
      </c>
      <c r="R135" t="str">
        <f>IF(AMAZON_FASHION_5__2[[#This Row],[overall]]&gt;=4,"Positive",IF(AMAZON_FASHION_5__2[[#This Row],[overall]]&lt;=2,"Negative","Neutral"))</f>
        <v>Neutral</v>
      </c>
      <c r="S1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Sweatpants</v>
      </c>
    </row>
    <row r="136" spans="1:19" x14ac:dyDescent="0.25">
      <c r="A136">
        <v>5</v>
      </c>
      <c r="B136" t="b">
        <v>1</v>
      </c>
      <c r="C136" s="1">
        <v>42207</v>
      </c>
      <c r="D136">
        <f>YEAR(AMAZON_FASHION_5__2[[#This Row],[reviewDate]])</f>
        <v>2015</v>
      </c>
      <c r="E136" s="1" t="str">
        <f>TEXT(AMAZON_FASHION_5__2[[#This Row],[reviewDate]], "mmmm")</f>
        <v>July</v>
      </c>
      <c r="F136" t="s">
        <v>145</v>
      </c>
      <c r="G136" t="s">
        <v>146</v>
      </c>
      <c r="H136" t="s">
        <v>1628</v>
      </c>
      <c r="I136" t="s">
        <v>1628</v>
      </c>
      <c r="J136" t="s">
        <v>147</v>
      </c>
      <c r="K136" t="s">
        <v>148</v>
      </c>
      <c r="L136" t="s">
        <v>17</v>
      </c>
      <c r="M136">
        <v>1437523200</v>
      </c>
      <c r="N136" t="s">
        <v>1628</v>
      </c>
      <c r="O136" t="s">
        <v>1628</v>
      </c>
      <c r="P136" t="s">
        <v>1628</v>
      </c>
      <c r="Q136">
        <f>LEN(AMAZON_FASHION_5__2[[#This Row],[reviewText]])</f>
        <v>26</v>
      </c>
      <c r="R136" t="str">
        <f>IF(AMAZON_FASHION_5__2[[#This Row],[overall]]&gt;=4,"Positive",IF(AMAZON_FASHION_5__2[[#This Row],[overall]]&lt;=2,"Negative","Neutral"))</f>
        <v>Positive</v>
      </c>
      <c r="S1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Sandals</v>
      </c>
    </row>
    <row r="137" spans="1:19" x14ac:dyDescent="0.25">
      <c r="A137">
        <v>5</v>
      </c>
      <c r="B137" t="b">
        <v>1</v>
      </c>
      <c r="C137" s="1">
        <v>41857</v>
      </c>
      <c r="D137">
        <f>YEAR(AMAZON_FASHION_5__2[[#This Row],[reviewDate]])</f>
        <v>2014</v>
      </c>
      <c r="E137" s="1" t="str">
        <f>TEXT(AMAZON_FASHION_5__2[[#This Row],[reviewDate]], "mmmm")</f>
        <v>August</v>
      </c>
      <c r="F137" t="s">
        <v>145</v>
      </c>
      <c r="G137" t="s">
        <v>146</v>
      </c>
      <c r="H137" t="s">
        <v>1628</v>
      </c>
      <c r="I137" t="s">
        <v>1628</v>
      </c>
      <c r="J137" t="s">
        <v>147</v>
      </c>
      <c r="K137" t="s">
        <v>149</v>
      </c>
      <c r="L137" t="s">
        <v>150</v>
      </c>
      <c r="M137">
        <v>1407283200</v>
      </c>
      <c r="N137" t="s">
        <v>1628</v>
      </c>
      <c r="O137" t="s">
        <v>1628</v>
      </c>
      <c r="P137" t="s">
        <v>1628</v>
      </c>
      <c r="Q137">
        <f>LEN(AMAZON_FASHION_5__2[[#This Row],[reviewText]])</f>
        <v>14</v>
      </c>
      <c r="R137" t="str">
        <f>IF(AMAZON_FASHION_5__2[[#This Row],[overall]]&gt;=4,"Positive",IF(AMAZON_FASHION_5__2[[#This Row],[overall]]&lt;=2,"Negative","Neutral"))</f>
        <v>Positive</v>
      </c>
      <c r="S1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Sandals</v>
      </c>
    </row>
    <row r="138" spans="1:19" x14ac:dyDescent="0.25">
      <c r="A138">
        <v>1</v>
      </c>
      <c r="B138" t="b">
        <v>1</v>
      </c>
      <c r="C138" s="1">
        <v>43150</v>
      </c>
      <c r="D138">
        <f>YEAR(AMAZON_FASHION_5__2[[#This Row],[reviewDate]])</f>
        <v>2018</v>
      </c>
      <c r="E138" s="1" t="str">
        <f>TEXT(AMAZON_FASHION_5__2[[#This Row],[reviewDate]], "mmmm")</f>
        <v>February</v>
      </c>
      <c r="F138" t="s">
        <v>151</v>
      </c>
      <c r="G138" t="s">
        <v>152</v>
      </c>
      <c r="H138" t="s">
        <v>153</v>
      </c>
      <c r="I138" t="s">
        <v>154</v>
      </c>
      <c r="J138" t="s">
        <v>155</v>
      </c>
      <c r="K138" t="s">
        <v>156</v>
      </c>
      <c r="L138" t="s">
        <v>65</v>
      </c>
      <c r="M138">
        <v>1518998400</v>
      </c>
      <c r="N138" t="s">
        <v>1628</v>
      </c>
      <c r="O138" t="s">
        <v>1628</v>
      </c>
      <c r="P138" t="s">
        <v>1628</v>
      </c>
      <c r="Q138">
        <f>LEN(AMAZON_FASHION_5__2[[#This Row],[reviewText]])</f>
        <v>69</v>
      </c>
      <c r="R138" t="str">
        <f>IF(AMAZON_FASHION_5__2[[#This Row],[overall]]&gt;=4,"Positive",IF(AMAZON_FASHION_5__2[[#This Row],[overall]]&lt;=2,"Negative","Neutral"))</f>
        <v>Negative</v>
      </c>
      <c r="S1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Socks</v>
      </c>
    </row>
    <row r="139" spans="1:19" x14ac:dyDescent="0.25">
      <c r="A139">
        <v>1</v>
      </c>
      <c r="B139" t="b">
        <v>1</v>
      </c>
      <c r="C139" s="1">
        <v>43150</v>
      </c>
      <c r="D139">
        <f>YEAR(AMAZON_FASHION_5__2[[#This Row],[reviewDate]])</f>
        <v>2018</v>
      </c>
      <c r="E139" s="1" t="str">
        <f>TEXT(AMAZON_FASHION_5__2[[#This Row],[reviewDate]], "mmmm")</f>
        <v>February</v>
      </c>
      <c r="F139" t="s">
        <v>151</v>
      </c>
      <c r="G139" t="s">
        <v>152</v>
      </c>
      <c r="H139" t="s">
        <v>153</v>
      </c>
      <c r="I139" t="s">
        <v>25</v>
      </c>
      <c r="J139" t="s">
        <v>155</v>
      </c>
      <c r="K139" t="s">
        <v>157</v>
      </c>
      <c r="L139" t="s">
        <v>65</v>
      </c>
      <c r="M139">
        <v>1518998400</v>
      </c>
      <c r="N139" t="s">
        <v>1628</v>
      </c>
      <c r="O139" t="s">
        <v>1628</v>
      </c>
      <c r="P139" t="s">
        <v>1628</v>
      </c>
      <c r="Q139">
        <f>LEN(AMAZON_FASHION_5__2[[#This Row],[reviewText]])</f>
        <v>21</v>
      </c>
      <c r="R139" t="str">
        <f>IF(AMAZON_FASHION_5__2[[#This Row],[overall]]&gt;=4,"Positive",IF(AMAZON_FASHION_5__2[[#This Row],[overall]]&lt;=2,"Negative","Neutral"))</f>
        <v>Negative</v>
      </c>
      <c r="S1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Socks</v>
      </c>
    </row>
    <row r="140" spans="1:19" x14ac:dyDescent="0.25">
      <c r="A140">
        <v>5</v>
      </c>
      <c r="B140" t="b">
        <v>1</v>
      </c>
      <c r="C140" s="1">
        <v>43004</v>
      </c>
      <c r="D140">
        <f>YEAR(AMAZON_FASHION_5__2[[#This Row],[reviewDate]])</f>
        <v>2017</v>
      </c>
      <c r="E140" s="1" t="str">
        <f>TEXT(AMAZON_FASHION_5__2[[#This Row],[reviewDate]], "mmmm")</f>
        <v>September</v>
      </c>
      <c r="F140" t="s">
        <v>158</v>
      </c>
      <c r="G140" t="s">
        <v>152</v>
      </c>
      <c r="H140" t="s">
        <v>153</v>
      </c>
      <c r="I140" t="s">
        <v>159</v>
      </c>
      <c r="J140" t="s">
        <v>160</v>
      </c>
      <c r="K140" t="s">
        <v>161</v>
      </c>
      <c r="L140" t="s">
        <v>162</v>
      </c>
      <c r="M140">
        <v>1506384000</v>
      </c>
      <c r="N140" t="s">
        <v>1628</v>
      </c>
      <c r="O140" t="s">
        <v>1628</v>
      </c>
      <c r="P140" t="s">
        <v>1628</v>
      </c>
      <c r="Q140">
        <f>LEN(AMAZON_FASHION_5__2[[#This Row],[reviewText]])</f>
        <v>66</v>
      </c>
      <c r="R140" t="str">
        <f>IF(AMAZON_FASHION_5__2[[#This Row],[overall]]&gt;=4,"Positive",IF(AMAZON_FASHION_5__2[[#This Row],[overall]]&lt;=2,"Negative","Neutral"))</f>
        <v>Positive</v>
      </c>
      <c r="S1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Socks</v>
      </c>
    </row>
    <row r="141" spans="1:19" x14ac:dyDescent="0.25">
      <c r="A141">
        <v>4</v>
      </c>
      <c r="B141" t="b">
        <v>1</v>
      </c>
      <c r="C141" s="1">
        <v>42308</v>
      </c>
      <c r="D141">
        <f>YEAR(AMAZON_FASHION_5__2[[#This Row],[reviewDate]])</f>
        <v>2015</v>
      </c>
      <c r="E141" s="1" t="str">
        <f>TEXT(AMAZON_FASHION_5__2[[#This Row],[reviewDate]], "mmmm")</f>
        <v>October</v>
      </c>
      <c r="F141" t="s">
        <v>151</v>
      </c>
      <c r="G141" t="s">
        <v>152</v>
      </c>
      <c r="H141" t="s">
        <v>153</v>
      </c>
      <c r="I141" t="s">
        <v>159</v>
      </c>
      <c r="J141" t="s">
        <v>155</v>
      </c>
      <c r="K141" t="s">
        <v>163</v>
      </c>
      <c r="L141" t="s">
        <v>164</v>
      </c>
      <c r="M141">
        <v>1446249600</v>
      </c>
      <c r="N141" t="s">
        <v>1628</v>
      </c>
      <c r="O141" t="s">
        <v>1628</v>
      </c>
      <c r="P141" t="s">
        <v>1628</v>
      </c>
      <c r="Q141">
        <f>LEN(AMAZON_FASHION_5__2[[#This Row],[reviewText]])</f>
        <v>37</v>
      </c>
      <c r="R141" t="str">
        <f>IF(AMAZON_FASHION_5__2[[#This Row],[overall]]&gt;=4,"Positive",IF(AMAZON_FASHION_5__2[[#This Row],[overall]]&lt;=2,"Negative","Neutral"))</f>
        <v>Positive</v>
      </c>
      <c r="S1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Socks</v>
      </c>
    </row>
    <row r="142" spans="1:19" x14ac:dyDescent="0.25">
      <c r="A142">
        <v>4</v>
      </c>
      <c r="B142" t="b">
        <v>1</v>
      </c>
      <c r="C142" s="1">
        <v>42398</v>
      </c>
      <c r="D142">
        <f>YEAR(AMAZON_FASHION_5__2[[#This Row],[reviewDate]])</f>
        <v>2016</v>
      </c>
      <c r="E142" s="1" t="str">
        <f>TEXT(AMAZON_FASHION_5__2[[#This Row],[reviewDate]], "mmmm")</f>
        <v>January</v>
      </c>
      <c r="F142" t="s">
        <v>35</v>
      </c>
      <c r="G142" t="s">
        <v>165</v>
      </c>
      <c r="H142" t="s">
        <v>153</v>
      </c>
      <c r="I142" t="s">
        <v>166</v>
      </c>
      <c r="J142" t="s">
        <v>37</v>
      </c>
      <c r="K142" t="s">
        <v>167</v>
      </c>
      <c r="L142" t="s">
        <v>103</v>
      </c>
      <c r="M142">
        <v>1454025600</v>
      </c>
      <c r="N142" t="s">
        <v>1628</v>
      </c>
      <c r="O142" t="s">
        <v>1628</v>
      </c>
      <c r="P142" t="s">
        <v>1628</v>
      </c>
      <c r="Q142">
        <f>LEN(AMAZON_FASHION_5__2[[#This Row],[reviewText]])</f>
        <v>45</v>
      </c>
      <c r="R142" t="str">
        <f>IF(AMAZON_FASHION_5__2[[#This Row],[overall]]&gt;=4,"Positive",IF(AMAZON_FASHION_5__2[[#This Row],[overall]]&lt;=2,"Negative","Neutral"))</f>
        <v>Positive</v>
      </c>
      <c r="S1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Scarves</v>
      </c>
    </row>
    <row r="143" spans="1:19" x14ac:dyDescent="0.25">
      <c r="A143">
        <v>5</v>
      </c>
      <c r="B143" t="b">
        <v>1</v>
      </c>
      <c r="C143" s="1">
        <v>42391</v>
      </c>
      <c r="D143">
        <f>YEAR(AMAZON_FASHION_5__2[[#This Row],[reviewDate]])</f>
        <v>2016</v>
      </c>
      <c r="E143" s="1" t="str">
        <f>TEXT(AMAZON_FASHION_5__2[[#This Row],[reviewDate]], "mmmm")</f>
        <v>January</v>
      </c>
      <c r="F143" t="s">
        <v>35</v>
      </c>
      <c r="G143" t="s">
        <v>165</v>
      </c>
      <c r="H143" t="s">
        <v>153</v>
      </c>
      <c r="I143" t="s">
        <v>168</v>
      </c>
      <c r="J143" t="s">
        <v>37</v>
      </c>
      <c r="K143" t="s">
        <v>169</v>
      </c>
      <c r="L143" t="s">
        <v>170</v>
      </c>
      <c r="M143">
        <v>1453420800</v>
      </c>
      <c r="N143" t="s">
        <v>1628</v>
      </c>
      <c r="O143" t="s">
        <v>1628</v>
      </c>
      <c r="P143" t="s">
        <v>1628</v>
      </c>
      <c r="Q143">
        <f>LEN(AMAZON_FASHION_5__2[[#This Row],[reviewText]])</f>
        <v>163</v>
      </c>
      <c r="R143" t="str">
        <f>IF(AMAZON_FASHION_5__2[[#This Row],[overall]]&gt;=4,"Positive",IF(AMAZON_FASHION_5__2[[#This Row],[overall]]&lt;=2,"Negative","Neutral"))</f>
        <v>Positive</v>
      </c>
      <c r="S1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Scarves</v>
      </c>
    </row>
    <row r="144" spans="1:19" x14ac:dyDescent="0.25">
      <c r="A144">
        <v>3</v>
      </c>
      <c r="B144" t="b">
        <v>1</v>
      </c>
      <c r="C144" s="1">
        <v>42197</v>
      </c>
      <c r="D144">
        <f>YEAR(AMAZON_FASHION_5__2[[#This Row],[reviewDate]])</f>
        <v>2015</v>
      </c>
      <c r="E144" s="1" t="str">
        <f>TEXT(AMAZON_FASHION_5__2[[#This Row],[reviewDate]], "mmmm")</f>
        <v>July</v>
      </c>
      <c r="F144" t="s">
        <v>171</v>
      </c>
      <c r="G144" t="s">
        <v>172</v>
      </c>
      <c r="H144" t="s">
        <v>173</v>
      </c>
      <c r="I144" t="s">
        <v>1628</v>
      </c>
      <c r="J144" t="s">
        <v>174</v>
      </c>
      <c r="K144" t="s">
        <v>175</v>
      </c>
      <c r="L144" t="s">
        <v>101</v>
      </c>
      <c r="M144">
        <v>1436659200</v>
      </c>
      <c r="N144" t="s">
        <v>1628</v>
      </c>
      <c r="O144" t="s">
        <v>1628</v>
      </c>
      <c r="P144" t="s">
        <v>1628</v>
      </c>
      <c r="Q144">
        <f>LEN(AMAZON_FASHION_5__2[[#This Row],[reviewText]])</f>
        <v>59</v>
      </c>
      <c r="R144" t="str">
        <f>IF(AMAZON_FASHION_5__2[[#This Row],[overall]]&gt;=4,"Positive",IF(AMAZON_FASHION_5__2[[#This Row],[overall]]&lt;=2,"Negative","Neutral"))</f>
        <v>Neutral</v>
      </c>
      <c r="S1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Reading Glasses</v>
      </c>
    </row>
    <row r="145" spans="1:19" x14ac:dyDescent="0.25">
      <c r="A145">
        <v>2</v>
      </c>
      <c r="B145" t="b">
        <v>1</v>
      </c>
      <c r="C145" s="1">
        <v>42145</v>
      </c>
      <c r="D145">
        <f>YEAR(AMAZON_FASHION_5__2[[#This Row],[reviewDate]])</f>
        <v>2015</v>
      </c>
      <c r="E145" s="1" t="str">
        <f>TEXT(AMAZON_FASHION_5__2[[#This Row],[reviewDate]], "mmmm")</f>
        <v>May</v>
      </c>
      <c r="F145" t="s">
        <v>142</v>
      </c>
      <c r="G145" t="s">
        <v>172</v>
      </c>
      <c r="H145" t="s">
        <v>176</v>
      </c>
      <c r="I145" t="s">
        <v>1628</v>
      </c>
      <c r="J145" t="s">
        <v>143</v>
      </c>
      <c r="K145" t="s">
        <v>177</v>
      </c>
      <c r="L145" t="s">
        <v>178</v>
      </c>
      <c r="M145">
        <v>1432166400</v>
      </c>
      <c r="N145" t="s">
        <v>1628</v>
      </c>
      <c r="O145" t="s">
        <v>1628</v>
      </c>
      <c r="P145" t="s">
        <v>1628</v>
      </c>
      <c r="Q145">
        <f>LEN(AMAZON_FASHION_5__2[[#This Row],[reviewText]])</f>
        <v>132</v>
      </c>
      <c r="R145" t="str">
        <f>IF(AMAZON_FASHION_5__2[[#This Row],[overall]]&gt;=4,"Positive",IF(AMAZON_FASHION_5__2[[#This Row],[overall]]&lt;=2,"Negative","Neutral"))</f>
        <v>Negative</v>
      </c>
      <c r="S1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Reading Glasses</v>
      </c>
    </row>
    <row r="146" spans="1:19" x14ac:dyDescent="0.25">
      <c r="A146">
        <v>4</v>
      </c>
      <c r="B146" t="b">
        <v>1</v>
      </c>
      <c r="C146" s="1">
        <v>42002</v>
      </c>
      <c r="D146">
        <f>YEAR(AMAZON_FASHION_5__2[[#This Row],[reviewDate]])</f>
        <v>2014</v>
      </c>
      <c r="E146" s="1" t="str">
        <f>TEXT(AMAZON_FASHION_5__2[[#This Row],[reviewDate]], "mmmm")</f>
        <v>December</v>
      </c>
      <c r="F146" t="s">
        <v>179</v>
      </c>
      <c r="G146" t="s">
        <v>172</v>
      </c>
      <c r="H146" t="s">
        <v>180</v>
      </c>
      <c r="I146" t="s">
        <v>1628</v>
      </c>
      <c r="J146" t="s">
        <v>181</v>
      </c>
      <c r="K146" t="s">
        <v>182</v>
      </c>
      <c r="L146" t="s">
        <v>183</v>
      </c>
      <c r="M146">
        <v>1419811200</v>
      </c>
      <c r="N146" t="s">
        <v>1628</v>
      </c>
      <c r="O146" t="s">
        <v>1628</v>
      </c>
      <c r="P146" t="s">
        <v>1628</v>
      </c>
      <c r="Q146">
        <f>LEN(AMAZON_FASHION_5__2[[#This Row],[reviewText]])</f>
        <v>15</v>
      </c>
      <c r="R146" t="str">
        <f>IF(AMAZON_FASHION_5__2[[#This Row],[overall]]&gt;=4,"Positive",IF(AMAZON_FASHION_5__2[[#This Row],[overall]]&lt;=2,"Negative","Neutral"))</f>
        <v>Positive</v>
      </c>
      <c r="S1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Reading Glasses</v>
      </c>
    </row>
    <row r="147" spans="1:19" x14ac:dyDescent="0.25">
      <c r="A147">
        <v>3</v>
      </c>
      <c r="B147" t="b">
        <v>1</v>
      </c>
      <c r="C147" s="1">
        <v>41257</v>
      </c>
      <c r="D147">
        <f>YEAR(AMAZON_FASHION_5__2[[#This Row],[reviewDate]])</f>
        <v>2012</v>
      </c>
      <c r="E147" s="1" t="str">
        <f>TEXT(AMAZON_FASHION_5__2[[#This Row],[reviewDate]], "mmmm")</f>
        <v>December</v>
      </c>
      <c r="F147" t="s">
        <v>184</v>
      </c>
      <c r="G147" t="s">
        <v>172</v>
      </c>
      <c r="H147" t="s">
        <v>185</v>
      </c>
      <c r="I147" t="s">
        <v>1628</v>
      </c>
      <c r="J147" t="s">
        <v>186</v>
      </c>
      <c r="K147" t="s">
        <v>187</v>
      </c>
      <c r="L147" t="s">
        <v>188</v>
      </c>
      <c r="M147">
        <v>1355443200</v>
      </c>
      <c r="N147" t="s">
        <v>1628</v>
      </c>
      <c r="O147" t="s">
        <v>1628</v>
      </c>
      <c r="P147" t="s">
        <v>1628</v>
      </c>
      <c r="Q147">
        <f>LEN(AMAZON_FASHION_5__2[[#This Row],[reviewText]])</f>
        <v>133</v>
      </c>
      <c r="R147" t="str">
        <f>IF(AMAZON_FASHION_5__2[[#This Row],[overall]]&gt;=4,"Positive",IF(AMAZON_FASHION_5__2[[#This Row],[overall]]&lt;=2,"Negative","Neutral"))</f>
        <v>Neutral</v>
      </c>
      <c r="S1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Reading Glasses</v>
      </c>
    </row>
    <row r="148" spans="1:19" x14ac:dyDescent="0.25">
      <c r="A148">
        <v>4</v>
      </c>
      <c r="B148" t="b">
        <v>1</v>
      </c>
      <c r="C148" s="1">
        <v>40172</v>
      </c>
      <c r="D148">
        <f>YEAR(AMAZON_FASHION_5__2[[#This Row],[reviewDate]])</f>
        <v>2009</v>
      </c>
      <c r="E148" s="1" t="str">
        <f>TEXT(AMAZON_FASHION_5__2[[#This Row],[reviewDate]], "mmmm")</f>
        <v>December</v>
      </c>
      <c r="F148" t="s">
        <v>189</v>
      </c>
      <c r="G148" t="s">
        <v>172</v>
      </c>
      <c r="H148" t="s">
        <v>190</v>
      </c>
      <c r="I148" t="s">
        <v>1628</v>
      </c>
      <c r="J148" t="s">
        <v>191</v>
      </c>
      <c r="K148" t="s">
        <v>192</v>
      </c>
      <c r="L148" t="s">
        <v>193</v>
      </c>
      <c r="M148">
        <v>1261699200</v>
      </c>
      <c r="N148" t="s">
        <v>1628</v>
      </c>
      <c r="O148" t="s">
        <v>1628</v>
      </c>
      <c r="P148" t="s">
        <v>1628</v>
      </c>
      <c r="Q148">
        <f>LEN(AMAZON_FASHION_5__2[[#This Row],[reviewText]])</f>
        <v>238</v>
      </c>
      <c r="R148" t="str">
        <f>IF(AMAZON_FASHION_5__2[[#This Row],[overall]]&gt;=4,"Positive",IF(AMAZON_FASHION_5__2[[#This Row],[overall]]&lt;=2,"Negative","Neutral"))</f>
        <v>Positive</v>
      </c>
      <c r="S1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Reading Glasses</v>
      </c>
    </row>
    <row r="149" spans="1:19" x14ac:dyDescent="0.25">
      <c r="A149">
        <v>3</v>
      </c>
      <c r="B149" t="b">
        <v>1</v>
      </c>
      <c r="C149" s="1">
        <v>42197</v>
      </c>
      <c r="D149">
        <f>YEAR(AMAZON_FASHION_5__2[[#This Row],[reviewDate]])</f>
        <v>2015</v>
      </c>
      <c r="E149" s="1" t="str">
        <f>TEXT(AMAZON_FASHION_5__2[[#This Row],[reviewDate]], "mmmm")</f>
        <v>July</v>
      </c>
      <c r="F149" t="s">
        <v>171</v>
      </c>
      <c r="G149" t="s">
        <v>194</v>
      </c>
      <c r="H149" t="s">
        <v>1628</v>
      </c>
      <c r="I149" t="s">
        <v>1628</v>
      </c>
      <c r="J149" t="s">
        <v>174</v>
      </c>
      <c r="K149" t="s">
        <v>175</v>
      </c>
      <c r="L149" t="s">
        <v>101</v>
      </c>
      <c r="M149">
        <v>1436659200</v>
      </c>
      <c r="N149" t="s">
        <v>1628</v>
      </c>
      <c r="O149" t="s">
        <v>1628</v>
      </c>
      <c r="P149" t="s">
        <v>1628</v>
      </c>
      <c r="Q149">
        <f>LEN(AMAZON_FASHION_5__2[[#This Row],[reviewText]])</f>
        <v>59</v>
      </c>
      <c r="R149" t="str">
        <f>IF(AMAZON_FASHION_5__2[[#This Row],[overall]]&gt;=4,"Positive",IF(AMAZON_FASHION_5__2[[#This Row],[overall]]&lt;=2,"Negative","Neutral"))</f>
        <v>Neutral</v>
      </c>
      <c r="S1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0" spans="1:19" x14ac:dyDescent="0.25">
      <c r="A150">
        <v>2</v>
      </c>
      <c r="B150" t="b">
        <v>1</v>
      </c>
      <c r="C150" s="1">
        <v>42145</v>
      </c>
      <c r="D150">
        <f>YEAR(AMAZON_FASHION_5__2[[#This Row],[reviewDate]])</f>
        <v>2015</v>
      </c>
      <c r="E150" s="1" t="str">
        <f>TEXT(AMAZON_FASHION_5__2[[#This Row],[reviewDate]], "mmmm")</f>
        <v>May</v>
      </c>
      <c r="F150" t="s">
        <v>142</v>
      </c>
      <c r="G150" t="s">
        <v>194</v>
      </c>
      <c r="H150" t="s">
        <v>1628</v>
      </c>
      <c r="I150" t="s">
        <v>1628</v>
      </c>
      <c r="J150" t="s">
        <v>143</v>
      </c>
      <c r="K150" t="s">
        <v>177</v>
      </c>
      <c r="L150" t="s">
        <v>178</v>
      </c>
      <c r="M150">
        <v>1432166400</v>
      </c>
      <c r="N150" t="s">
        <v>1628</v>
      </c>
      <c r="O150" t="s">
        <v>1628</v>
      </c>
      <c r="P150" t="s">
        <v>1628</v>
      </c>
      <c r="Q150">
        <f>LEN(AMAZON_FASHION_5__2[[#This Row],[reviewText]])</f>
        <v>132</v>
      </c>
      <c r="R150" t="str">
        <f>IF(AMAZON_FASHION_5__2[[#This Row],[overall]]&gt;=4,"Positive",IF(AMAZON_FASHION_5__2[[#This Row],[overall]]&lt;=2,"Negative","Neutral"))</f>
        <v>Negative</v>
      </c>
      <c r="S1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1" spans="1:19" x14ac:dyDescent="0.25">
      <c r="A151">
        <v>4</v>
      </c>
      <c r="B151" t="b">
        <v>1</v>
      </c>
      <c r="C151" s="1">
        <v>42002</v>
      </c>
      <c r="D151">
        <f>YEAR(AMAZON_FASHION_5__2[[#This Row],[reviewDate]])</f>
        <v>2014</v>
      </c>
      <c r="E151" s="1" t="str">
        <f>TEXT(AMAZON_FASHION_5__2[[#This Row],[reviewDate]], "mmmm")</f>
        <v>December</v>
      </c>
      <c r="F151" t="s">
        <v>179</v>
      </c>
      <c r="G151" t="s">
        <v>194</v>
      </c>
      <c r="H151" t="s">
        <v>1628</v>
      </c>
      <c r="I151" t="s">
        <v>1628</v>
      </c>
      <c r="J151" t="s">
        <v>181</v>
      </c>
      <c r="K151" t="s">
        <v>182</v>
      </c>
      <c r="L151" t="s">
        <v>183</v>
      </c>
      <c r="M151">
        <v>1419811200</v>
      </c>
      <c r="N151" t="s">
        <v>1628</v>
      </c>
      <c r="O151" t="s">
        <v>1628</v>
      </c>
      <c r="P151" t="s">
        <v>1628</v>
      </c>
      <c r="Q151">
        <f>LEN(AMAZON_FASHION_5__2[[#This Row],[reviewText]])</f>
        <v>15</v>
      </c>
      <c r="R151" t="str">
        <f>IF(AMAZON_FASHION_5__2[[#This Row],[overall]]&gt;=4,"Positive",IF(AMAZON_FASHION_5__2[[#This Row],[overall]]&lt;=2,"Negative","Neutral"))</f>
        <v>Positive</v>
      </c>
      <c r="S1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2" spans="1:19" x14ac:dyDescent="0.25">
      <c r="A152">
        <v>3</v>
      </c>
      <c r="B152" t="b">
        <v>1</v>
      </c>
      <c r="C152" s="1">
        <v>41257</v>
      </c>
      <c r="D152">
        <f>YEAR(AMAZON_FASHION_5__2[[#This Row],[reviewDate]])</f>
        <v>2012</v>
      </c>
      <c r="E152" s="1" t="str">
        <f>TEXT(AMAZON_FASHION_5__2[[#This Row],[reviewDate]], "mmmm")</f>
        <v>December</v>
      </c>
      <c r="F152" t="s">
        <v>184</v>
      </c>
      <c r="G152" t="s">
        <v>194</v>
      </c>
      <c r="H152" t="s">
        <v>1628</v>
      </c>
      <c r="I152" t="s">
        <v>1628</v>
      </c>
      <c r="J152" t="s">
        <v>186</v>
      </c>
      <c r="K152" t="s">
        <v>187</v>
      </c>
      <c r="L152" t="s">
        <v>188</v>
      </c>
      <c r="M152">
        <v>1355443200</v>
      </c>
      <c r="N152" t="s">
        <v>1628</v>
      </c>
      <c r="O152" t="s">
        <v>1628</v>
      </c>
      <c r="P152" t="s">
        <v>1628</v>
      </c>
      <c r="Q152">
        <f>LEN(AMAZON_FASHION_5__2[[#This Row],[reviewText]])</f>
        <v>133</v>
      </c>
      <c r="R152" t="str">
        <f>IF(AMAZON_FASHION_5__2[[#This Row],[overall]]&gt;=4,"Positive",IF(AMAZON_FASHION_5__2[[#This Row],[overall]]&lt;=2,"Negative","Neutral"))</f>
        <v>Neutral</v>
      </c>
      <c r="S1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3" spans="1:19" x14ac:dyDescent="0.25">
      <c r="A153">
        <v>4</v>
      </c>
      <c r="B153" t="b">
        <v>1</v>
      </c>
      <c r="C153" s="1">
        <v>40172</v>
      </c>
      <c r="D153">
        <f>YEAR(AMAZON_FASHION_5__2[[#This Row],[reviewDate]])</f>
        <v>2009</v>
      </c>
      <c r="E153" s="1" t="str">
        <f>TEXT(AMAZON_FASHION_5__2[[#This Row],[reviewDate]], "mmmm")</f>
        <v>December</v>
      </c>
      <c r="F153" t="s">
        <v>189</v>
      </c>
      <c r="G153" t="s">
        <v>194</v>
      </c>
      <c r="H153" t="s">
        <v>1628</v>
      </c>
      <c r="I153" t="s">
        <v>1628</v>
      </c>
      <c r="J153" t="s">
        <v>191</v>
      </c>
      <c r="K153" t="s">
        <v>192</v>
      </c>
      <c r="L153" t="s">
        <v>193</v>
      </c>
      <c r="M153">
        <v>1261699200</v>
      </c>
      <c r="N153" t="s">
        <v>1628</v>
      </c>
      <c r="O153" t="s">
        <v>1628</v>
      </c>
      <c r="P153" t="s">
        <v>1628</v>
      </c>
      <c r="Q153">
        <f>LEN(AMAZON_FASHION_5__2[[#This Row],[reviewText]])</f>
        <v>238</v>
      </c>
      <c r="R153" t="str">
        <f>IF(AMAZON_FASHION_5__2[[#This Row],[overall]]&gt;=4,"Positive",IF(AMAZON_FASHION_5__2[[#This Row],[overall]]&lt;=2,"Negative","Neutral"))</f>
        <v>Positive</v>
      </c>
      <c r="S1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4" spans="1:19" x14ac:dyDescent="0.25">
      <c r="A154">
        <v>4</v>
      </c>
      <c r="B154" t="b">
        <v>1</v>
      </c>
      <c r="C154" s="1">
        <v>42479</v>
      </c>
      <c r="D154">
        <f>YEAR(AMAZON_FASHION_5__2[[#This Row],[reviewDate]])</f>
        <v>2016</v>
      </c>
      <c r="E154" s="1" t="str">
        <f>TEXT(AMAZON_FASHION_5__2[[#This Row],[reviewDate]], "mmmm")</f>
        <v>April</v>
      </c>
      <c r="F154" t="s">
        <v>195</v>
      </c>
      <c r="G154" t="s">
        <v>196</v>
      </c>
      <c r="H154" t="s">
        <v>197</v>
      </c>
      <c r="I154" t="s">
        <v>198</v>
      </c>
      <c r="J154" t="s">
        <v>63</v>
      </c>
      <c r="K154" t="s">
        <v>199</v>
      </c>
      <c r="L154" t="s">
        <v>103</v>
      </c>
      <c r="M154">
        <v>1461024000</v>
      </c>
      <c r="N154" t="s">
        <v>1628</v>
      </c>
      <c r="O154" t="s">
        <v>1628</v>
      </c>
      <c r="P154">
        <v>2</v>
      </c>
      <c r="Q154">
        <f>LEN(AMAZON_FASHION_5__2[[#This Row],[reviewText]])</f>
        <v>60</v>
      </c>
      <c r="R154" t="str">
        <f>IF(AMAZON_FASHION_5__2[[#This Row],[overall]]&gt;=4,"Positive",IF(AMAZON_FASHION_5__2[[#This Row],[overall]]&lt;=2,"Negative","Neutral"))</f>
        <v>Positive</v>
      </c>
      <c r="S1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55" spans="1:19" x14ac:dyDescent="0.25">
      <c r="A155">
        <v>5</v>
      </c>
      <c r="B155" t="b">
        <v>1</v>
      </c>
      <c r="C155" s="1">
        <v>42478</v>
      </c>
      <c r="D155">
        <f>YEAR(AMAZON_FASHION_5__2[[#This Row],[reviewDate]])</f>
        <v>2016</v>
      </c>
      <c r="E155" s="1" t="str">
        <f>TEXT(AMAZON_FASHION_5__2[[#This Row],[reviewDate]], "mmmm")</f>
        <v>April</v>
      </c>
      <c r="F155" t="s">
        <v>200</v>
      </c>
      <c r="G155" t="s">
        <v>196</v>
      </c>
      <c r="H155" t="s">
        <v>201</v>
      </c>
      <c r="I155" t="s">
        <v>198</v>
      </c>
      <c r="J155" t="s">
        <v>202</v>
      </c>
      <c r="K155" t="s">
        <v>203</v>
      </c>
      <c r="L155" t="s">
        <v>17</v>
      </c>
      <c r="M155">
        <v>1460937600</v>
      </c>
      <c r="N155" t="s">
        <v>1628</v>
      </c>
      <c r="O155" t="s">
        <v>1628</v>
      </c>
      <c r="P155" t="s">
        <v>1628</v>
      </c>
      <c r="Q155">
        <f>LEN(AMAZON_FASHION_5__2[[#This Row],[reviewText]])</f>
        <v>22</v>
      </c>
      <c r="R155" t="str">
        <f>IF(AMAZON_FASHION_5__2[[#This Row],[overall]]&gt;=4,"Positive",IF(AMAZON_FASHION_5__2[[#This Row],[overall]]&lt;=2,"Negative","Neutral"))</f>
        <v>Positive</v>
      </c>
      <c r="S1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56" spans="1:19" x14ac:dyDescent="0.25">
      <c r="A156">
        <v>3</v>
      </c>
      <c r="B156" t="b">
        <v>1</v>
      </c>
      <c r="C156" s="1">
        <v>42464</v>
      </c>
      <c r="D156">
        <f>YEAR(AMAZON_FASHION_5__2[[#This Row],[reviewDate]])</f>
        <v>2016</v>
      </c>
      <c r="E156" s="1" t="str">
        <f>TEXT(AMAZON_FASHION_5__2[[#This Row],[reviewDate]], "mmmm")</f>
        <v>April</v>
      </c>
      <c r="F156" t="s">
        <v>204</v>
      </c>
      <c r="G156" t="s">
        <v>196</v>
      </c>
      <c r="H156" t="s">
        <v>205</v>
      </c>
      <c r="I156" t="s">
        <v>198</v>
      </c>
      <c r="J156" t="s">
        <v>206</v>
      </c>
      <c r="K156" t="s">
        <v>207</v>
      </c>
      <c r="L156" t="s">
        <v>208</v>
      </c>
      <c r="M156">
        <v>1459728000</v>
      </c>
      <c r="N156" t="s">
        <v>1628</v>
      </c>
      <c r="O156" t="s">
        <v>1628</v>
      </c>
      <c r="P156">
        <v>2</v>
      </c>
      <c r="Q156">
        <f>LEN(AMAZON_FASHION_5__2[[#This Row],[reviewText]])</f>
        <v>272</v>
      </c>
      <c r="R156" t="str">
        <f>IF(AMAZON_FASHION_5__2[[#This Row],[overall]]&gt;=4,"Positive",IF(AMAZON_FASHION_5__2[[#This Row],[overall]]&lt;=2,"Negative","Neutral"))</f>
        <v>Neutral</v>
      </c>
      <c r="S1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57" spans="1:19" x14ac:dyDescent="0.25">
      <c r="A157">
        <v>5</v>
      </c>
      <c r="B157" t="b">
        <v>1</v>
      </c>
      <c r="C157" s="1">
        <v>42460</v>
      </c>
      <c r="D157">
        <f>YEAR(AMAZON_FASHION_5__2[[#This Row],[reviewDate]])</f>
        <v>2016</v>
      </c>
      <c r="E157" s="1" t="str">
        <f>TEXT(AMAZON_FASHION_5__2[[#This Row],[reviewDate]], "mmmm")</f>
        <v>March</v>
      </c>
      <c r="F157" t="s">
        <v>209</v>
      </c>
      <c r="G157" t="s">
        <v>196</v>
      </c>
      <c r="H157" t="s">
        <v>210</v>
      </c>
      <c r="I157" t="s">
        <v>211</v>
      </c>
      <c r="J157" t="s">
        <v>212</v>
      </c>
      <c r="K157" t="s">
        <v>213</v>
      </c>
      <c r="L157" t="s">
        <v>214</v>
      </c>
      <c r="M157">
        <v>1459382400</v>
      </c>
      <c r="N157" t="s">
        <v>1628</v>
      </c>
      <c r="O157" t="s">
        <v>1628</v>
      </c>
      <c r="P157" t="s">
        <v>1628</v>
      </c>
      <c r="Q157">
        <f>LEN(AMAZON_FASHION_5__2[[#This Row],[reviewText]])</f>
        <v>123</v>
      </c>
      <c r="R157" t="str">
        <f>IF(AMAZON_FASHION_5__2[[#This Row],[overall]]&gt;=4,"Positive",IF(AMAZON_FASHION_5__2[[#This Row],[overall]]&lt;=2,"Negative","Neutral"))</f>
        <v>Positive</v>
      </c>
      <c r="S1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58" spans="1:19" x14ac:dyDescent="0.25">
      <c r="A158">
        <v>5</v>
      </c>
      <c r="B158" t="b">
        <v>1</v>
      </c>
      <c r="C158" s="1">
        <v>42457</v>
      </c>
      <c r="D158">
        <f>YEAR(AMAZON_FASHION_5__2[[#This Row],[reviewDate]])</f>
        <v>2016</v>
      </c>
      <c r="E158" s="1" t="str">
        <f>TEXT(AMAZON_FASHION_5__2[[#This Row],[reviewDate]], "mmmm")</f>
        <v>March</v>
      </c>
      <c r="F158" t="s">
        <v>215</v>
      </c>
      <c r="G158" t="s">
        <v>196</v>
      </c>
      <c r="H158" t="s">
        <v>216</v>
      </c>
      <c r="I158" t="s">
        <v>217</v>
      </c>
      <c r="J158" t="s">
        <v>218</v>
      </c>
      <c r="K158" t="s">
        <v>219</v>
      </c>
      <c r="L158" t="s">
        <v>17</v>
      </c>
      <c r="M158">
        <v>1459123200</v>
      </c>
      <c r="N158" t="s">
        <v>1628</v>
      </c>
      <c r="O158" t="s">
        <v>1628</v>
      </c>
      <c r="P158" t="s">
        <v>1628</v>
      </c>
      <c r="Q158">
        <f>LEN(AMAZON_FASHION_5__2[[#This Row],[reviewText]])</f>
        <v>9</v>
      </c>
      <c r="R158" t="str">
        <f>IF(AMAZON_FASHION_5__2[[#This Row],[overall]]&gt;=4,"Positive",IF(AMAZON_FASHION_5__2[[#This Row],[overall]]&lt;=2,"Negative","Neutral"))</f>
        <v>Positive</v>
      </c>
      <c r="S1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59" spans="1:19" x14ac:dyDescent="0.25">
      <c r="A159">
        <v>2</v>
      </c>
      <c r="B159" t="b">
        <v>1</v>
      </c>
      <c r="C159" s="1">
        <v>42457</v>
      </c>
      <c r="D159">
        <f>YEAR(AMAZON_FASHION_5__2[[#This Row],[reviewDate]])</f>
        <v>2016</v>
      </c>
      <c r="E159" s="1" t="str">
        <f>TEXT(AMAZON_FASHION_5__2[[#This Row],[reviewDate]], "mmmm")</f>
        <v>March</v>
      </c>
      <c r="F159" t="s">
        <v>220</v>
      </c>
      <c r="G159" t="s">
        <v>196</v>
      </c>
      <c r="H159" t="s">
        <v>221</v>
      </c>
      <c r="I159" t="s">
        <v>217</v>
      </c>
      <c r="J159" t="s">
        <v>63</v>
      </c>
      <c r="K159" t="s">
        <v>222</v>
      </c>
      <c r="L159" t="s">
        <v>223</v>
      </c>
      <c r="M159">
        <v>1459123200</v>
      </c>
      <c r="N159" t="s">
        <v>1628</v>
      </c>
      <c r="O159" t="s">
        <v>1628</v>
      </c>
      <c r="P159" t="s">
        <v>1628</v>
      </c>
      <c r="Q159">
        <f>LEN(AMAZON_FASHION_5__2[[#This Row],[reviewText]])</f>
        <v>167</v>
      </c>
      <c r="R159" t="str">
        <f>IF(AMAZON_FASHION_5__2[[#This Row],[overall]]&gt;=4,"Positive",IF(AMAZON_FASHION_5__2[[#This Row],[overall]]&lt;=2,"Negative","Neutral"))</f>
        <v>Negative</v>
      </c>
      <c r="S1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60" spans="1:19" x14ac:dyDescent="0.25">
      <c r="A160">
        <v>4</v>
      </c>
      <c r="B160" t="b">
        <v>1</v>
      </c>
      <c r="C160" s="1">
        <v>42453</v>
      </c>
      <c r="D160">
        <f>YEAR(AMAZON_FASHION_5__2[[#This Row],[reviewDate]])</f>
        <v>2016</v>
      </c>
      <c r="E160" s="1" t="str">
        <f>TEXT(AMAZON_FASHION_5__2[[#This Row],[reviewDate]], "mmmm")</f>
        <v>March</v>
      </c>
      <c r="F160" t="s">
        <v>224</v>
      </c>
      <c r="G160" t="s">
        <v>196</v>
      </c>
      <c r="H160" t="s">
        <v>225</v>
      </c>
      <c r="I160" t="s">
        <v>217</v>
      </c>
      <c r="J160" t="s">
        <v>226</v>
      </c>
      <c r="K160" t="s">
        <v>227</v>
      </c>
      <c r="L160" t="s">
        <v>228</v>
      </c>
      <c r="M160">
        <v>1458777600</v>
      </c>
      <c r="N160" t="s">
        <v>1628</v>
      </c>
      <c r="O160" t="s">
        <v>1628</v>
      </c>
      <c r="P160" t="s">
        <v>1628</v>
      </c>
      <c r="Q160">
        <f>LEN(AMAZON_FASHION_5__2[[#This Row],[reviewText]])</f>
        <v>132</v>
      </c>
      <c r="R160" t="str">
        <f>IF(AMAZON_FASHION_5__2[[#This Row],[overall]]&gt;=4,"Positive",IF(AMAZON_FASHION_5__2[[#This Row],[overall]]&lt;=2,"Negative","Neutral"))</f>
        <v>Positive</v>
      </c>
      <c r="S1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61" spans="1:19" x14ac:dyDescent="0.25">
      <c r="A161">
        <v>3</v>
      </c>
      <c r="B161" t="b">
        <v>1</v>
      </c>
      <c r="C161" s="1">
        <v>42452</v>
      </c>
      <c r="D161">
        <f>YEAR(AMAZON_FASHION_5__2[[#This Row],[reviewDate]])</f>
        <v>2016</v>
      </c>
      <c r="E161" s="1" t="str">
        <f>TEXT(AMAZON_FASHION_5__2[[#This Row],[reviewDate]], "mmmm")</f>
        <v>March</v>
      </c>
      <c r="F161" t="s">
        <v>229</v>
      </c>
      <c r="G161" t="s">
        <v>196</v>
      </c>
      <c r="H161" t="s">
        <v>230</v>
      </c>
      <c r="I161" t="s">
        <v>198</v>
      </c>
      <c r="J161" t="s">
        <v>231</v>
      </c>
      <c r="K161" t="s">
        <v>232</v>
      </c>
      <c r="L161" t="s">
        <v>233</v>
      </c>
      <c r="M161">
        <v>1458691200</v>
      </c>
      <c r="N161" t="s">
        <v>1628</v>
      </c>
      <c r="O161" t="s">
        <v>1628</v>
      </c>
      <c r="P161">
        <v>7</v>
      </c>
      <c r="Q161">
        <f>LEN(AMAZON_FASHION_5__2[[#This Row],[reviewText]])</f>
        <v>108</v>
      </c>
      <c r="R161" t="str">
        <f>IF(AMAZON_FASHION_5__2[[#This Row],[overall]]&gt;=4,"Positive",IF(AMAZON_FASHION_5__2[[#This Row],[overall]]&lt;=2,"Negative","Neutral"))</f>
        <v>Neutral</v>
      </c>
      <c r="S1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62" spans="1:19" x14ac:dyDescent="0.25">
      <c r="A162">
        <v>5</v>
      </c>
      <c r="B162" t="b">
        <v>1</v>
      </c>
      <c r="C162" s="1">
        <v>42449</v>
      </c>
      <c r="D162">
        <f>YEAR(AMAZON_FASHION_5__2[[#This Row],[reviewDate]])</f>
        <v>2016</v>
      </c>
      <c r="E162" s="1" t="str">
        <f>TEXT(AMAZON_FASHION_5__2[[#This Row],[reviewDate]], "mmmm")</f>
        <v>March</v>
      </c>
      <c r="F162" t="s">
        <v>234</v>
      </c>
      <c r="G162" t="s">
        <v>196</v>
      </c>
      <c r="H162" t="s">
        <v>235</v>
      </c>
      <c r="I162" t="s">
        <v>236</v>
      </c>
      <c r="J162" t="s">
        <v>237</v>
      </c>
      <c r="K162" t="s">
        <v>238</v>
      </c>
      <c r="L162" t="s">
        <v>239</v>
      </c>
      <c r="M162">
        <v>1458432000</v>
      </c>
      <c r="N162" t="s">
        <v>1628</v>
      </c>
      <c r="O162" t="s">
        <v>1628</v>
      </c>
      <c r="P162" t="s">
        <v>1628</v>
      </c>
      <c r="Q162">
        <f>LEN(AMAZON_FASHION_5__2[[#This Row],[reviewText]])</f>
        <v>75</v>
      </c>
      <c r="R162" t="str">
        <f>IF(AMAZON_FASHION_5__2[[#This Row],[overall]]&gt;=4,"Positive",IF(AMAZON_FASHION_5__2[[#This Row],[overall]]&lt;=2,"Negative","Neutral"))</f>
        <v>Positive</v>
      </c>
      <c r="S1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63" spans="1:19" x14ac:dyDescent="0.25">
      <c r="A163">
        <v>5</v>
      </c>
      <c r="B163" t="b">
        <v>1</v>
      </c>
      <c r="C163" s="1">
        <v>42447</v>
      </c>
      <c r="D163">
        <f>YEAR(AMAZON_FASHION_5__2[[#This Row],[reviewDate]])</f>
        <v>2016</v>
      </c>
      <c r="E163" s="1" t="str">
        <f>TEXT(AMAZON_FASHION_5__2[[#This Row],[reviewDate]], "mmmm")</f>
        <v>March</v>
      </c>
      <c r="F163" t="s">
        <v>240</v>
      </c>
      <c r="G163" t="s">
        <v>196</v>
      </c>
      <c r="H163" t="s">
        <v>241</v>
      </c>
      <c r="I163" t="s">
        <v>217</v>
      </c>
      <c r="J163" t="s">
        <v>242</v>
      </c>
      <c r="K163" t="s">
        <v>243</v>
      </c>
      <c r="L163" t="s">
        <v>17</v>
      </c>
      <c r="M163">
        <v>1458259200</v>
      </c>
      <c r="N163" t="s">
        <v>1628</v>
      </c>
      <c r="O163" t="s">
        <v>1628</v>
      </c>
      <c r="P163" t="s">
        <v>1628</v>
      </c>
      <c r="Q163">
        <f>LEN(AMAZON_FASHION_5__2[[#This Row],[reviewText]])</f>
        <v>9</v>
      </c>
      <c r="R163" t="str">
        <f>IF(AMAZON_FASHION_5__2[[#This Row],[overall]]&gt;=4,"Positive",IF(AMAZON_FASHION_5__2[[#This Row],[overall]]&lt;=2,"Negative","Neutral"))</f>
        <v>Positive</v>
      </c>
      <c r="S1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64" spans="1:19" x14ac:dyDescent="0.25">
      <c r="A164">
        <v>5</v>
      </c>
      <c r="B164" t="b">
        <v>1</v>
      </c>
      <c r="C164" s="1">
        <v>43212</v>
      </c>
      <c r="D164">
        <f>YEAR(AMAZON_FASHION_5__2[[#This Row],[reviewDate]])</f>
        <v>2018</v>
      </c>
      <c r="E164" s="1" t="str">
        <f>TEXT(AMAZON_FASHION_5__2[[#This Row],[reviewDate]], "mmmm")</f>
        <v>April</v>
      </c>
      <c r="F164" t="s">
        <v>244</v>
      </c>
      <c r="G164" t="s">
        <v>196</v>
      </c>
      <c r="H164" t="s">
        <v>197</v>
      </c>
      <c r="I164" t="s">
        <v>198</v>
      </c>
      <c r="J164" t="s">
        <v>245</v>
      </c>
      <c r="K164" t="s">
        <v>246</v>
      </c>
      <c r="L164" t="s">
        <v>247</v>
      </c>
      <c r="M164">
        <v>1524355200</v>
      </c>
      <c r="N164" t="s">
        <v>1628</v>
      </c>
      <c r="O164" t="s">
        <v>1628</v>
      </c>
      <c r="P164" t="s">
        <v>1628</v>
      </c>
      <c r="Q164">
        <f>LEN(AMAZON_FASHION_5__2[[#This Row],[reviewText]])</f>
        <v>148</v>
      </c>
      <c r="R164" t="str">
        <f>IF(AMAZON_FASHION_5__2[[#This Row],[overall]]&gt;=4,"Positive",IF(AMAZON_FASHION_5__2[[#This Row],[overall]]&lt;=2,"Negative","Neutral"))</f>
        <v>Positive</v>
      </c>
      <c r="S1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65" spans="1:19" x14ac:dyDescent="0.25">
      <c r="A165">
        <v>3</v>
      </c>
      <c r="B165" t="b">
        <v>1</v>
      </c>
      <c r="C165" s="1">
        <v>43209</v>
      </c>
      <c r="D165">
        <f>YEAR(AMAZON_FASHION_5__2[[#This Row],[reviewDate]])</f>
        <v>2018</v>
      </c>
      <c r="E165" s="1" t="str">
        <f>TEXT(AMAZON_FASHION_5__2[[#This Row],[reviewDate]], "mmmm")</f>
        <v>April</v>
      </c>
      <c r="F165" t="s">
        <v>248</v>
      </c>
      <c r="G165" t="s">
        <v>196</v>
      </c>
      <c r="H165" t="s">
        <v>210</v>
      </c>
      <c r="I165" t="s">
        <v>249</v>
      </c>
      <c r="J165" t="s">
        <v>250</v>
      </c>
      <c r="K165" t="s">
        <v>251</v>
      </c>
      <c r="L165" t="s">
        <v>252</v>
      </c>
      <c r="M165">
        <v>1524096000</v>
      </c>
      <c r="N165" t="s">
        <v>1628</v>
      </c>
      <c r="O165" t="s">
        <v>1628</v>
      </c>
      <c r="P165" t="s">
        <v>1628</v>
      </c>
      <c r="Q165">
        <f>LEN(AMAZON_FASHION_5__2[[#This Row],[reviewText]])</f>
        <v>125</v>
      </c>
      <c r="R165" t="str">
        <f>IF(AMAZON_FASHION_5__2[[#This Row],[overall]]&gt;=4,"Positive",IF(AMAZON_FASHION_5__2[[#This Row],[overall]]&lt;=2,"Negative","Neutral"))</f>
        <v>Neutral</v>
      </c>
      <c r="S1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66" spans="1:19" x14ac:dyDescent="0.25">
      <c r="A166">
        <v>5</v>
      </c>
      <c r="B166" t="b">
        <v>1</v>
      </c>
      <c r="C166" s="1">
        <v>43208</v>
      </c>
      <c r="D166">
        <f>YEAR(AMAZON_FASHION_5__2[[#This Row],[reviewDate]])</f>
        <v>2018</v>
      </c>
      <c r="E166" s="1" t="str">
        <f>TEXT(AMAZON_FASHION_5__2[[#This Row],[reviewDate]], "mmmm")</f>
        <v>April</v>
      </c>
      <c r="F166" t="s">
        <v>253</v>
      </c>
      <c r="G166" t="s">
        <v>196</v>
      </c>
      <c r="H166" t="s">
        <v>205</v>
      </c>
      <c r="I166" t="s">
        <v>198</v>
      </c>
      <c r="J166" t="s">
        <v>254</v>
      </c>
      <c r="K166" t="s">
        <v>255</v>
      </c>
      <c r="L166" t="s">
        <v>256</v>
      </c>
      <c r="M166">
        <v>1524009600</v>
      </c>
      <c r="N166" t="s">
        <v>1628</v>
      </c>
      <c r="O166" t="s">
        <v>1628</v>
      </c>
      <c r="P166" t="s">
        <v>1628</v>
      </c>
      <c r="Q166">
        <f>LEN(AMAZON_FASHION_5__2[[#This Row],[reviewText]])</f>
        <v>123</v>
      </c>
      <c r="R166" t="str">
        <f>IF(AMAZON_FASHION_5__2[[#This Row],[overall]]&gt;=4,"Positive",IF(AMAZON_FASHION_5__2[[#This Row],[overall]]&lt;=2,"Negative","Neutral"))</f>
        <v>Positive</v>
      </c>
      <c r="S1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67" spans="1:19" x14ac:dyDescent="0.25">
      <c r="A167">
        <v>5</v>
      </c>
      <c r="B167" t="b">
        <v>1</v>
      </c>
      <c r="C167" s="1">
        <v>43208</v>
      </c>
      <c r="D167">
        <f>YEAR(AMAZON_FASHION_5__2[[#This Row],[reviewDate]])</f>
        <v>2018</v>
      </c>
      <c r="E167" s="1" t="str">
        <f>TEXT(AMAZON_FASHION_5__2[[#This Row],[reviewDate]], "mmmm")</f>
        <v>April</v>
      </c>
      <c r="F167" t="s">
        <v>257</v>
      </c>
      <c r="G167" t="s">
        <v>196</v>
      </c>
      <c r="H167" t="s">
        <v>197</v>
      </c>
      <c r="I167" t="s">
        <v>249</v>
      </c>
      <c r="J167" t="s">
        <v>63</v>
      </c>
      <c r="K167" t="s">
        <v>258</v>
      </c>
      <c r="L167" t="s">
        <v>259</v>
      </c>
      <c r="M167">
        <v>1524009600</v>
      </c>
      <c r="N167" t="s">
        <v>1628</v>
      </c>
      <c r="O167" t="s">
        <v>1628</v>
      </c>
      <c r="P167" t="s">
        <v>1628</v>
      </c>
      <c r="Q167">
        <f>LEN(AMAZON_FASHION_5__2[[#This Row],[reviewText]])</f>
        <v>155</v>
      </c>
      <c r="R167" t="str">
        <f>IF(AMAZON_FASHION_5__2[[#This Row],[overall]]&gt;=4,"Positive",IF(AMAZON_FASHION_5__2[[#This Row],[overall]]&lt;=2,"Negative","Neutral"))</f>
        <v>Positive</v>
      </c>
      <c r="S1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68" spans="1:19" x14ac:dyDescent="0.25">
      <c r="A168">
        <v>5</v>
      </c>
      <c r="B168" t="b">
        <v>1</v>
      </c>
      <c r="C168" s="1">
        <v>43206</v>
      </c>
      <c r="D168">
        <f>YEAR(AMAZON_FASHION_5__2[[#This Row],[reviewDate]])</f>
        <v>2018</v>
      </c>
      <c r="E168" s="1" t="str">
        <f>TEXT(AMAZON_FASHION_5__2[[#This Row],[reviewDate]], "mmmm")</f>
        <v>April</v>
      </c>
      <c r="F168" t="s">
        <v>260</v>
      </c>
      <c r="G168" t="s">
        <v>196</v>
      </c>
      <c r="H168" t="s">
        <v>261</v>
      </c>
      <c r="I168" t="s">
        <v>262</v>
      </c>
      <c r="J168" t="s">
        <v>263</v>
      </c>
      <c r="K168" t="s">
        <v>264</v>
      </c>
      <c r="L168" t="s">
        <v>265</v>
      </c>
      <c r="M168">
        <v>1523836800</v>
      </c>
      <c r="N168" t="s">
        <v>1628</v>
      </c>
      <c r="O168" t="s">
        <v>1628</v>
      </c>
      <c r="P168" t="s">
        <v>1628</v>
      </c>
      <c r="Q168">
        <f>LEN(AMAZON_FASHION_5__2[[#This Row],[reviewText]])</f>
        <v>158</v>
      </c>
      <c r="R168" t="str">
        <f>IF(AMAZON_FASHION_5__2[[#This Row],[overall]]&gt;=4,"Positive",IF(AMAZON_FASHION_5__2[[#This Row],[overall]]&lt;=2,"Negative","Neutral"))</f>
        <v>Positive</v>
      </c>
      <c r="S1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69" spans="1:19" x14ac:dyDescent="0.25">
      <c r="A169">
        <v>5</v>
      </c>
      <c r="B169" t="b">
        <v>1</v>
      </c>
      <c r="C169" s="1">
        <v>43205</v>
      </c>
      <c r="D169">
        <f>YEAR(AMAZON_FASHION_5__2[[#This Row],[reviewDate]])</f>
        <v>2018</v>
      </c>
      <c r="E169" s="1" t="str">
        <f>TEXT(AMAZON_FASHION_5__2[[#This Row],[reviewDate]], "mmmm")</f>
        <v>April</v>
      </c>
      <c r="F169" t="s">
        <v>266</v>
      </c>
      <c r="G169" t="s">
        <v>196</v>
      </c>
      <c r="H169" t="s">
        <v>210</v>
      </c>
      <c r="I169" t="s">
        <v>198</v>
      </c>
      <c r="J169" t="s">
        <v>267</v>
      </c>
      <c r="K169" t="s">
        <v>268</v>
      </c>
      <c r="L169" t="s">
        <v>269</v>
      </c>
      <c r="M169">
        <v>1523750400</v>
      </c>
      <c r="N169" t="s">
        <v>1628</v>
      </c>
      <c r="O169" t="s">
        <v>1628</v>
      </c>
      <c r="P169" t="s">
        <v>1628</v>
      </c>
      <c r="Q169">
        <f>LEN(AMAZON_FASHION_5__2[[#This Row],[reviewText]])</f>
        <v>774</v>
      </c>
      <c r="R169" t="str">
        <f>IF(AMAZON_FASHION_5__2[[#This Row],[overall]]&gt;=4,"Positive",IF(AMAZON_FASHION_5__2[[#This Row],[overall]]&lt;=2,"Negative","Neutral"))</f>
        <v>Positive</v>
      </c>
      <c r="S1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70" spans="1:19" x14ac:dyDescent="0.25">
      <c r="A170">
        <v>3</v>
      </c>
      <c r="B170" t="b">
        <v>1</v>
      </c>
      <c r="C170" s="1">
        <v>43203</v>
      </c>
      <c r="D170">
        <f>YEAR(AMAZON_FASHION_5__2[[#This Row],[reviewDate]])</f>
        <v>2018</v>
      </c>
      <c r="E170" s="1" t="str">
        <f>TEXT(AMAZON_FASHION_5__2[[#This Row],[reviewDate]], "mmmm")</f>
        <v>April</v>
      </c>
      <c r="F170" t="s">
        <v>270</v>
      </c>
      <c r="G170" t="s">
        <v>196</v>
      </c>
      <c r="H170" t="s">
        <v>201</v>
      </c>
      <c r="I170" t="s">
        <v>249</v>
      </c>
      <c r="J170" t="s">
        <v>271</v>
      </c>
      <c r="K170" t="s">
        <v>272</v>
      </c>
      <c r="L170" t="s">
        <v>101</v>
      </c>
      <c r="M170">
        <v>1523577600</v>
      </c>
      <c r="N170" t="s">
        <v>1628</v>
      </c>
      <c r="O170" t="s">
        <v>1628</v>
      </c>
      <c r="P170" t="s">
        <v>1628</v>
      </c>
      <c r="Q170">
        <f>LEN(AMAZON_FASHION_5__2[[#This Row],[reviewText]])</f>
        <v>85</v>
      </c>
      <c r="R170" t="str">
        <f>IF(AMAZON_FASHION_5__2[[#This Row],[overall]]&gt;=4,"Positive",IF(AMAZON_FASHION_5__2[[#This Row],[overall]]&lt;=2,"Negative","Neutral"))</f>
        <v>Neutral</v>
      </c>
      <c r="S1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71" spans="1:19" x14ac:dyDescent="0.25">
      <c r="A171">
        <v>3</v>
      </c>
      <c r="B171" t="b">
        <v>1</v>
      </c>
      <c r="C171" s="1">
        <v>43199</v>
      </c>
      <c r="D171">
        <f>YEAR(AMAZON_FASHION_5__2[[#This Row],[reviewDate]])</f>
        <v>2018</v>
      </c>
      <c r="E171" s="1" t="str">
        <f>TEXT(AMAZON_FASHION_5__2[[#This Row],[reviewDate]], "mmmm")</f>
        <v>April</v>
      </c>
      <c r="F171" t="s">
        <v>273</v>
      </c>
      <c r="G171" t="s">
        <v>196</v>
      </c>
      <c r="H171" t="s">
        <v>197</v>
      </c>
      <c r="I171" t="s">
        <v>274</v>
      </c>
      <c r="J171" t="s">
        <v>275</v>
      </c>
      <c r="K171" t="s">
        <v>276</v>
      </c>
      <c r="L171" t="s">
        <v>101</v>
      </c>
      <c r="M171">
        <v>1523232000</v>
      </c>
      <c r="N171" t="s">
        <v>1628</v>
      </c>
      <c r="O171" t="s">
        <v>1628</v>
      </c>
      <c r="P171" t="s">
        <v>1628</v>
      </c>
      <c r="Q171">
        <f>LEN(AMAZON_FASHION_5__2[[#This Row],[reviewText]])</f>
        <v>4</v>
      </c>
      <c r="R171" t="str">
        <f>IF(AMAZON_FASHION_5__2[[#This Row],[overall]]&gt;=4,"Positive",IF(AMAZON_FASHION_5__2[[#This Row],[overall]]&lt;=2,"Negative","Neutral"))</f>
        <v>Neutral</v>
      </c>
      <c r="S1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72" spans="1:19" x14ac:dyDescent="0.25">
      <c r="A172">
        <v>5</v>
      </c>
      <c r="B172" t="b">
        <v>1</v>
      </c>
      <c r="C172" s="1">
        <v>43199</v>
      </c>
      <c r="D172">
        <f>YEAR(AMAZON_FASHION_5__2[[#This Row],[reviewDate]])</f>
        <v>2018</v>
      </c>
      <c r="E172" s="1" t="str">
        <f>TEXT(AMAZON_FASHION_5__2[[#This Row],[reviewDate]], "mmmm")</f>
        <v>April</v>
      </c>
      <c r="F172" t="s">
        <v>277</v>
      </c>
      <c r="G172" t="s">
        <v>196</v>
      </c>
      <c r="H172" t="s">
        <v>197</v>
      </c>
      <c r="I172" t="s">
        <v>198</v>
      </c>
      <c r="J172" t="s">
        <v>278</v>
      </c>
      <c r="K172" t="s">
        <v>279</v>
      </c>
      <c r="L172" t="s">
        <v>17</v>
      </c>
      <c r="M172">
        <v>1523232000</v>
      </c>
      <c r="N172" t="s">
        <v>1628</v>
      </c>
      <c r="O172" t="s">
        <v>1628</v>
      </c>
      <c r="P172" t="s">
        <v>1628</v>
      </c>
      <c r="Q172">
        <f>LEN(AMAZON_FASHION_5__2[[#This Row],[reviewText]])</f>
        <v>7</v>
      </c>
      <c r="R172" t="str">
        <f>IF(AMAZON_FASHION_5__2[[#This Row],[overall]]&gt;=4,"Positive",IF(AMAZON_FASHION_5__2[[#This Row],[overall]]&lt;=2,"Negative","Neutral"))</f>
        <v>Positive</v>
      </c>
      <c r="S1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73" spans="1:19" x14ac:dyDescent="0.25">
      <c r="A173">
        <v>5</v>
      </c>
      <c r="B173" t="b">
        <v>1</v>
      </c>
      <c r="C173" s="1">
        <v>43198</v>
      </c>
      <c r="D173">
        <f>YEAR(AMAZON_FASHION_5__2[[#This Row],[reviewDate]])</f>
        <v>2018</v>
      </c>
      <c r="E173" s="1" t="str">
        <f>TEXT(AMAZON_FASHION_5__2[[#This Row],[reviewDate]], "mmmm")</f>
        <v>April</v>
      </c>
      <c r="F173" t="s">
        <v>280</v>
      </c>
      <c r="G173" t="s">
        <v>196</v>
      </c>
      <c r="H173" t="s">
        <v>201</v>
      </c>
      <c r="I173" t="s">
        <v>198</v>
      </c>
      <c r="J173" t="s">
        <v>281</v>
      </c>
      <c r="K173" t="s">
        <v>282</v>
      </c>
      <c r="L173" t="s">
        <v>247</v>
      </c>
      <c r="M173">
        <v>1523145600</v>
      </c>
      <c r="N173" t="s">
        <v>1628</v>
      </c>
      <c r="O173" t="s">
        <v>1628</v>
      </c>
      <c r="P173" t="s">
        <v>1628</v>
      </c>
      <c r="Q173">
        <f>LEN(AMAZON_FASHION_5__2[[#This Row],[reviewText]])</f>
        <v>157</v>
      </c>
      <c r="R173" t="str">
        <f>IF(AMAZON_FASHION_5__2[[#This Row],[overall]]&gt;=4,"Positive",IF(AMAZON_FASHION_5__2[[#This Row],[overall]]&lt;=2,"Negative","Neutral"))</f>
        <v>Positive</v>
      </c>
      <c r="S1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74" spans="1:19" x14ac:dyDescent="0.25">
      <c r="A174">
        <v>5</v>
      </c>
      <c r="B174" t="b">
        <v>1</v>
      </c>
      <c r="C174" s="1">
        <v>43197</v>
      </c>
      <c r="D174">
        <f>YEAR(AMAZON_FASHION_5__2[[#This Row],[reviewDate]])</f>
        <v>2018</v>
      </c>
      <c r="E174" s="1" t="str">
        <f>TEXT(AMAZON_FASHION_5__2[[#This Row],[reviewDate]], "mmmm")</f>
        <v>April</v>
      </c>
      <c r="F174" t="s">
        <v>283</v>
      </c>
      <c r="G174" t="s">
        <v>196</v>
      </c>
      <c r="H174" t="s">
        <v>284</v>
      </c>
      <c r="I174" t="s">
        <v>274</v>
      </c>
      <c r="J174" t="s">
        <v>285</v>
      </c>
      <c r="K174" t="s">
        <v>18</v>
      </c>
      <c r="L174" t="s">
        <v>17</v>
      </c>
      <c r="M174">
        <v>1523059200</v>
      </c>
      <c r="N174" t="s">
        <v>1628</v>
      </c>
      <c r="O174" t="s">
        <v>1628</v>
      </c>
      <c r="P174" t="s">
        <v>1628</v>
      </c>
      <c r="Q174">
        <f>LEN(AMAZON_FASHION_5__2[[#This Row],[reviewText]])</f>
        <v>0</v>
      </c>
      <c r="R174" t="str">
        <f>IF(AMAZON_FASHION_5__2[[#This Row],[overall]]&gt;=4,"Positive",IF(AMAZON_FASHION_5__2[[#This Row],[overall]]&lt;=2,"Negative","Neutral"))</f>
        <v>Positive</v>
      </c>
      <c r="S1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75" spans="1:19" x14ac:dyDescent="0.25">
      <c r="A175">
        <v>5</v>
      </c>
      <c r="B175" t="b">
        <v>1</v>
      </c>
      <c r="C175" s="1">
        <v>43194</v>
      </c>
      <c r="D175">
        <f>YEAR(AMAZON_FASHION_5__2[[#This Row],[reviewDate]])</f>
        <v>2018</v>
      </c>
      <c r="E175" s="1" t="str">
        <f>TEXT(AMAZON_FASHION_5__2[[#This Row],[reviewDate]], "mmmm")</f>
        <v>April</v>
      </c>
      <c r="F175" t="s">
        <v>286</v>
      </c>
      <c r="G175" t="s">
        <v>196</v>
      </c>
      <c r="H175" t="s">
        <v>210</v>
      </c>
      <c r="I175" t="s">
        <v>198</v>
      </c>
      <c r="J175" t="s">
        <v>287</v>
      </c>
      <c r="K175" t="s">
        <v>288</v>
      </c>
      <c r="L175" t="s">
        <v>289</v>
      </c>
      <c r="M175">
        <v>1522800000</v>
      </c>
      <c r="N175" t="s">
        <v>1628</v>
      </c>
      <c r="O175" t="s">
        <v>1628</v>
      </c>
      <c r="P175" t="s">
        <v>1628</v>
      </c>
      <c r="Q175">
        <f>LEN(AMAZON_FASHION_5__2[[#This Row],[reviewText]])</f>
        <v>35</v>
      </c>
      <c r="R175" t="str">
        <f>IF(AMAZON_FASHION_5__2[[#This Row],[overall]]&gt;=4,"Positive",IF(AMAZON_FASHION_5__2[[#This Row],[overall]]&lt;=2,"Negative","Neutral"))</f>
        <v>Positive</v>
      </c>
      <c r="S1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76" spans="1:19" x14ac:dyDescent="0.25">
      <c r="A176">
        <v>4</v>
      </c>
      <c r="B176" t="b">
        <v>1</v>
      </c>
      <c r="C176" s="1">
        <v>43193</v>
      </c>
      <c r="D176">
        <f>YEAR(AMAZON_FASHION_5__2[[#This Row],[reviewDate]])</f>
        <v>2018</v>
      </c>
      <c r="E176" s="1" t="str">
        <f>TEXT(AMAZON_FASHION_5__2[[#This Row],[reviewDate]], "mmmm")</f>
        <v>April</v>
      </c>
      <c r="F176" t="s">
        <v>290</v>
      </c>
      <c r="G176" t="s">
        <v>196</v>
      </c>
      <c r="H176" t="s">
        <v>230</v>
      </c>
      <c r="I176" t="s">
        <v>274</v>
      </c>
      <c r="J176" t="s">
        <v>291</v>
      </c>
      <c r="K176" t="s">
        <v>292</v>
      </c>
      <c r="L176" t="s">
        <v>293</v>
      </c>
      <c r="M176">
        <v>1522713600</v>
      </c>
      <c r="N176" t="s">
        <v>1628</v>
      </c>
      <c r="O176" t="s">
        <v>1628</v>
      </c>
      <c r="P176" t="s">
        <v>1628</v>
      </c>
      <c r="Q176">
        <f>LEN(AMAZON_FASHION_5__2[[#This Row],[reviewText]])</f>
        <v>213</v>
      </c>
      <c r="R176" t="str">
        <f>IF(AMAZON_FASHION_5__2[[#This Row],[overall]]&gt;=4,"Positive",IF(AMAZON_FASHION_5__2[[#This Row],[overall]]&lt;=2,"Negative","Neutral"))</f>
        <v>Positive</v>
      </c>
      <c r="S1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77" spans="1:19" x14ac:dyDescent="0.25">
      <c r="A177">
        <v>5</v>
      </c>
      <c r="B177" t="b">
        <v>1</v>
      </c>
      <c r="C177" s="1">
        <v>43193</v>
      </c>
      <c r="D177">
        <f>YEAR(AMAZON_FASHION_5__2[[#This Row],[reviewDate]])</f>
        <v>2018</v>
      </c>
      <c r="E177" s="1" t="str">
        <f>TEXT(AMAZON_FASHION_5__2[[#This Row],[reviewDate]], "mmmm")</f>
        <v>April</v>
      </c>
      <c r="F177" t="s">
        <v>294</v>
      </c>
      <c r="G177" t="s">
        <v>196</v>
      </c>
      <c r="H177" t="s">
        <v>210</v>
      </c>
      <c r="I177" t="s">
        <v>198</v>
      </c>
      <c r="J177" t="s">
        <v>295</v>
      </c>
      <c r="K177" t="s">
        <v>296</v>
      </c>
      <c r="L177" t="s">
        <v>297</v>
      </c>
      <c r="M177">
        <v>1522713600</v>
      </c>
      <c r="N177" t="s">
        <v>1628</v>
      </c>
      <c r="O177" t="s">
        <v>1628</v>
      </c>
      <c r="P177" t="s">
        <v>1628</v>
      </c>
      <c r="Q177">
        <f>LEN(AMAZON_FASHION_5__2[[#This Row],[reviewText]])</f>
        <v>105</v>
      </c>
      <c r="R177" t="str">
        <f>IF(AMAZON_FASHION_5__2[[#This Row],[overall]]&gt;=4,"Positive",IF(AMAZON_FASHION_5__2[[#This Row],[overall]]&lt;=2,"Negative","Neutral"))</f>
        <v>Positive</v>
      </c>
      <c r="S1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78" spans="1:19" x14ac:dyDescent="0.25">
      <c r="A178">
        <v>5</v>
      </c>
      <c r="B178" t="b">
        <v>1</v>
      </c>
      <c r="C178" s="1">
        <v>43190</v>
      </c>
      <c r="D178">
        <f>YEAR(AMAZON_FASHION_5__2[[#This Row],[reviewDate]])</f>
        <v>2018</v>
      </c>
      <c r="E178" s="1" t="str">
        <f>TEXT(AMAZON_FASHION_5__2[[#This Row],[reviewDate]], "mmmm")</f>
        <v>March</v>
      </c>
      <c r="F178" t="s">
        <v>298</v>
      </c>
      <c r="G178" t="s">
        <v>196</v>
      </c>
      <c r="H178" t="s">
        <v>230</v>
      </c>
      <c r="I178" t="s">
        <v>198</v>
      </c>
      <c r="J178" t="s">
        <v>299</v>
      </c>
      <c r="K178" t="s">
        <v>300</v>
      </c>
      <c r="L178" t="s">
        <v>301</v>
      </c>
      <c r="M178">
        <v>1522454400</v>
      </c>
      <c r="N178" t="s">
        <v>1628</v>
      </c>
      <c r="O178" t="s">
        <v>1628</v>
      </c>
      <c r="P178" t="s">
        <v>1628</v>
      </c>
      <c r="Q178">
        <f>LEN(AMAZON_FASHION_5__2[[#This Row],[reviewText]])</f>
        <v>48</v>
      </c>
      <c r="R178" t="str">
        <f>IF(AMAZON_FASHION_5__2[[#This Row],[overall]]&gt;=4,"Positive",IF(AMAZON_FASHION_5__2[[#This Row],[overall]]&lt;=2,"Negative","Neutral"))</f>
        <v>Positive</v>
      </c>
      <c r="S1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79" spans="1:19" x14ac:dyDescent="0.25">
      <c r="A179">
        <v>5</v>
      </c>
      <c r="B179" t="b">
        <v>1</v>
      </c>
      <c r="C179" s="1">
        <v>43187</v>
      </c>
      <c r="D179">
        <f>YEAR(AMAZON_FASHION_5__2[[#This Row],[reviewDate]])</f>
        <v>2018</v>
      </c>
      <c r="E179" s="1" t="str">
        <f>TEXT(AMAZON_FASHION_5__2[[#This Row],[reviewDate]], "mmmm")</f>
        <v>March</v>
      </c>
      <c r="F179" t="s">
        <v>302</v>
      </c>
      <c r="G179" t="s">
        <v>196</v>
      </c>
      <c r="H179" t="s">
        <v>197</v>
      </c>
      <c r="I179" t="s">
        <v>303</v>
      </c>
      <c r="J179" t="s">
        <v>304</v>
      </c>
      <c r="K179" t="s">
        <v>305</v>
      </c>
      <c r="L179" t="s">
        <v>306</v>
      </c>
      <c r="M179">
        <v>1522195200</v>
      </c>
      <c r="N179" t="s">
        <v>1628</v>
      </c>
      <c r="O179" t="s">
        <v>1628</v>
      </c>
      <c r="P179" t="s">
        <v>1628</v>
      </c>
      <c r="Q179">
        <f>LEN(AMAZON_FASHION_5__2[[#This Row],[reviewText]])</f>
        <v>90</v>
      </c>
      <c r="R179" t="str">
        <f>IF(AMAZON_FASHION_5__2[[#This Row],[overall]]&gt;=4,"Positive",IF(AMAZON_FASHION_5__2[[#This Row],[overall]]&lt;=2,"Negative","Neutral"))</f>
        <v>Positive</v>
      </c>
      <c r="S1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80" spans="1:19" x14ac:dyDescent="0.25">
      <c r="A180">
        <v>3</v>
      </c>
      <c r="B180" t="b">
        <v>1</v>
      </c>
      <c r="C180" s="1">
        <v>43186</v>
      </c>
      <c r="D180">
        <f>YEAR(AMAZON_FASHION_5__2[[#This Row],[reviewDate]])</f>
        <v>2018</v>
      </c>
      <c r="E180" s="1" t="str">
        <f>TEXT(AMAZON_FASHION_5__2[[#This Row],[reviewDate]], "mmmm")</f>
        <v>March</v>
      </c>
      <c r="F180" t="s">
        <v>307</v>
      </c>
      <c r="G180" t="s">
        <v>196</v>
      </c>
      <c r="H180" t="s">
        <v>230</v>
      </c>
      <c r="I180" t="s">
        <v>274</v>
      </c>
      <c r="J180" t="s">
        <v>308</v>
      </c>
      <c r="K180" t="s">
        <v>309</v>
      </c>
      <c r="L180" t="s">
        <v>310</v>
      </c>
      <c r="M180">
        <v>1522108800</v>
      </c>
      <c r="N180" t="s">
        <v>1628</v>
      </c>
      <c r="O180" t="s">
        <v>1628</v>
      </c>
      <c r="P180" t="s">
        <v>1628</v>
      </c>
      <c r="Q180">
        <f>LEN(AMAZON_FASHION_5__2[[#This Row],[reviewText]])</f>
        <v>121</v>
      </c>
      <c r="R180" t="str">
        <f>IF(AMAZON_FASHION_5__2[[#This Row],[overall]]&gt;=4,"Positive",IF(AMAZON_FASHION_5__2[[#This Row],[overall]]&lt;=2,"Negative","Neutral"))</f>
        <v>Neutral</v>
      </c>
      <c r="S1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81" spans="1:19" x14ac:dyDescent="0.25">
      <c r="A181">
        <v>5</v>
      </c>
      <c r="B181" t="b">
        <v>1</v>
      </c>
      <c r="C181" s="1">
        <v>43181</v>
      </c>
      <c r="D181">
        <f>YEAR(AMAZON_FASHION_5__2[[#This Row],[reviewDate]])</f>
        <v>2018</v>
      </c>
      <c r="E181" s="1" t="str">
        <f>TEXT(AMAZON_FASHION_5__2[[#This Row],[reviewDate]], "mmmm")</f>
        <v>March</v>
      </c>
      <c r="F181" t="s">
        <v>311</v>
      </c>
      <c r="G181" t="s">
        <v>196</v>
      </c>
      <c r="H181" t="s">
        <v>210</v>
      </c>
      <c r="I181" t="s">
        <v>249</v>
      </c>
      <c r="J181" t="s">
        <v>312</v>
      </c>
      <c r="K181" t="s">
        <v>313</v>
      </c>
      <c r="L181" t="s">
        <v>314</v>
      </c>
      <c r="M181">
        <v>1521676800</v>
      </c>
      <c r="N181" t="s">
        <v>1628</v>
      </c>
      <c r="O181" t="s">
        <v>1628</v>
      </c>
      <c r="P181" t="s">
        <v>1628</v>
      </c>
      <c r="Q181">
        <f>LEN(AMAZON_FASHION_5__2[[#This Row],[reviewText]])</f>
        <v>277</v>
      </c>
      <c r="R181" t="str">
        <f>IF(AMAZON_FASHION_5__2[[#This Row],[overall]]&gt;=4,"Positive",IF(AMAZON_FASHION_5__2[[#This Row],[overall]]&lt;=2,"Negative","Neutral"))</f>
        <v>Positive</v>
      </c>
      <c r="S1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82" spans="1:19" x14ac:dyDescent="0.25">
      <c r="A182">
        <v>5</v>
      </c>
      <c r="B182" t="b">
        <v>1</v>
      </c>
      <c r="C182" s="1">
        <v>43181</v>
      </c>
      <c r="D182">
        <f>YEAR(AMAZON_FASHION_5__2[[#This Row],[reviewDate]])</f>
        <v>2018</v>
      </c>
      <c r="E182" s="1" t="str">
        <f>TEXT(AMAZON_FASHION_5__2[[#This Row],[reviewDate]], "mmmm")</f>
        <v>March</v>
      </c>
      <c r="F182" t="s">
        <v>315</v>
      </c>
      <c r="G182" t="s">
        <v>196</v>
      </c>
      <c r="H182" t="s">
        <v>205</v>
      </c>
      <c r="I182" t="s">
        <v>198</v>
      </c>
      <c r="J182" t="s">
        <v>316</v>
      </c>
      <c r="K182" t="s">
        <v>317</v>
      </c>
      <c r="L182" t="s">
        <v>318</v>
      </c>
      <c r="M182">
        <v>1521676800</v>
      </c>
      <c r="N182" t="s">
        <v>1628</v>
      </c>
      <c r="O182" t="s">
        <v>1628</v>
      </c>
      <c r="P182" t="s">
        <v>1628</v>
      </c>
      <c r="Q182">
        <f>LEN(AMAZON_FASHION_5__2[[#This Row],[reviewText]])</f>
        <v>129</v>
      </c>
      <c r="R182" t="str">
        <f>IF(AMAZON_FASHION_5__2[[#This Row],[overall]]&gt;=4,"Positive",IF(AMAZON_FASHION_5__2[[#This Row],[overall]]&lt;=2,"Negative","Neutral"))</f>
        <v>Positive</v>
      </c>
      <c r="S1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83" spans="1:19" x14ac:dyDescent="0.25">
      <c r="A183">
        <v>5</v>
      </c>
      <c r="B183" t="b">
        <v>1</v>
      </c>
      <c r="C183" s="1">
        <v>43180</v>
      </c>
      <c r="D183">
        <f>YEAR(AMAZON_FASHION_5__2[[#This Row],[reviewDate]])</f>
        <v>2018</v>
      </c>
      <c r="E183" s="1" t="str">
        <f>TEXT(AMAZON_FASHION_5__2[[#This Row],[reviewDate]], "mmmm")</f>
        <v>March</v>
      </c>
      <c r="F183" t="s">
        <v>319</v>
      </c>
      <c r="G183" t="s">
        <v>196</v>
      </c>
      <c r="H183" t="s">
        <v>320</v>
      </c>
      <c r="I183" t="s">
        <v>274</v>
      </c>
      <c r="J183" t="s">
        <v>321</v>
      </c>
      <c r="K183" t="s">
        <v>322</v>
      </c>
      <c r="L183" t="s">
        <v>17</v>
      </c>
      <c r="M183">
        <v>1521590400</v>
      </c>
      <c r="N183" t="s">
        <v>1628</v>
      </c>
      <c r="O183" t="s">
        <v>1628</v>
      </c>
      <c r="P183" t="s">
        <v>1628</v>
      </c>
      <c r="Q183">
        <f>LEN(AMAZON_FASHION_5__2[[#This Row],[reviewText]])</f>
        <v>56</v>
      </c>
      <c r="R183" t="str">
        <f>IF(AMAZON_FASHION_5__2[[#This Row],[overall]]&gt;=4,"Positive",IF(AMAZON_FASHION_5__2[[#This Row],[overall]]&lt;=2,"Negative","Neutral"))</f>
        <v>Positive</v>
      </c>
      <c r="S1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84" spans="1:19" x14ac:dyDescent="0.25">
      <c r="A184">
        <v>5</v>
      </c>
      <c r="B184" t="b">
        <v>1</v>
      </c>
      <c r="C184" s="1">
        <v>43179</v>
      </c>
      <c r="D184">
        <f>YEAR(AMAZON_FASHION_5__2[[#This Row],[reviewDate]])</f>
        <v>2018</v>
      </c>
      <c r="E184" s="1" t="str">
        <f>TEXT(AMAZON_FASHION_5__2[[#This Row],[reviewDate]], "mmmm")</f>
        <v>March</v>
      </c>
      <c r="F184" t="s">
        <v>323</v>
      </c>
      <c r="G184" t="s">
        <v>196</v>
      </c>
      <c r="H184" t="s">
        <v>201</v>
      </c>
      <c r="I184" t="s">
        <v>198</v>
      </c>
      <c r="J184" t="s">
        <v>324</v>
      </c>
      <c r="K184" t="s">
        <v>325</v>
      </c>
      <c r="L184" t="s">
        <v>326</v>
      </c>
      <c r="M184">
        <v>1521504000</v>
      </c>
      <c r="N184" t="s">
        <v>1628</v>
      </c>
      <c r="O184" t="s">
        <v>1628</v>
      </c>
      <c r="P184" t="s">
        <v>1628</v>
      </c>
      <c r="Q184">
        <f>LEN(AMAZON_FASHION_5__2[[#This Row],[reviewText]])</f>
        <v>137</v>
      </c>
      <c r="R184" t="str">
        <f>IF(AMAZON_FASHION_5__2[[#This Row],[overall]]&gt;=4,"Positive",IF(AMAZON_FASHION_5__2[[#This Row],[overall]]&lt;=2,"Negative","Neutral"))</f>
        <v>Positive</v>
      </c>
      <c r="S1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85" spans="1:19" x14ac:dyDescent="0.25">
      <c r="A185">
        <v>5</v>
      </c>
      <c r="B185" t="b">
        <v>1</v>
      </c>
      <c r="C185" s="1">
        <v>43178</v>
      </c>
      <c r="D185">
        <f>YEAR(AMAZON_FASHION_5__2[[#This Row],[reviewDate]])</f>
        <v>2018</v>
      </c>
      <c r="E185" s="1" t="str">
        <f>TEXT(AMAZON_FASHION_5__2[[#This Row],[reviewDate]], "mmmm")</f>
        <v>March</v>
      </c>
      <c r="F185" t="s">
        <v>327</v>
      </c>
      <c r="G185" t="s">
        <v>196</v>
      </c>
      <c r="H185" t="s">
        <v>230</v>
      </c>
      <c r="I185" t="s">
        <v>198</v>
      </c>
      <c r="J185" t="s">
        <v>328</v>
      </c>
      <c r="K185" t="s">
        <v>329</v>
      </c>
      <c r="L185" t="s">
        <v>330</v>
      </c>
      <c r="M185">
        <v>1521417600</v>
      </c>
      <c r="N185" t="s">
        <v>1628</v>
      </c>
      <c r="O185" t="s">
        <v>1628</v>
      </c>
      <c r="P185" t="s">
        <v>1628</v>
      </c>
      <c r="Q185">
        <f>LEN(AMAZON_FASHION_5__2[[#This Row],[reviewText]])</f>
        <v>211</v>
      </c>
      <c r="R185" t="str">
        <f>IF(AMAZON_FASHION_5__2[[#This Row],[overall]]&gt;=4,"Positive",IF(AMAZON_FASHION_5__2[[#This Row],[overall]]&lt;=2,"Negative","Neutral"))</f>
        <v>Positive</v>
      </c>
      <c r="S1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86" spans="1:19" x14ac:dyDescent="0.25">
      <c r="A186">
        <v>5</v>
      </c>
      <c r="B186" t="b">
        <v>1</v>
      </c>
      <c r="C186" s="1">
        <v>43178</v>
      </c>
      <c r="D186">
        <f>YEAR(AMAZON_FASHION_5__2[[#This Row],[reviewDate]])</f>
        <v>2018</v>
      </c>
      <c r="E186" s="1" t="str">
        <f>TEXT(AMAZON_FASHION_5__2[[#This Row],[reviewDate]], "mmmm")</f>
        <v>March</v>
      </c>
      <c r="F186" t="s">
        <v>331</v>
      </c>
      <c r="G186" t="s">
        <v>196</v>
      </c>
      <c r="H186" t="s">
        <v>230</v>
      </c>
      <c r="I186" t="s">
        <v>303</v>
      </c>
      <c r="J186" t="s">
        <v>332</v>
      </c>
      <c r="K186" t="s">
        <v>333</v>
      </c>
      <c r="L186" t="s">
        <v>17</v>
      </c>
      <c r="M186">
        <v>1521417600</v>
      </c>
      <c r="N186" t="s">
        <v>1628</v>
      </c>
      <c r="O186" t="s">
        <v>1628</v>
      </c>
      <c r="P186" t="s">
        <v>1628</v>
      </c>
      <c r="Q186">
        <f>LEN(AMAZON_FASHION_5__2[[#This Row],[reviewText]])</f>
        <v>15</v>
      </c>
      <c r="R186" t="str">
        <f>IF(AMAZON_FASHION_5__2[[#This Row],[overall]]&gt;=4,"Positive",IF(AMAZON_FASHION_5__2[[#This Row],[overall]]&lt;=2,"Negative","Neutral"))</f>
        <v>Positive</v>
      </c>
      <c r="S1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87" spans="1:19" x14ac:dyDescent="0.25">
      <c r="A187">
        <v>4</v>
      </c>
      <c r="B187" t="b">
        <v>1</v>
      </c>
      <c r="C187" s="1">
        <v>43176</v>
      </c>
      <c r="D187">
        <f>YEAR(AMAZON_FASHION_5__2[[#This Row],[reviewDate]])</f>
        <v>2018</v>
      </c>
      <c r="E187" s="1" t="str">
        <f>TEXT(AMAZON_FASHION_5__2[[#This Row],[reviewDate]], "mmmm")</f>
        <v>March</v>
      </c>
      <c r="F187" t="s">
        <v>334</v>
      </c>
      <c r="G187" t="s">
        <v>196</v>
      </c>
      <c r="H187" t="s">
        <v>335</v>
      </c>
      <c r="I187" t="s">
        <v>336</v>
      </c>
      <c r="J187" t="s">
        <v>337</v>
      </c>
      <c r="K187" t="s">
        <v>338</v>
      </c>
      <c r="L187" t="s">
        <v>339</v>
      </c>
      <c r="M187">
        <v>1521244800</v>
      </c>
      <c r="N187" t="s">
        <v>1628</v>
      </c>
      <c r="O187" t="s">
        <v>1628</v>
      </c>
      <c r="P187" t="s">
        <v>1628</v>
      </c>
      <c r="Q187">
        <f>LEN(AMAZON_FASHION_5__2[[#This Row],[reviewText]])</f>
        <v>127</v>
      </c>
      <c r="R187" t="str">
        <f>IF(AMAZON_FASHION_5__2[[#This Row],[overall]]&gt;=4,"Positive",IF(AMAZON_FASHION_5__2[[#This Row],[overall]]&lt;=2,"Negative","Neutral"))</f>
        <v>Positive</v>
      </c>
      <c r="S1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88" spans="1:19" x14ac:dyDescent="0.25">
      <c r="A188">
        <v>5</v>
      </c>
      <c r="B188" t="b">
        <v>1</v>
      </c>
      <c r="C188" s="1">
        <v>43172</v>
      </c>
      <c r="D188">
        <f>YEAR(AMAZON_FASHION_5__2[[#This Row],[reviewDate]])</f>
        <v>2018</v>
      </c>
      <c r="E188" s="1" t="str">
        <f>TEXT(AMAZON_FASHION_5__2[[#This Row],[reviewDate]], "mmmm")</f>
        <v>March</v>
      </c>
      <c r="F188" t="s">
        <v>340</v>
      </c>
      <c r="G188" t="s">
        <v>196</v>
      </c>
      <c r="H188" t="s">
        <v>235</v>
      </c>
      <c r="I188" t="s">
        <v>198</v>
      </c>
      <c r="J188" t="s">
        <v>341</v>
      </c>
      <c r="K188" t="s">
        <v>342</v>
      </c>
      <c r="L188" t="s">
        <v>269</v>
      </c>
      <c r="M188">
        <v>1520899200</v>
      </c>
      <c r="N188" t="s">
        <v>1628</v>
      </c>
      <c r="O188" t="s">
        <v>1628</v>
      </c>
      <c r="P188" t="s">
        <v>1628</v>
      </c>
      <c r="Q188">
        <f>LEN(AMAZON_FASHION_5__2[[#This Row],[reviewText]])</f>
        <v>174</v>
      </c>
      <c r="R188" t="str">
        <f>IF(AMAZON_FASHION_5__2[[#This Row],[overall]]&gt;=4,"Positive",IF(AMAZON_FASHION_5__2[[#This Row],[overall]]&lt;=2,"Negative","Neutral"))</f>
        <v>Positive</v>
      </c>
      <c r="S1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89" spans="1:19" x14ac:dyDescent="0.25">
      <c r="A189">
        <v>1</v>
      </c>
      <c r="B189" t="b">
        <v>1</v>
      </c>
      <c r="C189" s="1">
        <v>43170</v>
      </c>
      <c r="D189">
        <f>YEAR(AMAZON_FASHION_5__2[[#This Row],[reviewDate]])</f>
        <v>2018</v>
      </c>
      <c r="E189" s="1" t="str">
        <f>TEXT(AMAZON_FASHION_5__2[[#This Row],[reviewDate]], "mmmm")</f>
        <v>March</v>
      </c>
      <c r="F189" t="s">
        <v>343</v>
      </c>
      <c r="G189" t="s">
        <v>196</v>
      </c>
      <c r="H189" t="s">
        <v>205</v>
      </c>
      <c r="I189" t="s">
        <v>344</v>
      </c>
      <c r="J189" t="s">
        <v>345</v>
      </c>
      <c r="K189" t="s">
        <v>346</v>
      </c>
      <c r="L189" t="s">
        <v>347</v>
      </c>
      <c r="M189">
        <v>1520726400</v>
      </c>
      <c r="N189" t="s">
        <v>1628</v>
      </c>
      <c r="O189" t="s">
        <v>1628</v>
      </c>
      <c r="P189" t="s">
        <v>1628</v>
      </c>
      <c r="Q189">
        <f>LEN(AMAZON_FASHION_5__2[[#This Row],[reviewText]])</f>
        <v>22</v>
      </c>
      <c r="R189" t="str">
        <f>IF(AMAZON_FASHION_5__2[[#This Row],[overall]]&gt;=4,"Positive",IF(AMAZON_FASHION_5__2[[#This Row],[overall]]&lt;=2,"Negative","Neutral"))</f>
        <v>Negative</v>
      </c>
      <c r="S1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90" spans="1:19" x14ac:dyDescent="0.25">
      <c r="A190">
        <v>5</v>
      </c>
      <c r="B190" t="b">
        <v>1</v>
      </c>
      <c r="C190" s="1">
        <v>43164</v>
      </c>
      <c r="D190">
        <f>YEAR(AMAZON_FASHION_5__2[[#This Row],[reviewDate]])</f>
        <v>2018</v>
      </c>
      <c r="E190" s="1" t="str">
        <f>TEXT(AMAZON_FASHION_5__2[[#This Row],[reviewDate]], "mmmm")</f>
        <v>March</v>
      </c>
      <c r="F190" t="s">
        <v>348</v>
      </c>
      <c r="G190" t="s">
        <v>196</v>
      </c>
      <c r="H190" t="s">
        <v>210</v>
      </c>
      <c r="I190" t="s">
        <v>198</v>
      </c>
      <c r="J190" t="s">
        <v>63</v>
      </c>
      <c r="K190" t="s">
        <v>349</v>
      </c>
      <c r="L190" t="s">
        <v>350</v>
      </c>
      <c r="M190">
        <v>1520208000</v>
      </c>
      <c r="N190" t="s">
        <v>1628</v>
      </c>
      <c r="O190" t="s">
        <v>1628</v>
      </c>
      <c r="P190" t="s">
        <v>1628</v>
      </c>
      <c r="Q190">
        <f>LEN(AMAZON_FASHION_5__2[[#This Row],[reviewText]])</f>
        <v>22</v>
      </c>
      <c r="R190" t="str">
        <f>IF(AMAZON_FASHION_5__2[[#This Row],[overall]]&gt;=4,"Positive",IF(AMAZON_FASHION_5__2[[#This Row],[overall]]&lt;=2,"Negative","Neutral"))</f>
        <v>Positive</v>
      </c>
      <c r="S1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91" spans="1:19" x14ac:dyDescent="0.25">
      <c r="A191">
        <v>5</v>
      </c>
      <c r="B191" t="b">
        <v>1</v>
      </c>
      <c r="C191" s="1">
        <v>43161</v>
      </c>
      <c r="D191">
        <f>YEAR(AMAZON_FASHION_5__2[[#This Row],[reviewDate]])</f>
        <v>2018</v>
      </c>
      <c r="E191" s="1" t="str">
        <f>TEXT(AMAZON_FASHION_5__2[[#This Row],[reviewDate]], "mmmm")</f>
        <v>March</v>
      </c>
      <c r="F191" t="s">
        <v>351</v>
      </c>
      <c r="G191" t="s">
        <v>196</v>
      </c>
      <c r="H191" t="s">
        <v>284</v>
      </c>
      <c r="I191" t="s">
        <v>198</v>
      </c>
      <c r="J191" t="s">
        <v>352</v>
      </c>
      <c r="K191" t="s">
        <v>353</v>
      </c>
      <c r="L191" t="s">
        <v>354</v>
      </c>
      <c r="M191">
        <v>1519948800</v>
      </c>
      <c r="N191" t="s">
        <v>1628</v>
      </c>
      <c r="O191" t="s">
        <v>1628</v>
      </c>
      <c r="P191" t="s">
        <v>1628</v>
      </c>
      <c r="Q191">
        <f>LEN(AMAZON_FASHION_5__2[[#This Row],[reviewText]])</f>
        <v>100</v>
      </c>
      <c r="R191" t="str">
        <f>IF(AMAZON_FASHION_5__2[[#This Row],[overall]]&gt;=4,"Positive",IF(AMAZON_FASHION_5__2[[#This Row],[overall]]&lt;=2,"Negative","Neutral"))</f>
        <v>Positive</v>
      </c>
      <c r="S1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92" spans="1:19" x14ac:dyDescent="0.25">
      <c r="A192">
        <v>5</v>
      </c>
      <c r="B192" t="b">
        <v>1</v>
      </c>
      <c r="C192" s="1">
        <v>43159</v>
      </c>
      <c r="D192">
        <f>YEAR(AMAZON_FASHION_5__2[[#This Row],[reviewDate]])</f>
        <v>2018</v>
      </c>
      <c r="E192" s="1" t="str">
        <f>TEXT(AMAZON_FASHION_5__2[[#This Row],[reviewDate]], "mmmm")</f>
        <v>February</v>
      </c>
      <c r="F192" t="s">
        <v>355</v>
      </c>
      <c r="G192" t="s">
        <v>196</v>
      </c>
      <c r="H192" t="s">
        <v>235</v>
      </c>
      <c r="I192" t="s">
        <v>198</v>
      </c>
      <c r="J192" t="s">
        <v>356</v>
      </c>
      <c r="K192" t="s">
        <v>357</v>
      </c>
      <c r="L192" t="s">
        <v>358</v>
      </c>
      <c r="M192">
        <v>1519776000</v>
      </c>
      <c r="N192" t="s">
        <v>1628</v>
      </c>
      <c r="O192" t="s">
        <v>1628</v>
      </c>
      <c r="P192" t="s">
        <v>1628</v>
      </c>
      <c r="Q192">
        <f>LEN(AMAZON_FASHION_5__2[[#This Row],[reviewText]])</f>
        <v>58</v>
      </c>
      <c r="R192" t="str">
        <f>IF(AMAZON_FASHION_5__2[[#This Row],[overall]]&gt;=4,"Positive",IF(AMAZON_FASHION_5__2[[#This Row],[overall]]&lt;=2,"Negative","Neutral"))</f>
        <v>Positive</v>
      </c>
      <c r="S1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93" spans="1:19" x14ac:dyDescent="0.25">
      <c r="A193">
        <v>5</v>
      </c>
      <c r="B193" t="b">
        <v>1</v>
      </c>
      <c r="C193" s="1">
        <v>43158</v>
      </c>
      <c r="D193">
        <f>YEAR(AMAZON_FASHION_5__2[[#This Row],[reviewDate]])</f>
        <v>2018</v>
      </c>
      <c r="E193" s="1" t="str">
        <f>TEXT(AMAZON_FASHION_5__2[[#This Row],[reviewDate]], "mmmm")</f>
        <v>February</v>
      </c>
      <c r="F193" t="s">
        <v>359</v>
      </c>
      <c r="G193" t="s">
        <v>196</v>
      </c>
      <c r="H193" t="s">
        <v>230</v>
      </c>
      <c r="I193" t="s">
        <v>198</v>
      </c>
      <c r="J193" t="s">
        <v>63</v>
      </c>
      <c r="K193" t="s">
        <v>360</v>
      </c>
      <c r="L193" t="s">
        <v>361</v>
      </c>
      <c r="M193">
        <v>1519689600</v>
      </c>
      <c r="N193" t="s">
        <v>1628</v>
      </c>
      <c r="O193" t="s">
        <v>1628</v>
      </c>
      <c r="P193" t="s">
        <v>1628</v>
      </c>
      <c r="Q193">
        <f>LEN(AMAZON_FASHION_5__2[[#This Row],[reviewText]])</f>
        <v>269</v>
      </c>
      <c r="R193" t="str">
        <f>IF(AMAZON_FASHION_5__2[[#This Row],[overall]]&gt;=4,"Positive",IF(AMAZON_FASHION_5__2[[#This Row],[overall]]&lt;=2,"Negative","Neutral"))</f>
        <v>Positive</v>
      </c>
      <c r="S1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94" spans="1:19" x14ac:dyDescent="0.25">
      <c r="A194">
        <v>5</v>
      </c>
      <c r="B194" t="b">
        <v>1</v>
      </c>
      <c r="C194" s="1">
        <v>43158</v>
      </c>
      <c r="D194">
        <f>YEAR(AMAZON_FASHION_5__2[[#This Row],[reviewDate]])</f>
        <v>2018</v>
      </c>
      <c r="E194" s="1" t="str">
        <f>TEXT(AMAZON_FASHION_5__2[[#This Row],[reviewDate]], "mmmm")</f>
        <v>February</v>
      </c>
      <c r="F194" t="s">
        <v>362</v>
      </c>
      <c r="G194" t="s">
        <v>196</v>
      </c>
      <c r="H194" t="s">
        <v>230</v>
      </c>
      <c r="I194" t="s">
        <v>249</v>
      </c>
      <c r="J194" t="s">
        <v>363</v>
      </c>
      <c r="K194" t="s">
        <v>364</v>
      </c>
      <c r="L194" t="s">
        <v>365</v>
      </c>
      <c r="M194">
        <v>1519689600</v>
      </c>
      <c r="N194" t="s">
        <v>1628</v>
      </c>
      <c r="O194" t="s">
        <v>1628</v>
      </c>
      <c r="P194" t="s">
        <v>1628</v>
      </c>
      <c r="Q194">
        <f>LEN(AMAZON_FASHION_5__2[[#This Row],[reviewText]])</f>
        <v>152</v>
      </c>
      <c r="R194" t="str">
        <f>IF(AMAZON_FASHION_5__2[[#This Row],[overall]]&gt;=4,"Positive",IF(AMAZON_FASHION_5__2[[#This Row],[overall]]&lt;=2,"Negative","Neutral"))</f>
        <v>Positive</v>
      </c>
      <c r="S1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95" spans="1:19" x14ac:dyDescent="0.25">
      <c r="A195">
        <v>5</v>
      </c>
      <c r="B195" t="b">
        <v>1</v>
      </c>
      <c r="C195" s="1">
        <v>43158</v>
      </c>
      <c r="D195">
        <f>YEAR(AMAZON_FASHION_5__2[[#This Row],[reviewDate]])</f>
        <v>2018</v>
      </c>
      <c r="E195" s="1" t="str">
        <f>TEXT(AMAZON_FASHION_5__2[[#This Row],[reviewDate]], "mmmm")</f>
        <v>February</v>
      </c>
      <c r="F195" t="s">
        <v>366</v>
      </c>
      <c r="G195" t="s">
        <v>196</v>
      </c>
      <c r="H195" t="s">
        <v>205</v>
      </c>
      <c r="I195" t="s">
        <v>198</v>
      </c>
      <c r="J195" t="s">
        <v>367</v>
      </c>
      <c r="K195" t="s">
        <v>368</v>
      </c>
      <c r="L195" t="s">
        <v>369</v>
      </c>
      <c r="M195">
        <v>1519689600</v>
      </c>
      <c r="N195" t="s">
        <v>1628</v>
      </c>
      <c r="O195" t="s">
        <v>1628</v>
      </c>
      <c r="P195" t="s">
        <v>1628</v>
      </c>
      <c r="Q195">
        <f>LEN(AMAZON_FASHION_5__2[[#This Row],[reviewText]])</f>
        <v>46</v>
      </c>
      <c r="R195" t="str">
        <f>IF(AMAZON_FASHION_5__2[[#This Row],[overall]]&gt;=4,"Positive",IF(AMAZON_FASHION_5__2[[#This Row],[overall]]&lt;=2,"Negative","Neutral"))</f>
        <v>Positive</v>
      </c>
      <c r="S1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96" spans="1:19" x14ac:dyDescent="0.25">
      <c r="A196">
        <v>1</v>
      </c>
      <c r="B196" t="b">
        <v>1</v>
      </c>
      <c r="C196" s="1">
        <v>43156</v>
      </c>
      <c r="D196">
        <f>YEAR(AMAZON_FASHION_5__2[[#This Row],[reviewDate]])</f>
        <v>2018</v>
      </c>
      <c r="E196" s="1" t="str">
        <f>TEXT(AMAZON_FASHION_5__2[[#This Row],[reviewDate]], "mmmm")</f>
        <v>February</v>
      </c>
      <c r="F196" t="s">
        <v>370</v>
      </c>
      <c r="G196" t="s">
        <v>196</v>
      </c>
      <c r="H196" t="s">
        <v>230</v>
      </c>
      <c r="I196" t="s">
        <v>198</v>
      </c>
      <c r="J196" t="s">
        <v>371</v>
      </c>
      <c r="K196" t="s">
        <v>372</v>
      </c>
      <c r="L196" t="s">
        <v>373</v>
      </c>
      <c r="M196">
        <v>1519516800</v>
      </c>
      <c r="N196" t="s">
        <v>1628</v>
      </c>
      <c r="O196" t="s">
        <v>1628</v>
      </c>
      <c r="P196" t="s">
        <v>1628</v>
      </c>
      <c r="Q196">
        <f>LEN(AMAZON_FASHION_5__2[[#This Row],[reviewText]])</f>
        <v>282</v>
      </c>
      <c r="R196" t="str">
        <f>IF(AMAZON_FASHION_5__2[[#This Row],[overall]]&gt;=4,"Positive",IF(AMAZON_FASHION_5__2[[#This Row],[overall]]&lt;=2,"Negative","Neutral"))</f>
        <v>Negative</v>
      </c>
      <c r="S1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97" spans="1:19" x14ac:dyDescent="0.25">
      <c r="A197">
        <v>2</v>
      </c>
      <c r="B197" t="b">
        <v>1</v>
      </c>
      <c r="C197" s="1">
        <v>43156</v>
      </c>
      <c r="D197">
        <f>YEAR(AMAZON_FASHION_5__2[[#This Row],[reviewDate]])</f>
        <v>2018</v>
      </c>
      <c r="E197" s="1" t="str">
        <f>TEXT(AMAZON_FASHION_5__2[[#This Row],[reviewDate]], "mmmm")</f>
        <v>February</v>
      </c>
      <c r="F197" t="s">
        <v>374</v>
      </c>
      <c r="G197" t="s">
        <v>196</v>
      </c>
      <c r="H197" t="s">
        <v>210</v>
      </c>
      <c r="I197" t="s">
        <v>198</v>
      </c>
      <c r="J197" t="s">
        <v>63</v>
      </c>
      <c r="K197" t="s">
        <v>375</v>
      </c>
      <c r="L197" t="s">
        <v>376</v>
      </c>
      <c r="M197">
        <v>1519516800</v>
      </c>
      <c r="N197" t="s">
        <v>1628</v>
      </c>
      <c r="O197" t="s">
        <v>1628</v>
      </c>
      <c r="P197" t="s">
        <v>1628</v>
      </c>
      <c r="Q197">
        <f>LEN(AMAZON_FASHION_5__2[[#This Row],[reviewText]])</f>
        <v>89</v>
      </c>
      <c r="R197" t="str">
        <f>IF(AMAZON_FASHION_5__2[[#This Row],[overall]]&gt;=4,"Positive",IF(AMAZON_FASHION_5__2[[#This Row],[overall]]&lt;=2,"Negative","Neutral"))</f>
        <v>Negative</v>
      </c>
      <c r="S1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98" spans="1:19" x14ac:dyDescent="0.25">
      <c r="A198">
        <v>5</v>
      </c>
      <c r="B198" t="b">
        <v>1</v>
      </c>
      <c r="C198" s="1">
        <v>43152</v>
      </c>
      <c r="D198">
        <f>YEAR(AMAZON_FASHION_5__2[[#This Row],[reviewDate]])</f>
        <v>2018</v>
      </c>
      <c r="E198" s="1" t="str">
        <f>TEXT(AMAZON_FASHION_5__2[[#This Row],[reviewDate]], "mmmm")</f>
        <v>February</v>
      </c>
      <c r="F198" t="s">
        <v>377</v>
      </c>
      <c r="G198" t="s">
        <v>196</v>
      </c>
      <c r="H198" t="s">
        <v>201</v>
      </c>
      <c r="I198" t="s">
        <v>198</v>
      </c>
      <c r="J198" t="s">
        <v>378</v>
      </c>
      <c r="K198" t="s">
        <v>379</v>
      </c>
      <c r="L198" t="s">
        <v>380</v>
      </c>
      <c r="M198">
        <v>1519171200</v>
      </c>
      <c r="N198" t="s">
        <v>1628</v>
      </c>
      <c r="O198" t="s">
        <v>1628</v>
      </c>
      <c r="P198" t="s">
        <v>1628</v>
      </c>
      <c r="Q198">
        <f>LEN(AMAZON_FASHION_5__2[[#This Row],[reviewText]])</f>
        <v>45</v>
      </c>
      <c r="R198" t="str">
        <f>IF(AMAZON_FASHION_5__2[[#This Row],[overall]]&gt;=4,"Positive",IF(AMAZON_FASHION_5__2[[#This Row],[overall]]&lt;=2,"Negative","Neutral"))</f>
        <v>Positive</v>
      </c>
      <c r="S1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199" spans="1:19" x14ac:dyDescent="0.25">
      <c r="A199">
        <v>5</v>
      </c>
      <c r="B199" t="b">
        <v>1</v>
      </c>
      <c r="C199" s="1">
        <v>43151</v>
      </c>
      <c r="D199">
        <f>YEAR(AMAZON_FASHION_5__2[[#This Row],[reviewDate]])</f>
        <v>2018</v>
      </c>
      <c r="E199" s="1" t="str">
        <f>TEXT(AMAZON_FASHION_5__2[[#This Row],[reviewDate]], "mmmm")</f>
        <v>February</v>
      </c>
      <c r="F199" t="s">
        <v>381</v>
      </c>
      <c r="G199" t="s">
        <v>196</v>
      </c>
      <c r="H199" t="s">
        <v>235</v>
      </c>
      <c r="I199" t="s">
        <v>274</v>
      </c>
      <c r="J199" t="s">
        <v>382</v>
      </c>
      <c r="K199" t="s">
        <v>383</v>
      </c>
      <c r="L199" t="s">
        <v>384</v>
      </c>
      <c r="M199">
        <v>1519084800</v>
      </c>
      <c r="N199" t="s">
        <v>1628</v>
      </c>
      <c r="O199" t="s">
        <v>1628</v>
      </c>
      <c r="P199" t="s">
        <v>1628</v>
      </c>
      <c r="Q199">
        <f>LEN(AMAZON_FASHION_5__2[[#This Row],[reviewText]])</f>
        <v>47</v>
      </c>
      <c r="R199" t="str">
        <f>IF(AMAZON_FASHION_5__2[[#This Row],[overall]]&gt;=4,"Positive",IF(AMAZON_FASHION_5__2[[#This Row],[overall]]&lt;=2,"Negative","Neutral"))</f>
        <v>Positive</v>
      </c>
      <c r="S1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00" spans="1:19" x14ac:dyDescent="0.25">
      <c r="A200">
        <v>5</v>
      </c>
      <c r="B200" t="b">
        <v>1</v>
      </c>
      <c r="C200" s="1">
        <v>43145</v>
      </c>
      <c r="D200">
        <f>YEAR(AMAZON_FASHION_5__2[[#This Row],[reviewDate]])</f>
        <v>2018</v>
      </c>
      <c r="E200" s="1" t="str">
        <f>TEXT(AMAZON_FASHION_5__2[[#This Row],[reviewDate]], "mmmm")</f>
        <v>February</v>
      </c>
      <c r="F200" t="s">
        <v>385</v>
      </c>
      <c r="G200" t="s">
        <v>196</v>
      </c>
      <c r="H200" t="s">
        <v>230</v>
      </c>
      <c r="I200" t="s">
        <v>249</v>
      </c>
      <c r="J200" t="s">
        <v>386</v>
      </c>
      <c r="K200" t="s">
        <v>387</v>
      </c>
      <c r="L200" t="s">
        <v>17</v>
      </c>
      <c r="M200">
        <v>1518566400</v>
      </c>
      <c r="N200" t="s">
        <v>1628</v>
      </c>
      <c r="O200" t="s">
        <v>1628</v>
      </c>
      <c r="P200" t="s">
        <v>1628</v>
      </c>
      <c r="Q200">
        <f>LEN(AMAZON_FASHION_5__2[[#This Row],[reviewText]])</f>
        <v>46</v>
      </c>
      <c r="R200" t="str">
        <f>IF(AMAZON_FASHION_5__2[[#This Row],[overall]]&gt;=4,"Positive",IF(AMAZON_FASHION_5__2[[#This Row],[overall]]&lt;=2,"Negative","Neutral"))</f>
        <v>Positive</v>
      </c>
      <c r="S2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01" spans="1:19" x14ac:dyDescent="0.25">
      <c r="A201">
        <v>5</v>
      </c>
      <c r="B201" t="b">
        <v>1</v>
      </c>
      <c r="C201" s="1">
        <v>43145</v>
      </c>
      <c r="D201">
        <f>YEAR(AMAZON_FASHION_5__2[[#This Row],[reviewDate]])</f>
        <v>2018</v>
      </c>
      <c r="E201" s="1" t="str">
        <f>TEXT(AMAZON_FASHION_5__2[[#This Row],[reviewDate]], "mmmm")</f>
        <v>February</v>
      </c>
      <c r="F201" t="s">
        <v>388</v>
      </c>
      <c r="G201" t="s">
        <v>196</v>
      </c>
      <c r="H201" t="s">
        <v>197</v>
      </c>
      <c r="I201" t="s">
        <v>198</v>
      </c>
      <c r="J201" t="s">
        <v>63</v>
      </c>
      <c r="K201" t="s">
        <v>389</v>
      </c>
      <c r="L201" t="s">
        <v>390</v>
      </c>
      <c r="M201">
        <v>1518566400</v>
      </c>
      <c r="N201" t="s">
        <v>1628</v>
      </c>
      <c r="O201" t="s">
        <v>1628</v>
      </c>
      <c r="P201" t="s">
        <v>1628</v>
      </c>
      <c r="Q201">
        <f>LEN(AMAZON_FASHION_5__2[[#This Row],[reviewText]])</f>
        <v>17</v>
      </c>
      <c r="R201" t="str">
        <f>IF(AMAZON_FASHION_5__2[[#This Row],[overall]]&gt;=4,"Positive",IF(AMAZON_FASHION_5__2[[#This Row],[overall]]&lt;=2,"Negative","Neutral"))</f>
        <v>Positive</v>
      </c>
      <c r="S2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02" spans="1:19" x14ac:dyDescent="0.25">
      <c r="A202">
        <v>5</v>
      </c>
      <c r="B202" t="b">
        <v>1</v>
      </c>
      <c r="C202" s="1">
        <v>43143</v>
      </c>
      <c r="D202">
        <f>YEAR(AMAZON_FASHION_5__2[[#This Row],[reviewDate]])</f>
        <v>2018</v>
      </c>
      <c r="E202" s="1" t="str">
        <f>TEXT(AMAZON_FASHION_5__2[[#This Row],[reviewDate]], "mmmm")</f>
        <v>February</v>
      </c>
      <c r="F202" t="s">
        <v>391</v>
      </c>
      <c r="G202" t="s">
        <v>196</v>
      </c>
      <c r="H202" t="s">
        <v>201</v>
      </c>
      <c r="I202" t="s">
        <v>392</v>
      </c>
      <c r="J202" t="s">
        <v>393</v>
      </c>
      <c r="K202" t="s">
        <v>394</v>
      </c>
      <c r="L202" t="s">
        <v>17</v>
      </c>
      <c r="M202">
        <v>1518393600</v>
      </c>
      <c r="N202" t="s">
        <v>1628</v>
      </c>
      <c r="O202" t="s">
        <v>1628</v>
      </c>
      <c r="P202" t="s">
        <v>1628</v>
      </c>
      <c r="Q202">
        <f>LEN(AMAZON_FASHION_5__2[[#This Row],[reviewText]])</f>
        <v>19</v>
      </c>
      <c r="R202" t="str">
        <f>IF(AMAZON_FASHION_5__2[[#This Row],[overall]]&gt;=4,"Positive",IF(AMAZON_FASHION_5__2[[#This Row],[overall]]&lt;=2,"Negative","Neutral"))</f>
        <v>Positive</v>
      </c>
      <c r="S2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03" spans="1:19" x14ac:dyDescent="0.25">
      <c r="A203">
        <v>5</v>
      </c>
      <c r="B203" t="b">
        <v>1</v>
      </c>
      <c r="C203" s="1">
        <v>43132</v>
      </c>
      <c r="D203">
        <f>YEAR(AMAZON_FASHION_5__2[[#This Row],[reviewDate]])</f>
        <v>2018</v>
      </c>
      <c r="E203" s="1" t="str">
        <f>TEXT(AMAZON_FASHION_5__2[[#This Row],[reviewDate]], "mmmm")</f>
        <v>February</v>
      </c>
      <c r="F203" t="s">
        <v>395</v>
      </c>
      <c r="G203" t="s">
        <v>196</v>
      </c>
      <c r="H203" t="s">
        <v>230</v>
      </c>
      <c r="I203" t="s">
        <v>396</v>
      </c>
      <c r="J203" t="s">
        <v>397</v>
      </c>
      <c r="K203" t="s">
        <v>398</v>
      </c>
      <c r="L203" t="s">
        <v>399</v>
      </c>
      <c r="M203">
        <v>1517443200</v>
      </c>
      <c r="N203" t="s">
        <v>1628</v>
      </c>
      <c r="O203" t="s">
        <v>1628</v>
      </c>
      <c r="P203" t="s">
        <v>1628</v>
      </c>
      <c r="Q203">
        <f>LEN(AMAZON_FASHION_5__2[[#This Row],[reviewText]])</f>
        <v>102</v>
      </c>
      <c r="R203" t="str">
        <f>IF(AMAZON_FASHION_5__2[[#This Row],[overall]]&gt;=4,"Positive",IF(AMAZON_FASHION_5__2[[#This Row],[overall]]&lt;=2,"Negative","Neutral"))</f>
        <v>Positive</v>
      </c>
      <c r="S2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04" spans="1:19" x14ac:dyDescent="0.25">
      <c r="A204">
        <v>5</v>
      </c>
      <c r="B204" t="b">
        <v>1</v>
      </c>
      <c r="C204" s="1">
        <v>43132</v>
      </c>
      <c r="D204">
        <f>YEAR(AMAZON_FASHION_5__2[[#This Row],[reviewDate]])</f>
        <v>2018</v>
      </c>
      <c r="E204" s="1" t="str">
        <f>TEXT(AMAZON_FASHION_5__2[[#This Row],[reviewDate]], "mmmm")</f>
        <v>February</v>
      </c>
      <c r="F204" t="s">
        <v>400</v>
      </c>
      <c r="G204" t="s">
        <v>196</v>
      </c>
      <c r="H204" t="s">
        <v>197</v>
      </c>
      <c r="I204" t="s">
        <v>198</v>
      </c>
      <c r="J204" t="s">
        <v>401</v>
      </c>
      <c r="K204" t="s">
        <v>402</v>
      </c>
      <c r="L204" t="s">
        <v>17</v>
      </c>
      <c r="M204">
        <v>1517443200</v>
      </c>
      <c r="N204" t="s">
        <v>1628</v>
      </c>
      <c r="O204" t="s">
        <v>1628</v>
      </c>
      <c r="P204" t="s">
        <v>1628</v>
      </c>
      <c r="Q204">
        <f>LEN(AMAZON_FASHION_5__2[[#This Row],[reviewText]])</f>
        <v>19</v>
      </c>
      <c r="R204" t="str">
        <f>IF(AMAZON_FASHION_5__2[[#This Row],[overall]]&gt;=4,"Positive",IF(AMAZON_FASHION_5__2[[#This Row],[overall]]&lt;=2,"Negative","Neutral"))</f>
        <v>Positive</v>
      </c>
      <c r="S2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05" spans="1:19" x14ac:dyDescent="0.25">
      <c r="A205">
        <v>5</v>
      </c>
      <c r="B205" t="b">
        <v>1</v>
      </c>
      <c r="C205" s="1">
        <v>43129</v>
      </c>
      <c r="D205">
        <f>YEAR(AMAZON_FASHION_5__2[[#This Row],[reviewDate]])</f>
        <v>2018</v>
      </c>
      <c r="E205" s="1" t="str">
        <f>TEXT(AMAZON_FASHION_5__2[[#This Row],[reviewDate]], "mmmm")</f>
        <v>January</v>
      </c>
      <c r="F205" t="s">
        <v>403</v>
      </c>
      <c r="G205" t="s">
        <v>196</v>
      </c>
      <c r="H205" t="s">
        <v>320</v>
      </c>
      <c r="I205" t="s">
        <v>396</v>
      </c>
      <c r="J205" t="s">
        <v>404</v>
      </c>
      <c r="K205" t="s">
        <v>405</v>
      </c>
      <c r="L205" t="s">
        <v>406</v>
      </c>
      <c r="M205">
        <v>1517184000</v>
      </c>
      <c r="N205" t="s">
        <v>1628</v>
      </c>
      <c r="O205" t="s">
        <v>1628</v>
      </c>
      <c r="P205" t="s">
        <v>1628</v>
      </c>
      <c r="Q205">
        <f>LEN(AMAZON_FASHION_5__2[[#This Row],[reviewText]])</f>
        <v>132</v>
      </c>
      <c r="R205" t="str">
        <f>IF(AMAZON_FASHION_5__2[[#This Row],[overall]]&gt;=4,"Positive",IF(AMAZON_FASHION_5__2[[#This Row],[overall]]&lt;=2,"Negative","Neutral"))</f>
        <v>Positive</v>
      </c>
      <c r="S2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06" spans="1:19" x14ac:dyDescent="0.25">
      <c r="A206">
        <v>4</v>
      </c>
      <c r="B206" t="b">
        <v>1</v>
      </c>
      <c r="C206" s="1">
        <v>43125</v>
      </c>
      <c r="D206">
        <f>YEAR(AMAZON_FASHION_5__2[[#This Row],[reviewDate]])</f>
        <v>2018</v>
      </c>
      <c r="E206" s="1" t="str">
        <f>TEXT(AMAZON_FASHION_5__2[[#This Row],[reviewDate]], "mmmm")</f>
        <v>January</v>
      </c>
      <c r="F206" t="s">
        <v>407</v>
      </c>
      <c r="G206" t="s">
        <v>196</v>
      </c>
      <c r="H206" t="s">
        <v>205</v>
      </c>
      <c r="I206" t="s">
        <v>198</v>
      </c>
      <c r="J206" t="s">
        <v>408</v>
      </c>
      <c r="K206" t="s">
        <v>409</v>
      </c>
      <c r="L206" t="s">
        <v>406</v>
      </c>
      <c r="M206">
        <v>1516838400</v>
      </c>
      <c r="N206" t="s">
        <v>1628</v>
      </c>
      <c r="O206" t="s">
        <v>1628</v>
      </c>
      <c r="P206" t="s">
        <v>1628</v>
      </c>
      <c r="Q206">
        <f>LEN(AMAZON_FASHION_5__2[[#This Row],[reviewText]])</f>
        <v>860</v>
      </c>
      <c r="R206" t="str">
        <f>IF(AMAZON_FASHION_5__2[[#This Row],[overall]]&gt;=4,"Positive",IF(AMAZON_FASHION_5__2[[#This Row],[overall]]&lt;=2,"Negative","Neutral"))</f>
        <v>Positive</v>
      </c>
      <c r="S2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07" spans="1:19" x14ac:dyDescent="0.25">
      <c r="A207">
        <v>5</v>
      </c>
      <c r="B207" t="b">
        <v>1</v>
      </c>
      <c r="C207" s="1">
        <v>43118</v>
      </c>
      <c r="D207">
        <f>YEAR(AMAZON_FASHION_5__2[[#This Row],[reviewDate]])</f>
        <v>2018</v>
      </c>
      <c r="E207" s="1" t="str">
        <f>TEXT(AMAZON_FASHION_5__2[[#This Row],[reviewDate]], "mmmm")</f>
        <v>January</v>
      </c>
      <c r="F207" t="s">
        <v>410</v>
      </c>
      <c r="G207" t="s">
        <v>196</v>
      </c>
      <c r="H207" t="s">
        <v>235</v>
      </c>
      <c r="I207" t="s">
        <v>411</v>
      </c>
      <c r="J207" t="s">
        <v>412</v>
      </c>
      <c r="K207" t="s">
        <v>413</v>
      </c>
      <c r="L207" t="s">
        <v>17</v>
      </c>
      <c r="M207">
        <v>1516233600</v>
      </c>
      <c r="N207" t="s">
        <v>1628</v>
      </c>
      <c r="O207" t="s">
        <v>1628</v>
      </c>
      <c r="P207" t="s">
        <v>1628</v>
      </c>
      <c r="Q207">
        <f>LEN(AMAZON_FASHION_5__2[[#This Row],[reviewText]])</f>
        <v>16</v>
      </c>
      <c r="R207" t="str">
        <f>IF(AMAZON_FASHION_5__2[[#This Row],[overall]]&gt;=4,"Positive",IF(AMAZON_FASHION_5__2[[#This Row],[overall]]&lt;=2,"Negative","Neutral"))</f>
        <v>Positive</v>
      </c>
      <c r="S2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08" spans="1:19" x14ac:dyDescent="0.25">
      <c r="A208">
        <v>5</v>
      </c>
      <c r="B208" t="b">
        <v>1</v>
      </c>
      <c r="C208" s="1">
        <v>43111</v>
      </c>
      <c r="D208">
        <f>YEAR(AMAZON_FASHION_5__2[[#This Row],[reviewDate]])</f>
        <v>2018</v>
      </c>
      <c r="E208" s="1" t="str">
        <f>TEXT(AMAZON_FASHION_5__2[[#This Row],[reviewDate]], "mmmm")</f>
        <v>January</v>
      </c>
      <c r="F208" t="s">
        <v>414</v>
      </c>
      <c r="G208" t="s">
        <v>196</v>
      </c>
      <c r="H208" t="s">
        <v>415</v>
      </c>
      <c r="I208" t="s">
        <v>336</v>
      </c>
      <c r="J208" t="s">
        <v>416</v>
      </c>
      <c r="K208" t="s">
        <v>417</v>
      </c>
      <c r="L208" t="s">
        <v>17</v>
      </c>
      <c r="M208">
        <v>1515628800</v>
      </c>
      <c r="N208" t="s">
        <v>1628</v>
      </c>
      <c r="O208" t="s">
        <v>1628</v>
      </c>
      <c r="P208" t="s">
        <v>1628</v>
      </c>
      <c r="Q208">
        <f>LEN(AMAZON_FASHION_5__2[[#This Row],[reviewText]])</f>
        <v>81</v>
      </c>
      <c r="R208" t="str">
        <f>IF(AMAZON_FASHION_5__2[[#This Row],[overall]]&gt;=4,"Positive",IF(AMAZON_FASHION_5__2[[#This Row],[overall]]&lt;=2,"Negative","Neutral"))</f>
        <v>Positive</v>
      </c>
      <c r="S2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09" spans="1:19" x14ac:dyDescent="0.25">
      <c r="A209">
        <v>1</v>
      </c>
      <c r="B209" t="b">
        <v>1</v>
      </c>
      <c r="C209" s="1">
        <v>43110</v>
      </c>
      <c r="D209">
        <f>YEAR(AMAZON_FASHION_5__2[[#This Row],[reviewDate]])</f>
        <v>2018</v>
      </c>
      <c r="E209" s="1" t="str">
        <f>TEXT(AMAZON_FASHION_5__2[[#This Row],[reviewDate]], "mmmm")</f>
        <v>January</v>
      </c>
      <c r="F209" t="s">
        <v>418</v>
      </c>
      <c r="G209" t="s">
        <v>196</v>
      </c>
      <c r="H209" t="s">
        <v>261</v>
      </c>
      <c r="I209" t="s">
        <v>419</v>
      </c>
      <c r="J209" t="s">
        <v>420</v>
      </c>
      <c r="K209" t="s">
        <v>421</v>
      </c>
      <c r="L209" t="s">
        <v>65</v>
      </c>
      <c r="M209">
        <v>1515542400</v>
      </c>
      <c r="N209" t="s">
        <v>1628</v>
      </c>
      <c r="O209" t="s">
        <v>1628</v>
      </c>
      <c r="P209" t="s">
        <v>1628</v>
      </c>
      <c r="Q209">
        <f>LEN(AMAZON_FASHION_5__2[[#This Row],[reviewText]])</f>
        <v>27</v>
      </c>
      <c r="R209" t="str">
        <f>IF(AMAZON_FASHION_5__2[[#This Row],[overall]]&gt;=4,"Positive",IF(AMAZON_FASHION_5__2[[#This Row],[overall]]&lt;=2,"Negative","Neutral"))</f>
        <v>Negative</v>
      </c>
      <c r="S2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10" spans="1:19" x14ac:dyDescent="0.25">
      <c r="A210">
        <v>5</v>
      </c>
      <c r="B210" t="b">
        <v>1</v>
      </c>
      <c r="C210" s="1">
        <v>43110</v>
      </c>
      <c r="D210">
        <f>YEAR(AMAZON_FASHION_5__2[[#This Row],[reviewDate]])</f>
        <v>2018</v>
      </c>
      <c r="E210" s="1" t="str">
        <f>TEXT(AMAZON_FASHION_5__2[[#This Row],[reviewDate]], "mmmm")</f>
        <v>January</v>
      </c>
      <c r="F210" t="s">
        <v>422</v>
      </c>
      <c r="G210" t="s">
        <v>196</v>
      </c>
      <c r="H210" t="s">
        <v>205</v>
      </c>
      <c r="I210" t="s">
        <v>198</v>
      </c>
      <c r="J210" t="s">
        <v>423</v>
      </c>
      <c r="K210" t="s">
        <v>424</v>
      </c>
      <c r="L210" t="s">
        <v>425</v>
      </c>
      <c r="M210">
        <v>1515542400</v>
      </c>
      <c r="N210" t="s">
        <v>1628</v>
      </c>
      <c r="O210" t="s">
        <v>1628</v>
      </c>
      <c r="P210">
        <v>2</v>
      </c>
      <c r="Q210">
        <f>LEN(AMAZON_FASHION_5__2[[#This Row],[reviewText]])</f>
        <v>617</v>
      </c>
      <c r="R210" t="str">
        <f>IF(AMAZON_FASHION_5__2[[#This Row],[overall]]&gt;=4,"Positive",IF(AMAZON_FASHION_5__2[[#This Row],[overall]]&lt;=2,"Negative","Neutral"))</f>
        <v>Positive</v>
      </c>
      <c r="S2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11" spans="1:19" x14ac:dyDescent="0.25">
      <c r="A211">
        <v>3</v>
      </c>
      <c r="B211" t="b">
        <v>1</v>
      </c>
      <c r="C211" s="1">
        <v>43109</v>
      </c>
      <c r="D211">
        <f>YEAR(AMAZON_FASHION_5__2[[#This Row],[reviewDate]])</f>
        <v>2018</v>
      </c>
      <c r="E211" s="1" t="str">
        <f>TEXT(AMAZON_FASHION_5__2[[#This Row],[reviewDate]], "mmmm")</f>
        <v>January</v>
      </c>
      <c r="F211" t="s">
        <v>426</v>
      </c>
      <c r="G211" t="s">
        <v>196</v>
      </c>
      <c r="H211" t="s">
        <v>205</v>
      </c>
      <c r="I211" t="s">
        <v>249</v>
      </c>
      <c r="J211" t="s">
        <v>427</v>
      </c>
      <c r="K211" t="s">
        <v>428</v>
      </c>
      <c r="L211" t="s">
        <v>429</v>
      </c>
      <c r="M211">
        <v>1515456000</v>
      </c>
      <c r="N211" t="s">
        <v>1628</v>
      </c>
      <c r="O211" t="s">
        <v>1628</v>
      </c>
      <c r="P211" t="s">
        <v>1628</v>
      </c>
      <c r="Q211">
        <f>LEN(AMAZON_FASHION_5__2[[#This Row],[reviewText]])</f>
        <v>54</v>
      </c>
      <c r="R211" t="str">
        <f>IF(AMAZON_FASHION_5__2[[#This Row],[overall]]&gt;=4,"Positive",IF(AMAZON_FASHION_5__2[[#This Row],[overall]]&lt;=2,"Negative","Neutral"))</f>
        <v>Neutral</v>
      </c>
      <c r="S2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12" spans="1:19" x14ac:dyDescent="0.25">
      <c r="A212">
        <v>5</v>
      </c>
      <c r="B212" t="b">
        <v>1</v>
      </c>
      <c r="C212" s="1">
        <v>43108</v>
      </c>
      <c r="D212">
        <f>YEAR(AMAZON_FASHION_5__2[[#This Row],[reviewDate]])</f>
        <v>2018</v>
      </c>
      <c r="E212" s="1" t="str">
        <f>TEXT(AMAZON_FASHION_5__2[[#This Row],[reviewDate]], "mmmm")</f>
        <v>January</v>
      </c>
      <c r="F212" t="s">
        <v>430</v>
      </c>
      <c r="G212" t="s">
        <v>196</v>
      </c>
      <c r="H212" t="s">
        <v>210</v>
      </c>
      <c r="I212" t="s">
        <v>198</v>
      </c>
      <c r="J212" t="s">
        <v>431</v>
      </c>
      <c r="K212" t="s">
        <v>432</v>
      </c>
      <c r="L212" t="s">
        <v>433</v>
      </c>
      <c r="M212">
        <v>1515369600</v>
      </c>
      <c r="N212" t="s">
        <v>1628</v>
      </c>
      <c r="O212" t="s">
        <v>1628</v>
      </c>
      <c r="P212" t="s">
        <v>1628</v>
      </c>
      <c r="Q212">
        <f>LEN(AMAZON_FASHION_5__2[[#This Row],[reviewText]])</f>
        <v>715</v>
      </c>
      <c r="R212" t="str">
        <f>IF(AMAZON_FASHION_5__2[[#This Row],[overall]]&gt;=4,"Positive",IF(AMAZON_FASHION_5__2[[#This Row],[overall]]&lt;=2,"Negative","Neutral"))</f>
        <v>Positive</v>
      </c>
      <c r="S2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13" spans="1:19" x14ac:dyDescent="0.25">
      <c r="A213">
        <v>5</v>
      </c>
      <c r="B213" t="b">
        <v>1</v>
      </c>
      <c r="C213" s="1">
        <v>43108</v>
      </c>
      <c r="D213">
        <f>YEAR(AMAZON_FASHION_5__2[[#This Row],[reviewDate]])</f>
        <v>2018</v>
      </c>
      <c r="E213" s="1" t="str">
        <f>TEXT(AMAZON_FASHION_5__2[[#This Row],[reviewDate]], "mmmm")</f>
        <v>January</v>
      </c>
      <c r="F213" t="s">
        <v>434</v>
      </c>
      <c r="G213" t="s">
        <v>196</v>
      </c>
      <c r="H213" t="s">
        <v>261</v>
      </c>
      <c r="I213" t="s">
        <v>435</v>
      </c>
      <c r="J213" t="s">
        <v>436</v>
      </c>
      <c r="K213" t="s">
        <v>437</v>
      </c>
      <c r="L213" t="s">
        <v>438</v>
      </c>
      <c r="M213">
        <v>1515369600</v>
      </c>
      <c r="N213" t="s">
        <v>1628</v>
      </c>
      <c r="O213" t="s">
        <v>1628</v>
      </c>
      <c r="P213" t="s">
        <v>1628</v>
      </c>
      <c r="Q213">
        <f>LEN(AMAZON_FASHION_5__2[[#This Row],[reviewText]])</f>
        <v>1003</v>
      </c>
      <c r="R213" t="str">
        <f>IF(AMAZON_FASHION_5__2[[#This Row],[overall]]&gt;=4,"Positive",IF(AMAZON_FASHION_5__2[[#This Row],[overall]]&lt;=2,"Negative","Neutral"))</f>
        <v>Positive</v>
      </c>
      <c r="S2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14" spans="1:19" x14ac:dyDescent="0.25">
      <c r="A214">
        <v>5</v>
      </c>
      <c r="B214" t="b">
        <v>1</v>
      </c>
      <c r="C214" s="1">
        <v>43107</v>
      </c>
      <c r="D214">
        <f>YEAR(AMAZON_FASHION_5__2[[#This Row],[reviewDate]])</f>
        <v>2018</v>
      </c>
      <c r="E214" s="1" t="str">
        <f>TEXT(AMAZON_FASHION_5__2[[#This Row],[reviewDate]], "mmmm")</f>
        <v>January</v>
      </c>
      <c r="F214" t="s">
        <v>439</v>
      </c>
      <c r="G214" t="s">
        <v>196</v>
      </c>
      <c r="H214" t="s">
        <v>230</v>
      </c>
      <c r="I214" t="s">
        <v>274</v>
      </c>
      <c r="J214" t="s">
        <v>440</v>
      </c>
      <c r="K214" t="s">
        <v>441</v>
      </c>
      <c r="L214" t="s">
        <v>17</v>
      </c>
      <c r="M214">
        <v>1515283200</v>
      </c>
      <c r="N214" t="s">
        <v>1628</v>
      </c>
      <c r="O214" t="s">
        <v>1628</v>
      </c>
      <c r="P214" t="s">
        <v>1628</v>
      </c>
      <c r="Q214">
        <f>LEN(AMAZON_FASHION_5__2[[#This Row],[reviewText]])</f>
        <v>51</v>
      </c>
      <c r="R214" t="str">
        <f>IF(AMAZON_FASHION_5__2[[#This Row],[overall]]&gt;=4,"Positive",IF(AMAZON_FASHION_5__2[[#This Row],[overall]]&lt;=2,"Negative","Neutral"))</f>
        <v>Positive</v>
      </c>
      <c r="S2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15" spans="1:19" x14ac:dyDescent="0.25">
      <c r="A215">
        <v>5</v>
      </c>
      <c r="B215" t="b">
        <v>1</v>
      </c>
      <c r="C215" s="1">
        <v>43098</v>
      </c>
      <c r="D215">
        <f>YEAR(AMAZON_FASHION_5__2[[#This Row],[reviewDate]])</f>
        <v>2017</v>
      </c>
      <c r="E215" s="1" t="str">
        <f>TEXT(AMAZON_FASHION_5__2[[#This Row],[reviewDate]], "mmmm")</f>
        <v>December</v>
      </c>
      <c r="F215" t="s">
        <v>442</v>
      </c>
      <c r="G215" t="s">
        <v>196</v>
      </c>
      <c r="H215" t="s">
        <v>443</v>
      </c>
      <c r="I215" t="s">
        <v>336</v>
      </c>
      <c r="J215" t="s">
        <v>63</v>
      </c>
      <c r="K215" t="s">
        <v>444</v>
      </c>
      <c r="L215" t="s">
        <v>445</v>
      </c>
      <c r="M215">
        <v>1514505600</v>
      </c>
      <c r="N215" t="s">
        <v>1628</v>
      </c>
      <c r="O215" t="s">
        <v>1628</v>
      </c>
      <c r="P215" t="s">
        <v>1628</v>
      </c>
      <c r="Q215">
        <f>LEN(AMAZON_FASHION_5__2[[#This Row],[reviewText]])</f>
        <v>240</v>
      </c>
      <c r="R215" t="str">
        <f>IF(AMAZON_FASHION_5__2[[#This Row],[overall]]&gt;=4,"Positive",IF(AMAZON_FASHION_5__2[[#This Row],[overall]]&lt;=2,"Negative","Neutral"))</f>
        <v>Positive</v>
      </c>
      <c r="S2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16" spans="1:19" x14ac:dyDescent="0.25">
      <c r="A216">
        <v>5</v>
      </c>
      <c r="B216" t="b">
        <v>1</v>
      </c>
      <c r="C216" s="1">
        <v>43097</v>
      </c>
      <c r="D216">
        <f>YEAR(AMAZON_FASHION_5__2[[#This Row],[reviewDate]])</f>
        <v>2017</v>
      </c>
      <c r="E216" s="1" t="str">
        <f>TEXT(AMAZON_FASHION_5__2[[#This Row],[reviewDate]], "mmmm")</f>
        <v>December</v>
      </c>
      <c r="F216" t="s">
        <v>446</v>
      </c>
      <c r="G216" t="s">
        <v>196</v>
      </c>
      <c r="H216" t="s">
        <v>201</v>
      </c>
      <c r="I216" t="s">
        <v>392</v>
      </c>
      <c r="J216" t="s">
        <v>447</v>
      </c>
      <c r="K216" t="s">
        <v>448</v>
      </c>
      <c r="L216" t="s">
        <v>449</v>
      </c>
      <c r="M216">
        <v>1514419200</v>
      </c>
      <c r="N216" t="s">
        <v>1628</v>
      </c>
      <c r="O216" t="s">
        <v>1628</v>
      </c>
      <c r="P216" t="s">
        <v>1628</v>
      </c>
      <c r="Q216">
        <f>LEN(AMAZON_FASHION_5__2[[#This Row],[reviewText]])</f>
        <v>68</v>
      </c>
      <c r="R216" t="str">
        <f>IF(AMAZON_FASHION_5__2[[#This Row],[overall]]&gt;=4,"Positive",IF(AMAZON_FASHION_5__2[[#This Row],[overall]]&lt;=2,"Negative","Neutral"))</f>
        <v>Positive</v>
      </c>
      <c r="S2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17" spans="1:19" x14ac:dyDescent="0.25">
      <c r="A217">
        <v>2</v>
      </c>
      <c r="B217" t="b">
        <v>1</v>
      </c>
      <c r="C217" s="1">
        <v>43086</v>
      </c>
      <c r="D217">
        <f>YEAR(AMAZON_FASHION_5__2[[#This Row],[reviewDate]])</f>
        <v>2017</v>
      </c>
      <c r="E217" s="1" t="str">
        <f>TEXT(AMAZON_FASHION_5__2[[#This Row],[reviewDate]], "mmmm")</f>
        <v>December</v>
      </c>
      <c r="F217" t="s">
        <v>450</v>
      </c>
      <c r="G217" t="s">
        <v>196</v>
      </c>
      <c r="H217" t="s">
        <v>284</v>
      </c>
      <c r="I217" t="s">
        <v>411</v>
      </c>
      <c r="J217" t="s">
        <v>451</v>
      </c>
      <c r="K217" t="s">
        <v>452</v>
      </c>
      <c r="L217" t="s">
        <v>453</v>
      </c>
      <c r="M217">
        <v>1513468800</v>
      </c>
      <c r="N217" t="s">
        <v>1628</v>
      </c>
      <c r="O217" t="s">
        <v>1628</v>
      </c>
      <c r="P217" t="s">
        <v>1628</v>
      </c>
      <c r="Q217">
        <f>LEN(AMAZON_FASHION_5__2[[#This Row],[reviewText]])</f>
        <v>263</v>
      </c>
      <c r="R217" t="str">
        <f>IF(AMAZON_FASHION_5__2[[#This Row],[overall]]&gt;=4,"Positive",IF(AMAZON_FASHION_5__2[[#This Row],[overall]]&lt;=2,"Negative","Neutral"))</f>
        <v>Negative</v>
      </c>
      <c r="S2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18" spans="1:19" x14ac:dyDescent="0.25">
      <c r="A218">
        <v>5</v>
      </c>
      <c r="B218" t="b">
        <v>1</v>
      </c>
      <c r="C218" s="1">
        <v>43086</v>
      </c>
      <c r="D218">
        <f>YEAR(AMAZON_FASHION_5__2[[#This Row],[reviewDate]])</f>
        <v>2017</v>
      </c>
      <c r="E218" s="1" t="str">
        <f>TEXT(AMAZON_FASHION_5__2[[#This Row],[reviewDate]], "mmmm")</f>
        <v>December</v>
      </c>
      <c r="F218" t="s">
        <v>454</v>
      </c>
      <c r="G218" t="s">
        <v>196</v>
      </c>
      <c r="H218" t="s">
        <v>230</v>
      </c>
      <c r="I218" t="s">
        <v>198</v>
      </c>
      <c r="J218" t="s">
        <v>455</v>
      </c>
      <c r="K218" t="s">
        <v>456</v>
      </c>
      <c r="L218" t="s">
        <v>17</v>
      </c>
      <c r="M218">
        <v>1513468800</v>
      </c>
      <c r="N218" t="s">
        <v>1628</v>
      </c>
      <c r="O218" t="s">
        <v>1628</v>
      </c>
      <c r="P218" t="s">
        <v>1628</v>
      </c>
      <c r="Q218">
        <f>LEN(AMAZON_FASHION_5__2[[#This Row],[reviewText]])</f>
        <v>14</v>
      </c>
      <c r="R218" t="str">
        <f>IF(AMAZON_FASHION_5__2[[#This Row],[overall]]&gt;=4,"Positive",IF(AMAZON_FASHION_5__2[[#This Row],[overall]]&lt;=2,"Negative","Neutral"))</f>
        <v>Positive</v>
      </c>
      <c r="S2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19" spans="1:19" x14ac:dyDescent="0.25">
      <c r="A219">
        <v>3</v>
      </c>
      <c r="B219" t="b">
        <v>1</v>
      </c>
      <c r="C219" s="1">
        <v>43074</v>
      </c>
      <c r="D219">
        <f>YEAR(AMAZON_FASHION_5__2[[#This Row],[reviewDate]])</f>
        <v>2017</v>
      </c>
      <c r="E219" s="1" t="str">
        <f>TEXT(AMAZON_FASHION_5__2[[#This Row],[reviewDate]], "mmmm")</f>
        <v>December</v>
      </c>
      <c r="F219" t="s">
        <v>457</v>
      </c>
      <c r="G219" t="s">
        <v>196</v>
      </c>
      <c r="H219" t="s">
        <v>210</v>
      </c>
      <c r="I219" t="s">
        <v>274</v>
      </c>
      <c r="J219" t="s">
        <v>458</v>
      </c>
      <c r="K219" t="s">
        <v>459</v>
      </c>
      <c r="L219" t="s">
        <v>460</v>
      </c>
      <c r="M219">
        <v>1512432000</v>
      </c>
      <c r="N219" t="s">
        <v>1628</v>
      </c>
      <c r="O219" t="s">
        <v>1628</v>
      </c>
      <c r="P219" t="s">
        <v>1628</v>
      </c>
      <c r="Q219">
        <f>LEN(AMAZON_FASHION_5__2[[#This Row],[reviewText]])</f>
        <v>757</v>
      </c>
      <c r="R219" t="str">
        <f>IF(AMAZON_FASHION_5__2[[#This Row],[overall]]&gt;=4,"Positive",IF(AMAZON_FASHION_5__2[[#This Row],[overall]]&lt;=2,"Negative","Neutral"))</f>
        <v>Neutral</v>
      </c>
      <c r="S2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20" spans="1:19" x14ac:dyDescent="0.25">
      <c r="A220">
        <v>5</v>
      </c>
      <c r="B220" t="b">
        <v>1</v>
      </c>
      <c r="C220" s="1">
        <v>43074</v>
      </c>
      <c r="D220">
        <f>YEAR(AMAZON_FASHION_5__2[[#This Row],[reviewDate]])</f>
        <v>2017</v>
      </c>
      <c r="E220" s="1" t="str">
        <f>TEXT(AMAZON_FASHION_5__2[[#This Row],[reviewDate]], "mmmm")</f>
        <v>December</v>
      </c>
      <c r="F220" t="s">
        <v>461</v>
      </c>
      <c r="G220" t="s">
        <v>196</v>
      </c>
      <c r="H220" t="s">
        <v>230</v>
      </c>
      <c r="I220" t="s">
        <v>303</v>
      </c>
      <c r="J220" t="s">
        <v>462</v>
      </c>
      <c r="K220" t="s">
        <v>463</v>
      </c>
      <c r="L220" t="s">
        <v>17</v>
      </c>
      <c r="M220">
        <v>1512432000</v>
      </c>
      <c r="N220" t="s">
        <v>1628</v>
      </c>
      <c r="O220" t="s">
        <v>1628</v>
      </c>
      <c r="P220" t="s">
        <v>1628</v>
      </c>
      <c r="Q220">
        <f>LEN(AMAZON_FASHION_5__2[[#This Row],[reviewText]])</f>
        <v>5</v>
      </c>
      <c r="R220" t="str">
        <f>IF(AMAZON_FASHION_5__2[[#This Row],[overall]]&gt;=4,"Positive",IF(AMAZON_FASHION_5__2[[#This Row],[overall]]&lt;=2,"Negative","Neutral"))</f>
        <v>Positive</v>
      </c>
      <c r="S2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21" spans="1:19" x14ac:dyDescent="0.25">
      <c r="A221">
        <v>5</v>
      </c>
      <c r="B221" t="b">
        <v>1</v>
      </c>
      <c r="C221" s="1">
        <v>43073</v>
      </c>
      <c r="D221">
        <f>YEAR(AMAZON_FASHION_5__2[[#This Row],[reviewDate]])</f>
        <v>2017</v>
      </c>
      <c r="E221" s="1" t="str">
        <f>TEXT(AMAZON_FASHION_5__2[[#This Row],[reviewDate]], "mmmm")</f>
        <v>December</v>
      </c>
      <c r="F221" t="s">
        <v>464</v>
      </c>
      <c r="G221" t="s">
        <v>196</v>
      </c>
      <c r="H221" t="s">
        <v>320</v>
      </c>
      <c r="I221" t="s">
        <v>303</v>
      </c>
      <c r="J221" t="s">
        <v>63</v>
      </c>
      <c r="K221" t="s">
        <v>465</v>
      </c>
      <c r="L221" t="s">
        <v>17</v>
      </c>
      <c r="M221">
        <v>1512345600</v>
      </c>
      <c r="N221" t="s">
        <v>1628</v>
      </c>
      <c r="O221" t="s">
        <v>1628</v>
      </c>
      <c r="P221" t="s">
        <v>1628</v>
      </c>
      <c r="Q221">
        <f>LEN(AMAZON_FASHION_5__2[[#This Row],[reviewText]])</f>
        <v>1</v>
      </c>
      <c r="R221" t="str">
        <f>IF(AMAZON_FASHION_5__2[[#This Row],[overall]]&gt;=4,"Positive",IF(AMAZON_FASHION_5__2[[#This Row],[overall]]&lt;=2,"Negative","Neutral"))</f>
        <v>Positive</v>
      </c>
      <c r="S2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22" spans="1:19" x14ac:dyDescent="0.25">
      <c r="A222">
        <v>5</v>
      </c>
      <c r="B222" t="b">
        <v>1</v>
      </c>
      <c r="C222" s="1">
        <v>43069</v>
      </c>
      <c r="D222">
        <f>YEAR(AMAZON_FASHION_5__2[[#This Row],[reviewDate]])</f>
        <v>2017</v>
      </c>
      <c r="E222" s="1" t="str">
        <f>TEXT(AMAZON_FASHION_5__2[[#This Row],[reviewDate]], "mmmm")</f>
        <v>November</v>
      </c>
      <c r="F222" t="s">
        <v>466</v>
      </c>
      <c r="G222" t="s">
        <v>196</v>
      </c>
      <c r="H222" t="s">
        <v>210</v>
      </c>
      <c r="I222" t="s">
        <v>274</v>
      </c>
      <c r="J222" t="s">
        <v>467</v>
      </c>
      <c r="K222" t="s">
        <v>468</v>
      </c>
      <c r="L222" t="s">
        <v>17</v>
      </c>
      <c r="M222">
        <v>1512000000</v>
      </c>
      <c r="N222" t="s">
        <v>1628</v>
      </c>
      <c r="O222" t="s">
        <v>1628</v>
      </c>
      <c r="P222" t="s">
        <v>1628</v>
      </c>
      <c r="Q222">
        <f>LEN(AMAZON_FASHION_5__2[[#This Row],[reviewText]])</f>
        <v>10</v>
      </c>
      <c r="R222" t="str">
        <f>IF(AMAZON_FASHION_5__2[[#This Row],[overall]]&gt;=4,"Positive",IF(AMAZON_FASHION_5__2[[#This Row],[overall]]&lt;=2,"Negative","Neutral"))</f>
        <v>Positive</v>
      </c>
      <c r="S2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23" spans="1:19" x14ac:dyDescent="0.25">
      <c r="A223">
        <v>3</v>
      </c>
      <c r="B223" t="b">
        <v>1</v>
      </c>
      <c r="C223" s="1">
        <v>43069</v>
      </c>
      <c r="D223">
        <f>YEAR(AMAZON_FASHION_5__2[[#This Row],[reviewDate]])</f>
        <v>2017</v>
      </c>
      <c r="E223" s="1" t="str">
        <f>TEXT(AMAZON_FASHION_5__2[[#This Row],[reviewDate]], "mmmm")</f>
        <v>November</v>
      </c>
      <c r="F223" t="s">
        <v>469</v>
      </c>
      <c r="G223" t="s">
        <v>196</v>
      </c>
      <c r="H223" t="s">
        <v>210</v>
      </c>
      <c r="I223" t="s">
        <v>198</v>
      </c>
      <c r="J223" t="s">
        <v>63</v>
      </c>
      <c r="K223" t="s">
        <v>470</v>
      </c>
      <c r="L223" t="s">
        <v>471</v>
      </c>
      <c r="M223">
        <v>1512000000</v>
      </c>
      <c r="N223" t="s">
        <v>1628</v>
      </c>
      <c r="O223" t="s">
        <v>1628</v>
      </c>
      <c r="P223" t="s">
        <v>1628</v>
      </c>
      <c r="Q223">
        <f>LEN(AMAZON_FASHION_5__2[[#This Row],[reviewText]])</f>
        <v>192</v>
      </c>
      <c r="R223" t="str">
        <f>IF(AMAZON_FASHION_5__2[[#This Row],[overall]]&gt;=4,"Positive",IF(AMAZON_FASHION_5__2[[#This Row],[overall]]&lt;=2,"Negative","Neutral"))</f>
        <v>Neutral</v>
      </c>
      <c r="S2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24" spans="1:19" x14ac:dyDescent="0.25">
      <c r="A224">
        <v>3</v>
      </c>
      <c r="B224" t="b">
        <v>1</v>
      </c>
      <c r="C224" s="1">
        <v>43067</v>
      </c>
      <c r="D224">
        <f>YEAR(AMAZON_FASHION_5__2[[#This Row],[reviewDate]])</f>
        <v>2017</v>
      </c>
      <c r="E224" s="1" t="str">
        <f>TEXT(AMAZON_FASHION_5__2[[#This Row],[reviewDate]], "mmmm")</f>
        <v>November</v>
      </c>
      <c r="F224" t="s">
        <v>472</v>
      </c>
      <c r="G224" t="s">
        <v>196</v>
      </c>
      <c r="H224" t="s">
        <v>261</v>
      </c>
      <c r="I224" t="s">
        <v>262</v>
      </c>
      <c r="J224" t="s">
        <v>473</v>
      </c>
      <c r="K224" t="s">
        <v>474</v>
      </c>
      <c r="L224" t="s">
        <v>475</v>
      </c>
      <c r="M224">
        <v>1511827200</v>
      </c>
      <c r="N224" t="s">
        <v>1628</v>
      </c>
      <c r="O224" t="s">
        <v>1628</v>
      </c>
      <c r="P224" t="s">
        <v>1628</v>
      </c>
      <c r="Q224">
        <f>LEN(AMAZON_FASHION_5__2[[#This Row],[reviewText]])</f>
        <v>194</v>
      </c>
      <c r="R224" t="str">
        <f>IF(AMAZON_FASHION_5__2[[#This Row],[overall]]&gt;=4,"Positive",IF(AMAZON_FASHION_5__2[[#This Row],[overall]]&lt;=2,"Negative","Neutral"))</f>
        <v>Neutral</v>
      </c>
      <c r="S2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25" spans="1:19" x14ac:dyDescent="0.25">
      <c r="A225">
        <v>4</v>
      </c>
      <c r="B225" t="b">
        <v>1</v>
      </c>
      <c r="C225" s="1">
        <v>43067</v>
      </c>
      <c r="D225">
        <f>YEAR(AMAZON_FASHION_5__2[[#This Row],[reviewDate]])</f>
        <v>2017</v>
      </c>
      <c r="E225" s="1" t="str">
        <f>TEXT(AMAZON_FASHION_5__2[[#This Row],[reviewDate]], "mmmm")</f>
        <v>November</v>
      </c>
      <c r="F225" t="s">
        <v>476</v>
      </c>
      <c r="G225" t="s">
        <v>196</v>
      </c>
      <c r="H225" t="s">
        <v>477</v>
      </c>
      <c r="I225" t="s">
        <v>396</v>
      </c>
      <c r="J225" t="s">
        <v>478</v>
      </c>
      <c r="K225" t="s">
        <v>479</v>
      </c>
      <c r="L225" t="s">
        <v>480</v>
      </c>
      <c r="M225">
        <v>1511827200</v>
      </c>
      <c r="N225" t="s">
        <v>1628</v>
      </c>
      <c r="O225" t="s">
        <v>1628</v>
      </c>
      <c r="P225" t="s">
        <v>1628</v>
      </c>
      <c r="Q225">
        <f>LEN(AMAZON_FASHION_5__2[[#This Row],[reviewText]])</f>
        <v>27</v>
      </c>
      <c r="R225" t="str">
        <f>IF(AMAZON_FASHION_5__2[[#This Row],[overall]]&gt;=4,"Positive",IF(AMAZON_FASHION_5__2[[#This Row],[overall]]&lt;=2,"Negative","Neutral"))</f>
        <v>Positive</v>
      </c>
      <c r="S2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26" spans="1:19" x14ac:dyDescent="0.25">
      <c r="A226">
        <v>5</v>
      </c>
      <c r="B226" t="b">
        <v>1</v>
      </c>
      <c r="C226" s="1">
        <v>43066</v>
      </c>
      <c r="D226">
        <f>YEAR(AMAZON_FASHION_5__2[[#This Row],[reviewDate]])</f>
        <v>2017</v>
      </c>
      <c r="E226" s="1" t="str">
        <f>TEXT(AMAZON_FASHION_5__2[[#This Row],[reviewDate]], "mmmm")</f>
        <v>November</v>
      </c>
      <c r="F226" t="s">
        <v>481</v>
      </c>
      <c r="G226" t="s">
        <v>196</v>
      </c>
      <c r="H226" t="s">
        <v>210</v>
      </c>
      <c r="I226" t="s">
        <v>303</v>
      </c>
      <c r="J226" t="s">
        <v>482</v>
      </c>
      <c r="K226" t="s">
        <v>483</v>
      </c>
      <c r="L226" t="s">
        <v>17</v>
      </c>
      <c r="M226">
        <v>1511740800</v>
      </c>
      <c r="N226" t="s">
        <v>1628</v>
      </c>
      <c r="O226" t="s">
        <v>1628</v>
      </c>
      <c r="P226" t="s">
        <v>1628</v>
      </c>
      <c r="Q226">
        <f>LEN(AMAZON_FASHION_5__2[[#This Row],[reviewText]])</f>
        <v>8</v>
      </c>
      <c r="R226" t="str">
        <f>IF(AMAZON_FASHION_5__2[[#This Row],[overall]]&gt;=4,"Positive",IF(AMAZON_FASHION_5__2[[#This Row],[overall]]&lt;=2,"Negative","Neutral"))</f>
        <v>Positive</v>
      </c>
      <c r="S2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27" spans="1:19" x14ac:dyDescent="0.25">
      <c r="A227">
        <v>5</v>
      </c>
      <c r="B227" t="b">
        <v>1</v>
      </c>
      <c r="C227" s="1">
        <v>43066</v>
      </c>
      <c r="D227">
        <f>YEAR(AMAZON_FASHION_5__2[[#This Row],[reviewDate]])</f>
        <v>2017</v>
      </c>
      <c r="E227" s="1" t="str">
        <f>TEXT(AMAZON_FASHION_5__2[[#This Row],[reviewDate]], "mmmm")</f>
        <v>November</v>
      </c>
      <c r="F227" t="s">
        <v>481</v>
      </c>
      <c r="G227" t="s">
        <v>196</v>
      </c>
      <c r="H227" t="s">
        <v>210</v>
      </c>
      <c r="I227" t="s">
        <v>392</v>
      </c>
      <c r="J227" t="s">
        <v>482</v>
      </c>
      <c r="K227" t="s">
        <v>483</v>
      </c>
      <c r="L227" t="s">
        <v>17</v>
      </c>
      <c r="M227">
        <v>1511740800</v>
      </c>
      <c r="N227" t="s">
        <v>1628</v>
      </c>
      <c r="O227" t="s">
        <v>1628</v>
      </c>
      <c r="P227" t="s">
        <v>1628</v>
      </c>
      <c r="Q227">
        <f>LEN(AMAZON_FASHION_5__2[[#This Row],[reviewText]])</f>
        <v>8</v>
      </c>
      <c r="R227" t="str">
        <f>IF(AMAZON_FASHION_5__2[[#This Row],[overall]]&gt;=4,"Positive",IF(AMAZON_FASHION_5__2[[#This Row],[overall]]&lt;=2,"Negative","Neutral"))</f>
        <v>Positive</v>
      </c>
      <c r="S2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28" spans="1:19" x14ac:dyDescent="0.25">
      <c r="A228">
        <v>1</v>
      </c>
      <c r="B228" t="b">
        <v>1</v>
      </c>
      <c r="C228" s="1">
        <v>43058</v>
      </c>
      <c r="D228">
        <f>YEAR(AMAZON_FASHION_5__2[[#This Row],[reviewDate]])</f>
        <v>2017</v>
      </c>
      <c r="E228" s="1" t="str">
        <f>TEXT(AMAZON_FASHION_5__2[[#This Row],[reviewDate]], "mmmm")</f>
        <v>November</v>
      </c>
      <c r="F228" t="s">
        <v>484</v>
      </c>
      <c r="G228" t="s">
        <v>196</v>
      </c>
      <c r="H228" t="s">
        <v>201</v>
      </c>
      <c r="I228" t="s">
        <v>198</v>
      </c>
      <c r="J228" t="s">
        <v>485</v>
      </c>
      <c r="K228" t="s">
        <v>486</v>
      </c>
      <c r="L228" t="s">
        <v>487</v>
      </c>
      <c r="M228">
        <v>1511049600</v>
      </c>
      <c r="N228" t="s">
        <v>1628</v>
      </c>
      <c r="O228" t="s">
        <v>1628</v>
      </c>
      <c r="P228" t="s">
        <v>1628</v>
      </c>
      <c r="Q228">
        <f>LEN(AMAZON_FASHION_5__2[[#This Row],[reviewText]])</f>
        <v>133</v>
      </c>
      <c r="R228" t="str">
        <f>IF(AMAZON_FASHION_5__2[[#This Row],[overall]]&gt;=4,"Positive",IF(AMAZON_FASHION_5__2[[#This Row],[overall]]&lt;=2,"Negative","Neutral"))</f>
        <v>Negative</v>
      </c>
      <c r="S2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29" spans="1:19" x14ac:dyDescent="0.25">
      <c r="A229">
        <v>5</v>
      </c>
      <c r="B229" t="b">
        <v>1</v>
      </c>
      <c r="C229" s="1">
        <v>43053</v>
      </c>
      <c r="D229">
        <f>YEAR(AMAZON_FASHION_5__2[[#This Row],[reviewDate]])</f>
        <v>2017</v>
      </c>
      <c r="E229" s="1" t="str">
        <f>TEXT(AMAZON_FASHION_5__2[[#This Row],[reviewDate]], "mmmm")</f>
        <v>November</v>
      </c>
      <c r="F229" t="s">
        <v>488</v>
      </c>
      <c r="G229" t="s">
        <v>196</v>
      </c>
      <c r="H229" t="s">
        <v>210</v>
      </c>
      <c r="I229" t="s">
        <v>303</v>
      </c>
      <c r="J229" t="s">
        <v>489</v>
      </c>
      <c r="K229" t="s">
        <v>490</v>
      </c>
      <c r="L229" t="s">
        <v>491</v>
      </c>
      <c r="M229">
        <v>1510617600</v>
      </c>
      <c r="N229" t="s">
        <v>1628</v>
      </c>
      <c r="O229" t="s">
        <v>1628</v>
      </c>
      <c r="P229" t="s">
        <v>1628</v>
      </c>
      <c r="Q229">
        <f>LEN(AMAZON_FASHION_5__2[[#This Row],[reviewText]])</f>
        <v>232</v>
      </c>
      <c r="R229" t="str">
        <f>IF(AMAZON_FASHION_5__2[[#This Row],[overall]]&gt;=4,"Positive",IF(AMAZON_FASHION_5__2[[#This Row],[overall]]&lt;=2,"Negative","Neutral"))</f>
        <v>Positive</v>
      </c>
      <c r="S2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30" spans="1:19" x14ac:dyDescent="0.25">
      <c r="A230">
        <v>4</v>
      </c>
      <c r="B230" t="b">
        <v>1</v>
      </c>
      <c r="C230" s="1">
        <v>43050</v>
      </c>
      <c r="D230">
        <f>YEAR(AMAZON_FASHION_5__2[[#This Row],[reviewDate]])</f>
        <v>2017</v>
      </c>
      <c r="E230" s="1" t="str">
        <f>TEXT(AMAZON_FASHION_5__2[[#This Row],[reviewDate]], "mmmm")</f>
        <v>November</v>
      </c>
      <c r="F230" t="s">
        <v>492</v>
      </c>
      <c r="G230" t="s">
        <v>196</v>
      </c>
      <c r="H230" t="s">
        <v>230</v>
      </c>
      <c r="I230" t="s">
        <v>493</v>
      </c>
      <c r="J230" t="s">
        <v>494</v>
      </c>
      <c r="K230" t="s">
        <v>495</v>
      </c>
      <c r="L230" t="s">
        <v>496</v>
      </c>
      <c r="M230">
        <v>1510358400</v>
      </c>
      <c r="N230" t="s">
        <v>1628</v>
      </c>
      <c r="O230" t="s">
        <v>1628</v>
      </c>
      <c r="P230" t="s">
        <v>1628</v>
      </c>
      <c r="Q230">
        <f>LEN(AMAZON_FASHION_5__2[[#This Row],[reviewText]])</f>
        <v>104</v>
      </c>
      <c r="R230" t="str">
        <f>IF(AMAZON_FASHION_5__2[[#This Row],[overall]]&gt;=4,"Positive",IF(AMAZON_FASHION_5__2[[#This Row],[overall]]&lt;=2,"Negative","Neutral"))</f>
        <v>Positive</v>
      </c>
      <c r="S2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31" spans="1:19" x14ac:dyDescent="0.25">
      <c r="A231">
        <v>5</v>
      </c>
      <c r="B231" t="b">
        <v>1</v>
      </c>
      <c r="C231" s="1">
        <v>43049</v>
      </c>
      <c r="D231">
        <f>YEAR(AMAZON_FASHION_5__2[[#This Row],[reviewDate]])</f>
        <v>2017</v>
      </c>
      <c r="E231" s="1" t="str">
        <f>TEXT(AMAZON_FASHION_5__2[[#This Row],[reviewDate]], "mmmm")</f>
        <v>November</v>
      </c>
      <c r="F231" t="s">
        <v>497</v>
      </c>
      <c r="G231" t="s">
        <v>196</v>
      </c>
      <c r="H231" t="s">
        <v>477</v>
      </c>
      <c r="I231" t="s">
        <v>396</v>
      </c>
      <c r="J231" t="s">
        <v>498</v>
      </c>
      <c r="K231" t="s">
        <v>499</v>
      </c>
      <c r="L231" t="s">
        <v>17</v>
      </c>
      <c r="M231">
        <v>1510272000</v>
      </c>
      <c r="N231" t="s">
        <v>1628</v>
      </c>
      <c r="O231" t="s">
        <v>1628</v>
      </c>
      <c r="P231" t="s">
        <v>1628</v>
      </c>
      <c r="Q231">
        <f>LEN(AMAZON_FASHION_5__2[[#This Row],[reviewText]])</f>
        <v>15</v>
      </c>
      <c r="R231" t="str">
        <f>IF(AMAZON_FASHION_5__2[[#This Row],[overall]]&gt;=4,"Positive",IF(AMAZON_FASHION_5__2[[#This Row],[overall]]&lt;=2,"Negative","Neutral"))</f>
        <v>Positive</v>
      </c>
      <c r="S2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32" spans="1:19" x14ac:dyDescent="0.25">
      <c r="A232">
        <v>5</v>
      </c>
      <c r="B232" t="b">
        <v>1</v>
      </c>
      <c r="C232" s="1">
        <v>43048</v>
      </c>
      <c r="D232">
        <f>YEAR(AMAZON_FASHION_5__2[[#This Row],[reviewDate]])</f>
        <v>2017</v>
      </c>
      <c r="E232" s="1" t="str">
        <f>TEXT(AMAZON_FASHION_5__2[[#This Row],[reviewDate]], "mmmm")</f>
        <v>November</v>
      </c>
      <c r="F232" t="s">
        <v>500</v>
      </c>
      <c r="G232" t="s">
        <v>196</v>
      </c>
      <c r="H232" t="s">
        <v>197</v>
      </c>
      <c r="I232" t="s">
        <v>198</v>
      </c>
      <c r="J232" t="s">
        <v>63</v>
      </c>
      <c r="K232" t="s">
        <v>501</v>
      </c>
      <c r="L232" t="s">
        <v>502</v>
      </c>
      <c r="M232">
        <v>1510185600</v>
      </c>
      <c r="N232" t="s">
        <v>1628</v>
      </c>
      <c r="O232" t="s">
        <v>1628</v>
      </c>
      <c r="P232" t="s">
        <v>1628</v>
      </c>
      <c r="Q232">
        <f>LEN(AMAZON_FASHION_5__2[[#This Row],[reviewText]])</f>
        <v>278</v>
      </c>
      <c r="R232" t="str">
        <f>IF(AMAZON_FASHION_5__2[[#This Row],[overall]]&gt;=4,"Positive",IF(AMAZON_FASHION_5__2[[#This Row],[overall]]&lt;=2,"Negative","Neutral"))</f>
        <v>Positive</v>
      </c>
      <c r="S2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33" spans="1:19" x14ac:dyDescent="0.25">
      <c r="A233">
        <v>4</v>
      </c>
      <c r="B233" t="b">
        <v>1</v>
      </c>
      <c r="C233" s="1">
        <v>43046</v>
      </c>
      <c r="D233">
        <f>YEAR(AMAZON_FASHION_5__2[[#This Row],[reviewDate]])</f>
        <v>2017</v>
      </c>
      <c r="E233" s="1" t="str">
        <f>TEXT(AMAZON_FASHION_5__2[[#This Row],[reviewDate]], "mmmm")</f>
        <v>November</v>
      </c>
      <c r="F233" t="s">
        <v>503</v>
      </c>
      <c r="G233" t="s">
        <v>196</v>
      </c>
      <c r="H233" t="s">
        <v>210</v>
      </c>
      <c r="I233" t="s">
        <v>274</v>
      </c>
      <c r="J233" t="s">
        <v>504</v>
      </c>
      <c r="K233" t="s">
        <v>505</v>
      </c>
      <c r="L233" t="s">
        <v>103</v>
      </c>
      <c r="M233">
        <v>1510012800</v>
      </c>
      <c r="N233" t="s">
        <v>1628</v>
      </c>
      <c r="O233" t="s">
        <v>1628</v>
      </c>
      <c r="P233" t="s">
        <v>1628</v>
      </c>
      <c r="Q233">
        <f>LEN(AMAZON_FASHION_5__2[[#This Row],[reviewText]])</f>
        <v>8</v>
      </c>
      <c r="R233" t="str">
        <f>IF(AMAZON_FASHION_5__2[[#This Row],[overall]]&gt;=4,"Positive",IF(AMAZON_FASHION_5__2[[#This Row],[overall]]&lt;=2,"Negative","Neutral"))</f>
        <v>Positive</v>
      </c>
      <c r="S2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34" spans="1:19" x14ac:dyDescent="0.25">
      <c r="A234">
        <v>2</v>
      </c>
      <c r="B234" t="b">
        <v>1</v>
      </c>
      <c r="C234" s="1">
        <v>43044</v>
      </c>
      <c r="D234">
        <f>YEAR(AMAZON_FASHION_5__2[[#This Row],[reviewDate]])</f>
        <v>2017</v>
      </c>
      <c r="E234" s="1" t="str">
        <f>TEXT(AMAZON_FASHION_5__2[[#This Row],[reviewDate]], "mmmm")</f>
        <v>November</v>
      </c>
      <c r="F234" t="s">
        <v>506</v>
      </c>
      <c r="G234" t="s">
        <v>196</v>
      </c>
      <c r="H234" t="s">
        <v>197</v>
      </c>
      <c r="I234" t="s">
        <v>507</v>
      </c>
      <c r="J234" t="s">
        <v>63</v>
      </c>
      <c r="K234" t="s">
        <v>508</v>
      </c>
      <c r="L234" t="s">
        <v>509</v>
      </c>
      <c r="M234">
        <v>1509840000</v>
      </c>
      <c r="N234" t="s">
        <v>1628</v>
      </c>
      <c r="O234" t="s">
        <v>1628</v>
      </c>
      <c r="P234">
        <v>6</v>
      </c>
      <c r="Q234">
        <f>LEN(AMAZON_FASHION_5__2[[#This Row],[reviewText]])</f>
        <v>467</v>
      </c>
      <c r="R234" t="str">
        <f>IF(AMAZON_FASHION_5__2[[#This Row],[overall]]&gt;=4,"Positive",IF(AMAZON_FASHION_5__2[[#This Row],[overall]]&lt;=2,"Negative","Neutral"))</f>
        <v>Negative</v>
      </c>
      <c r="S2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35" spans="1:19" x14ac:dyDescent="0.25">
      <c r="A235">
        <v>5</v>
      </c>
      <c r="B235" t="b">
        <v>1</v>
      </c>
      <c r="C235" s="1">
        <v>43043</v>
      </c>
      <c r="D235">
        <f>YEAR(AMAZON_FASHION_5__2[[#This Row],[reviewDate]])</f>
        <v>2017</v>
      </c>
      <c r="E235" s="1" t="str">
        <f>TEXT(AMAZON_FASHION_5__2[[#This Row],[reviewDate]], "mmmm")</f>
        <v>November</v>
      </c>
      <c r="F235" t="s">
        <v>510</v>
      </c>
      <c r="G235" t="s">
        <v>196</v>
      </c>
      <c r="H235" t="s">
        <v>235</v>
      </c>
      <c r="I235" t="s">
        <v>274</v>
      </c>
      <c r="J235" t="s">
        <v>511</v>
      </c>
      <c r="K235" t="s">
        <v>512</v>
      </c>
      <c r="L235" t="s">
        <v>17</v>
      </c>
      <c r="M235">
        <v>1509753600</v>
      </c>
      <c r="N235" t="s">
        <v>1628</v>
      </c>
      <c r="O235" t="s">
        <v>1628</v>
      </c>
      <c r="P235" t="s">
        <v>1628</v>
      </c>
      <c r="Q235">
        <f>LEN(AMAZON_FASHION_5__2[[#This Row],[reviewText]])</f>
        <v>39</v>
      </c>
      <c r="R235" t="str">
        <f>IF(AMAZON_FASHION_5__2[[#This Row],[overall]]&gt;=4,"Positive",IF(AMAZON_FASHION_5__2[[#This Row],[overall]]&lt;=2,"Negative","Neutral"))</f>
        <v>Positive</v>
      </c>
      <c r="S2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36" spans="1:19" x14ac:dyDescent="0.25">
      <c r="A236">
        <v>3</v>
      </c>
      <c r="B236" t="b">
        <v>1</v>
      </c>
      <c r="C236" s="1">
        <v>43043</v>
      </c>
      <c r="D236">
        <f>YEAR(AMAZON_FASHION_5__2[[#This Row],[reviewDate]])</f>
        <v>2017</v>
      </c>
      <c r="E236" s="1" t="str">
        <f>TEXT(AMAZON_FASHION_5__2[[#This Row],[reviewDate]], "mmmm")</f>
        <v>November</v>
      </c>
      <c r="F236" t="s">
        <v>513</v>
      </c>
      <c r="G236" t="s">
        <v>196</v>
      </c>
      <c r="H236" t="s">
        <v>205</v>
      </c>
      <c r="I236" t="s">
        <v>507</v>
      </c>
      <c r="J236" t="s">
        <v>514</v>
      </c>
      <c r="K236" t="s">
        <v>515</v>
      </c>
      <c r="L236" t="s">
        <v>101</v>
      </c>
      <c r="M236">
        <v>1509753600</v>
      </c>
      <c r="N236" t="s">
        <v>1628</v>
      </c>
      <c r="O236" t="s">
        <v>1628</v>
      </c>
      <c r="P236" t="s">
        <v>1628</v>
      </c>
      <c r="Q236">
        <f>LEN(AMAZON_FASHION_5__2[[#This Row],[reviewText]])</f>
        <v>38</v>
      </c>
      <c r="R236" t="str">
        <f>IF(AMAZON_FASHION_5__2[[#This Row],[overall]]&gt;=4,"Positive",IF(AMAZON_FASHION_5__2[[#This Row],[overall]]&lt;=2,"Negative","Neutral"))</f>
        <v>Neutral</v>
      </c>
      <c r="S2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37" spans="1:19" x14ac:dyDescent="0.25">
      <c r="A237">
        <v>4</v>
      </c>
      <c r="B237" t="b">
        <v>1</v>
      </c>
      <c r="C237" s="1">
        <v>43042</v>
      </c>
      <c r="D237">
        <f>YEAR(AMAZON_FASHION_5__2[[#This Row],[reviewDate]])</f>
        <v>2017</v>
      </c>
      <c r="E237" s="1" t="str">
        <f>TEXT(AMAZON_FASHION_5__2[[#This Row],[reviewDate]], "mmmm")</f>
        <v>November</v>
      </c>
      <c r="F237" t="s">
        <v>516</v>
      </c>
      <c r="G237" t="s">
        <v>196</v>
      </c>
      <c r="H237" t="s">
        <v>230</v>
      </c>
      <c r="I237" t="s">
        <v>274</v>
      </c>
      <c r="J237" t="s">
        <v>517</v>
      </c>
      <c r="K237" t="s">
        <v>518</v>
      </c>
      <c r="L237" t="s">
        <v>519</v>
      </c>
      <c r="M237">
        <v>1509667200</v>
      </c>
      <c r="N237" t="s">
        <v>1628</v>
      </c>
      <c r="O237" t="s">
        <v>1628</v>
      </c>
      <c r="P237" t="s">
        <v>1628</v>
      </c>
      <c r="Q237">
        <f>LEN(AMAZON_FASHION_5__2[[#This Row],[reviewText]])</f>
        <v>23</v>
      </c>
      <c r="R237" t="str">
        <f>IF(AMAZON_FASHION_5__2[[#This Row],[overall]]&gt;=4,"Positive",IF(AMAZON_FASHION_5__2[[#This Row],[overall]]&lt;=2,"Negative","Neutral"))</f>
        <v>Positive</v>
      </c>
      <c r="S2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38" spans="1:19" x14ac:dyDescent="0.25">
      <c r="A238">
        <v>5</v>
      </c>
      <c r="B238" t="b">
        <v>1</v>
      </c>
      <c r="C238" s="1">
        <v>43041</v>
      </c>
      <c r="D238">
        <f>YEAR(AMAZON_FASHION_5__2[[#This Row],[reviewDate]])</f>
        <v>2017</v>
      </c>
      <c r="E238" s="1" t="str">
        <f>TEXT(AMAZON_FASHION_5__2[[#This Row],[reviewDate]], "mmmm")</f>
        <v>November</v>
      </c>
      <c r="F238" t="s">
        <v>520</v>
      </c>
      <c r="G238" t="s">
        <v>196</v>
      </c>
      <c r="H238" t="s">
        <v>230</v>
      </c>
      <c r="I238" t="s">
        <v>303</v>
      </c>
      <c r="J238" t="s">
        <v>521</v>
      </c>
      <c r="K238" t="s">
        <v>522</v>
      </c>
      <c r="L238" t="s">
        <v>17</v>
      </c>
      <c r="M238">
        <v>1509580800</v>
      </c>
      <c r="N238" t="s">
        <v>1628</v>
      </c>
      <c r="O238" t="s">
        <v>1628</v>
      </c>
      <c r="P238" t="s">
        <v>1628</v>
      </c>
      <c r="Q238">
        <f>LEN(AMAZON_FASHION_5__2[[#This Row],[reviewText]])</f>
        <v>10</v>
      </c>
      <c r="R238" t="str">
        <f>IF(AMAZON_FASHION_5__2[[#This Row],[overall]]&gt;=4,"Positive",IF(AMAZON_FASHION_5__2[[#This Row],[overall]]&lt;=2,"Negative","Neutral"))</f>
        <v>Positive</v>
      </c>
      <c r="S2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39" spans="1:19" x14ac:dyDescent="0.25">
      <c r="A239">
        <v>4</v>
      </c>
      <c r="B239" t="b">
        <v>1</v>
      </c>
      <c r="C239" s="1">
        <v>43039</v>
      </c>
      <c r="D239">
        <f>YEAR(AMAZON_FASHION_5__2[[#This Row],[reviewDate]])</f>
        <v>2017</v>
      </c>
      <c r="E239" s="1" t="str">
        <f>TEXT(AMAZON_FASHION_5__2[[#This Row],[reviewDate]], "mmmm")</f>
        <v>October</v>
      </c>
      <c r="F239" t="s">
        <v>523</v>
      </c>
      <c r="G239" t="s">
        <v>196</v>
      </c>
      <c r="H239" t="s">
        <v>201</v>
      </c>
      <c r="I239" t="s">
        <v>524</v>
      </c>
      <c r="J239" t="s">
        <v>525</v>
      </c>
      <c r="K239" t="s">
        <v>526</v>
      </c>
      <c r="L239" t="s">
        <v>527</v>
      </c>
      <c r="M239">
        <v>1509408000</v>
      </c>
      <c r="N239" t="s">
        <v>1628</v>
      </c>
      <c r="O239" t="s">
        <v>1628</v>
      </c>
      <c r="P239" t="s">
        <v>1628</v>
      </c>
      <c r="Q239">
        <f>LEN(AMAZON_FASHION_5__2[[#This Row],[reviewText]])</f>
        <v>152</v>
      </c>
      <c r="R239" t="str">
        <f>IF(AMAZON_FASHION_5__2[[#This Row],[overall]]&gt;=4,"Positive",IF(AMAZON_FASHION_5__2[[#This Row],[overall]]&lt;=2,"Negative","Neutral"))</f>
        <v>Positive</v>
      </c>
      <c r="S2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40" spans="1:19" x14ac:dyDescent="0.25">
      <c r="A240">
        <v>5</v>
      </c>
      <c r="B240" t="b">
        <v>1</v>
      </c>
      <c r="C240" s="1">
        <v>43037</v>
      </c>
      <c r="D240">
        <f>YEAR(AMAZON_FASHION_5__2[[#This Row],[reviewDate]])</f>
        <v>2017</v>
      </c>
      <c r="E240" s="1" t="str">
        <f>TEXT(AMAZON_FASHION_5__2[[#This Row],[reviewDate]], "mmmm")</f>
        <v>October</v>
      </c>
      <c r="F240" t="s">
        <v>528</v>
      </c>
      <c r="G240" t="s">
        <v>196</v>
      </c>
      <c r="H240" t="s">
        <v>235</v>
      </c>
      <c r="I240" t="s">
        <v>274</v>
      </c>
      <c r="J240" t="s">
        <v>529</v>
      </c>
      <c r="K240" t="s">
        <v>530</v>
      </c>
      <c r="L240" t="s">
        <v>531</v>
      </c>
      <c r="M240">
        <v>1509235200</v>
      </c>
      <c r="N240" t="s">
        <v>1628</v>
      </c>
      <c r="O240" t="s">
        <v>1628</v>
      </c>
      <c r="P240" t="s">
        <v>1628</v>
      </c>
      <c r="Q240">
        <f>LEN(AMAZON_FASHION_5__2[[#This Row],[reviewText]])</f>
        <v>21</v>
      </c>
      <c r="R240" t="str">
        <f>IF(AMAZON_FASHION_5__2[[#This Row],[overall]]&gt;=4,"Positive",IF(AMAZON_FASHION_5__2[[#This Row],[overall]]&lt;=2,"Negative","Neutral"))</f>
        <v>Positive</v>
      </c>
      <c r="S2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41" spans="1:19" x14ac:dyDescent="0.25">
      <c r="A241">
        <v>5</v>
      </c>
      <c r="B241" t="b">
        <v>1</v>
      </c>
      <c r="C241" s="1">
        <v>43034</v>
      </c>
      <c r="D241">
        <f>YEAR(AMAZON_FASHION_5__2[[#This Row],[reviewDate]])</f>
        <v>2017</v>
      </c>
      <c r="E241" s="1" t="str">
        <f>TEXT(AMAZON_FASHION_5__2[[#This Row],[reviewDate]], "mmmm")</f>
        <v>October</v>
      </c>
      <c r="F241" t="s">
        <v>532</v>
      </c>
      <c r="G241" t="s">
        <v>196</v>
      </c>
      <c r="H241" t="s">
        <v>477</v>
      </c>
      <c r="I241" t="s">
        <v>198</v>
      </c>
      <c r="J241" t="s">
        <v>533</v>
      </c>
      <c r="K241" t="s">
        <v>534</v>
      </c>
      <c r="L241" t="s">
        <v>535</v>
      </c>
      <c r="M241">
        <v>1508976000</v>
      </c>
      <c r="N241" t="s">
        <v>1628</v>
      </c>
      <c r="O241" t="s">
        <v>1628</v>
      </c>
      <c r="P241" t="s">
        <v>1628</v>
      </c>
      <c r="Q241">
        <f>LEN(AMAZON_FASHION_5__2[[#This Row],[reviewText]])</f>
        <v>185</v>
      </c>
      <c r="R241" t="str">
        <f>IF(AMAZON_FASHION_5__2[[#This Row],[overall]]&gt;=4,"Positive",IF(AMAZON_FASHION_5__2[[#This Row],[overall]]&lt;=2,"Negative","Neutral"))</f>
        <v>Positive</v>
      </c>
      <c r="S2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42" spans="1:19" x14ac:dyDescent="0.25">
      <c r="A242">
        <v>5</v>
      </c>
      <c r="B242" t="b">
        <v>1</v>
      </c>
      <c r="C242" s="1">
        <v>43034</v>
      </c>
      <c r="D242">
        <f>YEAR(AMAZON_FASHION_5__2[[#This Row],[reviewDate]])</f>
        <v>2017</v>
      </c>
      <c r="E242" s="1" t="str">
        <f>TEXT(AMAZON_FASHION_5__2[[#This Row],[reviewDate]], "mmmm")</f>
        <v>October</v>
      </c>
      <c r="F242" t="s">
        <v>536</v>
      </c>
      <c r="G242" t="s">
        <v>196</v>
      </c>
      <c r="H242" t="s">
        <v>197</v>
      </c>
      <c r="I242" t="s">
        <v>303</v>
      </c>
      <c r="J242" t="s">
        <v>537</v>
      </c>
      <c r="K242" t="s">
        <v>538</v>
      </c>
      <c r="L242" t="s">
        <v>539</v>
      </c>
      <c r="M242">
        <v>1508976000</v>
      </c>
      <c r="N242" t="s">
        <v>1628</v>
      </c>
      <c r="O242" t="s">
        <v>1628</v>
      </c>
      <c r="P242" t="s">
        <v>1628</v>
      </c>
      <c r="Q242">
        <f>LEN(AMAZON_FASHION_5__2[[#This Row],[reviewText]])</f>
        <v>351</v>
      </c>
      <c r="R242" t="str">
        <f>IF(AMAZON_FASHION_5__2[[#This Row],[overall]]&gt;=4,"Positive",IF(AMAZON_FASHION_5__2[[#This Row],[overall]]&lt;=2,"Negative","Neutral"))</f>
        <v>Positive</v>
      </c>
      <c r="S2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43" spans="1:19" x14ac:dyDescent="0.25">
      <c r="A243">
        <v>5</v>
      </c>
      <c r="B243" t="b">
        <v>1</v>
      </c>
      <c r="C243" s="1">
        <v>43033</v>
      </c>
      <c r="D243">
        <f>YEAR(AMAZON_FASHION_5__2[[#This Row],[reviewDate]])</f>
        <v>2017</v>
      </c>
      <c r="E243" s="1" t="str">
        <f>TEXT(AMAZON_FASHION_5__2[[#This Row],[reviewDate]], "mmmm")</f>
        <v>October</v>
      </c>
      <c r="F243" t="s">
        <v>540</v>
      </c>
      <c r="G243" t="s">
        <v>196</v>
      </c>
      <c r="H243" t="s">
        <v>230</v>
      </c>
      <c r="I243" t="s">
        <v>541</v>
      </c>
      <c r="J243" t="s">
        <v>542</v>
      </c>
      <c r="K243" t="s">
        <v>543</v>
      </c>
      <c r="L243" t="s">
        <v>17</v>
      </c>
      <c r="M243">
        <v>1508889600</v>
      </c>
      <c r="N243" t="s">
        <v>1628</v>
      </c>
      <c r="O243" t="s">
        <v>1628</v>
      </c>
      <c r="P243" t="s">
        <v>1628</v>
      </c>
      <c r="Q243">
        <f>LEN(AMAZON_FASHION_5__2[[#This Row],[reviewText]])</f>
        <v>11</v>
      </c>
      <c r="R243" t="str">
        <f>IF(AMAZON_FASHION_5__2[[#This Row],[overall]]&gt;=4,"Positive",IF(AMAZON_FASHION_5__2[[#This Row],[overall]]&lt;=2,"Negative","Neutral"))</f>
        <v>Positive</v>
      </c>
      <c r="S2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44" spans="1:19" x14ac:dyDescent="0.25">
      <c r="A244">
        <v>5</v>
      </c>
      <c r="B244" t="b">
        <v>1</v>
      </c>
      <c r="C244" s="1">
        <v>43032</v>
      </c>
      <c r="D244">
        <f>YEAR(AMAZON_FASHION_5__2[[#This Row],[reviewDate]])</f>
        <v>2017</v>
      </c>
      <c r="E244" s="1" t="str">
        <f>TEXT(AMAZON_FASHION_5__2[[#This Row],[reviewDate]], "mmmm")</f>
        <v>October</v>
      </c>
      <c r="F244" t="s">
        <v>544</v>
      </c>
      <c r="G244" t="s">
        <v>196</v>
      </c>
      <c r="H244" t="s">
        <v>201</v>
      </c>
      <c r="I244" t="s">
        <v>507</v>
      </c>
      <c r="J244" t="s">
        <v>545</v>
      </c>
      <c r="K244" t="s">
        <v>546</v>
      </c>
      <c r="L244" t="s">
        <v>17</v>
      </c>
      <c r="M244">
        <v>1508803200</v>
      </c>
      <c r="N244" t="s">
        <v>1628</v>
      </c>
      <c r="O244" t="s">
        <v>1628</v>
      </c>
      <c r="P244" t="s">
        <v>1628</v>
      </c>
      <c r="Q244">
        <f>LEN(AMAZON_FASHION_5__2[[#This Row],[reviewText]])</f>
        <v>35</v>
      </c>
      <c r="R244" t="str">
        <f>IF(AMAZON_FASHION_5__2[[#This Row],[overall]]&gt;=4,"Positive",IF(AMAZON_FASHION_5__2[[#This Row],[overall]]&lt;=2,"Negative","Neutral"))</f>
        <v>Positive</v>
      </c>
      <c r="S2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45" spans="1:19" x14ac:dyDescent="0.25">
      <c r="A245">
        <v>5</v>
      </c>
      <c r="B245" t="b">
        <v>1</v>
      </c>
      <c r="C245" s="1">
        <v>43030</v>
      </c>
      <c r="D245">
        <f>YEAR(AMAZON_FASHION_5__2[[#This Row],[reviewDate]])</f>
        <v>2017</v>
      </c>
      <c r="E245" s="1" t="str">
        <f>TEXT(AMAZON_FASHION_5__2[[#This Row],[reviewDate]], "mmmm")</f>
        <v>October</v>
      </c>
      <c r="F245" t="s">
        <v>547</v>
      </c>
      <c r="G245" t="s">
        <v>196</v>
      </c>
      <c r="H245" t="s">
        <v>230</v>
      </c>
      <c r="I245" t="s">
        <v>548</v>
      </c>
      <c r="J245" t="s">
        <v>549</v>
      </c>
      <c r="K245" t="s">
        <v>550</v>
      </c>
      <c r="L245" t="s">
        <v>17</v>
      </c>
      <c r="M245">
        <v>1508630400</v>
      </c>
      <c r="N245" t="s">
        <v>1628</v>
      </c>
      <c r="O245" t="s">
        <v>1628</v>
      </c>
      <c r="P245" t="s">
        <v>1628</v>
      </c>
      <c r="Q245">
        <f>LEN(AMAZON_FASHION_5__2[[#This Row],[reviewText]])</f>
        <v>14</v>
      </c>
      <c r="R245" t="str">
        <f>IF(AMAZON_FASHION_5__2[[#This Row],[overall]]&gt;=4,"Positive",IF(AMAZON_FASHION_5__2[[#This Row],[overall]]&lt;=2,"Negative","Neutral"))</f>
        <v>Positive</v>
      </c>
      <c r="S2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46" spans="1:19" x14ac:dyDescent="0.25">
      <c r="A246">
        <v>3</v>
      </c>
      <c r="B246" t="b">
        <v>1</v>
      </c>
      <c r="C246" s="1">
        <v>43026</v>
      </c>
      <c r="D246">
        <f>YEAR(AMAZON_FASHION_5__2[[#This Row],[reviewDate]])</f>
        <v>2017</v>
      </c>
      <c r="E246" s="1" t="str">
        <f>TEXT(AMAZON_FASHION_5__2[[#This Row],[reviewDate]], "mmmm")</f>
        <v>October</v>
      </c>
      <c r="F246" t="s">
        <v>551</v>
      </c>
      <c r="G246" t="s">
        <v>196</v>
      </c>
      <c r="H246" t="s">
        <v>210</v>
      </c>
      <c r="I246" t="s">
        <v>274</v>
      </c>
      <c r="J246" t="s">
        <v>552</v>
      </c>
      <c r="K246" t="s">
        <v>553</v>
      </c>
      <c r="L246" t="s">
        <v>554</v>
      </c>
      <c r="M246">
        <v>1508284800</v>
      </c>
      <c r="N246" t="s">
        <v>1628</v>
      </c>
      <c r="O246" t="s">
        <v>1628</v>
      </c>
      <c r="P246" t="s">
        <v>1628</v>
      </c>
      <c r="Q246">
        <f>LEN(AMAZON_FASHION_5__2[[#This Row],[reviewText]])</f>
        <v>201</v>
      </c>
      <c r="R246" t="str">
        <f>IF(AMAZON_FASHION_5__2[[#This Row],[overall]]&gt;=4,"Positive",IF(AMAZON_FASHION_5__2[[#This Row],[overall]]&lt;=2,"Negative","Neutral"))</f>
        <v>Neutral</v>
      </c>
      <c r="S2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47" spans="1:19" x14ac:dyDescent="0.25">
      <c r="A247">
        <v>5</v>
      </c>
      <c r="B247" t="b">
        <v>1</v>
      </c>
      <c r="C247" s="1">
        <v>43021</v>
      </c>
      <c r="D247">
        <f>YEAR(AMAZON_FASHION_5__2[[#This Row],[reviewDate]])</f>
        <v>2017</v>
      </c>
      <c r="E247" s="1" t="str">
        <f>TEXT(AMAZON_FASHION_5__2[[#This Row],[reviewDate]], "mmmm")</f>
        <v>October</v>
      </c>
      <c r="F247" t="s">
        <v>555</v>
      </c>
      <c r="G247" t="s">
        <v>196</v>
      </c>
      <c r="H247" t="s">
        <v>201</v>
      </c>
      <c r="I247" t="s">
        <v>303</v>
      </c>
      <c r="J247" t="s">
        <v>63</v>
      </c>
      <c r="K247" t="s">
        <v>556</v>
      </c>
      <c r="L247" t="s">
        <v>17</v>
      </c>
      <c r="M247">
        <v>1507852800</v>
      </c>
      <c r="N247" t="s">
        <v>1628</v>
      </c>
      <c r="O247" t="s">
        <v>1628</v>
      </c>
      <c r="P247" t="s">
        <v>1628</v>
      </c>
      <c r="Q247">
        <f>LEN(AMAZON_FASHION_5__2[[#This Row],[reviewText]])</f>
        <v>25</v>
      </c>
      <c r="R247" t="str">
        <f>IF(AMAZON_FASHION_5__2[[#This Row],[overall]]&gt;=4,"Positive",IF(AMAZON_FASHION_5__2[[#This Row],[overall]]&lt;=2,"Negative","Neutral"))</f>
        <v>Positive</v>
      </c>
      <c r="S2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48" spans="1:19" x14ac:dyDescent="0.25">
      <c r="A248">
        <v>3</v>
      </c>
      <c r="B248" t="b">
        <v>1</v>
      </c>
      <c r="C248" s="1">
        <v>43018</v>
      </c>
      <c r="D248">
        <f>YEAR(AMAZON_FASHION_5__2[[#This Row],[reviewDate]])</f>
        <v>2017</v>
      </c>
      <c r="E248" s="1" t="str">
        <f>TEXT(AMAZON_FASHION_5__2[[#This Row],[reviewDate]], "mmmm")</f>
        <v>October</v>
      </c>
      <c r="F248" t="s">
        <v>557</v>
      </c>
      <c r="G248" t="s">
        <v>196</v>
      </c>
      <c r="H248" t="s">
        <v>558</v>
      </c>
      <c r="I248" t="s">
        <v>198</v>
      </c>
      <c r="J248" t="s">
        <v>559</v>
      </c>
      <c r="K248" t="s">
        <v>560</v>
      </c>
      <c r="L248" t="s">
        <v>561</v>
      </c>
      <c r="M248">
        <v>1507593600</v>
      </c>
      <c r="N248" t="s">
        <v>1628</v>
      </c>
      <c r="O248" t="s">
        <v>1628</v>
      </c>
      <c r="P248" t="s">
        <v>1628</v>
      </c>
      <c r="Q248">
        <f>LEN(AMAZON_FASHION_5__2[[#This Row],[reviewText]])</f>
        <v>192</v>
      </c>
      <c r="R248" t="str">
        <f>IF(AMAZON_FASHION_5__2[[#This Row],[overall]]&gt;=4,"Positive",IF(AMAZON_FASHION_5__2[[#This Row],[overall]]&lt;=2,"Negative","Neutral"))</f>
        <v>Neutral</v>
      </c>
      <c r="S2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49" spans="1:19" x14ac:dyDescent="0.25">
      <c r="A249">
        <v>5</v>
      </c>
      <c r="B249" t="b">
        <v>1</v>
      </c>
      <c r="C249" s="1">
        <v>43011</v>
      </c>
      <c r="D249">
        <f>YEAR(AMAZON_FASHION_5__2[[#This Row],[reviewDate]])</f>
        <v>2017</v>
      </c>
      <c r="E249" s="1" t="str">
        <f>TEXT(AMAZON_FASHION_5__2[[#This Row],[reviewDate]], "mmmm")</f>
        <v>October</v>
      </c>
      <c r="F249" t="s">
        <v>562</v>
      </c>
      <c r="G249" t="s">
        <v>196</v>
      </c>
      <c r="H249" t="s">
        <v>261</v>
      </c>
      <c r="I249" t="s">
        <v>99</v>
      </c>
      <c r="J249" t="s">
        <v>563</v>
      </c>
      <c r="K249" t="s">
        <v>564</v>
      </c>
      <c r="L249" t="s">
        <v>565</v>
      </c>
      <c r="M249">
        <v>1506988800</v>
      </c>
      <c r="N249" t="s">
        <v>1628</v>
      </c>
      <c r="O249" t="s">
        <v>1628</v>
      </c>
      <c r="P249" t="s">
        <v>1628</v>
      </c>
      <c r="Q249">
        <f>LEN(AMAZON_FASHION_5__2[[#This Row],[reviewText]])</f>
        <v>230</v>
      </c>
      <c r="R249" t="str">
        <f>IF(AMAZON_FASHION_5__2[[#This Row],[overall]]&gt;=4,"Positive",IF(AMAZON_FASHION_5__2[[#This Row],[overall]]&lt;=2,"Negative","Neutral"))</f>
        <v>Positive</v>
      </c>
      <c r="S2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50" spans="1:19" x14ac:dyDescent="0.25">
      <c r="A250">
        <v>5</v>
      </c>
      <c r="B250" t="b">
        <v>1</v>
      </c>
      <c r="C250" s="1">
        <v>43010</v>
      </c>
      <c r="D250">
        <f>YEAR(AMAZON_FASHION_5__2[[#This Row],[reviewDate]])</f>
        <v>2017</v>
      </c>
      <c r="E250" s="1" t="str">
        <f>TEXT(AMAZON_FASHION_5__2[[#This Row],[reviewDate]], "mmmm")</f>
        <v>October</v>
      </c>
      <c r="F250" t="s">
        <v>566</v>
      </c>
      <c r="G250" t="s">
        <v>196</v>
      </c>
      <c r="H250" t="s">
        <v>201</v>
      </c>
      <c r="I250" t="s">
        <v>303</v>
      </c>
      <c r="J250" t="s">
        <v>63</v>
      </c>
      <c r="K250" t="s">
        <v>567</v>
      </c>
      <c r="L250" t="s">
        <v>568</v>
      </c>
      <c r="M250">
        <v>1506902400</v>
      </c>
      <c r="N250" t="s">
        <v>1628</v>
      </c>
      <c r="O250" t="s">
        <v>1628</v>
      </c>
      <c r="P250" t="s">
        <v>1628</v>
      </c>
      <c r="Q250">
        <f>LEN(AMAZON_FASHION_5__2[[#This Row],[reviewText]])</f>
        <v>171</v>
      </c>
      <c r="R250" t="str">
        <f>IF(AMAZON_FASHION_5__2[[#This Row],[overall]]&gt;=4,"Positive",IF(AMAZON_FASHION_5__2[[#This Row],[overall]]&lt;=2,"Negative","Neutral"))</f>
        <v>Positive</v>
      </c>
      <c r="S2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51" spans="1:19" x14ac:dyDescent="0.25">
      <c r="A251">
        <v>5</v>
      </c>
      <c r="B251" t="b">
        <v>1</v>
      </c>
      <c r="C251" s="1">
        <v>43005</v>
      </c>
      <c r="D251">
        <f>YEAR(AMAZON_FASHION_5__2[[#This Row],[reviewDate]])</f>
        <v>2017</v>
      </c>
      <c r="E251" s="1" t="str">
        <f>TEXT(AMAZON_FASHION_5__2[[#This Row],[reviewDate]], "mmmm")</f>
        <v>September</v>
      </c>
      <c r="F251" t="s">
        <v>569</v>
      </c>
      <c r="G251" t="s">
        <v>196</v>
      </c>
      <c r="H251" t="s">
        <v>210</v>
      </c>
      <c r="I251" t="s">
        <v>99</v>
      </c>
      <c r="J251" t="s">
        <v>570</v>
      </c>
      <c r="K251" t="s">
        <v>571</v>
      </c>
      <c r="L251" t="s">
        <v>17</v>
      </c>
      <c r="M251">
        <v>1506470400</v>
      </c>
      <c r="N251" t="s">
        <v>1628</v>
      </c>
      <c r="O251" t="s">
        <v>1628</v>
      </c>
      <c r="P251" t="s">
        <v>1628</v>
      </c>
      <c r="Q251">
        <f>LEN(AMAZON_FASHION_5__2[[#This Row],[reviewText]])</f>
        <v>12</v>
      </c>
      <c r="R251" t="str">
        <f>IF(AMAZON_FASHION_5__2[[#This Row],[overall]]&gt;=4,"Positive",IF(AMAZON_FASHION_5__2[[#This Row],[overall]]&lt;=2,"Negative","Neutral"))</f>
        <v>Positive</v>
      </c>
      <c r="S2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52" spans="1:19" x14ac:dyDescent="0.25">
      <c r="A252">
        <v>5</v>
      </c>
      <c r="B252" t="b">
        <v>1</v>
      </c>
      <c r="C252" s="1">
        <v>43005</v>
      </c>
      <c r="D252">
        <f>YEAR(AMAZON_FASHION_5__2[[#This Row],[reviewDate]])</f>
        <v>2017</v>
      </c>
      <c r="E252" s="1" t="str">
        <f>TEXT(AMAZON_FASHION_5__2[[#This Row],[reviewDate]], "mmmm")</f>
        <v>September</v>
      </c>
      <c r="F252" t="s">
        <v>572</v>
      </c>
      <c r="G252" t="s">
        <v>196</v>
      </c>
      <c r="H252" t="s">
        <v>573</v>
      </c>
      <c r="I252" t="s">
        <v>574</v>
      </c>
      <c r="J252" t="s">
        <v>575</v>
      </c>
      <c r="K252" t="s">
        <v>576</v>
      </c>
      <c r="L252" t="s">
        <v>577</v>
      </c>
      <c r="M252">
        <v>1506470400</v>
      </c>
      <c r="N252" t="s">
        <v>1628</v>
      </c>
      <c r="O252" t="s">
        <v>1628</v>
      </c>
      <c r="P252" t="s">
        <v>1628</v>
      </c>
      <c r="Q252">
        <f>LEN(AMAZON_FASHION_5__2[[#This Row],[reviewText]])</f>
        <v>70</v>
      </c>
      <c r="R252" t="str">
        <f>IF(AMAZON_FASHION_5__2[[#This Row],[overall]]&gt;=4,"Positive",IF(AMAZON_FASHION_5__2[[#This Row],[overall]]&lt;=2,"Negative","Neutral"))</f>
        <v>Positive</v>
      </c>
      <c r="S2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53" spans="1:19" x14ac:dyDescent="0.25">
      <c r="A253">
        <v>5</v>
      </c>
      <c r="B253" t="b">
        <v>1</v>
      </c>
      <c r="C253" s="1">
        <v>43004</v>
      </c>
      <c r="D253">
        <f>YEAR(AMAZON_FASHION_5__2[[#This Row],[reviewDate]])</f>
        <v>2017</v>
      </c>
      <c r="E253" s="1" t="str">
        <f>TEXT(AMAZON_FASHION_5__2[[#This Row],[reviewDate]], "mmmm")</f>
        <v>September</v>
      </c>
      <c r="F253" t="s">
        <v>578</v>
      </c>
      <c r="G253" t="s">
        <v>196</v>
      </c>
      <c r="H253" t="s">
        <v>205</v>
      </c>
      <c r="I253" t="s">
        <v>198</v>
      </c>
      <c r="J253" t="s">
        <v>579</v>
      </c>
      <c r="K253" t="s">
        <v>580</v>
      </c>
      <c r="L253" t="s">
        <v>17</v>
      </c>
      <c r="M253">
        <v>1506384000</v>
      </c>
      <c r="N253" t="s">
        <v>1628</v>
      </c>
      <c r="O253" t="s">
        <v>1628</v>
      </c>
      <c r="P253" t="s">
        <v>1628</v>
      </c>
      <c r="Q253">
        <f>LEN(AMAZON_FASHION_5__2[[#This Row],[reviewText]])</f>
        <v>9</v>
      </c>
      <c r="R253" t="str">
        <f>IF(AMAZON_FASHION_5__2[[#This Row],[overall]]&gt;=4,"Positive",IF(AMAZON_FASHION_5__2[[#This Row],[overall]]&lt;=2,"Negative","Neutral"))</f>
        <v>Positive</v>
      </c>
      <c r="S2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54" spans="1:19" x14ac:dyDescent="0.25">
      <c r="A254">
        <v>5</v>
      </c>
      <c r="B254" t="b">
        <v>1</v>
      </c>
      <c r="C254" s="1">
        <v>43003</v>
      </c>
      <c r="D254">
        <f>YEAR(AMAZON_FASHION_5__2[[#This Row],[reviewDate]])</f>
        <v>2017</v>
      </c>
      <c r="E254" s="1" t="str">
        <f>TEXT(AMAZON_FASHION_5__2[[#This Row],[reviewDate]], "mmmm")</f>
        <v>September</v>
      </c>
      <c r="F254" t="s">
        <v>581</v>
      </c>
      <c r="G254" t="s">
        <v>196</v>
      </c>
      <c r="H254" t="s">
        <v>235</v>
      </c>
      <c r="I254" t="s">
        <v>198</v>
      </c>
      <c r="J254" t="s">
        <v>582</v>
      </c>
      <c r="K254" t="s">
        <v>583</v>
      </c>
      <c r="L254" t="s">
        <v>17</v>
      </c>
      <c r="M254">
        <v>1506297600</v>
      </c>
      <c r="N254" t="s">
        <v>1628</v>
      </c>
      <c r="O254" t="s">
        <v>1628</v>
      </c>
      <c r="P254" t="s">
        <v>1628</v>
      </c>
      <c r="Q254">
        <f>LEN(AMAZON_FASHION_5__2[[#This Row],[reviewText]])</f>
        <v>50</v>
      </c>
      <c r="R254" t="str">
        <f>IF(AMAZON_FASHION_5__2[[#This Row],[overall]]&gt;=4,"Positive",IF(AMAZON_FASHION_5__2[[#This Row],[overall]]&lt;=2,"Negative","Neutral"))</f>
        <v>Positive</v>
      </c>
      <c r="S2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55" spans="1:19" x14ac:dyDescent="0.25">
      <c r="A255">
        <v>5</v>
      </c>
      <c r="B255" t="b">
        <v>1</v>
      </c>
      <c r="C255" s="1">
        <v>42998</v>
      </c>
      <c r="D255">
        <f>YEAR(AMAZON_FASHION_5__2[[#This Row],[reviewDate]])</f>
        <v>2017</v>
      </c>
      <c r="E255" s="1" t="str">
        <f>TEXT(AMAZON_FASHION_5__2[[#This Row],[reviewDate]], "mmmm")</f>
        <v>September</v>
      </c>
      <c r="F255" t="s">
        <v>584</v>
      </c>
      <c r="G255" t="s">
        <v>196</v>
      </c>
      <c r="H255" t="s">
        <v>235</v>
      </c>
      <c r="I255" t="s">
        <v>99</v>
      </c>
      <c r="J255" t="s">
        <v>63</v>
      </c>
      <c r="K255" t="s">
        <v>585</v>
      </c>
      <c r="L255" t="s">
        <v>586</v>
      </c>
      <c r="M255">
        <v>1505865600</v>
      </c>
      <c r="N255" t="s">
        <v>1628</v>
      </c>
      <c r="O255" t="s">
        <v>1628</v>
      </c>
      <c r="P255" t="s">
        <v>1628</v>
      </c>
      <c r="Q255">
        <f>LEN(AMAZON_FASHION_5__2[[#This Row],[reviewText]])</f>
        <v>370</v>
      </c>
      <c r="R255" t="str">
        <f>IF(AMAZON_FASHION_5__2[[#This Row],[overall]]&gt;=4,"Positive",IF(AMAZON_FASHION_5__2[[#This Row],[overall]]&lt;=2,"Negative","Neutral"))</f>
        <v>Positive</v>
      </c>
      <c r="S2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56" spans="1:19" x14ac:dyDescent="0.25">
      <c r="A256">
        <v>5</v>
      </c>
      <c r="B256" t="b">
        <v>1</v>
      </c>
      <c r="C256" s="1">
        <v>42996</v>
      </c>
      <c r="D256">
        <f>YEAR(AMAZON_FASHION_5__2[[#This Row],[reviewDate]])</f>
        <v>2017</v>
      </c>
      <c r="E256" s="1" t="str">
        <f>TEXT(AMAZON_FASHION_5__2[[#This Row],[reviewDate]], "mmmm")</f>
        <v>September</v>
      </c>
      <c r="F256" t="s">
        <v>587</v>
      </c>
      <c r="G256" t="s">
        <v>196</v>
      </c>
      <c r="H256" t="s">
        <v>230</v>
      </c>
      <c r="I256" t="s">
        <v>198</v>
      </c>
      <c r="J256" t="s">
        <v>588</v>
      </c>
      <c r="K256" t="s">
        <v>589</v>
      </c>
      <c r="L256" t="s">
        <v>590</v>
      </c>
      <c r="M256">
        <v>1505692800</v>
      </c>
      <c r="N256" t="s">
        <v>1628</v>
      </c>
      <c r="O256" t="s">
        <v>1628</v>
      </c>
      <c r="P256" t="s">
        <v>1628</v>
      </c>
      <c r="Q256">
        <f>LEN(AMAZON_FASHION_5__2[[#This Row],[reviewText]])</f>
        <v>49</v>
      </c>
      <c r="R256" t="str">
        <f>IF(AMAZON_FASHION_5__2[[#This Row],[overall]]&gt;=4,"Positive",IF(AMAZON_FASHION_5__2[[#This Row],[overall]]&lt;=2,"Negative","Neutral"))</f>
        <v>Positive</v>
      </c>
      <c r="S2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57" spans="1:19" x14ac:dyDescent="0.25">
      <c r="A257">
        <v>5</v>
      </c>
      <c r="B257" t="b">
        <v>1</v>
      </c>
      <c r="C257" s="1">
        <v>42994</v>
      </c>
      <c r="D257">
        <f>YEAR(AMAZON_FASHION_5__2[[#This Row],[reviewDate]])</f>
        <v>2017</v>
      </c>
      <c r="E257" s="1" t="str">
        <f>TEXT(AMAZON_FASHION_5__2[[#This Row],[reviewDate]], "mmmm")</f>
        <v>September</v>
      </c>
      <c r="F257" t="s">
        <v>591</v>
      </c>
      <c r="G257" t="s">
        <v>196</v>
      </c>
      <c r="H257" t="s">
        <v>235</v>
      </c>
      <c r="I257" t="s">
        <v>507</v>
      </c>
      <c r="J257" t="s">
        <v>63</v>
      </c>
      <c r="K257" t="s">
        <v>592</v>
      </c>
      <c r="L257" t="s">
        <v>593</v>
      </c>
      <c r="M257">
        <v>1505520000</v>
      </c>
      <c r="N257" t="s">
        <v>1628</v>
      </c>
      <c r="O257" t="s">
        <v>1628</v>
      </c>
      <c r="P257" t="s">
        <v>1628</v>
      </c>
      <c r="Q257">
        <f>LEN(AMAZON_FASHION_5__2[[#This Row],[reviewText]])</f>
        <v>40</v>
      </c>
      <c r="R257" t="str">
        <f>IF(AMAZON_FASHION_5__2[[#This Row],[overall]]&gt;=4,"Positive",IF(AMAZON_FASHION_5__2[[#This Row],[overall]]&lt;=2,"Negative","Neutral"))</f>
        <v>Positive</v>
      </c>
      <c r="S2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58" spans="1:19" x14ac:dyDescent="0.25">
      <c r="A258">
        <v>5</v>
      </c>
      <c r="B258" t="b">
        <v>1</v>
      </c>
      <c r="C258" s="1">
        <v>42992</v>
      </c>
      <c r="D258">
        <f>YEAR(AMAZON_FASHION_5__2[[#This Row],[reviewDate]])</f>
        <v>2017</v>
      </c>
      <c r="E258" s="1" t="str">
        <f>TEXT(AMAZON_FASHION_5__2[[#This Row],[reviewDate]], "mmmm")</f>
        <v>September</v>
      </c>
      <c r="F258" t="s">
        <v>594</v>
      </c>
      <c r="G258" t="s">
        <v>196</v>
      </c>
      <c r="H258" t="s">
        <v>201</v>
      </c>
      <c r="I258" t="s">
        <v>524</v>
      </c>
      <c r="J258" t="s">
        <v>595</v>
      </c>
      <c r="K258" t="s">
        <v>596</v>
      </c>
      <c r="L258" t="s">
        <v>597</v>
      </c>
      <c r="M258">
        <v>1505347200</v>
      </c>
      <c r="N258" t="s">
        <v>1628</v>
      </c>
      <c r="O258" t="s">
        <v>1628</v>
      </c>
      <c r="P258" t="s">
        <v>1628</v>
      </c>
      <c r="Q258">
        <f>LEN(AMAZON_FASHION_5__2[[#This Row],[reviewText]])</f>
        <v>23</v>
      </c>
      <c r="R258" t="str">
        <f>IF(AMAZON_FASHION_5__2[[#This Row],[overall]]&gt;=4,"Positive",IF(AMAZON_FASHION_5__2[[#This Row],[overall]]&lt;=2,"Negative","Neutral"))</f>
        <v>Positive</v>
      </c>
      <c r="S2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59" spans="1:19" x14ac:dyDescent="0.25">
      <c r="A259">
        <v>5</v>
      </c>
      <c r="B259" t="b">
        <v>1</v>
      </c>
      <c r="C259" s="1">
        <v>42991</v>
      </c>
      <c r="D259">
        <f>YEAR(AMAZON_FASHION_5__2[[#This Row],[reviewDate]])</f>
        <v>2017</v>
      </c>
      <c r="E259" s="1" t="str">
        <f>TEXT(AMAZON_FASHION_5__2[[#This Row],[reviewDate]], "mmmm")</f>
        <v>September</v>
      </c>
      <c r="F259" t="s">
        <v>598</v>
      </c>
      <c r="G259" t="s">
        <v>196</v>
      </c>
      <c r="H259" t="s">
        <v>230</v>
      </c>
      <c r="I259" t="s">
        <v>599</v>
      </c>
      <c r="J259" t="s">
        <v>600</v>
      </c>
      <c r="K259" t="s">
        <v>601</v>
      </c>
      <c r="L259" t="s">
        <v>17</v>
      </c>
      <c r="M259">
        <v>1505260800</v>
      </c>
      <c r="N259" t="s">
        <v>1628</v>
      </c>
      <c r="O259" t="s">
        <v>1628</v>
      </c>
      <c r="P259" t="s">
        <v>1628</v>
      </c>
      <c r="Q259">
        <f>LEN(AMAZON_FASHION_5__2[[#This Row],[reviewText]])</f>
        <v>28</v>
      </c>
      <c r="R259" t="str">
        <f>IF(AMAZON_FASHION_5__2[[#This Row],[overall]]&gt;=4,"Positive",IF(AMAZON_FASHION_5__2[[#This Row],[overall]]&lt;=2,"Negative","Neutral"))</f>
        <v>Positive</v>
      </c>
      <c r="S2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60" spans="1:19" x14ac:dyDescent="0.25">
      <c r="A260">
        <v>5</v>
      </c>
      <c r="B260" t="b">
        <v>1</v>
      </c>
      <c r="C260" s="1">
        <v>42988</v>
      </c>
      <c r="D260">
        <f>YEAR(AMAZON_FASHION_5__2[[#This Row],[reviewDate]])</f>
        <v>2017</v>
      </c>
      <c r="E260" s="1" t="str">
        <f>TEXT(AMAZON_FASHION_5__2[[#This Row],[reviewDate]], "mmmm")</f>
        <v>September</v>
      </c>
      <c r="F260" t="s">
        <v>602</v>
      </c>
      <c r="G260" t="s">
        <v>196</v>
      </c>
      <c r="H260" t="s">
        <v>210</v>
      </c>
      <c r="I260" t="s">
        <v>274</v>
      </c>
      <c r="J260" t="s">
        <v>63</v>
      </c>
      <c r="K260" t="s">
        <v>603</v>
      </c>
      <c r="L260" t="s">
        <v>17</v>
      </c>
      <c r="M260">
        <v>1505001600</v>
      </c>
      <c r="N260" t="s">
        <v>1628</v>
      </c>
      <c r="O260" t="s">
        <v>1628</v>
      </c>
      <c r="P260" t="s">
        <v>1628</v>
      </c>
      <c r="Q260">
        <f>LEN(AMAZON_FASHION_5__2[[#This Row],[reviewText]])</f>
        <v>48</v>
      </c>
      <c r="R260" t="str">
        <f>IF(AMAZON_FASHION_5__2[[#This Row],[overall]]&gt;=4,"Positive",IF(AMAZON_FASHION_5__2[[#This Row],[overall]]&lt;=2,"Negative","Neutral"))</f>
        <v>Positive</v>
      </c>
      <c r="S2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61" spans="1:19" x14ac:dyDescent="0.25">
      <c r="A261">
        <v>5</v>
      </c>
      <c r="B261" t="b">
        <v>1</v>
      </c>
      <c r="C261" s="1">
        <v>42985</v>
      </c>
      <c r="D261">
        <f>YEAR(AMAZON_FASHION_5__2[[#This Row],[reviewDate]])</f>
        <v>2017</v>
      </c>
      <c r="E261" s="1" t="str">
        <f>TEXT(AMAZON_FASHION_5__2[[#This Row],[reviewDate]], "mmmm")</f>
        <v>September</v>
      </c>
      <c r="F261" t="s">
        <v>604</v>
      </c>
      <c r="G261" t="s">
        <v>196</v>
      </c>
      <c r="H261" t="s">
        <v>230</v>
      </c>
      <c r="I261" t="s">
        <v>507</v>
      </c>
      <c r="J261" t="s">
        <v>605</v>
      </c>
      <c r="K261" t="s">
        <v>606</v>
      </c>
      <c r="L261" t="s">
        <v>607</v>
      </c>
      <c r="M261">
        <v>1504742400</v>
      </c>
      <c r="N261" t="s">
        <v>1628</v>
      </c>
      <c r="O261" t="s">
        <v>1628</v>
      </c>
      <c r="P261" t="s">
        <v>1628</v>
      </c>
      <c r="Q261">
        <f>LEN(AMAZON_FASHION_5__2[[#This Row],[reviewText]])</f>
        <v>119</v>
      </c>
      <c r="R261" t="str">
        <f>IF(AMAZON_FASHION_5__2[[#This Row],[overall]]&gt;=4,"Positive",IF(AMAZON_FASHION_5__2[[#This Row],[overall]]&lt;=2,"Negative","Neutral"))</f>
        <v>Positive</v>
      </c>
      <c r="S2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62" spans="1:19" x14ac:dyDescent="0.25">
      <c r="A262">
        <v>5</v>
      </c>
      <c r="B262" t="b">
        <v>1</v>
      </c>
      <c r="C262" s="1">
        <v>42983</v>
      </c>
      <c r="D262">
        <f>YEAR(AMAZON_FASHION_5__2[[#This Row],[reviewDate]])</f>
        <v>2017</v>
      </c>
      <c r="E262" s="1" t="str">
        <f>TEXT(AMAZON_FASHION_5__2[[#This Row],[reviewDate]], "mmmm")</f>
        <v>September</v>
      </c>
      <c r="F262" t="s">
        <v>608</v>
      </c>
      <c r="G262" t="s">
        <v>196</v>
      </c>
      <c r="H262" t="s">
        <v>235</v>
      </c>
      <c r="I262" t="s">
        <v>274</v>
      </c>
      <c r="J262" t="s">
        <v>609</v>
      </c>
      <c r="K262" t="s">
        <v>610</v>
      </c>
      <c r="L262" t="s">
        <v>17</v>
      </c>
      <c r="M262">
        <v>1504569600</v>
      </c>
      <c r="N262" t="s">
        <v>1628</v>
      </c>
      <c r="O262" t="s">
        <v>1628</v>
      </c>
      <c r="P262" t="s">
        <v>1628</v>
      </c>
      <c r="Q262">
        <f>LEN(AMAZON_FASHION_5__2[[#This Row],[reviewText]])</f>
        <v>16</v>
      </c>
      <c r="R262" t="str">
        <f>IF(AMAZON_FASHION_5__2[[#This Row],[overall]]&gt;=4,"Positive",IF(AMAZON_FASHION_5__2[[#This Row],[overall]]&lt;=2,"Negative","Neutral"))</f>
        <v>Positive</v>
      </c>
      <c r="S2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63" spans="1:19" x14ac:dyDescent="0.25">
      <c r="A263">
        <v>5</v>
      </c>
      <c r="B263" t="b">
        <v>1</v>
      </c>
      <c r="C263" s="1">
        <v>42982</v>
      </c>
      <c r="D263">
        <f>YEAR(AMAZON_FASHION_5__2[[#This Row],[reviewDate]])</f>
        <v>2017</v>
      </c>
      <c r="E263" s="1" t="str">
        <f>TEXT(AMAZON_FASHION_5__2[[#This Row],[reviewDate]], "mmmm")</f>
        <v>September</v>
      </c>
      <c r="F263" t="s">
        <v>611</v>
      </c>
      <c r="G263" t="s">
        <v>196</v>
      </c>
      <c r="H263" t="s">
        <v>235</v>
      </c>
      <c r="I263" t="s">
        <v>198</v>
      </c>
      <c r="J263" t="s">
        <v>612</v>
      </c>
      <c r="K263" t="s">
        <v>613</v>
      </c>
      <c r="L263" t="s">
        <v>17</v>
      </c>
      <c r="M263">
        <v>1504483200</v>
      </c>
      <c r="N263" t="s">
        <v>1628</v>
      </c>
      <c r="O263" t="s">
        <v>1628</v>
      </c>
      <c r="P263" t="s">
        <v>1628</v>
      </c>
      <c r="Q263">
        <f>LEN(AMAZON_FASHION_5__2[[#This Row],[reviewText]])</f>
        <v>12</v>
      </c>
      <c r="R263" t="str">
        <f>IF(AMAZON_FASHION_5__2[[#This Row],[overall]]&gt;=4,"Positive",IF(AMAZON_FASHION_5__2[[#This Row],[overall]]&lt;=2,"Negative","Neutral"))</f>
        <v>Positive</v>
      </c>
      <c r="S2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64" spans="1:19" x14ac:dyDescent="0.25">
      <c r="A264">
        <v>4</v>
      </c>
      <c r="B264" t="b">
        <v>1</v>
      </c>
      <c r="C264" s="1">
        <v>42976</v>
      </c>
      <c r="D264">
        <f>YEAR(AMAZON_FASHION_5__2[[#This Row],[reviewDate]])</f>
        <v>2017</v>
      </c>
      <c r="E264" s="1" t="str">
        <f>TEXT(AMAZON_FASHION_5__2[[#This Row],[reviewDate]], "mmmm")</f>
        <v>August</v>
      </c>
      <c r="F264" t="s">
        <v>614</v>
      </c>
      <c r="G264" t="s">
        <v>196</v>
      </c>
      <c r="H264" t="s">
        <v>230</v>
      </c>
      <c r="I264" t="s">
        <v>507</v>
      </c>
      <c r="J264" t="s">
        <v>615</v>
      </c>
      <c r="K264" t="s">
        <v>616</v>
      </c>
      <c r="L264" t="s">
        <v>617</v>
      </c>
      <c r="M264">
        <v>1503964800</v>
      </c>
      <c r="N264" t="s">
        <v>1628</v>
      </c>
      <c r="O264" t="s">
        <v>1628</v>
      </c>
      <c r="P264" t="s">
        <v>1628</v>
      </c>
      <c r="Q264">
        <f>LEN(AMAZON_FASHION_5__2[[#This Row],[reviewText]])</f>
        <v>118</v>
      </c>
      <c r="R264" t="str">
        <f>IF(AMAZON_FASHION_5__2[[#This Row],[overall]]&gt;=4,"Positive",IF(AMAZON_FASHION_5__2[[#This Row],[overall]]&lt;=2,"Negative","Neutral"))</f>
        <v>Positive</v>
      </c>
      <c r="S2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65" spans="1:19" x14ac:dyDescent="0.25">
      <c r="A265">
        <v>1</v>
      </c>
      <c r="B265" t="b">
        <v>1</v>
      </c>
      <c r="C265" s="1">
        <v>42976</v>
      </c>
      <c r="D265">
        <f>YEAR(AMAZON_FASHION_5__2[[#This Row],[reviewDate]])</f>
        <v>2017</v>
      </c>
      <c r="E265" s="1" t="str">
        <f>TEXT(AMAZON_FASHION_5__2[[#This Row],[reviewDate]], "mmmm")</f>
        <v>August</v>
      </c>
      <c r="F265" t="s">
        <v>618</v>
      </c>
      <c r="G265" t="s">
        <v>196</v>
      </c>
      <c r="H265" t="s">
        <v>558</v>
      </c>
      <c r="I265" t="s">
        <v>198</v>
      </c>
      <c r="J265" t="s">
        <v>619</v>
      </c>
      <c r="K265" t="s">
        <v>620</v>
      </c>
      <c r="L265" t="s">
        <v>65</v>
      </c>
      <c r="M265">
        <v>1503964800</v>
      </c>
      <c r="N265" t="s">
        <v>1628</v>
      </c>
      <c r="O265" t="s">
        <v>1628</v>
      </c>
      <c r="P265" t="s">
        <v>1628</v>
      </c>
      <c r="Q265">
        <f>LEN(AMAZON_FASHION_5__2[[#This Row],[reviewText]])</f>
        <v>52</v>
      </c>
      <c r="R265" t="str">
        <f>IF(AMAZON_FASHION_5__2[[#This Row],[overall]]&gt;=4,"Positive",IF(AMAZON_FASHION_5__2[[#This Row],[overall]]&lt;=2,"Negative","Neutral"))</f>
        <v>Negative</v>
      </c>
      <c r="S2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66" spans="1:19" x14ac:dyDescent="0.25">
      <c r="A266">
        <v>5</v>
      </c>
      <c r="B266" t="b">
        <v>1</v>
      </c>
      <c r="C266" s="1">
        <v>42976</v>
      </c>
      <c r="D266">
        <f>YEAR(AMAZON_FASHION_5__2[[#This Row],[reviewDate]])</f>
        <v>2017</v>
      </c>
      <c r="E266" s="1" t="str">
        <f>TEXT(AMAZON_FASHION_5__2[[#This Row],[reviewDate]], "mmmm")</f>
        <v>August</v>
      </c>
      <c r="F266" t="s">
        <v>621</v>
      </c>
      <c r="G266" t="s">
        <v>196</v>
      </c>
      <c r="H266" t="s">
        <v>210</v>
      </c>
      <c r="I266" t="s">
        <v>198</v>
      </c>
      <c r="J266" t="s">
        <v>622</v>
      </c>
      <c r="K266" t="s">
        <v>623</v>
      </c>
      <c r="L266" t="s">
        <v>17</v>
      </c>
      <c r="M266">
        <v>1503964800</v>
      </c>
      <c r="N266" t="s">
        <v>1628</v>
      </c>
      <c r="O266" t="s">
        <v>1628</v>
      </c>
      <c r="P266" t="s">
        <v>1628</v>
      </c>
      <c r="Q266">
        <f>LEN(AMAZON_FASHION_5__2[[#This Row],[reviewText]])</f>
        <v>30</v>
      </c>
      <c r="R266" t="str">
        <f>IF(AMAZON_FASHION_5__2[[#This Row],[overall]]&gt;=4,"Positive",IF(AMAZON_FASHION_5__2[[#This Row],[overall]]&lt;=2,"Negative","Neutral"))</f>
        <v>Positive</v>
      </c>
      <c r="S2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67" spans="1:19" x14ac:dyDescent="0.25">
      <c r="A267">
        <v>5</v>
      </c>
      <c r="B267" t="b">
        <v>1</v>
      </c>
      <c r="C267" s="1">
        <v>42974</v>
      </c>
      <c r="D267">
        <f>YEAR(AMAZON_FASHION_5__2[[#This Row],[reviewDate]])</f>
        <v>2017</v>
      </c>
      <c r="E267" s="1" t="str">
        <f>TEXT(AMAZON_FASHION_5__2[[#This Row],[reviewDate]], "mmmm")</f>
        <v>August</v>
      </c>
      <c r="F267" t="s">
        <v>624</v>
      </c>
      <c r="G267" t="s">
        <v>196</v>
      </c>
      <c r="H267" t="s">
        <v>201</v>
      </c>
      <c r="I267" t="s">
        <v>99</v>
      </c>
      <c r="J267" t="s">
        <v>625</v>
      </c>
      <c r="K267" t="s">
        <v>626</v>
      </c>
      <c r="L267" t="s">
        <v>627</v>
      </c>
      <c r="M267">
        <v>1503792000</v>
      </c>
      <c r="N267" t="s">
        <v>1628</v>
      </c>
      <c r="O267" t="s">
        <v>1628</v>
      </c>
      <c r="P267" t="s">
        <v>1628</v>
      </c>
      <c r="Q267">
        <f>LEN(AMAZON_FASHION_5__2[[#This Row],[reviewText]])</f>
        <v>17</v>
      </c>
      <c r="R267" t="str">
        <f>IF(AMAZON_FASHION_5__2[[#This Row],[overall]]&gt;=4,"Positive",IF(AMAZON_FASHION_5__2[[#This Row],[overall]]&lt;=2,"Negative","Neutral"))</f>
        <v>Positive</v>
      </c>
      <c r="S2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68" spans="1:19" x14ac:dyDescent="0.25">
      <c r="A268">
        <v>4</v>
      </c>
      <c r="B268" t="b">
        <v>1</v>
      </c>
      <c r="C268" s="1">
        <v>42971</v>
      </c>
      <c r="D268">
        <f>YEAR(AMAZON_FASHION_5__2[[#This Row],[reviewDate]])</f>
        <v>2017</v>
      </c>
      <c r="E268" s="1" t="str">
        <f>TEXT(AMAZON_FASHION_5__2[[#This Row],[reviewDate]], "mmmm")</f>
        <v>August</v>
      </c>
      <c r="F268" t="s">
        <v>628</v>
      </c>
      <c r="G268" t="s">
        <v>196</v>
      </c>
      <c r="H268" t="s">
        <v>210</v>
      </c>
      <c r="I268" t="s">
        <v>435</v>
      </c>
      <c r="J268" t="s">
        <v>629</v>
      </c>
      <c r="K268" t="s">
        <v>630</v>
      </c>
      <c r="L268" t="s">
        <v>247</v>
      </c>
      <c r="M268">
        <v>1503532800</v>
      </c>
      <c r="N268" t="s">
        <v>1628</v>
      </c>
      <c r="O268" t="s">
        <v>1628</v>
      </c>
      <c r="P268" t="s">
        <v>1628</v>
      </c>
      <c r="Q268">
        <f>LEN(AMAZON_FASHION_5__2[[#This Row],[reviewText]])</f>
        <v>225</v>
      </c>
      <c r="R268" t="str">
        <f>IF(AMAZON_FASHION_5__2[[#This Row],[overall]]&gt;=4,"Positive",IF(AMAZON_FASHION_5__2[[#This Row],[overall]]&lt;=2,"Negative","Neutral"))</f>
        <v>Positive</v>
      </c>
      <c r="S2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69" spans="1:19" x14ac:dyDescent="0.25">
      <c r="A269">
        <v>1</v>
      </c>
      <c r="B269" t="b">
        <v>1</v>
      </c>
      <c r="C269" s="1">
        <v>42971</v>
      </c>
      <c r="D269">
        <f>YEAR(AMAZON_FASHION_5__2[[#This Row],[reviewDate]])</f>
        <v>2017</v>
      </c>
      <c r="E269" s="1" t="str">
        <f>TEXT(AMAZON_FASHION_5__2[[#This Row],[reviewDate]], "mmmm")</f>
        <v>August</v>
      </c>
      <c r="F269" t="s">
        <v>631</v>
      </c>
      <c r="G269" t="s">
        <v>196</v>
      </c>
      <c r="H269" t="s">
        <v>235</v>
      </c>
      <c r="I269" t="s">
        <v>411</v>
      </c>
      <c r="J269" t="s">
        <v>632</v>
      </c>
      <c r="K269" t="s">
        <v>633</v>
      </c>
      <c r="L269" t="s">
        <v>634</v>
      </c>
      <c r="M269">
        <v>1503532800</v>
      </c>
      <c r="N269" t="s">
        <v>1628</v>
      </c>
      <c r="O269" t="s">
        <v>1628</v>
      </c>
      <c r="P269" t="s">
        <v>1628</v>
      </c>
      <c r="Q269">
        <f>LEN(AMAZON_FASHION_5__2[[#This Row],[reviewText]])</f>
        <v>213</v>
      </c>
      <c r="R269" t="str">
        <f>IF(AMAZON_FASHION_5__2[[#This Row],[overall]]&gt;=4,"Positive",IF(AMAZON_FASHION_5__2[[#This Row],[overall]]&lt;=2,"Negative","Neutral"))</f>
        <v>Negative</v>
      </c>
      <c r="S2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70" spans="1:19" x14ac:dyDescent="0.25">
      <c r="A270">
        <v>5</v>
      </c>
      <c r="B270" t="b">
        <v>1</v>
      </c>
      <c r="C270" s="1">
        <v>42968</v>
      </c>
      <c r="D270">
        <f>YEAR(AMAZON_FASHION_5__2[[#This Row],[reviewDate]])</f>
        <v>2017</v>
      </c>
      <c r="E270" s="1" t="str">
        <f>TEXT(AMAZON_FASHION_5__2[[#This Row],[reviewDate]], "mmmm")</f>
        <v>August</v>
      </c>
      <c r="F270" t="s">
        <v>635</v>
      </c>
      <c r="G270" t="s">
        <v>196</v>
      </c>
      <c r="H270" t="s">
        <v>477</v>
      </c>
      <c r="I270" t="s">
        <v>303</v>
      </c>
      <c r="J270" t="s">
        <v>636</v>
      </c>
      <c r="K270" t="s">
        <v>637</v>
      </c>
      <c r="L270" t="s">
        <v>638</v>
      </c>
      <c r="M270">
        <v>1503273600</v>
      </c>
      <c r="N270" t="s">
        <v>1628</v>
      </c>
      <c r="O270" t="s">
        <v>1628</v>
      </c>
      <c r="P270" t="s">
        <v>1628</v>
      </c>
      <c r="Q270">
        <f>LEN(AMAZON_FASHION_5__2[[#This Row],[reviewText]])</f>
        <v>55</v>
      </c>
      <c r="R270" t="str">
        <f>IF(AMAZON_FASHION_5__2[[#This Row],[overall]]&gt;=4,"Positive",IF(AMAZON_FASHION_5__2[[#This Row],[overall]]&lt;=2,"Negative","Neutral"))</f>
        <v>Positive</v>
      </c>
      <c r="S2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71" spans="1:19" x14ac:dyDescent="0.25">
      <c r="A271">
        <v>5</v>
      </c>
      <c r="B271" t="b">
        <v>1</v>
      </c>
      <c r="C271" s="1">
        <v>42967</v>
      </c>
      <c r="D271">
        <f>YEAR(AMAZON_FASHION_5__2[[#This Row],[reviewDate]])</f>
        <v>2017</v>
      </c>
      <c r="E271" s="1" t="str">
        <f>TEXT(AMAZON_FASHION_5__2[[#This Row],[reviewDate]], "mmmm")</f>
        <v>August</v>
      </c>
      <c r="F271" t="s">
        <v>639</v>
      </c>
      <c r="G271" t="s">
        <v>196</v>
      </c>
      <c r="H271" t="s">
        <v>197</v>
      </c>
      <c r="I271" t="s">
        <v>198</v>
      </c>
      <c r="J271" t="s">
        <v>640</v>
      </c>
      <c r="K271" t="s">
        <v>406</v>
      </c>
      <c r="L271" t="s">
        <v>17</v>
      </c>
      <c r="M271">
        <v>1503187200</v>
      </c>
      <c r="N271" t="s">
        <v>1628</v>
      </c>
      <c r="O271" t="s">
        <v>1628</v>
      </c>
      <c r="P271" t="s">
        <v>1628</v>
      </c>
      <c r="Q271">
        <f>LEN(AMAZON_FASHION_5__2[[#This Row],[reviewText]])</f>
        <v>10</v>
      </c>
      <c r="R271" t="str">
        <f>IF(AMAZON_FASHION_5__2[[#This Row],[overall]]&gt;=4,"Positive",IF(AMAZON_FASHION_5__2[[#This Row],[overall]]&lt;=2,"Negative","Neutral"))</f>
        <v>Positive</v>
      </c>
      <c r="S2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72" spans="1:19" x14ac:dyDescent="0.25">
      <c r="A272">
        <v>3</v>
      </c>
      <c r="B272" t="b">
        <v>1</v>
      </c>
      <c r="C272" s="1">
        <v>42964</v>
      </c>
      <c r="D272">
        <f>YEAR(AMAZON_FASHION_5__2[[#This Row],[reviewDate]])</f>
        <v>2017</v>
      </c>
      <c r="E272" s="1" t="str">
        <f>TEXT(AMAZON_FASHION_5__2[[#This Row],[reviewDate]], "mmmm")</f>
        <v>August</v>
      </c>
      <c r="F272" t="s">
        <v>641</v>
      </c>
      <c r="G272" t="s">
        <v>196</v>
      </c>
      <c r="H272" t="s">
        <v>477</v>
      </c>
      <c r="I272" t="s">
        <v>642</v>
      </c>
      <c r="J272" t="s">
        <v>643</v>
      </c>
      <c r="K272" t="s">
        <v>644</v>
      </c>
      <c r="L272" t="s">
        <v>645</v>
      </c>
      <c r="M272">
        <v>1502928000</v>
      </c>
      <c r="N272" t="s">
        <v>1628</v>
      </c>
      <c r="O272" t="s">
        <v>1628</v>
      </c>
      <c r="P272" t="s">
        <v>1628</v>
      </c>
      <c r="Q272">
        <f>LEN(AMAZON_FASHION_5__2[[#This Row],[reviewText]])</f>
        <v>50</v>
      </c>
      <c r="R272" t="str">
        <f>IF(AMAZON_FASHION_5__2[[#This Row],[overall]]&gt;=4,"Positive",IF(AMAZON_FASHION_5__2[[#This Row],[overall]]&lt;=2,"Negative","Neutral"))</f>
        <v>Neutral</v>
      </c>
      <c r="S2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73" spans="1:19" x14ac:dyDescent="0.25">
      <c r="A273">
        <v>5</v>
      </c>
      <c r="B273" t="b">
        <v>1</v>
      </c>
      <c r="C273" s="1">
        <v>42964</v>
      </c>
      <c r="D273">
        <f>YEAR(AMAZON_FASHION_5__2[[#This Row],[reviewDate]])</f>
        <v>2017</v>
      </c>
      <c r="E273" s="1" t="str">
        <f>TEXT(AMAZON_FASHION_5__2[[#This Row],[reviewDate]], "mmmm")</f>
        <v>August</v>
      </c>
      <c r="F273" t="s">
        <v>646</v>
      </c>
      <c r="G273" t="s">
        <v>196</v>
      </c>
      <c r="H273" t="s">
        <v>201</v>
      </c>
      <c r="I273" t="s">
        <v>198</v>
      </c>
      <c r="J273" t="s">
        <v>647</v>
      </c>
      <c r="K273" t="s">
        <v>648</v>
      </c>
      <c r="L273" t="s">
        <v>17</v>
      </c>
      <c r="M273">
        <v>1502928000</v>
      </c>
      <c r="N273" t="s">
        <v>1628</v>
      </c>
      <c r="O273" t="s">
        <v>1628</v>
      </c>
      <c r="P273" t="s">
        <v>1628</v>
      </c>
      <c r="Q273">
        <f>LEN(AMAZON_FASHION_5__2[[#This Row],[reviewText]])</f>
        <v>37</v>
      </c>
      <c r="R273" t="str">
        <f>IF(AMAZON_FASHION_5__2[[#This Row],[overall]]&gt;=4,"Positive",IF(AMAZON_FASHION_5__2[[#This Row],[overall]]&lt;=2,"Negative","Neutral"))</f>
        <v>Positive</v>
      </c>
      <c r="S2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74" spans="1:19" x14ac:dyDescent="0.25">
      <c r="A274">
        <v>5</v>
      </c>
      <c r="B274" t="b">
        <v>1</v>
      </c>
      <c r="C274" s="1">
        <v>42962</v>
      </c>
      <c r="D274">
        <f>YEAR(AMAZON_FASHION_5__2[[#This Row],[reviewDate]])</f>
        <v>2017</v>
      </c>
      <c r="E274" s="1" t="str">
        <f>TEXT(AMAZON_FASHION_5__2[[#This Row],[reviewDate]], "mmmm")</f>
        <v>August</v>
      </c>
      <c r="F274" t="s">
        <v>649</v>
      </c>
      <c r="G274" t="s">
        <v>196</v>
      </c>
      <c r="H274" t="s">
        <v>61</v>
      </c>
      <c r="I274" t="s">
        <v>344</v>
      </c>
      <c r="J274" t="s">
        <v>63</v>
      </c>
      <c r="K274" t="s">
        <v>650</v>
      </c>
      <c r="L274" t="s">
        <v>17</v>
      </c>
      <c r="M274">
        <v>1502755200</v>
      </c>
      <c r="N274" t="s">
        <v>1628</v>
      </c>
      <c r="O274" t="s">
        <v>1628</v>
      </c>
      <c r="P274" t="s">
        <v>1628</v>
      </c>
      <c r="Q274">
        <f>LEN(AMAZON_FASHION_5__2[[#This Row],[reviewText]])</f>
        <v>16</v>
      </c>
      <c r="R274" t="str">
        <f>IF(AMAZON_FASHION_5__2[[#This Row],[overall]]&gt;=4,"Positive",IF(AMAZON_FASHION_5__2[[#This Row],[overall]]&lt;=2,"Negative","Neutral"))</f>
        <v>Positive</v>
      </c>
      <c r="S2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75" spans="1:19" x14ac:dyDescent="0.25">
      <c r="A275">
        <v>5</v>
      </c>
      <c r="B275" t="b">
        <v>1</v>
      </c>
      <c r="C275" s="1">
        <v>42961</v>
      </c>
      <c r="D275">
        <f>YEAR(AMAZON_FASHION_5__2[[#This Row],[reviewDate]])</f>
        <v>2017</v>
      </c>
      <c r="E275" s="1" t="str">
        <f>TEXT(AMAZON_FASHION_5__2[[#This Row],[reviewDate]], "mmmm")</f>
        <v>August</v>
      </c>
      <c r="F275" t="s">
        <v>651</v>
      </c>
      <c r="G275" t="s">
        <v>196</v>
      </c>
      <c r="H275" t="s">
        <v>230</v>
      </c>
      <c r="I275" t="s">
        <v>198</v>
      </c>
      <c r="J275" t="s">
        <v>652</v>
      </c>
      <c r="K275" t="s">
        <v>653</v>
      </c>
      <c r="L275" t="s">
        <v>654</v>
      </c>
      <c r="M275">
        <v>1502668800</v>
      </c>
      <c r="N275" t="s">
        <v>1628</v>
      </c>
      <c r="O275" t="s">
        <v>1628</v>
      </c>
      <c r="P275" t="s">
        <v>1628</v>
      </c>
      <c r="Q275">
        <f>LEN(AMAZON_FASHION_5__2[[#This Row],[reviewText]])</f>
        <v>145</v>
      </c>
      <c r="R275" t="str">
        <f>IF(AMAZON_FASHION_5__2[[#This Row],[overall]]&gt;=4,"Positive",IF(AMAZON_FASHION_5__2[[#This Row],[overall]]&lt;=2,"Negative","Neutral"))</f>
        <v>Positive</v>
      </c>
      <c r="S2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76" spans="1:19" x14ac:dyDescent="0.25">
      <c r="A276">
        <v>5</v>
      </c>
      <c r="B276" t="b">
        <v>1</v>
      </c>
      <c r="C276" s="1">
        <v>42959</v>
      </c>
      <c r="D276">
        <f>YEAR(AMAZON_FASHION_5__2[[#This Row],[reviewDate]])</f>
        <v>2017</v>
      </c>
      <c r="E276" s="1" t="str">
        <f>TEXT(AMAZON_FASHION_5__2[[#This Row],[reviewDate]], "mmmm")</f>
        <v>August</v>
      </c>
      <c r="F276" t="s">
        <v>655</v>
      </c>
      <c r="G276" t="s">
        <v>196</v>
      </c>
      <c r="H276" t="s">
        <v>210</v>
      </c>
      <c r="I276" t="s">
        <v>198</v>
      </c>
      <c r="J276" t="s">
        <v>656</v>
      </c>
      <c r="K276" t="s">
        <v>657</v>
      </c>
      <c r="L276" t="s">
        <v>658</v>
      </c>
      <c r="M276">
        <v>1502496000</v>
      </c>
      <c r="N276" t="s">
        <v>1628</v>
      </c>
      <c r="O276" t="s">
        <v>1628</v>
      </c>
      <c r="P276" t="s">
        <v>1628</v>
      </c>
      <c r="Q276">
        <f>LEN(AMAZON_FASHION_5__2[[#This Row],[reviewText]])</f>
        <v>230</v>
      </c>
      <c r="R276" t="str">
        <f>IF(AMAZON_FASHION_5__2[[#This Row],[overall]]&gt;=4,"Positive",IF(AMAZON_FASHION_5__2[[#This Row],[overall]]&lt;=2,"Negative","Neutral"))</f>
        <v>Positive</v>
      </c>
      <c r="S2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77" spans="1:19" x14ac:dyDescent="0.25">
      <c r="A277">
        <v>4</v>
      </c>
      <c r="B277" t="b">
        <v>1</v>
      </c>
      <c r="C277" s="1">
        <v>42958</v>
      </c>
      <c r="D277">
        <f>YEAR(AMAZON_FASHION_5__2[[#This Row],[reviewDate]])</f>
        <v>2017</v>
      </c>
      <c r="E277" s="1" t="str">
        <f>TEXT(AMAZON_FASHION_5__2[[#This Row],[reviewDate]], "mmmm")</f>
        <v>August</v>
      </c>
      <c r="F277" t="s">
        <v>659</v>
      </c>
      <c r="G277" t="s">
        <v>196</v>
      </c>
      <c r="H277" t="s">
        <v>477</v>
      </c>
      <c r="I277" t="s">
        <v>198</v>
      </c>
      <c r="J277" t="s">
        <v>660</v>
      </c>
      <c r="K277" t="s">
        <v>661</v>
      </c>
      <c r="L277" t="s">
        <v>103</v>
      </c>
      <c r="M277">
        <v>1502409600</v>
      </c>
      <c r="N277" t="s">
        <v>1628</v>
      </c>
      <c r="O277" t="s">
        <v>1628</v>
      </c>
      <c r="P277" t="s">
        <v>1628</v>
      </c>
      <c r="Q277">
        <f>LEN(AMAZON_FASHION_5__2[[#This Row],[reviewText]])</f>
        <v>59</v>
      </c>
      <c r="R277" t="str">
        <f>IF(AMAZON_FASHION_5__2[[#This Row],[overall]]&gt;=4,"Positive",IF(AMAZON_FASHION_5__2[[#This Row],[overall]]&lt;=2,"Negative","Neutral"))</f>
        <v>Positive</v>
      </c>
      <c r="S2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78" spans="1:19" x14ac:dyDescent="0.25">
      <c r="A278">
        <v>3</v>
      </c>
      <c r="B278" t="b">
        <v>1</v>
      </c>
      <c r="C278" s="1">
        <v>42955</v>
      </c>
      <c r="D278">
        <f>YEAR(AMAZON_FASHION_5__2[[#This Row],[reviewDate]])</f>
        <v>2017</v>
      </c>
      <c r="E278" s="1" t="str">
        <f>TEXT(AMAZON_FASHION_5__2[[#This Row],[reviewDate]], "mmmm")</f>
        <v>August</v>
      </c>
      <c r="F278" t="s">
        <v>662</v>
      </c>
      <c r="G278" t="s">
        <v>196</v>
      </c>
      <c r="H278" t="s">
        <v>210</v>
      </c>
      <c r="I278" t="s">
        <v>198</v>
      </c>
      <c r="J278" t="s">
        <v>663</v>
      </c>
      <c r="K278" t="s">
        <v>664</v>
      </c>
      <c r="L278" t="s">
        <v>665</v>
      </c>
      <c r="M278">
        <v>1502150400</v>
      </c>
      <c r="N278" t="s">
        <v>1628</v>
      </c>
      <c r="O278" t="s">
        <v>1628</v>
      </c>
      <c r="P278" t="s">
        <v>1628</v>
      </c>
      <c r="Q278">
        <f>LEN(AMAZON_FASHION_5__2[[#This Row],[reviewText]])</f>
        <v>138</v>
      </c>
      <c r="R278" t="str">
        <f>IF(AMAZON_FASHION_5__2[[#This Row],[overall]]&gt;=4,"Positive",IF(AMAZON_FASHION_5__2[[#This Row],[overall]]&lt;=2,"Negative","Neutral"))</f>
        <v>Neutral</v>
      </c>
      <c r="S2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79" spans="1:19" x14ac:dyDescent="0.25">
      <c r="A279">
        <v>5</v>
      </c>
      <c r="B279" t="b">
        <v>1</v>
      </c>
      <c r="C279" s="1">
        <v>42955</v>
      </c>
      <c r="D279">
        <f>YEAR(AMAZON_FASHION_5__2[[#This Row],[reviewDate]])</f>
        <v>2017</v>
      </c>
      <c r="E279" s="1" t="str">
        <f>TEXT(AMAZON_FASHION_5__2[[#This Row],[reviewDate]], "mmmm")</f>
        <v>August</v>
      </c>
      <c r="F279" t="s">
        <v>666</v>
      </c>
      <c r="G279" t="s">
        <v>196</v>
      </c>
      <c r="H279" t="s">
        <v>284</v>
      </c>
      <c r="I279" t="s">
        <v>198</v>
      </c>
      <c r="J279" t="s">
        <v>667</v>
      </c>
      <c r="K279" t="s">
        <v>668</v>
      </c>
      <c r="L279" t="s">
        <v>17</v>
      </c>
      <c r="M279">
        <v>1502150400</v>
      </c>
      <c r="N279" t="s">
        <v>1628</v>
      </c>
      <c r="O279" t="s">
        <v>1628</v>
      </c>
      <c r="P279" t="s">
        <v>1628</v>
      </c>
      <c r="Q279">
        <f>LEN(AMAZON_FASHION_5__2[[#This Row],[reviewText]])</f>
        <v>27</v>
      </c>
      <c r="R279" t="str">
        <f>IF(AMAZON_FASHION_5__2[[#This Row],[overall]]&gt;=4,"Positive",IF(AMAZON_FASHION_5__2[[#This Row],[overall]]&lt;=2,"Negative","Neutral"))</f>
        <v>Positive</v>
      </c>
      <c r="S2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80" spans="1:19" x14ac:dyDescent="0.25">
      <c r="A280">
        <v>5</v>
      </c>
      <c r="B280" t="b">
        <v>1</v>
      </c>
      <c r="C280" s="1">
        <v>42954</v>
      </c>
      <c r="D280">
        <f>YEAR(AMAZON_FASHION_5__2[[#This Row],[reviewDate]])</f>
        <v>2017</v>
      </c>
      <c r="E280" s="1" t="str">
        <f>TEXT(AMAZON_FASHION_5__2[[#This Row],[reviewDate]], "mmmm")</f>
        <v>August</v>
      </c>
      <c r="F280" t="s">
        <v>669</v>
      </c>
      <c r="G280" t="s">
        <v>196</v>
      </c>
      <c r="H280" t="s">
        <v>230</v>
      </c>
      <c r="I280" t="s">
        <v>396</v>
      </c>
      <c r="J280" t="s">
        <v>670</v>
      </c>
      <c r="K280" t="s">
        <v>671</v>
      </c>
      <c r="L280" t="s">
        <v>17</v>
      </c>
      <c r="M280">
        <v>1502064000</v>
      </c>
      <c r="N280" t="s">
        <v>1628</v>
      </c>
      <c r="O280" t="s">
        <v>1628</v>
      </c>
      <c r="P280" t="s">
        <v>1628</v>
      </c>
      <c r="Q280">
        <f>LEN(AMAZON_FASHION_5__2[[#This Row],[reviewText]])</f>
        <v>10</v>
      </c>
      <c r="R280" t="str">
        <f>IF(AMAZON_FASHION_5__2[[#This Row],[overall]]&gt;=4,"Positive",IF(AMAZON_FASHION_5__2[[#This Row],[overall]]&lt;=2,"Negative","Neutral"))</f>
        <v>Positive</v>
      </c>
      <c r="S2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81" spans="1:19" x14ac:dyDescent="0.25">
      <c r="A281">
        <v>5</v>
      </c>
      <c r="B281" t="b">
        <v>1</v>
      </c>
      <c r="C281" s="1">
        <v>42951</v>
      </c>
      <c r="D281">
        <f>YEAR(AMAZON_FASHION_5__2[[#This Row],[reviewDate]])</f>
        <v>2017</v>
      </c>
      <c r="E281" s="1" t="str">
        <f>TEXT(AMAZON_FASHION_5__2[[#This Row],[reviewDate]], "mmmm")</f>
        <v>August</v>
      </c>
      <c r="F281" t="s">
        <v>672</v>
      </c>
      <c r="G281" t="s">
        <v>196</v>
      </c>
      <c r="H281" t="s">
        <v>235</v>
      </c>
      <c r="I281" t="s">
        <v>274</v>
      </c>
      <c r="J281" t="s">
        <v>673</v>
      </c>
      <c r="K281" t="s">
        <v>674</v>
      </c>
      <c r="L281" t="s">
        <v>675</v>
      </c>
      <c r="M281">
        <v>1501804800</v>
      </c>
      <c r="N281" t="s">
        <v>1628</v>
      </c>
      <c r="O281" t="s">
        <v>1628</v>
      </c>
      <c r="P281" t="s">
        <v>1628</v>
      </c>
      <c r="Q281">
        <f>LEN(AMAZON_FASHION_5__2[[#This Row],[reviewText]])</f>
        <v>114</v>
      </c>
      <c r="R281" t="str">
        <f>IF(AMAZON_FASHION_5__2[[#This Row],[overall]]&gt;=4,"Positive",IF(AMAZON_FASHION_5__2[[#This Row],[overall]]&lt;=2,"Negative","Neutral"))</f>
        <v>Positive</v>
      </c>
      <c r="S2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82" spans="1:19" x14ac:dyDescent="0.25">
      <c r="A282">
        <v>3</v>
      </c>
      <c r="B282" t="b">
        <v>1</v>
      </c>
      <c r="C282" s="1">
        <v>42949</v>
      </c>
      <c r="D282">
        <f>YEAR(AMAZON_FASHION_5__2[[#This Row],[reviewDate]])</f>
        <v>2017</v>
      </c>
      <c r="E282" s="1" t="str">
        <f>TEXT(AMAZON_FASHION_5__2[[#This Row],[reviewDate]], "mmmm")</f>
        <v>August</v>
      </c>
      <c r="F282" t="s">
        <v>676</v>
      </c>
      <c r="G282" t="s">
        <v>196</v>
      </c>
      <c r="H282" t="s">
        <v>677</v>
      </c>
      <c r="I282" t="s">
        <v>198</v>
      </c>
      <c r="J282" t="s">
        <v>678</v>
      </c>
      <c r="K282" t="s">
        <v>679</v>
      </c>
      <c r="L282" t="s">
        <v>680</v>
      </c>
      <c r="M282">
        <v>1501632000</v>
      </c>
      <c r="N282" t="s">
        <v>1628</v>
      </c>
      <c r="O282" t="s">
        <v>1628</v>
      </c>
      <c r="P282" t="s">
        <v>1628</v>
      </c>
      <c r="Q282">
        <f>LEN(AMAZON_FASHION_5__2[[#This Row],[reviewText]])</f>
        <v>264</v>
      </c>
      <c r="R282" t="str">
        <f>IF(AMAZON_FASHION_5__2[[#This Row],[overall]]&gt;=4,"Positive",IF(AMAZON_FASHION_5__2[[#This Row],[overall]]&lt;=2,"Negative","Neutral"))</f>
        <v>Neutral</v>
      </c>
      <c r="S2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83" spans="1:19" x14ac:dyDescent="0.25">
      <c r="A283">
        <v>5</v>
      </c>
      <c r="B283" t="b">
        <v>1</v>
      </c>
      <c r="C283" s="1">
        <v>42936</v>
      </c>
      <c r="D283">
        <f>YEAR(AMAZON_FASHION_5__2[[#This Row],[reviewDate]])</f>
        <v>2017</v>
      </c>
      <c r="E283" s="1" t="str">
        <f>TEXT(AMAZON_FASHION_5__2[[#This Row],[reviewDate]], "mmmm")</f>
        <v>July</v>
      </c>
      <c r="F283" t="s">
        <v>681</v>
      </c>
      <c r="G283" t="s">
        <v>196</v>
      </c>
      <c r="H283" t="s">
        <v>210</v>
      </c>
      <c r="I283" t="s">
        <v>198</v>
      </c>
      <c r="J283" t="s">
        <v>63</v>
      </c>
      <c r="K283" t="s">
        <v>682</v>
      </c>
      <c r="L283" t="s">
        <v>365</v>
      </c>
      <c r="M283">
        <v>1500508800</v>
      </c>
      <c r="N283" t="s">
        <v>1628</v>
      </c>
      <c r="O283" t="s">
        <v>1628</v>
      </c>
      <c r="P283" t="s">
        <v>1628</v>
      </c>
      <c r="Q283">
        <f>LEN(AMAZON_FASHION_5__2[[#This Row],[reviewText]])</f>
        <v>34</v>
      </c>
      <c r="R283" t="str">
        <f>IF(AMAZON_FASHION_5__2[[#This Row],[overall]]&gt;=4,"Positive",IF(AMAZON_FASHION_5__2[[#This Row],[overall]]&lt;=2,"Negative","Neutral"))</f>
        <v>Positive</v>
      </c>
      <c r="S2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84" spans="1:19" x14ac:dyDescent="0.25">
      <c r="A284">
        <v>5</v>
      </c>
      <c r="B284" t="b">
        <v>1</v>
      </c>
      <c r="C284" s="1">
        <v>42934</v>
      </c>
      <c r="D284">
        <f>YEAR(AMAZON_FASHION_5__2[[#This Row],[reviewDate]])</f>
        <v>2017</v>
      </c>
      <c r="E284" s="1" t="str">
        <f>TEXT(AMAZON_FASHION_5__2[[#This Row],[reviewDate]], "mmmm")</f>
        <v>July</v>
      </c>
      <c r="F284" t="s">
        <v>683</v>
      </c>
      <c r="G284" t="s">
        <v>196</v>
      </c>
      <c r="H284" t="s">
        <v>230</v>
      </c>
      <c r="I284" t="s">
        <v>507</v>
      </c>
      <c r="J284" t="s">
        <v>684</v>
      </c>
      <c r="K284" t="s">
        <v>685</v>
      </c>
      <c r="L284" t="s">
        <v>686</v>
      </c>
      <c r="M284">
        <v>1500336000</v>
      </c>
      <c r="N284" t="s">
        <v>1628</v>
      </c>
      <c r="O284" t="s">
        <v>1628</v>
      </c>
      <c r="P284" t="s">
        <v>1628</v>
      </c>
      <c r="Q284">
        <f>LEN(AMAZON_FASHION_5__2[[#This Row],[reviewText]])</f>
        <v>124</v>
      </c>
      <c r="R284" t="str">
        <f>IF(AMAZON_FASHION_5__2[[#This Row],[overall]]&gt;=4,"Positive",IF(AMAZON_FASHION_5__2[[#This Row],[overall]]&lt;=2,"Negative","Neutral"))</f>
        <v>Positive</v>
      </c>
      <c r="S2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85" spans="1:19" x14ac:dyDescent="0.25">
      <c r="A285">
        <v>4</v>
      </c>
      <c r="B285" t="b">
        <v>1</v>
      </c>
      <c r="C285" s="1">
        <v>42934</v>
      </c>
      <c r="D285">
        <f>YEAR(AMAZON_FASHION_5__2[[#This Row],[reviewDate]])</f>
        <v>2017</v>
      </c>
      <c r="E285" s="1" t="str">
        <f>TEXT(AMAZON_FASHION_5__2[[#This Row],[reviewDate]], "mmmm")</f>
        <v>July</v>
      </c>
      <c r="F285" t="s">
        <v>687</v>
      </c>
      <c r="G285" t="s">
        <v>196</v>
      </c>
      <c r="H285" t="s">
        <v>235</v>
      </c>
      <c r="I285" t="s">
        <v>344</v>
      </c>
      <c r="J285" t="s">
        <v>688</v>
      </c>
      <c r="K285" t="s">
        <v>689</v>
      </c>
      <c r="L285" t="s">
        <v>103</v>
      </c>
      <c r="M285">
        <v>1500336000</v>
      </c>
      <c r="N285" t="s">
        <v>1628</v>
      </c>
      <c r="O285" t="s">
        <v>1628</v>
      </c>
      <c r="P285" t="s">
        <v>1628</v>
      </c>
      <c r="Q285">
        <f>LEN(AMAZON_FASHION_5__2[[#This Row],[reviewText]])</f>
        <v>28</v>
      </c>
      <c r="R285" t="str">
        <f>IF(AMAZON_FASHION_5__2[[#This Row],[overall]]&gt;=4,"Positive",IF(AMAZON_FASHION_5__2[[#This Row],[overall]]&lt;=2,"Negative","Neutral"))</f>
        <v>Positive</v>
      </c>
      <c r="S2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86" spans="1:19" x14ac:dyDescent="0.25">
      <c r="A286">
        <v>5</v>
      </c>
      <c r="B286" t="b">
        <v>1</v>
      </c>
      <c r="C286" s="1">
        <v>42934</v>
      </c>
      <c r="D286">
        <f>YEAR(AMAZON_FASHION_5__2[[#This Row],[reviewDate]])</f>
        <v>2017</v>
      </c>
      <c r="E286" s="1" t="str">
        <f>TEXT(AMAZON_FASHION_5__2[[#This Row],[reviewDate]], "mmmm")</f>
        <v>July</v>
      </c>
      <c r="F286" t="s">
        <v>690</v>
      </c>
      <c r="G286" t="s">
        <v>196</v>
      </c>
      <c r="H286" t="s">
        <v>197</v>
      </c>
      <c r="I286" t="s">
        <v>198</v>
      </c>
      <c r="J286" t="s">
        <v>691</v>
      </c>
      <c r="K286" t="s">
        <v>692</v>
      </c>
      <c r="L286" t="s">
        <v>693</v>
      </c>
      <c r="M286">
        <v>1500336000</v>
      </c>
      <c r="N286" t="s">
        <v>1628</v>
      </c>
      <c r="O286" t="s">
        <v>1628</v>
      </c>
      <c r="P286" t="s">
        <v>1628</v>
      </c>
      <c r="Q286">
        <f>LEN(AMAZON_FASHION_5__2[[#This Row],[reviewText]])</f>
        <v>184</v>
      </c>
      <c r="R286" t="str">
        <f>IF(AMAZON_FASHION_5__2[[#This Row],[overall]]&gt;=4,"Positive",IF(AMAZON_FASHION_5__2[[#This Row],[overall]]&lt;=2,"Negative","Neutral"))</f>
        <v>Positive</v>
      </c>
      <c r="S2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87" spans="1:19" x14ac:dyDescent="0.25">
      <c r="A287">
        <v>5</v>
      </c>
      <c r="B287" t="b">
        <v>1</v>
      </c>
      <c r="C287" s="1">
        <v>42934</v>
      </c>
      <c r="D287">
        <f>YEAR(AMAZON_FASHION_5__2[[#This Row],[reviewDate]])</f>
        <v>2017</v>
      </c>
      <c r="E287" s="1" t="str">
        <f>TEXT(AMAZON_FASHION_5__2[[#This Row],[reviewDate]], "mmmm")</f>
        <v>July</v>
      </c>
      <c r="F287" t="s">
        <v>694</v>
      </c>
      <c r="G287" t="s">
        <v>196</v>
      </c>
      <c r="H287" t="s">
        <v>205</v>
      </c>
      <c r="I287" t="s">
        <v>198</v>
      </c>
      <c r="J287" t="s">
        <v>695</v>
      </c>
      <c r="K287" t="s">
        <v>18</v>
      </c>
      <c r="L287" t="s">
        <v>17</v>
      </c>
      <c r="M287">
        <v>1500336000</v>
      </c>
      <c r="N287" t="s">
        <v>1628</v>
      </c>
      <c r="O287" t="s">
        <v>1628</v>
      </c>
      <c r="P287" t="s">
        <v>1628</v>
      </c>
      <c r="Q287">
        <f>LEN(AMAZON_FASHION_5__2[[#This Row],[reviewText]])</f>
        <v>0</v>
      </c>
      <c r="R287" t="str">
        <f>IF(AMAZON_FASHION_5__2[[#This Row],[overall]]&gt;=4,"Positive",IF(AMAZON_FASHION_5__2[[#This Row],[overall]]&lt;=2,"Negative","Neutral"))</f>
        <v>Positive</v>
      </c>
      <c r="S2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88" spans="1:19" x14ac:dyDescent="0.25">
      <c r="A288">
        <v>5</v>
      </c>
      <c r="B288" t="b">
        <v>1</v>
      </c>
      <c r="C288" s="1">
        <v>42934</v>
      </c>
      <c r="D288">
        <f>YEAR(AMAZON_FASHION_5__2[[#This Row],[reviewDate]])</f>
        <v>2017</v>
      </c>
      <c r="E288" s="1" t="str">
        <f>TEXT(AMAZON_FASHION_5__2[[#This Row],[reviewDate]], "mmmm")</f>
        <v>July</v>
      </c>
      <c r="F288" t="s">
        <v>696</v>
      </c>
      <c r="G288" t="s">
        <v>196</v>
      </c>
      <c r="H288" t="s">
        <v>210</v>
      </c>
      <c r="I288" t="s">
        <v>99</v>
      </c>
      <c r="J288" t="s">
        <v>697</v>
      </c>
      <c r="K288" t="s">
        <v>276</v>
      </c>
      <c r="L288" t="s">
        <v>17</v>
      </c>
      <c r="M288">
        <v>1500336000</v>
      </c>
      <c r="N288" t="s">
        <v>1628</v>
      </c>
      <c r="O288" t="s">
        <v>1628</v>
      </c>
      <c r="P288" t="s">
        <v>1628</v>
      </c>
      <c r="Q288">
        <f>LEN(AMAZON_FASHION_5__2[[#This Row],[reviewText]])</f>
        <v>4</v>
      </c>
      <c r="R288" t="str">
        <f>IF(AMAZON_FASHION_5__2[[#This Row],[overall]]&gt;=4,"Positive",IF(AMAZON_FASHION_5__2[[#This Row],[overall]]&lt;=2,"Negative","Neutral"))</f>
        <v>Positive</v>
      </c>
      <c r="S2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89" spans="1:19" x14ac:dyDescent="0.25">
      <c r="A289">
        <v>5</v>
      </c>
      <c r="B289" t="b">
        <v>1</v>
      </c>
      <c r="C289" s="1">
        <v>42934</v>
      </c>
      <c r="D289">
        <f>YEAR(AMAZON_FASHION_5__2[[#This Row],[reviewDate]])</f>
        <v>2017</v>
      </c>
      <c r="E289" s="1" t="str">
        <f>TEXT(AMAZON_FASHION_5__2[[#This Row],[reviewDate]], "mmmm")</f>
        <v>July</v>
      </c>
      <c r="F289" t="s">
        <v>698</v>
      </c>
      <c r="G289" t="s">
        <v>196</v>
      </c>
      <c r="H289" t="s">
        <v>210</v>
      </c>
      <c r="I289" t="s">
        <v>642</v>
      </c>
      <c r="J289" t="s">
        <v>63</v>
      </c>
      <c r="K289" t="s">
        <v>699</v>
      </c>
      <c r="L289" t="s">
        <v>700</v>
      </c>
      <c r="M289">
        <v>1500336000</v>
      </c>
      <c r="N289" t="s">
        <v>1628</v>
      </c>
      <c r="O289" t="s">
        <v>1628</v>
      </c>
      <c r="P289" t="s">
        <v>1628</v>
      </c>
      <c r="Q289">
        <f>LEN(AMAZON_FASHION_5__2[[#This Row],[reviewText]])</f>
        <v>99</v>
      </c>
      <c r="R289" t="str">
        <f>IF(AMAZON_FASHION_5__2[[#This Row],[overall]]&gt;=4,"Positive",IF(AMAZON_FASHION_5__2[[#This Row],[overall]]&lt;=2,"Negative","Neutral"))</f>
        <v>Positive</v>
      </c>
      <c r="S2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90" spans="1:19" x14ac:dyDescent="0.25">
      <c r="A290">
        <v>5</v>
      </c>
      <c r="B290" t="b">
        <v>1</v>
      </c>
      <c r="C290" s="1">
        <v>42934</v>
      </c>
      <c r="D290">
        <f>YEAR(AMAZON_FASHION_5__2[[#This Row],[reviewDate]])</f>
        <v>2017</v>
      </c>
      <c r="E290" s="1" t="str">
        <f>TEXT(AMAZON_FASHION_5__2[[#This Row],[reviewDate]], "mmmm")</f>
        <v>July</v>
      </c>
      <c r="F290" t="s">
        <v>701</v>
      </c>
      <c r="G290" t="s">
        <v>196</v>
      </c>
      <c r="H290" t="s">
        <v>201</v>
      </c>
      <c r="I290" t="s">
        <v>198</v>
      </c>
      <c r="J290" t="s">
        <v>702</v>
      </c>
      <c r="K290" t="s">
        <v>703</v>
      </c>
      <c r="L290" t="s">
        <v>704</v>
      </c>
      <c r="M290">
        <v>1500336000</v>
      </c>
      <c r="N290" t="s">
        <v>1628</v>
      </c>
      <c r="O290" t="s">
        <v>1628</v>
      </c>
      <c r="P290" t="s">
        <v>1628</v>
      </c>
      <c r="Q290">
        <f>LEN(AMAZON_FASHION_5__2[[#This Row],[reviewText]])</f>
        <v>178</v>
      </c>
      <c r="R290" t="str">
        <f>IF(AMAZON_FASHION_5__2[[#This Row],[overall]]&gt;=4,"Positive",IF(AMAZON_FASHION_5__2[[#This Row],[overall]]&lt;=2,"Negative","Neutral"))</f>
        <v>Positive</v>
      </c>
      <c r="S2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91" spans="1:19" x14ac:dyDescent="0.25">
      <c r="A291">
        <v>5</v>
      </c>
      <c r="B291" t="b">
        <v>1</v>
      </c>
      <c r="C291" s="1">
        <v>42931</v>
      </c>
      <c r="D291">
        <f>YEAR(AMAZON_FASHION_5__2[[#This Row],[reviewDate]])</f>
        <v>2017</v>
      </c>
      <c r="E291" s="1" t="str">
        <f>TEXT(AMAZON_FASHION_5__2[[#This Row],[reviewDate]], "mmmm")</f>
        <v>July</v>
      </c>
      <c r="F291" t="s">
        <v>705</v>
      </c>
      <c r="G291" t="s">
        <v>196</v>
      </c>
      <c r="H291" t="s">
        <v>205</v>
      </c>
      <c r="I291" t="s">
        <v>396</v>
      </c>
      <c r="J291" t="s">
        <v>706</v>
      </c>
      <c r="K291" t="s">
        <v>707</v>
      </c>
      <c r="L291" t="s">
        <v>17</v>
      </c>
      <c r="M291">
        <v>1500076800</v>
      </c>
      <c r="N291" t="s">
        <v>1628</v>
      </c>
      <c r="O291" t="s">
        <v>1628</v>
      </c>
      <c r="P291" t="s">
        <v>1628</v>
      </c>
      <c r="Q291">
        <f>LEN(AMAZON_FASHION_5__2[[#This Row],[reviewText]])</f>
        <v>30</v>
      </c>
      <c r="R291" t="str">
        <f>IF(AMAZON_FASHION_5__2[[#This Row],[overall]]&gt;=4,"Positive",IF(AMAZON_FASHION_5__2[[#This Row],[overall]]&lt;=2,"Negative","Neutral"))</f>
        <v>Positive</v>
      </c>
      <c r="S2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92" spans="1:19" x14ac:dyDescent="0.25">
      <c r="A292">
        <v>3</v>
      </c>
      <c r="B292" t="b">
        <v>1</v>
      </c>
      <c r="C292" s="1">
        <v>42931</v>
      </c>
      <c r="D292">
        <f>YEAR(AMAZON_FASHION_5__2[[#This Row],[reviewDate]])</f>
        <v>2017</v>
      </c>
      <c r="E292" s="1" t="str">
        <f>TEXT(AMAZON_FASHION_5__2[[#This Row],[reviewDate]], "mmmm")</f>
        <v>July</v>
      </c>
      <c r="F292" t="s">
        <v>708</v>
      </c>
      <c r="G292" t="s">
        <v>196</v>
      </c>
      <c r="H292" t="s">
        <v>230</v>
      </c>
      <c r="I292" t="s">
        <v>274</v>
      </c>
      <c r="J292" t="s">
        <v>709</v>
      </c>
      <c r="K292" t="s">
        <v>710</v>
      </c>
      <c r="L292" t="s">
        <v>711</v>
      </c>
      <c r="M292">
        <v>1500076800</v>
      </c>
      <c r="N292" t="s">
        <v>1628</v>
      </c>
      <c r="O292" t="s">
        <v>1628</v>
      </c>
      <c r="P292" t="s">
        <v>1628</v>
      </c>
      <c r="Q292">
        <f>LEN(AMAZON_FASHION_5__2[[#This Row],[reviewText]])</f>
        <v>130</v>
      </c>
      <c r="R292" t="str">
        <f>IF(AMAZON_FASHION_5__2[[#This Row],[overall]]&gt;=4,"Positive",IF(AMAZON_FASHION_5__2[[#This Row],[overall]]&lt;=2,"Negative","Neutral"))</f>
        <v>Neutral</v>
      </c>
      <c r="S2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93" spans="1:19" x14ac:dyDescent="0.25">
      <c r="A293">
        <v>5</v>
      </c>
      <c r="B293" t="b">
        <v>1</v>
      </c>
      <c r="C293" s="1">
        <v>42925</v>
      </c>
      <c r="D293">
        <f>YEAR(AMAZON_FASHION_5__2[[#This Row],[reviewDate]])</f>
        <v>2017</v>
      </c>
      <c r="E293" s="1" t="str">
        <f>TEXT(AMAZON_FASHION_5__2[[#This Row],[reviewDate]], "mmmm")</f>
        <v>July</v>
      </c>
      <c r="F293" t="s">
        <v>712</v>
      </c>
      <c r="G293" t="s">
        <v>196</v>
      </c>
      <c r="H293" t="s">
        <v>477</v>
      </c>
      <c r="I293" t="s">
        <v>419</v>
      </c>
      <c r="J293" t="s">
        <v>713</v>
      </c>
      <c r="K293" t="s">
        <v>714</v>
      </c>
      <c r="L293" t="s">
        <v>715</v>
      </c>
      <c r="M293">
        <v>1499558400</v>
      </c>
      <c r="N293" t="s">
        <v>1628</v>
      </c>
      <c r="O293" t="s">
        <v>1628</v>
      </c>
      <c r="P293" t="s">
        <v>1628</v>
      </c>
      <c r="Q293">
        <f>LEN(AMAZON_FASHION_5__2[[#This Row],[reviewText]])</f>
        <v>112</v>
      </c>
      <c r="R293" t="str">
        <f>IF(AMAZON_FASHION_5__2[[#This Row],[overall]]&gt;=4,"Positive",IF(AMAZON_FASHION_5__2[[#This Row],[overall]]&lt;=2,"Negative","Neutral"))</f>
        <v>Positive</v>
      </c>
      <c r="S2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94" spans="1:19" x14ac:dyDescent="0.25">
      <c r="A294">
        <v>5</v>
      </c>
      <c r="B294" t="b">
        <v>1</v>
      </c>
      <c r="C294" s="1">
        <v>42924</v>
      </c>
      <c r="D294">
        <f>YEAR(AMAZON_FASHION_5__2[[#This Row],[reviewDate]])</f>
        <v>2017</v>
      </c>
      <c r="E294" s="1" t="str">
        <f>TEXT(AMAZON_FASHION_5__2[[#This Row],[reviewDate]], "mmmm")</f>
        <v>July</v>
      </c>
      <c r="F294" t="s">
        <v>716</v>
      </c>
      <c r="G294" t="s">
        <v>196</v>
      </c>
      <c r="H294" t="s">
        <v>717</v>
      </c>
      <c r="I294" t="s">
        <v>336</v>
      </c>
      <c r="J294" t="s">
        <v>718</v>
      </c>
      <c r="K294" t="s">
        <v>719</v>
      </c>
      <c r="L294" t="s">
        <v>720</v>
      </c>
      <c r="M294">
        <v>1499472000</v>
      </c>
      <c r="N294" t="s">
        <v>1628</v>
      </c>
      <c r="O294" t="s">
        <v>1628</v>
      </c>
      <c r="P294" t="s">
        <v>1628</v>
      </c>
      <c r="Q294">
        <f>LEN(AMAZON_FASHION_5__2[[#This Row],[reviewText]])</f>
        <v>22</v>
      </c>
      <c r="R294" t="str">
        <f>IF(AMAZON_FASHION_5__2[[#This Row],[overall]]&gt;=4,"Positive",IF(AMAZON_FASHION_5__2[[#This Row],[overall]]&lt;=2,"Negative","Neutral"))</f>
        <v>Positive</v>
      </c>
      <c r="S2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95" spans="1:19" x14ac:dyDescent="0.25">
      <c r="A295">
        <v>4</v>
      </c>
      <c r="B295" t="b">
        <v>1</v>
      </c>
      <c r="C295" s="1">
        <v>42923</v>
      </c>
      <c r="D295">
        <f>YEAR(AMAZON_FASHION_5__2[[#This Row],[reviewDate]])</f>
        <v>2017</v>
      </c>
      <c r="E295" s="1" t="str">
        <f>TEXT(AMAZON_FASHION_5__2[[#This Row],[reviewDate]], "mmmm")</f>
        <v>July</v>
      </c>
      <c r="F295" t="s">
        <v>721</v>
      </c>
      <c r="G295" t="s">
        <v>196</v>
      </c>
      <c r="H295" t="s">
        <v>201</v>
      </c>
      <c r="I295" t="s">
        <v>198</v>
      </c>
      <c r="J295" t="s">
        <v>722</v>
      </c>
      <c r="K295" t="s">
        <v>723</v>
      </c>
      <c r="L295" t="s">
        <v>724</v>
      </c>
      <c r="M295">
        <v>1499385600</v>
      </c>
      <c r="N295" t="s">
        <v>1628</v>
      </c>
      <c r="O295" t="s">
        <v>1628</v>
      </c>
      <c r="P295" t="s">
        <v>1628</v>
      </c>
      <c r="Q295">
        <f>LEN(AMAZON_FASHION_5__2[[#This Row],[reviewText]])</f>
        <v>453</v>
      </c>
      <c r="R295" t="str">
        <f>IF(AMAZON_FASHION_5__2[[#This Row],[overall]]&gt;=4,"Positive",IF(AMAZON_FASHION_5__2[[#This Row],[overall]]&lt;=2,"Negative","Neutral"))</f>
        <v>Positive</v>
      </c>
      <c r="S2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96" spans="1:19" x14ac:dyDescent="0.25">
      <c r="A296">
        <v>3</v>
      </c>
      <c r="B296" t="b">
        <v>0</v>
      </c>
      <c r="C296" s="1">
        <v>42917</v>
      </c>
      <c r="D296">
        <f>YEAR(AMAZON_FASHION_5__2[[#This Row],[reviewDate]])</f>
        <v>2017</v>
      </c>
      <c r="E296" s="1" t="str">
        <f>TEXT(AMAZON_FASHION_5__2[[#This Row],[reviewDate]], "mmmm")</f>
        <v>July</v>
      </c>
      <c r="F296" t="s">
        <v>725</v>
      </c>
      <c r="G296" t="s">
        <v>196</v>
      </c>
      <c r="H296" t="s">
        <v>261</v>
      </c>
      <c r="I296" t="s">
        <v>99</v>
      </c>
      <c r="J296" t="s">
        <v>726</v>
      </c>
      <c r="K296" t="s">
        <v>727</v>
      </c>
      <c r="L296" t="s">
        <v>728</v>
      </c>
      <c r="M296">
        <v>1498867200</v>
      </c>
      <c r="N296" t="s">
        <v>1628</v>
      </c>
      <c r="O296" t="s">
        <v>1628</v>
      </c>
      <c r="P296" t="s">
        <v>1628</v>
      </c>
      <c r="Q296">
        <f>LEN(AMAZON_FASHION_5__2[[#This Row],[reviewText]])</f>
        <v>566</v>
      </c>
      <c r="R296" t="str">
        <f>IF(AMAZON_FASHION_5__2[[#This Row],[overall]]&gt;=4,"Positive",IF(AMAZON_FASHION_5__2[[#This Row],[overall]]&lt;=2,"Negative","Neutral"))</f>
        <v>Neutral</v>
      </c>
      <c r="S2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97" spans="1:19" x14ac:dyDescent="0.25">
      <c r="A297">
        <v>5</v>
      </c>
      <c r="B297" t="b">
        <v>1</v>
      </c>
      <c r="C297" s="1">
        <v>42916</v>
      </c>
      <c r="D297">
        <f>YEAR(AMAZON_FASHION_5__2[[#This Row],[reviewDate]])</f>
        <v>2017</v>
      </c>
      <c r="E297" s="1" t="str">
        <f>TEXT(AMAZON_FASHION_5__2[[#This Row],[reviewDate]], "mmmm")</f>
        <v>June</v>
      </c>
      <c r="F297" t="s">
        <v>729</v>
      </c>
      <c r="G297" t="s">
        <v>196</v>
      </c>
      <c r="H297" t="s">
        <v>201</v>
      </c>
      <c r="I297" t="s">
        <v>198</v>
      </c>
      <c r="J297" t="s">
        <v>730</v>
      </c>
      <c r="K297" t="s">
        <v>731</v>
      </c>
      <c r="L297" t="s">
        <v>732</v>
      </c>
      <c r="M297">
        <v>1498780800</v>
      </c>
      <c r="N297" t="s">
        <v>1628</v>
      </c>
      <c r="O297" t="s">
        <v>1628</v>
      </c>
      <c r="P297" t="s">
        <v>1628</v>
      </c>
      <c r="Q297">
        <f>LEN(AMAZON_FASHION_5__2[[#This Row],[reviewText]])</f>
        <v>5</v>
      </c>
      <c r="R297" t="str">
        <f>IF(AMAZON_FASHION_5__2[[#This Row],[overall]]&gt;=4,"Positive",IF(AMAZON_FASHION_5__2[[#This Row],[overall]]&lt;=2,"Negative","Neutral"))</f>
        <v>Positive</v>
      </c>
      <c r="S2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98" spans="1:19" x14ac:dyDescent="0.25">
      <c r="A298">
        <v>5</v>
      </c>
      <c r="B298" t="b">
        <v>1</v>
      </c>
      <c r="C298" s="1">
        <v>42914</v>
      </c>
      <c r="D298">
        <f>YEAR(AMAZON_FASHION_5__2[[#This Row],[reviewDate]])</f>
        <v>2017</v>
      </c>
      <c r="E298" s="1" t="str">
        <f>TEXT(AMAZON_FASHION_5__2[[#This Row],[reviewDate]], "mmmm")</f>
        <v>June</v>
      </c>
      <c r="F298" t="s">
        <v>733</v>
      </c>
      <c r="G298" t="s">
        <v>196</v>
      </c>
      <c r="H298" t="s">
        <v>235</v>
      </c>
      <c r="I298" t="s">
        <v>493</v>
      </c>
      <c r="J298" t="s">
        <v>734</v>
      </c>
      <c r="K298" t="s">
        <v>735</v>
      </c>
      <c r="L298" t="s">
        <v>17</v>
      </c>
      <c r="M298">
        <v>1498608000</v>
      </c>
      <c r="N298" t="s">
        <v>1628</v>
      </c>
      <c r="O298" t="s">
        <v>1628</v>
      </c>
      <c r="P298" t="s">
        <v>1628</v>
      </c>
      <c r="Q298">
        <f>LEN(AMAZON_FASHION_5__2[[#This Row],[reviewText]])</f>
        <v>18</v>
      </c>
      <c r="R298" t="str">
        <f>IF(AMAZON_FASHION_5__2[[#This Row],[overall]]&gt;=4,"Positive",IF(AMAZON_FASHION_5__2[[#This Row],[overall]]&lt;=2,"Negative","Neutral"))</f>
        <v>Positive</v>
      </c>
      <c r="S2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299" spans="1:19" x14ac:dyDescent="0.25">
      <c r="A299">
        <v>5</v>
      </c>
      <c r="B299" t="b">
        <v>1</v>
      </c>
      <c r="C299" s="1">
        <v>42912</v>
      </c>
      <c r="D299">
        <f>YEAR(AMAZON_FASHION_5__2[[#This Row],[reviewDate]])</f>
        <v>2017</v>
      </c>
      <c r="E299" s="1" t="str">
        <f>TEXT(AMAZON_FASHION_5__2[[#This Row],[reviewDate]], "mmmm")</f>
        <v>June</v>
      </c>
      <c r="F299" t="s">
        <v>736</v>
      </c>
      <c r="G299" t="s">
        <v>196</v>
      </c>
      <c r="H299" t="s">
        <v>201</v>
      </c>
      <c r="I299" t="s">
        <v>524</v>
      </c>
      <c r="J299" t="s">
        <v>737</v>
      </c>
      <c r="K299" t="s">
        <v>738</v>
      </c>
      <c r="L299" t="s">
        <v>17</v>
      </c>
      <c r="M299">
        <v>1498435200</v>
      </c>
      <c r="N299" t="s">
        <v>1628</v>
      </c>
      <c r="O299" t="s">
        <v>1628</v>
      </c>
      <c r="P299" t="s">
        <v>1628</v>
      </c>
      <c r="Q299">
        <f>LEN(AMAZON_FASHION_5__2[[#This Row],[reviewText]])</f>
        <v>8</v>
      </c>
      <c r="R299" t="str">
        <f>IF(AMAZON_FASHION_5__2[[#This Row],[overall]]&gt;=4,"Positive",IF(AMAZON_FASHION_5__2[[#This Row],[overall]]&lt;=2,"Negative","Neutral"))</f>
        <v>Positive</v>
      </c>
      <c r="S2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00" spans="1:19" x14ac:dyDescent="0.25">
      <c r="A300">
        <v>5</v>
      </c>
      <c r="B300" t="b">
        <v>1</v>
      </c>
      <c r="C300" s="1">
        <v>42907</v>
      </c>
      <c r="D300">
        <f>YEAR(AMAZON_FASHION_5__2[[#This Row],[reviewDate]])</f>
        <v>2017</v>
      </c>
      <c r="E300" s="1" t="str">
        <f>TEXT(AMAZON_FASHION_5__2[[#This Row],[reviewDate]], "mmmm")</f>
        <v>June</v>
      </c>
      <c r="F300" t="s">
        <v>739</v>
      </c>
      <c r="G300" t="s">
        <v>196</v>
      </c>
      <c r="H300" t="s">
        <v>210</v>
      </c>
      <c r="I300" t="s">
        <v>303</v>
      </c>
      <c r="J300" t="s">
        <v>63</v>
      </c>
      <c r="K300" t="s">
        <v>740</v>
      </c>
      <c r="L300" t="s">
        <v>741</v>
      </c>
      <c r="M300">
        <v>1498003200</v>
      </c>
      <c r="N300" t="s">
        <v>1628</v>
      </c>
      <c r="O300" t="s">
        <v>1628</v>
      </c>
      <c r="P300" t="s">
        <v>1628</v>
      </c>
      <c r="Q300">
        <f>LEN(AMAZON_FASHION_5__2[[#This Row],[reviewText]])</f>
        <v>141</v>
      </c>
      <c r="R300" t="str">
        <f>IF(AMAZON_FASHION_5__2[[#This Row],[overall]]&gt;=4,"Positive",IF(AMAZON_FASHION_5__2[[#This Row],[overall]]&lt;=2,"Negative","Neutral"))</f>
        <v>Positive</v>
      </c>
      <c r="S3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01" spans="1:19" x14ac:dyDescent="0.25">
      <c r="A301">
        <v>5</v>
      </c>
      <c r="B301" t="b">
        <v>1</v>
      </c>
      <c r="C301" s="1">
        <v>42906</v>
      </c>
      <c r="D301">
        <f>YEAR(AMAZON_FASHION_5__2[[#This Row],[reviewDate]])</f>
        <v>2017</v>
      </c>
      <c r="E301" s="1" t="str">
        <f>TEXT(AMAZON_FASHION_5__2[[#This Row],[reviewDate]], "mmmm")</f>
        <v>June</v>
      </c>
      <c r="F301" t="s">
        <v>742</v>
      </c>
      <c r="G301" t="s">
        <v>196</v>
      </c>
      <c r="H301" t="s">
        <v>415</v>
      </c>
      <c r="I301" t="s">
        <v>336</v>
      </c>
      <c r="J301" t="s">
        <v>743</v>
      </c>
      <c r="K301" t="s">
        <v>744</v>
      </c>
      <c r="L301" t="s">
        <v>745</v>
      </c>
      <c r="M301">
        <v>1497916800</v>
      </c>
      <c r="N301" t="s">
        <v>1628</v>
      </c>
      <c r="O301" t="s">
        <v>1628</v>
      </c>
      <c r="P301" t="s">
        <v>1628</v>
      </c>
      <c r="Q301">
        <f>LEN(AMAZON_FASHION_5__2[[#This Row],[reviewText]])</f>
        <v>275</v>
      </c>
      <c r="R301" t="str">
        <f>IF(AMAZON_FASHION_5__2[[#This Row],[overall]]&gt;=4,"Positive",IF(AMAZON_FASHION_5__2[[#This Row],[overall]]&lt;=2,"Negative","Neutral"))</f>
        <v>Positive</v>
      </c>
      <c r="S3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02" spans="1:19" x14ac:dyDescent="0.25">
      <c r="A302">
        <v>5</v>
      </c>
      <c r="B302" t="b">
        <v>1</v>
      </c>
      <c r="C302" s="1">
        <v>42906</v>
      </c>
      <c r="D302">
        <f>YEAR(AMAZON_FASHION_5__2[[#This Row],[reviewDate]])</f>
        <v>2017</v>
      </c>
      <c r="E302" s="1" t="str">
        <f>TEXT(AMAZON_FASHION_5__2[[#This Row],[reviewDate]], "mmmm")</f>
        <v>June</v>
      </c>
      <c r="F302" t="s">
        <v>746</v>
      </c>
      <c r="G302" t="s">
        <v>196</v>
      </c>
      <c r="H302" t="s">
        <v>201</v>
      </c>
      <c r="I302" t="s">
        <v>198</v>
      </c>
      <c r="J302" t="s">
        <v>747</v>
      </c>
      <c r="K302" t="s">
        <v>748</v>
      </c>
      <c r="L302" t="s">
        <v>749</v>
      </c>
      <c r="M302">
        <v>1497916800</v>
      </c>
      <c r="N302" t="s">
        <v>1628</v>
      </c>
      <c r="O302" t="s">
        <v>1628</v>
      </c>
      <c r="P302" t="s">
        <v>1628</v>
      </c>
      <c r="Q302">
        <f>LEN(AMAZON_FASHION_5__2[[#This Row],[reviewText]])</f>
        <v>69</v>
      </c>
      <c r="R302" t="str">
        <f>IF(AMAZON_FASHION_5__2[[#This Row],[overall]]&gt;=4,"Positive",IF(AMAZON_FASHION_5__2[[#This Row],[overall]]&lt;=2,"Negative","Neutral"))</f>
        <v>Positive</v>
      </c>
      <c r="S3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03" spans="1:19" x14ac:dyDescent="0.25">
      <c r="A303">
        <v>4</v>
      </c>
      <c r="B303" t="b">
        <v>1</v>
      </c>
      <c r="C303" s="1">
        <v>42905</v>
      </c>
      <c r="D303">
        <f>YEAR(AMAZON_FASHION_5__2[[#This Row],[reviewDate]])</f>
        <v>2017</v>
      </c>
      <c r="E303" s="1" t="str">
        <f>TEXT(AMAZON_FASHION_5__2[[#This Row],[reviewDate]], "mmmm")</f>
        <v>June</v>
      </c>
      <c r="F303" t="s">
        <v>750</v>
      </c>
      <c r="G303" t="s">
        <v>196</v>
      </c>
      <c r="H303" t="s">
        <v>201</v>
      </c>
      <c r="I303" t="s">
        <v>198</v>
      </c>
      <c r="J303" t="s">
        <v>751</v>
      </c>
      <c r="K303" t="s">
        <v>752</v>
      </c>
      <c r="L303" t="s">
        <v>103</v>
      </c>
      <c r="M303">
        <v>1497830400</v>
      </c>
      <c r="N303" t="s">
        <v>1628</v>
      </c>
      <c r="O303" t="s">
        <v>1628</v>
      </c>
      <c r="P303" t="s">
        <v>1628</v>
      </c>
      <c r="Q303">
        <f>LEN(AMAZON_FASHION_5__2[[#This Row],[reviewText]])</f>
        <v>12</v>
      </c>
      <c r="R303" t="str">
        <f>IF(AMAZON_FASHION_5__2[[#This Row],[overall]]&gt;=4,"Positive",IF(AMAZON_FASHION_5__2[[#This Row],[overall]]&lt;=2,"Negative","Neutral"))</f>
        <v>Positive</v>
      </c>
      <c r="S3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04" spans="1:19" x14ac:dyDescent="0.25">
      <c r="A304">
        <v>5</v>
      </c>
      <c r="B304" t="b">
        <v>1</v>
      </c>
      <c r="C304" s="1">
        <v>42905</v>
      </c>
      <c r="D304">
        <f>YEAR(AMAZON_FASHION_5__2[[#This Row],[reviewDate]])</f>
        <v>2017</v>
      </c>
      <c r="E304" s="1" t="str">
        <f>TEXT(AMAZON_FASHION_5__2[[#This Row],[reviewDate]], "mmmm")</f>
        <v>June</v>
      </c>
      <c r="F304" t="s">
        <v>753</v>
      </c>
      <c r="G304" t="s">
        <v>196</v>
      </c>
      <c r="H304" t="s">
        <v>284</v>
      </c>
      <c r="I304" t="s">
        <v>198</v>
      </c>
      <c r="J304" t="s">
        <v>754</v>
      </c>
      <c r="K304" t="s">
        <v>755</v>
      </c>
      <c r="L304" t="s">
        <v>756</v>
      </c>
      <c r="M304">
        <v>1497830400</v>
      </c>
      <c r="N304" t="s">
        <v>1628</v>
      </c>
      <c r="O304" t="s">
        <v>1628</v>
      </c>
      <c r="P304" t="s">
        <v>1628</v>
      </c>
      <c r="Q304">
        <f>LEN(AMAZON_FASHION_5__2[[#This Row],[reviewText]])</f>
        <v>108</v>
      </c>
      <c r="R304" t="str">
        <f>IF(AMAZON_FASHION_5__2[[#This Row],[overall]]&gt;=4,"Positive",IF(AMAZON_FASHION_5__2[[#This Row],[overall]]&lt;=2,"Negative","Neutral"))</f>
        <v>Positive</v>
      </c>
      <c r="S3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05" spans="1:19" x14ac:dyDescent="0.25">
      <c r="A305">
        <v>5</v>
      </c>
      <c r="B305" t="b">
        <v>1</v>
      </c>
      <c r="C305" s="1">
        <v>42905</v>
      </c>
      <c r="D305">
        <f>YEAR(AMAZON_FASHION_5__2[[#This Row],[reviewDate]])</f>
        <v>2017</v>
      </c>
      <c r="E305" s="1" t="str">
        <f>TEXT(AMAZON_FASHION_5__2[[#This Row],[reviewDate]], "mmmm")</f>
        <v>June</v>
      </c>
      <c r="F305" t="s">
        <v>757</v>
      </c>
      <c r="G305" t="s">
        <v>196</v>
      </c>
      <c r="H305" t="s">
        <v>210</v>
      </c>
      <c r="I305" t="s">
        <v>198</v>
      </c>
      <c r="J305" t="s">
        <v>63</v>
      </c>
      <c r="K305" t="s">
        <v>758</v>
      </c>
      <c r="L305" t="s">
        <v>759</v>
      </c>
      <c r="M305">
        <v>1497830400</v>
      </c>
      <c r="N305" t="s">
        <v>1628</v>
      </c>
      <c r="O305" t="s">
        <v>1628</v>
      </c>
      <c r="P305" t="s">
        <v>1628</v>
      </c>
      <c r="Q305">
        <f>LEN(AMAZON_FASHION_5__2[[#This Row],[reviewText]])</f>
        <v>76</v>
      </c>
      <c r="R305" t="str">
        <f>IF(AMAZON_FASHION_5__2[[#This Row],[overall]]&gt;=4,"Positive",IF(AMAZON_FASHION_5__2[[#This Row],[overall]]&lt;=2,"Negative","Neutral"))</f>
        <v>Positive</v>
      </c>
      <c r="S3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06" spans="1:19" x14ac:dyDescent="0.25">
      <c r="A306">
        <v>3</v>
      </c>
      <c r="B306" t="b">
        <v>1</v>
      </c>
      <c r="C306" s="1">
        <v>42902</v>
      </c>
      <c r="D306">
        <f>YEAR(AMAZON_FASHION_5__2[[#This Row],[reviewDate]])</f>
        <v>2017</v>
      </c>
      <c r="E306" s="1" t="str">
        <f>TEXT(AMAZON_FASHION_5__2[[#This Row],[reviewDate]], "mmmm")</f>
        <v>June</v>
      </c>
      <c r="F306" t="s">
        <v>760</v>
      </c>
      <c r="G306" t="s">
        <v>196</v>
      </c>
      <c r="H306" t="s">
        <v>205</v>
      </c>
      <c r="I306" t="s">
        <v>198</v>
      </c>
      <c r="J306" t="s">
        <v>761</v>
      </c>
      <c r="K306" t="s">
        <v>762</v>
      </c>
      <c r="L306" t="s">
        <v>763</v>
      </c>
      <c r="M306">
        <v>1497571200</v>
      </c>
      <c r="N306" t="s">
        <v>1628</v>
      </c>
      <c r="O306" t="s">
        <v>1628</v>
      </c>
      <c r="P306" t="s">
        <v>1628</v>
      </c>
      <c r="Q306">
        <f>LEN(AMAZON_FASHION_5__2[[#This Row],[reviewText]])</f>
        <v>468</v>
      </c>
      <c r="R306" t="str">
        <f>IF(AMAZON_FASHION_5__2[[#This Row],[overall]]&gt;=4,"Positive",IF(AMAZON_FASHION_5__2[[#This Row],[overall]]&lt;=2,"Negative","Neutral"))</f>
        <v>Neutral</v>
      </c>
      <c r="S3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07" spans="1:19" x14ac:dyDescent="0.25">
      <c r="A307">
        <v>5</v>
      </c>
      <c r="B307" t="b">
        <v>1</v>
      </c>
      <c r="C307" s="1">
        <v>42901</v>
      </c>
      <c r="D307">
        <f>YEAR(AMAZON_FASHION_5__2[[#This Row],[reviewDate]])</f>
        <v>2017</v>
      </c>
      <c r="E307" s="1" t="str">
        <f>TEXT(AMAZON_FASHION_5__2[[#This Row],[reviewDate]], "mmmm")</f>
        <v>June</v>
      </c>
      <c r="F307" t="s">
        <v>764</v>
      </c>
      <c r="G307" t="s">
        <v>196</v>
      </c>
      <c r="H307" t="s">
        <v>235</v>
      </c>
      <c r="I307" t="s">
        <v>198</v>
      </c>
      <c r="J307" t="s">
        <v>765</v>
      </c>
      <c r="K307" t="s">
        <v>766</v>
      </c>
      <c r="L307" t="s">
        <v>767</v>
      </c>
      <c r="M307">
        <v>1497484800</v>
      </c>
      <c r="N307" t="s">
        <v>1628</v>
      </c>
      <c r="O307" t="s">
        <v>1628</v>
      </c>
      <c r="P307" t="s">
        <v>1628</v>
      </c>
      <c r="Q307">
        <f>LEN(AMAZON_FASHION_5__2[[#This Row],[reviewText]])</f>
        <v>125</v>
      </c>
      <c r="R307" t="str">
        <f>IF(AMAZON_FASHION_5__2[[#This Row],[overall]]&gt;=4,"Positive",IF(AMAZON_FASHION_5__2[[#This Row],[overall]]&lt;=2,"Negative","Neutral"))</f>
        <v>Positive</v>
      </c>
      <c r="S3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08" spans="1:19" x14ac:dyDescent="0.25">
      <c r="A308">
        <v>5</v>
      </c>
      <c r="B308" t="b">
        <v>1</v>
      </c>
      <c r="C308" s="1">
        <v>42901</v>
      </c>
      <c r="D308">
        <f>YEAR(AMAZON_FASHION_5__2[[#This Row],[reviewDate]])</f>
        <v>2017</v>
      </c>
      <c r="E308" s="1" t="str">
        <f>TEXT(AMAZON_FASHION_5__2[[#This Row],[reviewDate]], "mmmm")</f>
        <v>June</v>
      </c>
      <c r="F308" t="s">
        <v>768</v>
      </c>
      <c r="G308" t="s">
        <v>196</v>
      </c>
      <c r="H308" t="s">
        <v>210</v>
      </c>
      <c r="I308" t="s">
        <v>419</v>
      </c>
      <c r="J308" t="s">
        <v>769</v>
      </c>
      <c r="K308" t="s">
        <v>770</v>
      </c>
      <c r="L308" t="s">
        <v>17</v>
      </c>
      <c r="M308">
        <v>1497484800</v>
      </c>
      <c r="N308" t="s">
        <v>1628</v>
      </c>
      <c r="O308" t="s">
        <v>1628</v>
      </c>
      <c r="P308" t="s">
        <v>1628</v>
      </c>
      <c r="Q308">
        <f>LEN(AMAZON_FASHION_5__2[[#This Row],[reviewText]])</f>
        <v>56</v>
      </c>
      <c r="R308" t="str">
        <f>IF(AMAZON_FASHION_5__2[[#This Row],[overall]]&gt;=4,"Positive",IF(AMAZON_FASHION_5__2[[#This Row],[overall]]&lt;=2,"Negative","Neutral"))</f>
        <v>Positive</v>
      </c>
      <c r="S3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09" spans="1:19" x14ac:dyDescent="0.25">
      <c r="A309">
        <v>5</v>
      </c>
      <c r="B309" t="b">
        <v>1</v>
      </c>
      <c r="C309" s="1">
        <v>42900</v>
      </c>
      <c r="D309">
        <f>YEAR(AMAZON_FASHION_5__2[[#This Row],[reviewDate]])</f>
        <v>2017</v>
      </c>
      <c r="E309" s="1" t="str">
        <f>TEXT(AMAZON_FASHION_5__2[[#This Row],[reviewDate]], "mmmm")</f>
        <v>June</v>
      </c>
      <c r="F309" t="s">
        <v>771</v>
      </c>
      <c r="G309" t="s">
        <v>196</v>
      </c>
      <c r="H309" t="s">
        <v>201</v>
      </c>
      <c r="I309" t="s">
        <v>211</v>
      </c>
      <c r="J309" t="s">
        <v>63</v>
      </c>
      <c r="K309" t="s">
        <v>772</v>
      </c>
      <c r="L309" t="s">
        <v>17</v>
      </c>
      <c r="M309">
        <v>1497398400</v>
      </c>
      <c r="N309" t="s">
        <v>1628</v>
      </c>
      <c r="O309" t="s">
        <v>1628</v>
      </c>
      <c r="P309" t="s">
        <v>1628</v>
      </c>
      <c r="Q309">
        <f>LEN(AMAZON_FASHION_5__2[[#This Row],[reviewText]])</f>
        <v>21</v>
      </c>
      <c r="R309" t="str">
        <f>IF(AMAZON_FASHION_5__2[[#This Row],[overall]]&gt;=4,"Positive",IF(AMAZON_FASHION_5__2[[#This Row],[overall]]&lt;=2,"Negative","Neutral"))</f>
        <v>Positive</v>
      </c>
      <c r="S3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0" spans="1:19" x14ac:dyDescent="0.25">
      <c r="A310">
        <v>5</v>
      </c>
      <c r="B310" t="b">
        <v>1</v>
      </c>
      <c r="C310" s="1">
        <v>42899</v>
      </c>
      <c r="D310">
        <f>YEAR(AMAZON_FASHION_5__2[[#This Row],[reviewDate]])</f>
        <v>2017</v>
      </c>
      <c r="E310" s="1" t="str">
        <f>TEXT(AMAZON_FASHION_5__2[[#This Row],[reviewDate]], "mmmm")</f>
        <v>June</v>
      </c>
      <c r="F310" t="s">
        <v>773</v>
      </c>
      <c r="G310" t="s">
        <v>196</v>
      </c>
      <c r="H310" t="s">
        <v>235</v>
      </c>
      <c r="I310" t="s">
        <v>493</v>
      </c>
      <c r="J310" t="s">
        <v>774</v>
      </c>
      <c r="K310" t="s">
        <v>775</v>
      </c>
      <c r="L310" t="s">
        <v>17</v>
      </c>
      <c r="M310">
        <v>1497312000</v>
      </c>
      <c r="N310" t="s">
        <v>1628</v>
      </c>
      <c r="O310" t="s">
        <v>1628</v>
      </c>
      <c r="P310" t="s">
        <v>1628</v>
      </c>
      <c r="Q310">
        <f>LEN(AMAZON_FASHION_5__2[[#This Row],[reviewText]])</f>
        <v>64</v>
      </c>
      <c r="R310" t="str">
        <f>IF(AMAZON_FASHION_5__2[[#This Row],[overall]]&gt;=4,"Positive",IF(AMAZON_FASHION_5__2[[#This Row],[overall]]&lt;=2,"Negative","Neutral"))</f>
        <v>Positive</v>
      </c>
      <c r="S3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1" spans="1:19" x14ac:dyDescent="0.25">
      <c r="A311">
        <v>5</v>
      </c>
      <c r="B311" t="b">
        <v>1</v>
      </c>
      <c r="C311" s="1">
        <v>42894</v>
      </c>
      <c r="D311">
        <f>YEAR(AMAZON_FASHION_5__2[[#This Row],[reviewDate]])</f>
        <v>2017</v>
      </c>
      <c r="E311" s="1" t="str">
        <f>TEXT(AMAZON_FASHION_5__2[[#This Row],[reviewDate]], "mmmm")</f>
        <v>June</v>
      </c>
      <c r="F311" t="s">
        <v>776</v>
      </c>
      <c r="G311" t="s">
        <v>196</v>
      </c>
      <c r="H311" t="s">
        <v>235</v>
      </c>
      <c r="I311" t="s">
        <v>303</v>
      </c>
      <c r="J311" t="s">
        <v>777</v>
      </c>
      <c r="K311" t="s">
        <v>778</v>
      </c>
      <c r="L311" t="s">
        <v>17</v>
      </c>
      <c r="M311">
        <v>1496880000</v>
      </c>
      <c r="N311" t="s">
        <v>1628</v>
      </c>
      <c r="O311" t="s">
        <v>1628</v>
      </c>
      <c r="P311" t="s">
        <v>1628</v>
      </c>
      <c r="Q311">
        <f>LEN(AMAZON_FASHION_5__2[[#This Row],[reviewText]])</f>
        <v>27</v>
      </c>
      <c r="R311" t="str">
        <f>IF(AMAZON_FASHION_5__2[[#This Row],[overall]]&gt;=4,"Positive",IF(AMAZON_FASHION_5__2[[#This Row],[overall]]&lt;=2,"Negative","Neutral"))</f>
        <v>Positive</v>
      </c>
      <c r="S3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2" spans="1:19" x14ac:dyDescent="0.25">
      <c r="A312">
        <v>1</v>
      </c>
      <c r="B312" t="b">
        <v>1</v>
      </c>
      <c r="C312" s="1">
        <v>42891</v>
      </c>
      <c r="D312">
        <f>YEAR(AMAZON_FASHION_5__2[[#This Row],[reviewDate]])</f>
        <v>2017</v>
      </c>
      <c r="E312" s="1" t="str">
        <f>TEXT(AMAZON_FASHION_5__2[[#This Row],[reviewDate]], "mmmm")</f>
        <v>June</v>
      </c>
      <c r="F312" t="s">
        <v>779</v>
      </c>
      <c r="G312" t="s">
        <v>196</v>
      </c>
      <c r="H312" t="s">
        <v>443</v>
      </c>
      <c r="I312" t="s">
        <v>336</v>
      </c>
      <c r="J312" t="s">
        <v>780</v>
      </c>
      <c r="K312" t="s">
        <v>781</v>
      </c>
      <c r="L312" t="s">
        <v>782</v>
      </c>
      <c r="M312">
        <v>1496620800</v>
      </c>
      <c r="N312" t="s">
        <v>1628</v>
      </c>
      <c r="O312" t="s">
        <v>1628</v>
      </c>
      <c r="P312" t="s">
        <v>1628</v>
      </c>
      <c r="Q312">
        <f>LEN(AMAZON_FASHION_5__2[[#This Row],[reviewText]])</f>
        <v>75</v>
      </c>
      <c r="R312" t="str">
        <f>IF(AMAZON_FASHION_5__2[[#This Row],[overall]]&gt;=4,"Positive",IF(AMAZON_FASHION_5__2[[#This Row],[overall]]&lt;=2,"Negative","Neutral"))</f>
        <v>Negative</v>
      </c>
      <c r="S3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3" spans="1:19" x14ac:dyDescent="0.25">
      <c r="A313">
        <v>5</v>
      </c>
      <c r="B313" t="b">
        <v>1</v>
      </c>
      <c r="C313" s="1">
        <v>42888</v>
      </c>
      <c r="D313">
        <f>YEAR(AMAZON_FASHION_5__2[[#This Row],[reviewDate]])</f>
        <v>2017</v>
      </c>
      <c r="E313" s="1" t="str">
        <f>TEXT(AMAZON_FASHION_5__2[[#This Row],[reviewDate]], "mmmm")</f>
        <v>June</v>
      </c>
      <c r="F313" t="s">
        <v>783</v>
      </c>
      <c r="G313" t="s">
        <v>196</v>
      </c>
      <c r="H313" t="s">
        <v>230</v>
      </c>
      <c r="I313" t="s">
        <v>198</v>
      </c>
      <c r="J313" t="s">
        <v>784</v>
      </c>
      <c r="K313" t="s">
        <v>785</v>
      </c>
      <c r="L313" t="s">
        <v>17</v>
      </c>
      <c r="M313">
        <v>1496361600</v>
      </c>
      <c r="N313" t="s">
        <v>1628</v>
      </c>
      <c r="O313" t="s">
        <v>1628</v>
      </c>
      <c r="P313" t="s">
        <v>1628</v>
      </c>
      <c r="Q313">
        <f>LEN(AMAZON_FASHION_5__2[[#This Row],[reviewText]])</f>
        <v>91</v>
      </c>
      <c r="R313" t="str">
        <f>IF(AMAZON_FASHION_5__2[[#This Row],[overall]]&gt;=4,"Positive",IF(AMAZON_FASHION_5__2[[#This Row],[overall]]&lt;=2,"Negative","Neutral"))</f>
        <v>Positive</v>
      </c>
      <c r="S3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4" spans="1:19" x14ac:dyDescent="0.25">
      <c r="A314">
        <v>5</v>
      </c>
      <c r="B314" t="b">
        <v>1</v>
      </c>
      <c r="C314" s="1">
        <v>42885</v>
      </c>
      <c r="D314">
        <f>YEAR(AMAZON_FASHION_5__2[[#This Row],[reviewDate]])</f>
        <v>2017</v>
      </c>
      <c r="E314" s="1" t="str">
        <f>TEXT(AMAZON_FASHION_5__2[[#This Row],[reviewDate]], "mmmm")</f>
        <v>May</v>
      </c>
      <c r="F314" t="s">
        <v>786</v>
      </c>
      <c r="G314" t="s">
        <v>196</v>
      </c>
      <c r="H314" t="s">
        <v>197</v>
      </c>
      <c r="I314" t="s">
        <v>198</v>
      </c>
      <c r="J314" t="s">
        <v>787</v>
      </c>
      <c r="K314" t="s">
        <v>543</v>
      </c>
      <c r="L314" t="s">
        <v>17</v>
      </c>
      <c r="M314">
        <v>1496102400</v>
      </c>
      <c r="N314" t="s">
        <v>1628</v>
      </c>
      <c r="O314" t="s">
        <v>1628</v>
      </c>
      <c r="P314" t="s">
        <v>1628</v>
      </c>
      <c r="Q314">
        <f>LEN(AMAZON_FASHION_5__2[[#This Row],[reviewText]])</f>
        <v>11</v>
      </c>
      <c r="R314" t="str">
        <f>IF(AMAZON_FASHION_5__2[[#This Row],[overall]]&gt;=4,"Positive",IF(AMAZON_FASHION_5__2[[#This Row],[overall]]&lt;=2,"Negative","Neutral"))</f>
        <v>Positive</v>
      </c>
      <c r="S3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5" spans="1:19" x14ac:dyDescent="0.25">
      <c r="A315">
        <v>5</v>
      </c>
      <c r="B315" t="b">
        <v>1</v>
      </c>
      <c r="C315" s="1">
        <v>42885</v>
      </c>
      <c r="D315">
        <f>YEAR(AMAZON_FASHION_5__2[[#This Row],[reviewDate]])</f>
        <v>2017</v>
      </c>
      <c r="E315" s="1" t="str">
        <f>TEXT(AMAZON_FASHION_5__2[[#This Row],[reviewDate]], "mmmm")</f>
        <v>May</v>
      </c>
      <c r="F315" t="s">
        <v>788</v>
      </c>
      <c r="G315" t="s">
        <v>196</v>
      </c>
      <c r="H315" t="s">
        <v>477</v>
      </c>
      <c r="I315" t="s">
        <v>344</v>
      </c>
      <c r="J315" t="s">
        <v>789</v>
      </c>
      <c r="K315" t="s">
        <v>790</v>
      </c>
      <c r="L315" t="s">
        <v>791</v>
      </c>
      <c r="M315">
        <v>1496102400</v>
      </c>
      <c r="N315" t="s">
        <v>1628</v>
      </c>
      <c r="O315" t="s">
        <v>1628</v>
      </c>
      <c r="P315" t="s">
        <v>1628</v>
      </c>
      <c r="Q315">
        <f>LEN(AMAZON_FASHION_5__2[[#This Row],[reviewText]])</f>
        <v>61</v>
      </c>
      <c r="R315" t="str">
        <f>IF(AMAZON_FASHION_5__2[[#This Row],[overall]]&gt;=4,"Positive",IF(AMAZON_FASHION_5__2[[#This Row],[overall]]&lt;=2,"Negative","Neutral"))</f>
        <v>Positive</v>
      </c>
      <c r="S3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6" spans="1:19" x14ac:dyDescent="0.25">
      <c r="A316">
        <v>4</v>
      </c>
      <c r="B316" t="b">
        <v>1</v>
      </c>
      <c r="C316" s="1">
        <v>42884</v>
      </c>
      <c r="D316">
        <f>YEAR(AMAZON_FASHION_5__2[[#This Row],[reviewDate]])</f>
        <v>2017</v>
      </c>
      <c r="E316" s="1" t="str">
        <f>TEXT(AMAZON_FASHION_5__2[[#This Row],[reviewDate]], "mmmm")</f>
        <v>May</v>
      </c>
      <c r="F316" t="s">
        <v>792</v>
      </c>
      <c r="G316" t="s">
        <v>196</v>
      </c>
      <c r="H316" t="s">
        <v>415</v>
      </c>
      <c r="I316" t="s">
        <v>336</v>
      </c>
      <c r="J316" t="s">
        <v>793</v>
      </c>
      <c r="K316" t="s">
        <v>794</v>
      </c>
      <c r="L316" t="s">
        <v>795</v>
      </c>
      <c r="M316">
        <v>1496016000</v>
      </c>
      <c r="N316" t="s">
        <v>1628</v>
      </c>
      <c r="O316" t="s">
        <v>1628</v>
      </c>
      <c r="P316" t="s">
        <v>1628</v>
      </c>
      <c r="Q316">
        <f>LEN(AMAZON_FASHION_5__2[[#This Row],[reviewText]])</f>
        <v>65</v>
      </c>
      <c r="R316" t="str">
        <f>IF(AMAZON_FASHION_5__2[[#This Row],[overall]]&gt;=4,"Positive",IF(AMAZON_FASHION_5__2[[#This Row],[overall]]&lt;=2,"Negative","Neutral"))</f>
        <v>Positive</v>
      </c>
      <c r="S3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7" spans="1:19" x14ac:dyDescent="0.25">
      <c r="A317">
        <v>3</v>
      </c>
      <c r="B317" t="b">
        <v>1</v>
      </c>
      <c r="C317" s="1">
        <v>42880</v>
      </c>
      <c r="D317">
        <f>YEAR(AMAZON_FASHION_5__2[[#This Row],[reviewDate]])</f>
        <v>2017</v>
      </c>
      <c r="E317" s="1" t="str">
        <f>TEXT(AMAZON_FASHION_5__2[[#This Row],[reviewDate]], "mmmm")</f>
        <v>May</v>
      </c>
      <c r="F317" t="s">
        <v>796</v>
      </c>
      <c r="G317" t="s">
        <v>196</v>
      </c>
      <c r="H317" t="s">
        <v>477</v>
      </c>
      <c r="I317" t="s">
        <v>198</v>
      </c>
      <c r="J317" t="s">
        <v>797</v>
      </c>
      <c r="K317" t="s">
        <v>798</v>
      </c>
      <c r="L317" t="s">
        <v>799</v>
      </c>
      <c r="M317">
        <v>1495670400</v>
      </c>
      <c r="N317" t="s">
        <v>1628</v>
      </c>
      <c r="O317" t="s">
        <v>1628</v>
      </c>
      <c r="P317" t="s">
        <v>1628</v>
      </c>
      <c r="Q317">
        <f>LEN(AMAZON_FASHION_5__2[[#This Row],[reviewText]])</f>
        <v>40</v>
      </c>
      <c r="R317" t="str">
        <f>IF(AMAZON_FASHION_5__2[[#This Row],[overall]]&gt;=4,"Positive",IF(AMAZON_FASHION_5__2[[#This Row],[overall]]&lt;=2,"Negative","Neutral"))</f>
        <v>Neutral</v>
      </c>
      <c r="S3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8" spans="1:19" x14ac:dyDescent="0.25">
      <c r="A318">
        <v>5</v>
      </c>
      <c r="B318" t="b">
        <v>1</v>
      </c>
      <c r="C318" s="1">
        <v>42877</v>
      </c>
      <c r="D318">
        <f>YEAR(AMAZON_FASHION_5__2[[#This Row],[reviewDate]])</f>
        <v>2017</v>
      </c>
      <c r="E318" s="1" t="str">
        <f>TEXT(AMAZON_FASHION_5__2[[#This Row],[reviewDate]], "mmmm")</f>
        <v>May</v>
      </c>
      <c r="F318" t="s">
        <v>800</v>
      </c>
      <c r="G318" t="s">
        <v>196</v>
      </c>
      <c r="H318" t="s">
        <v>230</v>
      </c>
      <c r="I318" t="s">
        <v>198</v>
      </c>
      <c r="J318" t="s">
        <v>801</v>
      </c>
      <c r="K318" t="s">
        <v>802</v>
      </c>
      <c r="L318" t="s">
        <v>803</v>
      </c>
      <c r="M318">
        <v>1495411200</v>
      </c>
      <c r="N318" t="s">
        <v>1628</v>
      </c>
      <c r="O318" t="s">
        <v>1628</v>
      </c>
      <c r="P318" t="s">
        <v>1628</v>
      </c>
      <c r="Q318">
        <f>LEN(AMAZON_FASHION_5__2[[#This Row],[reviewText]])</f>
        <v>45</v>
      </c>
      <c r="R318" t="str">
        <f>IF(AMAZON_FASHION_5__2[[#This Row],[overall]]&gt;=4,"Positive",IF(AMAZON_FASHION_5__2[[#This Row],[overall]]&lt;=2,"Negative","Neutral"))</f>
        <v>Positive</v>
      </c>
      <c r="S3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9" spans="1:19" x14ac:dyDescent="0.25">
      <c r="A319">
        <v>5</v>
      </c>
      <c r="B319" t="b">
        <v>1</v>
      </c>
      <c r="C319" s="1">
        <v>42877</v>
      </c>
      <c r="D319">
        <f>YEAR(AMAZON_FASHION_5__2[[#This Row],[reviewDate]])</f>
        <v>2017</v>
      </c>
      <c r="E319" s="1" t="str">
        <f>TEXT(AMAZON_FASHION_5__2[[#This Row],[reviewDate]], "mmmm")</f>
        <v>May</v>
      </c>
      <c r="F319" t="s">
        <v>804</v>
      </c>
      <c r="G319" t="s">
        <v>196</v>
      </c>
      <c r="H319" t="s">
        <v>210</v>
      </c>
      <c r="I319" t="s">
        <v>198</v>
      </c>
      <c r="J319" t="s">
        <v>805</v>
      </c>
      <c r="K319" t="s">
        <v>806</v>
      </c>
      <c r="L319" t="s">
        <v>807</v>
      </c>
      <c r="M319">
        <v>1495411200</v>
      </c>
      <c r="N319" t="s">
        <v>1628</v>
      </c>
      <c r="O319" t="s">
        <v>1628</v>
      </c>
      <c r="P319" t="s">
        <v>1628</v>
      </c>
      <c r="Q319">
        <f>LEN(AMAZON_FASHION_5__2[[#This Row],[reviewText]])</f>
        <v>86</v>
      </c>
      <c r="R319" t="str">
        <f>IF(AMAZON_FASHION_5__2[[#This Row],[overall]]&gt;=4,"Positive",IF(AMAZON_FASHION_5__2[[#This Row],[overall]]&lt;=2,"Negative","Neutral"))</f>
        <v>Positive</v>
      </c>
      <c r="S3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20" spans="1:19" x14ac:dyDescent="0.25">
      <c r="A320">
        <v>5</v>
      </c>
      <c r="B320" t="b">
        <v>0</v>
      </c>
      <c r="C320" s="1">
        <v>42874</v>
      </c>
      <c r="D320">
        <f>YEAR(AMAZON_FASHION_5__2[[#This Row],[reviewDate]])</f>
        <v>2017</v>
      </c>
      <c r="E320" s="1" t="str">
        <f>TEXT(AMAZON_FASHION_5__2[[#This Row],[reviewDate]], "mmmm")</f>
        <v>May</v>
      </c>
      <c r="F320" t="s">
        <v>808</v>
      </c>
      <c r="G320" t="s">
        <v>196</v>
      </c>
      <c r="H320" t="s">
        <v>809</v>
      </c>
      <c r="I320" t="s">
        <v>336</v>
      </c>
      <c r="J320" t="s">
        <v>810</v>
      </c>
      <c r="K320" t="s">
        <v>811</v>
      </c>
      <c r="L320" t="s">
        <v>812</v>
      </c>
      <c r="M320">
        <v>1495152000</v>
      </c>
      <c r="N320" t="s">
        <v>1628</v>
      </c>
      <c r="O320" t="s">
        <v>1628</v>
      </c>
      <c r="P320">
        <v>2</v>
      </c>
      <c r="Q320">
        <f>LEN(AMAZON_FASHION_5__2[[#This Row],[reviewText]])</f>
        <v>109</v>
      </c>
      <c r="R320" t="str">
        <f>IF(AMAZON_FASHION_5__2[[#This Row],[overall]]&gt;=4,"Positive",IF(AMAZON_FASHION_5__2[[#This Row],[overall]]&lt;=2,"Negative","Neutral"))</f>
        <v>Positive</v>
      </c>
      <c r="S3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21" spans="1:19" x14ac:dyDescent="0.25">
      <c r="A321">
        <v>5</v>
      </c>
      <c r="B321" t="b">
        <v>0</v>
      </c>
      <c r="C321" s="1">
        <v>42874</v>
      </c>
      <c r="D321">
        <f>YEAR(AMAZON_FASHION_5__2[[#This Row],[reviewDate]])</f>
        <v>2017</v>
      </c>
      <c r="E321" s="1" t="str">
        <f>TEXT(AMAZON_FASHION_5__2[[#This Row],[reviewDate]], "mmmm")</f>
        <v>May</v>
      </c>
      <c r="F321" t="s">
        <v>808</v>
      </c>
      <c r="G321" t="s">
        <v>196</v>
      </c>
      <c r="H321" t="s">
        <v>477</v>
      </c>
      <c r="I321" t="s">
        <v>396</v>
      </c>
      <c r="J321" t="s">
        <v>810</v>
      </c>
      <c r="K321" t="s">
        <v>813</v>
      </c>
      <c r="L321" t="s">
        <v>814</v>
      </c>
      <c r="M321">
        <v>1495152000</v>
      </c>
      <c r="N321" t="s">
        <v>1628</v>
      </c>
      <c r="O321" t="s">
        <v>1628</v>
      </c>
      <c r="P321">
        <v>4</v>
      </c>
      <c r="Q321">
        <f>LEN(AMAZON_FASHION_5__2[[#This Row],[reviewText]])</f>
        <v>274</v>
      </c>
      <c r="R321" t="str">
        <f>IF(AMAZON_FASHION_5__2[[#This Row],[overall]]&gt;=4,"Positive",IF(AMAZON_FASHION_5__2[[#This Row],[overall]]&lt;=2,"Negative","Neutral"))</f>
        <v>Positive</v>
      </c>
      <c r="S3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22" spans="1:19" x14ac:dyDescent="0.25">
      <c r="A322">
        <v>4</v>
      </c>
      <c r="B322" t="b">
        <v>1</v>
      </c>
      <c r="C322" s="1">
        <v>42873</v>
      </c>
      <c r="D322">
        <f>YEAR(AMAZON_FASHION_5__2[[#This Row],[reviewDate]])</f>
        <v>2017</v>
      </c>
      <c r="E322" s="1" t="str">
        <f>TEXT(AMAZON_FASHION_5__2[[#This Row],[reviewDate]], "mmmm")</f>
        <v>May</v>
      </c>
      <c r="F322" t="s">
        <v>815</v>
      </c>
      <c r="G322" t="s">
        <v>196</v>
      </c>
      <c r="H322" t="s">
        <v>201</v>
      </c>
      <c r="I322" t="s">
        <v>198</v>
      </c>
      <c r="J322" t="s">
        <v>816</v>
      </c>
      <c r="K322" t="s">
        <v>817</v>
      </c>
      <c r="L322" t="s">
        <v>818</v>
      </c>
      <c r="M322">
        <v>1495065600</v>
      </c>
      <c r="N322" t="s">
        <v>1628</v>
      </c>
      <c r="O322" t="s">
        <v>1628</v>
      </c>
      <c r="P322" t="s">
        <v>1628</v>
      </c>
      <c r="Q322">
        <f>LEN(AMAZON_FASHION_5__2[[#This Row],[reviewText]])</f>
        <v>20</v>
      </c>
      <c r="R322" t="str">
        <f>IF(AMAZON_FASHION_5__2[[#This Row],[overall]]&gt;=4,"Positive",IF(AMAZON_FASHION_5__2[[#This Row],[overall]]&lt;=2,"Negative","Neutral"))</f>
        <v>Positive</v>
      </c>
      <c r="S3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23" spans="1:19" x14ac:dyDescent="0.25">
      <c r="A323">
        <v>4</v>
      </c>
      <c r="B323" t="b">
        <v>1</v>
      </c>
      <c r="C323" s="1">
        <v>42870</v>
      </c>
      <c r="D323">
        <f>YEAR(AMAZON_FASHION_5__2[[#This Row],[reviewDate]])</f>
        <v>2017</v>
      </c>
      <c r="E323" s="1" t="str">
        <f>TEXT(AMAZON_FASHION_5__2[[#This Row],[reviewDate]], "mmmm")</f>
        <v>May</v>
      </c>
      <c r="F323" t="s">
        <v>819</v>
      </c>
      <c r="G323" t="s">
        <v>196</v>
      </c>
      <c r="H323" t="s">
        <v>201</v>
      </c>
      <c r="I323" t="s">
        <v>524</v>
      </c>
      <c r="J323" t="s">
        <v>820</v>
      </c>
      <c r="K323" t="s">
        <v>821</v>
      </c>
      <c r="L323" t="s">
        <v>103</v>
      </c>
      <c r="M323">
        <v>1494806400</v>
      </c>
      <c r="N323" t="s">
        <v>1628</v>
      </c>
      <c r="O323" t="s">
        <v>1628</v>
      </c>
      <c r="P323" t="s">
        <v>1628</v>
      </c>
      <c r="Q323">
        <f>LEN(AMAZON_FASHION_5__2[[#This Row],[reviewText]])</f>
        <v>40</v>
      </c>
      <c r="R323" t="str">
        <f>IF(AMAZON_FASHION_5__2[[#This Row],[overall]]&gt;=4,"Positive",IF(AMAZON_FASHION_5__2[[#This Row],[overall]]&lt;=2,"Negative","Neutral"))</f>
        <v>Positive</v>
      </c>
      <c r="S3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24" spans="1:19" x14ac:dyDescent="0.25">
      <c r="A324">
        <v>3</v>
      </c>
      <c r="B324" t="b">
        <v>1</v>
      </c>
      <c r="C324" s="1">
        <v>42865</v>
      </c>
      <c r="D324">
        <f>YEAR(AMAZON_FASHION_5__2[[#This Row],[reviewDate]])</f>
        <v>2017</v>
      </c>
      <c r="E324" s="1" t="str">
        <f>TEXT(AMAZON_FASHION_5__2[[#This Row],[reviewDate]], "mmmm")</f>
        <v>May</v>
      </c>
      <c r="F324" t="s">
        <v>822</v>
      </c>
      <c r="G324" t="s">
        <v>196</v>
      </c>
      <c r="H324" t="s">
        <v>210</v>
      </c>
      <c r="I324" t="s">
        <v>198</v>
      </c>
      <c r="J324" t="s">
        <v>823</v>
      </c>
      <c r="K324" t="s">
        <v>824</v>
      </c>
      <c r="L324" t="s">
        <v>825</v>
      </c>
      <c r="M324">
        <v>1494374400</v>
      </c>
      <c r="N324" t="s">
        <v>1628</v>
      </c>
      <c r="O324" t="s">
        <v>1628</v>
      </c>
      <c r="P324" t="s">
        <v>1628</v>
      </c>
      <c r="Q324">
        <f>LEN(AMAZON_FASHION_5__2[[#This Row],[reviewText]])</f>
        <v>170</v>
      </c>
      <c r="R324" t="str">
        <f>IF(AMAZON_FASHION_5__2[[#This Row],[overall]]&gt;=4,"Positive",IF(AMAZON_FASHION_5__2[[#This Row],[overall]]&lt;=2,"Negative","Neutral"))</f>
        <v>Neutral</v>
      </c>
      <c r="S3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25" spans="1:19" x14ac:dyDescent="0.25">
      <c r="A325">
        <v>5</v>
      </c>
      <c r="B325" t="b">
        <v>1</v>
      </c>
      <c r="C325" s="1">
        <v>42862</v>
      </c>
      <c r="D325">
        <f>YEAR(AMAZON_FASHION_5__2[[#This Row],[reviewDate]])</f>
        <v>2017</v>
      </c>
      <c r="E325" s="1" t="str">
        <f>TEXT(AMAZON_FASHION_5__2[[#This Row],[reviewDate]], "mmmm")</f>
        <v>May</v>
      </c>
      <c r="F325" t="s">
        <v>826</v>
      </c>
      <c r="G325" t="s">
        <v>196</v>
      </c>
      <c r="H325" t="s">
        <v>320</v>
      </c>
      <c r="I325" t="s">
        <v>827</v>
      </c>
      <c r="J325" t="s">
        <v>828</v>
      </c>
      <c r="K325" t="s">
        <v>829</v>
      </c>
      <c r="L325" t="s">
        <v>830</v>
      </c>
      <c r="M325">
        <v>1494115200</v>
      </c>
      <c r="N325" t="s">
        <v>1628</v>
      </c>
      <c r="O325" t="s">
        <v>1628</v>
      </c>
      <c r="P325" t="s">
        <v>1628</v>
      </c>
      <c r="Q325">
        <f>LEN(AMAZON_FASHION_5__2[[#This Row],[reviewText]])</f>
        <v>193</v>
      </c>
      <c r="R325" t="str">
        <f>IF(AMAZON_FASHION_5__2[[#This Row],[overall]]&gt;=4,"Positive",IF(AMAZON_FASHION_5__2[[#This Row],[overall]]&lt;=2,"Negative","Neutral"))</f>
        <v>Positive</v>
      </c>
      <c r="S3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26" spans="1:19" x14ac:dyDescent="0.25">
      <c r="A326">
        <v>5</v>
      </c>
      <c r="B326" t="b">
        <v>1</v>
      </c>
      <c r="C326" s="1">
        <v>42861</v>
      </c>
      <c r="D326">
        <f>YEAR(AMAZON_FASHION_5__2[[#This Row],[reviewDate]])</f>
        <v>2017</v>
      </c>
      <c r="E326" s="1" t="str">
        <f>TEXT(AMAZON_FASHION_5__2[[#This Row],[reviewDate]], "mmmm")</f>
        <v>May</v>
      </c>
      <c r="F326" t="s">
        <v>831</v>
      </c>
      <c r="G326" t="s">
        <v>196</v>
      </c>
      <c r="H326" t="s">
        <v>717</v>
      </c>
      <c r="I326" t="s">
        <v>336</v>
      </c>
      <c r="J326" t="s">
        <v>832</v>
      </c>
      <c r="K326" t="s">
        <v>833</v>
      </c>
      <c r="L326" t="s">
        <v>834</v>
      </c>
      <c r="M326">
        <v>1494028800</v>
      </c>
      <c r="N326" t="s">
        <v>1628</v>
      </c>
      <c r="O326" t="s">
        <v>1628</v>
      </c>
      <c r="P326" t="s">
        <v>1628</v>
      </c>
      <c r="Q326">
        <f>LEN(AMAZON_FASHION_5__2[[#This Row],[reviewText]])</f>
        <v>126</v>
      </c>
      <c r="R326" t="str">
        <f>IF(AMAZON_FASHION_5__2[[#This Row],[overall]]&gt;=4,"Positive",IF(AMAZON_FASHION_5__2[[#This Row],[overall]]&lt;=2,"Negative","Neutral"))</f>
        <v>Positive</v>
      </c>
      <c r="S3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27" spans="1:19" x14ac:dyDescent="0.25">
      <c r="A327">
        <v>5</v>
      </c>
      <c r="B327" t="b">
        <v>1</v>
      </c>
      <c r="C327" s="1">
        <v>42860</v>
      </c>
      <c r="D327">
        <f>YEAR(AMAZON_FASHION_5__2[[#This Row],[reviewDate]])</f>
        <v>2017</v>
      </c>
      <c r="E327" s="1" t="str">
        <f>TEXT(AMAZON_FASHION_5__2[[#This Row],[reviewDate]], "mmmm")</f>
        <v>May</v>
      </c>
      <c r="F327" t="s">
        <v>835</v>
      </c>
      <c r="G327" t="s">
        <v>196</v>
      </c>
      <c r="H327" t="s">
        <v>230</v>
      </c>
      <c r="I327" t="s">
        <v>396</v>
      </c>
      <c r="J327" t="s">
        <v>836</v>
      </c>
      <c r="K327" t="s">
        <v>837</v>
      </c>
      <c r="L327" t="s">
        <v>838</v>
      </c>
      <c r="M327">
        <v>1493942400</v>
      </c>
      <c r="N327" t="s">
        <v>1628</v>
      </c>
      <c r="O327" t="s">
        <v>1628</v>
      </c>
      <c r="P327" t="s">
        <v>1628</v>
      </c>
      <c r="Q327">
        <f>LEN(AMAZON_FASHION_5__2[[#This Row],[reviewText]])</f>
        <v>110</v>
      </c>
      <c r="R327" t="str">
        <f>IF(AMAZON_FASHION_5__2[[#This Row],[overall]]&gt;=4,"Positive",IF(AMAZON_FASHION_5__2[[#This Row],[overall]]&lt;=2,"Negative","Neutral"))</f>
        <v>Positive</v>
      </c>
      <c r="S3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28" spans="1:19" x14ac:dyDescent="0.25">
      <c r="A328">
        <v>5</v>
      </c>
      <c r="B328" t="b">
        <v>1</v>
      </c>
      <c r="C328" s="1">
        <v>42858</v>
      </c>
      <c r="D328">
        <f>YEAR(AMAZON_FASHION_5__2[[#This Row],[reviewDate]])</f>
        <v>2017</v>
      </c>
      <c r="E328" s="1" t="str">
        <f>TEXT(AMAZON_FASHION_5__2[[#This Row],[reviewDate]], "mmmm")</f>
        <v>May</v>
      </c>
      <c r="F328" t="s">
        <v>839</v>
      </c>
      <c r="G328" t="s">
        <v>196</v>
      </c>
      <c r="H328" t="s">
        <v>205</v>
      </c>
      <c r="I328" t="s">
        <v>198</v>
      </c>
      <c r="J328" t="s">
        <v>840</v>
      </c>
      <c r="K328" t="s">
        <v>841</v>
      </c>
      <c r="L328" t="s">
        <v>17</v>
      </c>
      <c r="M328">
        <v>1493769600</v>
      </c>
      <c r="N328" t="s">
        <v>1628</v>
      </c>
      <c r="O328" t="s">
        <v>1628</v>
      </c>
      <c r="P328" t="s">
        <v>1628</v>
      </c>
      <c r="Q328">
        <f>LEN(AMAZON_FASHION_5__2[[#This Row],[reviewText]])</f>
        <v>42</v>
      </c>
      <c r="R328" t="str">
        <f>IF(AMAZON_FASHION_5__2[[#This Row],[overall]]&gt;=4,"Positive",IF(AMAZON_FASHION_5__2[[#This Row],[overall]]&lt;=2,"Negative","Neutral"))</f>
        <v>Positive</v>
      </c>
      <c r="S3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29" spans="1:19" x14ac:dyDescent="0.25">
      <c r="A329">
        <v>5</v>
      </c>
      <c r="B329" t="b">
        <v>1</v>
      </c>
      <c r="C329" s="1">
        <v>42858</v>
      </c>
      <c r="D329">
        <f>YEAR(AMAZON_FASHION_5__2[[#This Row],[reviewDate]])</f>
        <v>2017</v>
      </c>
      <c r="E329" s="1" t="str">
        <f>TEXT(AMAZON_FASHION_5__2[[#This Row],[reviewDate]], "mmmm")</f>
        <v>May</v>
      </c>
      <c r="F329" t="s">
        <v>842</v>
      </c>
      <c r="G329" t="s">
        <v>196</v>
      </c>
      <c r="H329" t="s">
        <v>230</v>
      </c>
      <c r="I329" t="s">
        <v>198</v>
      </c>
      <c r="J329" t="s">
        <v>843</v>
      </c>
      <c r="K329" t="s">
        <v>844</v>
      </c>
      <c r="L329" t="s">
        <v>17</v>
      </c>
      <c r="M329">
        <v>1493769600</v>
      </c>
      <c r="N329" t="s">
        <v>1628</v>
      </c>
      <c r="O329" t="s">
        <v>1628</v>
      </c>
      <c r="P329" t="s">
        <v>1628</v>
      </c>
      <c r="Q329">
        <f>LEN(AMAZON_FASHION_5__2[[#This Row],[reviewText]])</f>
        <v>12</v>
      </c>
      <c r="R329" t="str">
        <f>IF(AMAZON_FASHION_5__2[[#This Row],[overall]]&gt;=4,"Positive",IF(AMAZON_FASHION_5__2[[#This Row],[overall]]&lt;=2,"Negative","Neutral"))</f>
        <v>Positive</v>
      </c>
      <c r="S3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30" spans="1:19" x14ac:dyDescent="0.25">
      <c r="A330">
        <v>4</v>
      </c>
      <c r="B330" t="b">
        <v>1</v>
      </c>
      <c r="C330" s="1">
        <v>42857</v>
      </c>
      <c r="D330">
        <f>YEAR(AMAZON_FASHION_5__2[[#This Row],[reviewDate]])</f>
        <v>2017</v>
      </c>
      <c r="E330" s="1" t="str">
        <f>TEXT(AMAZON_FASHION_5__2[[#This Row],[reviewDate]], "mmmm")</f>
        <v>May</v>
      </c>
      <c r="F330" t="s">
        <v>845</v>
      </c>
      <c r="G330" t="s">
        <v>196</v>
      </c>
      <c r="H330" t="s">
        <v>320</v>
      </c>
      <c r="I330" t="s">
        <v>827</v>
      </c>
      <c r="J330" t="s">
        <v>846</v>
      </c>
      <c r="K330" t="s">
        <v>847</v>
      </c>
      <c r="L330" t="s">
        <v>812</v>
      </c>
      <c r="M330">
        <v>1493683200</v>
      </c>
      <c r="N330" t="s">
        <v>1628</v>
      </c>
      <c r="O330" t="s">
        <v>1628</v>
      </c>
      <c r="P330" t="s">
        <v>1628</v>
      </c>
      <c r="Q330">
        <f>LEN(AMAZON_FASHION_5__2[[#This Row],[reviewText]])</f>
        <v>86</v>
      </c>
      <c r="R330" t="str">
        <f>IF(AMAZON_FASHION_5__2[[#This Row],[overall]]&gt;=4,"Positive",IF(AMAZON_FASHION_5__2[[#This Row],[overall]]&lt;=2,"Negative","Neutral"))</f>
        <v>Positive</v>
      </c>
      <c r="S3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31" spans="1:19" x14ac:dyDescent="0.25">
      <c r="A331">
        <v>5</v>
      </c>
      <c r="B331" t="b">
        <v>1</v>
      </c>
      <c r="C331" s="1">
        <v>42856</v>
      </c>
      <c r="D331">
        <f>YEAR(AMAZON_FASHION_5__2[[#This Row],[reviewDate]])</f>
        <v>2017</v>
      </c>
      <c r="E331" s="1" t="str">
        <f>TEXT(AMAZON_FASHION_5__2[[#This Row],[reviewDate]], "mmmm")</f>
        <v>May</v>
      </c>
      <c r="F331" t="s">
        <v>848</v>
      </c>
      <c r="G331" t="s">
        <v>196</v>
      </c>
      <c r="H331" t="s">
        <v>320</v>
      </c>
      <c r="I331" t="s">
        <v>849</v>
      </c>
      <c r="J331" t="s">
        <v>850</v>
      </c>
      <c r="K331" t="s">
        <v>851</v>
      </c>
      <c r="L331" t="s">
        <v>17</v>
      </c>
      <c r="M331">
        <v>1493596800</v>
      </c>
      <c r="N331" t="s">
        <v>1628</v>
      </c>
      <c r="O331" t="s">
        <v>1628</v>
      </c>
      <c r="P331" t="s">
        <v>1628</v>
      </c>
      <c r="Q331">
        <f>LEN(AMAZON_FASHION_5__2[[#This Row],[reviewText]])</f>
        <v>89</v>
      </c>
      <c r="R331" t="str">
        <f>IF(AMAZON_FASHION_5__2[[#This Row],[overall]]&gt;=4,"Positive",IF(AMAZON_FASHION_5__2[[#This Row],[overall]]&lt;=2,"Negative","Neutral"))</f>
        <v>Positive</v>
      </c>
      <c r="S3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32" spans="1:19" x14ac:dyDescent="0.25">
      <c r="A332">
        <v>5</v>
      </c>
      <c r="B332" t="b">
        <v>1</v>
      </c>
      <c r="C332" s="1">
        <v>42853</v>
      </c>
      <c r="D332">
        <f>YEAR(AMAZON_FASHION_5__2[[#This Row],[reviewDate]])</f>
        <v>2017</v>
      </c>
      <c r="E332" s="1" t="str">
        <f>TEXT(AMAZON_FASHION_5__2[[#This Row],[reviewDate]], "mmmm")</f>
        <v>April</v>
      </c>
      <c r="F332" t="s">
        <v>852</v>
      </c>
      <c r="G332" t="s">
        <v>196</v>
      </c>
      <c r="H332" t="s">
        <v>235</v>
      </c>
      <c r="I332" t="s">
        <v>211</v>
      </c>
      <c r="J332" t="s">
        <v>853</v>
      </c>
      <c r="K332" t="s">
        <v>854</v>
      </c>
      <c r="L332" t="s">
        <v>17</v>
      </c>
      <c r="M332">
        <v>1493337600</v>
      </c>
      <c r="N332" t="s">
        <v>1628</v>
      </c>
      <c r="O332" t="s">
        <v>1628</v>
      </c>
      <c r="P332" t="s">
        <v>1628</v>
      </c>
      <c r="Q332">
        <f>LEN(AMAZON_FASHION_5__2[[#This Row],[reviewText]])</f>
        <v>12</v>
      </c>
      <c r="R332" t="str">
        <f>IF(AMAZON_FASHION_5__2[[#This Row],[overall]]&gt;=4,"Positive",IF(AMAZON_FASHION_5__2[[#This Row],[overall]]&lt;=2,"Negative","Neutral"))</f>
        <v>Positive</v>
      </c>
      <c r="S3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33" spans="1:19" x14ac:dyDescent="0.25">
      <c r="A333">
        <v>4</v>
      </c>
      <c r="B333" t="b">
        <v>1</v>
      </c>
      <c r="C333" s="1">
        <v>42852</v>
      </c>
      <c r="D333">
        <f>YEAR(AMAZON_FASHION_5__2[[#This Row],[reviewDate]])</f>
        <v>2017</v>
      </c>
      <c r="E333" s="1" t="str">
        <f>TEXT(AMAZON_FASHION_5__2[[#This Row],[reviewDate]], "mmmm")</f>
        <v>April</v>
      </c>
      <c r="F333" t="s">
        <v>855</v>
      </c>
      <c r="G333" t="s">
        <v>196</v>
      </c>
      <c r="H333" t="s">
        <v>809</v>
      </c>
      <c r="I333" t="s">
        <v>336</v>
      </c>
      <c r="J333" t="s">
        <v>63</v>
      </c>
      <c r="K333" t="s">
        <v>856</v>
      </c>
      <c r="L333" t="s">
        <v>103</v>
      </c>
      <c r="M333">
        <v>1493251200</v>
      </c>
      <c r="N333" t="s">
        <v>1628</v>
      </c>
      <c r="O333" t="s">
        <v>1628</v>
      </c>
      <c r="P333" t="s">
        <v>1628</v>
      </c>
      <c r="Q333">
        <f>LEN(AMAZON_FASHION_5__2[[#This Row],[reviewText]])</f>
        <v>58</v>
      </c>
      <c r="R333" t="str">
        <f>IF(AMAZON_FASHION_5__2[[#This Row],[overall]]&gt;=4,"Positive",IF(AMAZON_FASHION_5__2[[#This Row],[overall]]&lt;=2,"Negative","Neutral"))</f>
        <v>Positive</v>
      </c>
      <c r="S3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34" spans="1:19" x14ac:dyDescent="0.25">
      <c r="A334">
        <v>4</v>
      </c>
      <c r="B334" t="b">
        <v>1</v>
      </c>
      <c r="C334" s="1">
        <v>42852</v>
      </c>
      <c r="D334">
        <f>YEAR(AMAZON_FASHION_5__2[[#This Row],[reviewDate]])</f>
        <v>2017</v>
      </c>
      <c r="E334" s="1" t="str">
        <f>TEXT(AMAZON_FASHION_5__2[[#This Row],[reviewDate]], "mmmm")</f>
        <v>April</v>
      </c>
      <c r="F334" t="s">
        <v>857</v>
      </c>
      <c r="G334" t="s">
        <v>196</v>
      </c>
      <c r="H334" t="s">
        <v>858</v>
      </c>
      <c r="I334" t="s">
        <v>336</v>
      </c>
      <c r="J334" t="s">
        <v>859</v>
      </c>
      <c r="K334" t="s">
        <v>860</v>
      </c>
      <c r="L334" t="s">
        <v>861</v>
      </c>
      <c r="M334">
        <v>1493251200</v>
      </c>
      <c r="N334" t="s">
        <v>1628</v>
      </c>
      <c r="O334" t="s">
        <v>1628</v>
      </c>
      <c r="P334" t="s">
        <v>1628</v>
      </c>
      <c r="Q334">
        <f>LEN(AMAZON_FASHION_5__2[[#This Row],[reviewText]])</f>
        <v>199</v>
      </c>
      <c r="R334" t="str">
        <f>IF(AMAZON_FASHION_5__2[[#This Row],[overall]]&gt;=4,"Positive",IF(AMAZON_FASHION_5__2[[#This Row],[overall]]&lt;=2,"Negative","Neutral"))</f>
        <v>Positive</v>
      </c>
      <c r="S3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35" spans="1:19" x14ac:dyDescent="0.25">
      <c r="A335">
        <v>5</v>
      </c>
      <c r="B335" t="b">
        <v>1</v>
      </c>
      <c r="C335" s="1">
        <v>42851</v>
      </c>
      <c r="D335">
        <f>YEAR(AMAZON_FASHION_5__2[[#This Row],[reviewDate]])</f>
        <v>2017</v>
      </c>
      <c r="E335" s="1" t="str">
        <f>TEXT(AMAZON_FASHION_5__2[[#This Row],[reviewDate]], "mmmm")</f>
        <v>April</v>
      </c>
      <c r="F335" t="s">
        <v>862</v>
      </c>
      <c r="G335" t="s">
        <v>196</v>
      </c>
      <c r="H335" t="s">
        <v>235</v>
      </c>
      <c r="I335" t="s">
        <v>198</v>
      </c>
      <c r="J335" t="s">
        <v>863</v>
      </c>
      <c r="K335" t="s">
        <v>864</v>
      </c>
      <c r="L335" t="s">
        <v>17</v>
      </c>
      <c r="M335">
        <v>1493164800</v>
      </c>
      <c r="N335" t="s">
        <v>1628</v>
      </c>
      <c r="O335" t="s">
        <v>1628</v>
      </c>
      <c r="P335" t="s">
        <v>1628</v>
      </c>
      <c r="Q335">
        <f>LEN(AMAZON_FASHION_5__2[[#This Row],[reviewText]])</f>
        <v>28</v>
      </c>
      <c r="R335" t="str">
        <f>IF(AMAZON_FASHION_5__2[[#This Row],[overall]]&gt;=4,"Positive",IF(AMAZON_FASHION_5__2[[#This Row],[overall]]&lt;=2,"Negative","Neutral"))</f>
        <v>Positive</v>
      </c>
      <c r="S3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36" spans="1:19" x14ac:dyDescent="0.25">
      <c r="A336">
        <v>5</v>
      </c>
      <c r="B336" t="b">
        <v>1</v>
      </c>
      <c r="C336" s="1">
        <v>42850</v>
      </c>
      <c r="D336">
        <f>YEAR(AMAZON_FASHION_5__2[[#This Row],[reviewDate]])</f>
        <v>2017</v>
      </c>
      <c r="E336" s="1" t="str">
        <f>TEXT(AMAZON_FASHION_5__2[[#This Row],[reviewDate]], "mmmm")</f>
        <v>April</v>
      </c>
      <c r="F336" t="s">
        <v>865</v>
      </c>
      <c r="G336" t="s">
        <v>196</v>
      </c>
      <c r="H336" t="s">
        <v>415</v>
      </c>
      <c r="I336" t="s">
        <v>336</v>
      </c>
      <c r="J336" t="s">
        <v>866</v>
      </c>
      <c r="K336" t="s">
        <v>867</v>
      </c>
      <c r="L336" t="s">
        <v>868</v>
      </c>
      <c r="M336">
        <v>1493078400</v>
      </c>
      <c r="N336" t="s">
        <v>1628</v>
      </c>
      <c r="O336" t="s">
        <v>1628</v>
      </c>
      <c r="P336" t="s">
        <v>1628</v>
      </c>
      <c r="Q336">
        <f>LEN(AMAZON_FASHION_5__2[[#This Row],[reviewText]])</f>
        <v>235</v>
      </c>
      <c r="R336" t="str">
        <f>IF(AMAZON_FASHION_5__2[[#This Row],[overall]]&gt;=4,"Positive",IF(AMAZON_FASHION_5__2[[#This Row],[overall]]&lt;=2,"Negative","Neutral"))</f>
        <v>Positive</v>
      </c>
      <c r="S3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37" spans="1:19" x14ac:dyDescent="0.25">
      <c r="A337">
        <v>4</v>
      </c>
      <c r="B337" t="b">
        <v>1</v>
      </c>
      <c r="C337" s="1">
        <v>42849</v>
      </c>
      <c r="D337">
        <f>YEAR(AMAZON_FASHION_5__2[[#This Row],[reviewDate]])</f>
        <v>2017</v>
      </c>
      <c r="E337" s="1" t="str">
        <f>TEXT(AMAZON_FASHION_5__2[[#This Row],[reviewDate]], "mmmm")</f>
        <v>April</v>
      </c>
      <c r="F337" t="s">
        <v>869</v>
      </c>
      <c r="G337" t="s">
        <v>196</v>
      </c>
      <c r="H337" t="s">
        <v>201</v>
      </c>
      <c r="I337" t="s">
        <v>198</v>
      </c>
      <c r="J337" t="s">
        <v>870</v>
      </c>
      <c r="K337" t="s">
        <v>871</v>
      </c>
      <c r="L337" t="s">
        <v>872</v>
      </c>
      <c r="M337">
        <v>1492992000</v>
      </c>
      <c r="N337" t="s">
        <v>1628</v>
      </c>
      <c r="O337" t="s">
        <v>1628</v>
      </c>
      <c r="P337" t="s">
        <v>1628</v>
      </c>
      <c r="Q337">
        <f>LEN(AMAZON_FASHION_5__2[[#This Row],[reviewText]])</f>
        <v>140</v>
      </c>
      <c r="R337" t="str">
        <f>IF(AMAZON_FASHION_5__2[[#This Row],[overall]]&gt;=4,"Positive",IF(AMAZON_FASHION_5__2[[#This Row],[overall]]&lt;=2,"Negative","Neutral"))</f>
        <v>Positive</v>
      </c>
      <c r="S3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38" spans="1:19" x14ac:dyDescent="0.25">
      <c r="A338">
        <v>5</v>
      </c>
      <c r="B338" t="b">
        <v>1</v>
      </c>
      <c r="C338" s="1">
        <v>42849</v>
      </c>
      <c r="D338">
        <f>YEAR(AMAZON_FASHION_5__2[[#This Row],[reviewDate]])</f>
        <v>2017</v>
      </c>
      <c r="E338" s="1" t="str">
        <f>TEXT(AMAZON_FASHION_5__2[[#This Row],[reviewDate]], "mmmm")</f>
        <v>April</v>
      </c>
      <c r="F338" t="s">
        <v>873</v>
      </c>
      <c r="G338" t="s">
        <v>196</v>
      </c>
      <c r="H338" t="s">
        <v>197</v>
      </c>
      <c r="I338" t="s">
        <v>524</v>
      </c>
      <c r="J338" t="s">
        <v>63</v>
      </c>
      <c r="K338" t="s">
        <v>874</v>
      </c>
      <c r="L338" t="s">
        <v>17</v>
      </c>
      <c r="M338">
        <v>1492992000</v>
      </c>
      <c r="N338" t="s">
        <v>1628</v>
      </c>
      <c r="O338" t="s">
        <v>1628</v>
      </c>
      <c r="P338" t="s">
        <v>1628</v>
      </c>
      <c r="Q338">
        <f>LEN(AMAZON_FASHION_5__2[[#This Row],[reviewText]])</f>
        <v>39</v>
      </c>
      <c r="R338" t="str">
        <f>IF(AMAZON_FASHION_5__2[[#This Row],[overall]]&gt;=4,"Positive",IF(AMAZON_FASHION_5__2[[#This Row],[overall]]&lt;=2,"Negative","Neutral"))</f>
        <v>Positive</v>
      </c>
      <c r="S3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39" spans="1:19" x14ac:dyDescent="0.25">
      <c r="A339">
        <v>5</v>
      </c>
      <c r="B339" t="b">
        <v>1</v>
      </c>
      <c r="C339" s="1">
        <v>42845</v>
      </c>
      <c r="D339">
        <f>YEAR(AMAZON_FASHION_5__2[[#This Row],[reviewDate]])</f>
        <v>2017</v>
      </c>
      <c r="E339" s="1" t="str">
        <f>TEXT(AMAZON_FASHION_5__2[[#This Row],[reviewDate]], "mmmm")</f>
        <v>April</v>
      </c>
      <c r="F339" t="s">
        <v>875</v>
      </c>
      <c r="G339" t="s">
        <v>196</v>
      </c>
      <c r="H339" t="s">
        <v>230</v>
      </c>
      <c r="I339" t="s">
        <v>198</v>
      </c>
      <c r="J339" t="s">
        <v>63</v>
      </c>
      <c r="K339" t="s">
        <v>715</v>
      </c>
      <c r="L339" t="s">
        <v>17</v>
      </c>
      <c r="M339">
        <v>1492646400</v>
      </c>
      <c r="N339" t="s">
        <v>1628</v>
      </c>
      <c r="O339" t="s">
        <v>1628</v>
      </c>
      <c r="P339" t="s">
        <v>1628</v>
      </c>
      <c r="Q339">
        <f>LEN(AMAZON_FASHION_5__2[[#This Row],[reviewText]])</f>
        <v>7</v>
      </c>
      <c r="R339" t="str">
        <f>IF(AMAZON_FASHION_5__2[[#This Row],[overall]]&gt;=4,"Positive",IF(AMAZON_FASHION_5__2[[#This Row],[overall]]&lt;=2,"Negative","Neutral"))</f>
        <v>Positive</v>
      </c>
      <c r="S3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40" spans="1:19" x14ac:dyDescent="0.25">
      <c r="A340">
        <v>5</v>
      </c>
      <c r="B340" t="b">
        <v>1</v>
      </c>
      <c r="C340" s="1">
        <v>42844</v>
      </c>
      <c r="D340">
        <f>YEAR(AMAZON_FASHION_5__2[[#This Row],[reviewDate]])</f>
        <v>2017</v>
      </c>
      <c r="E340" s="1" t="str">
        <f>TEXT(AMAZON_FASHION_5__2[[#This Row],[reviewDate]], "mmmm")</f>
        <v>April</v>
      </c>
      <c r="F340" t="s">
        <v>876</v>
      </c>
      <c r="G340" t="s">
        <v>196</v>
      </c>
      <c r="H340" t="s">
        <v>210</v>
      </c>
      <c r="I340" t="s">
        <v>198</v>
      </c>
      <c r="J340" t="s">
        <v>63</v>
      </c>
      <c r="K340" t="s">
        <v>877</v>
      </c>
      <c r="L340" t="s">
        <v>17</v>
      </c>
      <c r="M340">
        <v>1492560000</v>
      </c>
      <c r="N340" t="s">
        <v>1628</v>
      </c>
      <c r="O340" t="s">
        <v>1628</v>
      </c>
      <c r="P340" t="s">
        <v>1628</v>
      </c>
      <c r="Q340">
        <f>LEN(AMAZON_FASHION_5__2[[#This Row],[reviewText]])</f>
        <v>9</v>
      </c>
      <c r="R340" t="str">
        <f>IF(AMAZON_FASHION_5__2[[#This Row],[overall]]&gt;=4,"Positive",IF(AMAZON_FASHION_5__2[[#This Row],[overall]]&lt;=2,"Negative","Neutral"))</f>
        <v>Positive</v>
      </c>
      <c r="S3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41" spans="1:19" x14ac:dyDescent="0.25">
      <c r="A341">
        <v>5</v>
      </c>
      <c r="B341" t="b">
        <v>0</v>
      </c>
      <c r="C341" s="1">
        <v>42843</v>
      </c>
      <c r="D341">
        <f>YEAR(AMAZON_FASHION_5__2[[#This Row],[reviewDate]])</f>
        <v>2017</v>
      </c>
      <c r="E341" s="1" t="str">
        <f>TEXT(AMAZON_FASHION_5__2[[#This Row],[reviewDate]], "mmmm")</f>
        <v>April</v>
      </c>
      <c r="F341" t="s">
        <v>878</v>
      </c>
      <c r="G341" t="s">
        <v>196</v>
      </c>
      <c r="H341" t="s">
        <v>201</v>
      </c>
      <c r="I341" t="s">
        <v>198</v>
      </c>
      <c r="J341" t="s">
        <v>879</v>
      </c>
      <c r="K341" t="s">
        <v>880</v>
      </c>
      <c r="L341" t="s">
        <v>881</v>
      </c>
      <c r="M341">
        <v>1492473600</v>
      </c>
      <c r="N341" t="s">
        <v>1628</v>
      </c>
      <c r="O341" t="s">
        <v>1628</v>
      </c>
      <c r="P341" t="s">
        <v>1628</v>
      </c>
      <c r="Q341">
        <f>LEN(AMAZON_FASHION_5__2[[#This Row],[reviewText]])</f>
        <v>115</v>
      </c>
      <c r="R341" t="str">
        <f>IF(AMAZON_FASHION_5__2[[#This Row],[overall]]&gt;=4,"Positive",IF(AMAZON_FASHION_5__2[[#This Row],[overall]]&lt;=2,"Negative","Neutral"))</f>
        <v>Positive</v>
      </c>
      <c r="S3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42" spans="1:19" x14ac:dyDescent="0.25">
      <c r="A342">
        <v>5</v>
      </c>
      <c r="B342" t="b">
        <v>1</v>
      </c>
      <c r="C342" s="1">
        <v>42842</v>
      </c>
      <c r="D342">
        <f>YEAR(AMAZON_FASHION_5__2[[#This Row],[reviewDate]])</f>
        <v>2017</v>
      </c>
      <c r="E342" s="1" t="str">
        <f>TEXT(AMAZON_FASHION_5__2[[#This Row],[reviewDate]], "mmmm")</f>
        <v>April</v>
      </c>
      <c r="F342" t="s">
        <v>882</v>
      </c>
      <c r="G342" t="s">
        <v>196</v>
      </c>
      <c r="H342" t="s">
        <v>230</v>
      </c>
      <c r="I342" t="s">
        <v>198</v>
      </c>
      <c r="J342" t="s">
        <v>883</v>
      </c>
      <c r="K342" t="s">
        <v>884</v>
      </c>
      <c r="L342" t="s">
        <v>543</v>
      </c>
      <c r="M342">
        <v>1492387200</v>
      </c>
      <c r="N342" t="s">
        <v>1628</v>
      </c>
      <c r="O342" t="s">
        <v>1628</v>
      </c>
      <c r="P342" t="s">
        <v>1628</v>
      </c>
      <c r="Q342">
        <f>LEN(AMAZON_FASHION_5__2[[#This Row],[reviewText]])</f>
        <v>62</v>
      </c>
      <c r="R342" t="str">
        <f>IF(AMAZON_FASHION_5__2[[#This Row],[overall]]&gt;=4,"Positive",IF(AMAZON_FASHION_5__2[[#This Row],[overall]]&lt;=2,"Negative","Neutral"))</f>
        <v>Positive</v>
      </c>
      <c r="S3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43" spans="1:19" x14ac:dyDescent="0.25">
      <c r="A343">
        <v>5</v>
      </c>
      <c r="B343" t="b">
        <v>1</v>
      </c>
      <c r="C343" s="1">
        <v>42840</v>
      </c>
      <c r="D343">
        <f>YEAR(AMAZON_FASHION_5__2[[#This Row],[reviewDate]])</f>
        <v>2017</v>
      </c>
      <c r="E343" s="1" t="str">
        <f>TEXT(AMAZON_FASHION_5__2[[#This Row],[reviewDate]], "mmmm")</f>
        <v>April</v>
      </c>
      <c r="F343" t="s">
        <v>885</v>
      </c>
      <c r="G343" t="s">
        <v>196</v>
      </c>
      <c r="H343" t="s">
        <v>261</v>
      </c>
      <c r="I343" t="s">
        <v>262</v>
      </c>
      <c r="J343" t="s">
        <v>886</v>
      </c>
      <c r="K343" t="s">
        <v>887</v>
      </c>
      <c r="L343" t="s">
        <v>247</v>
      </c>
      <c r="M343">
        <v>1492214400</v>
      </c>
      <c r="N343" t="s">
        <v>1628</v>
      </c>
      <c r="O343" t="s">
        <v>1628</v>
      </c>
      <c r="P343" t="s">
        <v>1628</v>
      </c>
      <c r="Q343">
        <f>LEN(AMAZON_FASHION_5__2[[#This Row],[reviewText]])</f>
        <v>112</v>
      </c>
      <c r="R343" t="str">
        <f>IF(AMAZON_FASHION_5__2[[#This Row],[overall]]&gt;=4,"Positive",IF(AMAZON_FASHION_5__2[[#This Row],[overall]]&lt;=2,"Negative","Neutral"))</f>
        <v>Positive</v>
      </c>
      <c r="S3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44" spans="1:19" x14ac:dyDescent="0.25">
      <c r="A344">
        <v>5</v>
      </c>
      <c r="B344" t="b">
        <v>1</v>
      </c>
      <c r="C344" s="1">
        <v>42839</v>
      </c>
      <c r="D344">
        <f>YEAR(AMAZON_FASHION_5__2[[#This Row],[reviewDate]])</f>
        <v>2017</v>
      </c>
      <c r="E344" s="1" t="str">
        <f>TEXT(AMAZON_FASHION_5__2[[#This Row],[reviewDate]], "mmmm")</f>
        <v>April</v>
      </c>
      <c r="F344" t="s">
        <v>888</v>
      </c>
      <c r="G344" t="s">
        <v>196</v>
      </c>
      <c r="H344" t="s">
        <v>235</v>
      </c>
      <c r="I344" t="s">
        <v>198</v>
      </c>
      <c r="J344" t="s">
        <v>63</v>
      </c>
      <c r="K344" t="s">
        <v>889</v>
      </c>
      <c r="L344" t="s">
        <v>17</v>
      </c>
      <c r="M344">
        <v>1492128000</v>
      </c>
      <c r="N344" t="s">
        <v>1628</v>
      </c>
      <c r="O344" t="s">
        <v>1628</v>
      </c>
      <c r="P344" t="s">
        <v>1628</v>
      </c>
      <c r="Q344">
        <f>LEN(AMAZON_FASHION_5__2[[#This Row],[reviewText]])</f>
        <v>38</v>
      </c>
      <c r="R344" t="str">
        <f>IF(AMAZON_FASHION_5__2[[#This Row],[overall]]&gt;=4,"Positive",IF(AMAZON_FASHION_5__2[[#This Row],[overall]]&lt;=2,"Negative","Neutral"))</f>
        <v>Positive</v>
      </c>
      <c r="S3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45" spans="1:19" x14ac:dyDescent="0.25">
      <c r="A345">
        <v>4</v>
      </c>
      <c r="B345" t="b">
        <v>1</v>
      </c>
      <c r="C345" s="1">
        <v>42836</v>
      </c>
      <c r="D345">
        <f>YEAR(AMAZON_FASHION_5__2[[#This Row],[reviewDate]])</f>
        <v>2017</v>
      </c>
      <c r="E345" s="1" t="str">
        <f>TEXT(AMAZON_FASHION_5__2[[#This Row],[reviewDate]], "mmmm")</f>
        <v>April</v>
      </c>
      <c r="F345" t="s">
        <v>890</v>
      </c>
      <c r="G345" t="s">
        <v>196</v>
      </c>
      <c r="H345" t="s">
        <v>284</v>
      </c>
      <c r="I345" t="s">
        <v>198</v>
      </c>
      <c r="J345" t="s">
        <v>891</v>
      </c>
      <c r="K345" t="s">
        <v>892</v>
      </c>
      <c r="L345" t="s">
        <v>893</v>
      </c>
      <c r="M345">
        <v>1491868800</v>
      </c>
      <c r="N345" t="s">
        <v>1628</v>
      </c>
      <c r="O345" t="s">
        <v>1628</v>
      </c>
      <c r="P345" t="s">
        <v>1628</v>
      </c>
      <c r="Q345">
        <f>LEN(AMAZON_FASHION_5__2[[#This Row],[reviewText]])</f>
        <v>67</v>
      </c>
      <c r="R345" t="str">
        <f>IF(AMAZON_FASHION_5__2[[#This Row],[overall]]&gt;=4,"Positive",IF(AMAZON_FASHION_5__2[[#This Row],[overall]]&lt;=2,"Negative","Neutral"))</f>
        <v>Positive</v>
      </c>
      <c r="S3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46" spans="1:19" x14ac:dyDescent="0.25">
      <c r="A346">
        <v>5</v>
      </c>
      <c r="B346" t="b">
        <v>1</v>
      </c>
      <c r="C346" s="1">
        <v>42836</v>
      </c>
      <c r="D346">
        <f>YEAR(AMAZON_FASHION_5__2[[#This Row],[reviewDate]])</f>
        <v>2017</v>
      </c>
      <c r="E346" s="1" t="str">
        <f>TEXT(AMAZON_FASHION_5__2[[#This Row],[reviewDate]], "mmmm")</f>
        <v>April</v>
      </c>
      <c r="F346" t="s">
        <v>894</v>
      </c>
      <c r="G346" t="s">
        <v>196</v>
      </c>
      <c r="H346" t="s">
        <v>895</v>
      </c>
      <c r="I346" t="s">
        <v>336</v>
      </c>
      <c r="J346" t="s">
        <v>896</v>
      </c>
      <c r="K346" t="s">
        <v>897</v>
      </c>
      <c r="L346" t="s">
        <v>17</v>
      </c>
      <c r="M346">
        <v>1491868800</v>
      </c>
      <c r="N346" t="s">
        <v>1628</v>
      </c>
      <c r="O346" t="s">
        <v>1628</v>
      </c>
      <c r="P346" t="s">
        <v>1628</v>
      </c>
      <c r="Q346">
        <f>LEN(AMAZON_FASHION_5__2[[#This Row],[reviewText]])</f>
        <v>13</v>
      </c>
      <c r="R346" t="str">
        <f>IF(AMAZON_FASHION_5__2[[#This Row],[overall]]&gt;=4,"Positive",IF(AMAZON_FASHION_5__2[[#This Row],[overall]]&lt;=2,"Negative","Neutral"))</f>
        <v>Positive</v>
      </c>
      <c r="S3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47" spans="1:19" x14ac:dyDescent="0.25">
      <c r="A347">
        <v>5</v>
      </c>
      <c r="B347" t="b">
        <v>1</v>
      </c>
      <c r="C347" s="1">
        <v>42835</v>
      </c>
      <c r="D347">
        <f>YEAR(AMAZON_FASHION_5__2[[#This Row],[reviewDate]])</f>
        <v>2017</v>
      </c>
      <c r="E347" s="1" t="str">
        <f>TEXT(AMAZON_FASHION_5__2[[#This Row],[reviewDate]], "mmmm")</f>
        <v>April</v>
      </c>
      <c r="F347" t="s">
        <v>898</v>
      </c>
      <c r="G347" t="s">
        <v>196</v>
      </c>
      <c r="H347" t="s">
        <v>235</v>
      </c>
      <c r="I347" t="s">
        <v>411</v>
      </c>
      <c r="J347" t="s">
        <v>899</v>
      </c>
      <c r="K347" t="s">
        <v>900</v>
      </c>
      <c r="L347" t="s">
        <v>901</v>
      </c>
      <c r="M347">
        <v>1491782400</v>
      </c>
      <c r="N347" t="s">
        <v>1628</v>
      </c>
      <c r="O347" t="s">
        <v>1628</v>
      </c>
      <c r="P347" t="s">
        <v>1628</v>
      </c>
      <c r="Q347">
        <f>LEN(AMAZON_FASHION_5__2[[#This Row],[reviewText]])</f>
        <v>49</v>
      </c>
      <c r="R347" t="str">
        <f>IF(AMAZON_FASHION_5__2[[#This Row],[overall]]&gt;=4,"Positive",IF(AMAZON_FASHION_5__2[[#This Row],[overall]]&lt;=2,"Negative","Neutral"))</f>
        <v>Positive</v>
      </c>
      <c r="S3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48" spans="1:19" x14ac:dyDescent="0.25">
      <c r="A348">
        <v>5</v>
      </c>
      <c r="B348" t="b">
        <v>1</v>
      </c>
      <c r="C348" s="1">
        <v>42835</v>
      </c>
      <c r="D348">
        <f>YEAR(AMAZON_FASHION_5__2[[#This Row],[reviewDate]])</f>
        <v>2017</v>
      </c>
      <c r="E348" s="1" t="str">
        <f>TEXT(AMAZON_FASHION_5__2[[#This Row],[reviewDate]], "mmmm")</f>
        <v>April</v>
      </c>
      <c r="F348" t="s">
        <v>902</v>
      </c>
      <c r="G348" t="s">
        <v>196</v>
      </c>
      <c r="H348" t="s">
        <v>205</v>
      </c>
      <c r="I348" t="s">
        <v>396</v>
      </c>
      <c r="J348" t="s">
        <v>903</v>
      </c>
      <c r="K348" t="s">
        <v>904</v>
      </c>
      <c r="L348" t="s">
        <v>905</v>
      </c>
      <c r="M348">
        <v>1491782400</v>
      </c>
      <c r="N348" t="s">
        <v>1628</v>
      </c>
      <c r="O348" t="s">
        <v>1628</v>
      </c>
      <c r="P348" t="s">
        <v>1628</v>
      </c>
      <c r="Q348">
        <f>LEN(AMAZON_FASHION_5__2[[#This Row],[reviewText]])</f>
        <v>17</v>
      </c>
      <c r="R348" t="str">
        <f>IF(AMAZON_FASHION_5__2[[#This Row],[overall]]&gt;=4,"Positive",IF(AMAZON_FASHION_5__2[[#This Row],[overall]]&lt;=2,"Negative","Neutral"))</f>
        <v>Positive</v>
      </c>
      <c r="S3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49" spans="1:19" x14ac:dyDescent="0.25">
      <c r="A349">
        <v>4</v>
      </c>
      <c r="B349" t="b">
        <v>1</v>
      </c>
      <c r="C349" s="1">
        <v>42835</v>
      </c>
      <c r="D349">
        <f>YEAR(AMAZON_FASHION_5__2[[#This Row],[reviewDate]])</f>
        <v>2017</v>
      </c>
      <c r="E349" s="1" t="str">
        <f>TEXT(AMAZON_FASHION_5__2[[#This Row],[reviewDate]], "mmmm")</f>
        <v>April</v>
      </c>
      <c r="F349" t="s">
        <v>906</v>
      </c>
      <c r="G349" t="s">
        <v>196</v>
      </c>
      <c r="H349" t="s">
        <v>284</v>
      </c>
      <c r="I349" t="s">
        <v>411</v>
      </c>
      <c r="J349" t="s">
        <v>907</v>
      </c>
      <c r="K349" t="s">
        <v>908</v>
      </c>
      <c r="L349" t="s">
        <v>909</v>
      </c>
      <c r="M349">
        <v>1491782400</v>
      </c>
      <c r="N349" t="s">
        <v>1628</v>
      </c>
      <c r="O349" t="s">
        <v>1628</v>
      </c>
      <c r="P349" t="s">
        <v>1628</v>
      </c>
      <c r="Q349">
        <f>LEN(AMAZON_FASHION_5__2[[#This Row],[reviewText]])</f>
        <v>177</v>
      </c>
      <c r="R349" t="str">
        <f>IF(AMAZON_FASHION_5__2[[#This Row],[overall]]&gt;=4,"Positive",IF(AMAZON_FASHION_5__2[[#This Row],[overall]]&lt;=2,"Negative","Neutral"))</f>
        <v>Positive</v>
      </c>
      <c r="S3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50" spans="1:19" x14ac:dyDescent="0.25">
      <c r="A350">
        <v>5</v>
      </c>
      <c r="B350" t="b">
        <v>1</v>
      </c>
      <c r="C350" s="1">
        <v>42833</v>
      </c>
      <c r="D350">
        <f>YEAR(AMAZON_FASHION_5__2[[#This Row],[reviewDate]])</f>
        <v>2017</v>
      </c>
      <c r="E350" s="1" t="str">
        <f>TEXT(AMAZON_FASHION_5__2[[#This Row],[reviewDate]], "mmmm")</f>
        <v>April</v>
      </c>
      <c r="F350" t="s">
        <v>910</v>
      </c>
      <c r="G350" t="s">
        <v>196</v>
      </c>
      <c r="H350" t="s">
        <v>230</v>
      </c>
      <c r="I350" t="s">
        <v>198</v>
      </c>
      <c r="J350" t="s">
        <v>63</v>
      </c>
      <c r="K350" t="s">
        <v>911</v>
      </c>
      <c r="L350" t="s">
        <v>912</v>
      </c>
      <c r="M350">
        <v>1491609600</v>
      </c>
      <c r="N350" t="s">
        <v>1628</v>
      </c>
      <c r="O350" t="s">
        <v>1628</v>
      </c>
      <c r="P350" t="s">
        <v>1628</v>
      </c>
      <c r="Q350">
        <f>LEN(AMAZON_FASHION_5__2[[#This Row],[reviewText]])</f>
        <v>163</v>
      </c>
      <c r="R350" t="str">
        <f>IF(AMAZON_FASHION_5__2[[#This Row],[overall]]&gt;=4,"Positive",IF(AMAZON_FASHION_5__2[[#This Row],[overall]]&lt;=2,"Negative","Neutral"))</f>
        <v>Positive</v>
      </c>
      <c r="S3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51" spans="1:19" x14ac:dyDescent="0.25">
      <c r="A351">
        <v>4</v>
      </c>
      <c r="B351" t="b">
        <v>1</v>
      </c>
      <c r="C351" s="1">
        <v>42830</v>
      </c>
      <c r="D351">
        <f>YEAR(AMAZON_FASHION_5__2[[#This Row],[reviewDate]])</f>
        <v>2017</v>
      </c>
      <c r="E351" s="1" t="str">
        <f>TEXT(AMAZON_FASHION_5__2[[#This Row],[reviewDate]], "mmmm")</f>
        <v>April</v>
      </c>
      <c r="F351" t="s">
        <v>913</v>
      </c>
      <c r="G351" t="s">
        <v>196</v>
      </c>
      <c r="H351" t="s">
        <v>477</v>
      </c>
      <c r="I351" t="s">
        <v>198</v>
      </c>
      <c r="J351" t="s">
        <v>63</v>
      </c>
      <c r="K351" t="s">
        <v>914</v>
      </c>
      <c r="L351" t="s">
        <v>103</v>
      </c>
      <c r="M351">
        <v>1491350400</v>
      </c>
      <c r="N351" t="s">
        <v>1628</v>
      </c>
      <c r="O351" t="s">
        <v>1628</v>
      </c>
      <c r="P351" t="s">
        <v>1628</v>
      </c>
      <c r="Q351">
        <f>LEN(AMAZON_FASHION_5__2[[#This Row],[reviewText]])</f>
        <v>17</v>
      </c>
      <c r="R351" t="str">
        <f>IF(AMAZON_FASHION_5__2[[#This Row],[overall]]&gt;=4,"Positive",IF(AMAZON_FASHION_5__2[[#This Row],[overall]]&lt;=2,"Negative","Neutral"))</f>
        <v>Positive</v>
      </c>
      <c r="S3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52" spans="1:19" x14ac:dyDescent="0.25">
      <c r="A352">
        <v>5</v>
      </c>
      <c r="B352" t="b">
        <v>1</v>
      </c>
      <c r="C352" s="1">
        <v>42830</v>
      </c>
      <c r="D352">
        <f>YEAR(AMAZON_FASHION_5__2[[#This Row],[reviewDate]])</f>
        <v>2017</v>
      </c>
      <c r="E352" s="1" t="str">
        <f>TEXT(AMAZON_FASHION_5__2[[#This Row],[reviewDate]], "mmmm")</f>
        <v>April</v>
      </c>
      <c r="F352" t="s">
        <v>915</v>
      </c>
      <c r="G352" t="s">
        <v>196</v>
      </c>
      <c r="H352" t="s">
        <v>210</v>
      </c>
      <c r="I352" t="s">
        <v>198</v>
      </c>
      <c r="J352" t="s">
        <v>916</v>
      </c>
      <c r="K352" t="s">
        <v>917</v>
      </c>
      <c r="L352" t="s">
        <v>17</v>
      </c>
      <c r="M352">
        <v>1491350400</v>
      </c>
      <c r="N352" t="s">
        <v>1628</v>
      </c>
      <c r="O352" t="s">
        <v>1628</v>
      </c>
      <c r="P352" t="s">
        <v>1628</v>
      </c>
      <c r="Q352">
        <f>LEN(AMAZON_FASHION_5__2[[#This Row],[reviewText]])</f>
        <v>30</v>
      </c>
      <c r="R352" t="str">
        <f>IF(AMAZON_FASHION_5__2[[#This Row],[overall]]&gt;=4,"Positive",IF(AMAZON_FASHION_5__2[[#This Row],[overall]]&lt;=2,"Negative","Neutral"))</f>
        <v>Positive</v>
      </c>
      <c r="S3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53" spans="1:19" x14ac:dyDescent="0.25">
      <c r="A353">
        <v>5</v>
      </c>
      <c r="B353" t="b">
        <v>1</v>
      </c>
      <c r="C353" s="1">
        <v>42829</v>
      </c>
      <c r="D353">
        <f>YEAR(AMAZON_FASHION_5__2[[#This Row],[reviewDate]])</f>
        <v>2017</v>
      </c>
      <c r="E353" s="1" t="str">
        <f>TEXT(AMAZON_FASHION_5__2[[#This Row],[reviewDate]], "mmmm")</f>
        <v>April</v>
      </c>
      <c r="F353" t="s">
        <v>918</v>
      </c>
      <c r="G353" t="s">
        <v>196</v>
      </c>
      <c r="H353" t="s">
        <v>477</v>
      </c>
      <c r="I353" t="s">
        <v>827</v>
      </c>
      <c r="J353" t="s">
        <v>919</v>
      </c>
      <c r="K353" t="s">
        <v>920</v>
      </c>
      <c r="L353" t="s">
        <v>17</v>
      </c>
      <c r="M353">
        <v>1491264000</v>
      </c>
      <c r="N353" t="s">
        <v>1628</v>
      </c>
      <c r="O353" t="s">
        <v>1628</v>
      </c>
      <c r="P353" t="s">
        <v>1628</v>
      </c>
      <c r="Q353">
        <f>LEN(AMAZON_FASHION_5__2[[#This Row],[reviewText]])</f>
        <v>38</v>
      </c>
      <c r="R353" t="str">
        <f>IF(AMAZON_FASHION_5__2[[#This Row],[overall]]&gt;=4,"Positive",IF(AMAZON_FASHION_5__2[[#This Row],[overall]]&lt;=2,"Negative","Neutral"))</f>
        <v>Positive</v>
      </c>
      <c r="S3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54" spans="1:19" x14ac:dyDescent="0.25">
      <c r="A354">
        <v>5</v>
      </c>
      <c r="B354" t="b">
        <v>1</v>
      </c>
      <c r="C354" s="1">
        <v>42827</v>
      </c>
      <c r="D354">
        <f>YEAR(AMAZON_FASHION_5__2[[#This Row],[reviewDate]])</f>
        <v>2017</v>
      </c>
      <c r="E354" s="1" t="str">
        <f>TEXT(AMAZON_FASHION_5__2[[#This Row],[reviewDate]], "mmmm")</f>
        <v>April</v>
      </c>
      <c r="F354" t="s">
        <v>921</v>
      </c>
      <c r="G354" t="s">
        <v>196</v>
      </c>
      <c r="H354" t="s">
        <v>205</v>
      </c>
      <c r="I354" t="s">
        <v>344</v>
      </c>
      <c r="J354" t="s">
        <v>922</v>
      </c>
      <c r="K354" t="s">
        <v>923</v>
      </c>
      <c r="L354" t="s">
        <v>17</v>
      </c>
      <c r="M354">
        <v>1491091200</v>
      </c>
      <c r="N354" t="s">
        <v>1628</v>
      </c>
      <c r="O354" t="s">
        <v>1628</v>
      </c>
      <c r="P354" t="s">
        <v>1628</v>
      </c>
      <c r="Q354">
        <f>LEN(AMAZON_FASHION_5__2[[#This Row],[reviewText]])</f>
        <v>39</v>
      </c>
      <c r="R354" t="str">
        <f>IF(AMAZON_FASHION_5__2[[#This Row],[overall]]&gt;=4,"Positive",IF(AMAZON_FASHION_5__2[[#This Row],[overall]]&lt;=2,"Negative","Neutral"))</f>
        <v>Positive</v>
      </c>
      <c r="S3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55" spans="1:19" x14ac:dyDescent="0.25">
      <c r="A355">
        <v>4</v>
      </c>
      <c r="B355" t="b">
        <v>1</v>
      </c>
      <c r="C355" s="1">
        <v>42824</v>
      </c>
      <c r="D355">
        <f>YEAR(AMAZON_FASHION_5__2[[#This Row],[reviewDate]])</f>
        <v>2017</v>
      </c>
      <c r="E355" s="1" t="str">
        <f>TEXT(AMAZON_FASHION_5__2[[#This Row],[reviewDate]], "mmmm")</f>
        <v>March</v>
      </c>
      <c r="F355" t="s">
        <v>924</v>
      </c>
      <c r="G355" t="s">
        <v>196</v>
      </c>
      <c r="H355" t="s">
        <v>205</v>
      </c>
      <c r="I355" t="s">
        <v>198</v>
      </c>
      <c r="J355" t="s">
        <v>925</v>
      </c>
      <c r="K355" t="s">
        <v>926</v>
      </c>
      <c r="L355" t="s">
        <v>927</v>
      </c>
      <c r="M355">
        <v>1490832000</v>
      </c>
      <c r="N355" t="s">
        <v>1628</v>
      </c>
      <c r="O355" t="s">
        <v>1628</v>
      </c>
      <c r="P355" t="s">
        <v>1628</v>
      </c>
      <c r="Q355">
        <f>LEN(AMAZON_FASHION_5__2[[#This Row],[reviewText]])</f>
        <v>87</v>
      </c>
      <c r="R355" t="str">
        <f>IF(AMAZON_FASHION_5__2[[#This Row],[overall]]&gt;=4,"Positive",IF(AMAZON_FASHION_5__2[[#This Row],[overall]]&lt;=2,"Negative","Neutral"))</f>
        <v>Positive</v>
      </c>
      <c r="S3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56" spans="1:19" x14ac:dyDescent="0.25">
      <c r="A356">
        <v>5</v>
      </c>
      <c r="B356" t="b">
        <v>1</v>
      </c>
      <c r="C356" s="1">
        <v>42823</v>
      </c>
      <c r="D356">
        <f>YEAR(AMAZON_FASHION_5__2[[#This Row],[reviewDate]])</f>
        <v>2017</v>
      </c>
      <c r="E356" s="1" t="str">
        <f>TEXT(AMAZON_FASHION_5__2[[#This Row],[reviewDate]], "mmmm")</f>
        <v>March</v>
      </c>
      <c r="F356" t="s">
        <v>928</v>
      </c>
      <c r="G356" t="s">
        <v>196</v>
      </c>
      <c r="H356" t="s">
        <v>235</v>
      </c>
      <c r="I356" t="s">
        <v>411</v>
      </c>
      <c r="J356" t="s">
        <v>929</v>
      </c>
      <c r="K356" t="s">
        <v>930</v>
      </c>
      <c r="L356" t="s">
        <v>931</v>
      </c>
      <c r="M356">
        <v>1490745600</v>
      </c>
      <c r="N356" t="s">
        <v>1628</v>
      </c>
      <c r="O356" t="s">
        <v>1628</v>
      </c>
      <c r="P356" t="s">
        <v>1628</v>
      </c>
      <c r="Q356">
        <f>LEN(AMAZON_FASHION_5__2[[#This Row],[reviewText]])</f>
        <v>120</v>
      </c>
      <c r="R356" t="str">
        <f>IF(AMAZON_FASHION_5__2[[#This Row],[overall]]&gt;=4,"Positive",IF(AMAZON_FASHION_5__2[[#This Row],[overall]]&lt;=2,"Negative","Neutral"))</f>
        <v>Positive</v>
      </c>
      <c r="S3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57" spans="1:19" x14ac:dyDescent="0.25">
      <c r="A357">
        <v>2</v>
      </c>
      <c r="B357" t="b">
        <v>1</v>
      </c>
      <c r="C357" s="1">
        <v>42820</v>
      </c>
      <c r="D357">
        <f>YEAR(AMAZON_FASHION_5__2[[#This Row],[reviewDate]])</f>
        <v>2017</v>
      </c>
      <c r="E357" s="1" t="str">
        <f>TEXT(AMAZON_FASHION_5__2[[#This Row],[reviewDate]], "mmmm")</f>
        <v>March</v>
      </c>
      <c r="F357" t="s">
        <v>932</v>
      </c>
      <c r="G357" t="s">
        <v>196</v>
      </c>
      <c r="H357" t="s">
        <v>477</v>
      </c>
      <c r="I357" t="s">
        <v>211</v>
      </c>
      <c r="J357" t="s">
        <v>933</v>
      </c>
      <c r="K357" t="s">
        <v>934</v>
      </c>
      <c r="L357" t="s">
        <v>935</v>
      </c>
      <c r="M357">
        <v>1490486400</v>
      </c>
      <c r="N357" t="s">
        <v>1628</v>
      </c>
      <c r="O357" t="s">
        <v>1628</v>
      </c>
      <c r="P357" t="s">
        <v>1628</v>
      </c>
      <c r="Q357">
        <f>LEN(AMAZON_FASHION_5__2[[#This Row],[reviewText]])</f>
        <v>178</v>
      </c>
      <c r="R357" t="str">
        <f>IF(AMAZON_FASHION_5__2[[#This Row],[overall]]&gt;=4,"Positive",IF(AMAZON_FASHION_5__2[[#This Row],[overall]]&lt;=2,"Negative","Neutral"))</f>
        <v>Negative</v>
      </c>
      <c r="S3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58" spans="1:19" x14ac:dyDescent="0.25">
      <c r="A358">
        <v>1</v>
      </c>
      <c r="B358" t="b">
        <v>1</v>
      </c>
      <c r="C358" s="1">
        <v>42819</v>
      </c>
      <c r="D358">
        <f>YEAR(AMAZON_FASHION_5__2[[#This Row],[reviewDate]])</f>
        <v>2017</v>
      </c>
      <c r="E358" s="1" t="str">
        <f>TEXT(AMAZON_FASHION_5__2[[#This Row],[reviewDate]], "mmmm")</f>
        <v>March</v>
      </c>
      <c r="F358" t="s">
        <v>936</v>
      </c>
      <c r="G358" t="s">
        <v>196</v>
      </c>
      <c r="H358" t="s">
        <v>415</v>
      </c>
      <c r="I358" t="s">
        <v>336</v>
      </c>
      <c r="J358" t="s">
        <v>937</v>
      </c>
      <c r="K358" t="s">
        <v>938</v>
      </c>
      <c r="L358" t="s">
        <v>65</v>
      </c>
      <c r="M358">
        <v>1490400000</v>
      </c>
      <c r="N358" t="s">
        <v>1628</v>
      </c>
      <c r="O358" t="s">
        <v>1628</v>
      </c>
      <c r="P358" t="s">
        <v>1628</v>
      </c>
      <c r="Q358">
        <f>LEN(AMAZON_FASHION_5__2[[#This Row],[reviewText]])</f>
        <v>84</v>
      </c>
      <c r="R358" t="str">
        <f>IF(AMAZON_FASHION_5__2[[#This Row],[overall]]&gt;=4,"Positive",IF(AMAZON_FASHION_5__2[[#This Row],[overall]]&lt;=2,"Negative","Neutral"))</f>
        <v>Negative</v>
      </c>
      <c r="S3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59" spans="1:19" x14ac:dyDescent="0.25">
      <c r="A359">
        <v>5</v>
      </c>
      <c r="B359" t="b">
        <v>1</v>
      </c>
      <c r="C359" s="1">
        <v>42818</v>
      </c>
      <c r="D359">
        <f>YEAR(AMAZON_FASHION_5__2[[#This Row],[reviewDate]])</f>
        <v>2017</v>
      </c>
      <c r="E359" s="1" t="str">
        <f>TEXT(AMAZON_FASHION_5__2[[#This Row],[reviewDate]], "mmmm")</f>
        <v>March</v>
      </c>
      <c r="F359" t="s">
        <v>939</v>
      </c>
      <c r="G359" t="s">
        <v>196</v>
      </c>
      <c r="H359" t="s">
        <v>235</v>
      </c>
      <c r="I359" t="s">
        <v>198</v>
      </c>
      <c r="J359" t="s">
        <v>63</v>
      </c>
      <c r="K359" t="s">
        <v>940</v>
      </c>
      <c r="L359" t="s">
        <v>17</v>
      </c>
      <c r="M359">
        <v>1490313600</v>
      </c>
      <c r="N359" t="s">
        <v>1628</v>
      </c>
      <c r="O359" t="s">
        <v>1628</v>
      </c>
      <c r="P359" t="s">
        <v>1628</v>
      </c>
      <c r="Q359">
        <f>LEN(AMAZON_FASHION_5__2[[#This Row],[reviewText]])</f>
        <v>10</v>
      </c>
      <c r="R359" t="str">
        <f>IF(AMAZON_FASHION_5__2[[#This Row],[overall]]&gt;=4,"Positive",IF(AMAZON_FASHION_5__2[[#This Row],[overall]]&lt;=2,"Negative","Neutral"))</f>
        <v>Positive</v>
      </c>
      <c r="S3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60" spans="1:19" x14ac:dyDescent="0.25">
      <c r="A360">
        <v>5</v>
      </c>
      <c r="B360" t="b">
        <v>1</v>
      </c>
      <c r="C360" s="1">
        <v>42818</v>
      </c>
      <c r="D360">
        <f>YEAR(AMAZON_FASHION_5__2[[#This Row],[reviewDate]])</f>
        <v>2017</v>
      </c>
      <c r="E360" s="1" t="str">
        <f>TEXT(AMAZON_FASHION_5__2[[#This Row],[reviewDate]], "mmmm")</f>
        <v>March</v>
      </c>
      <c r="F360" t="s">
        <v>941</v>
      </c>
      <c r="G360" t="s">
        <v>196</v>
      </c>
      <c r="H360" t="s">
        <v>210</v>
      </c>
      <c r="I360" t="s">
        <v>198</v>
      </c>
      <c r="J360" t="s">
        <v>942</v>
      </c>
      <c r="K360" t="s">
        <v>943</v>
      </c>
      <c r="L360" t="s">
        <v>944</v>
      </c>
      <c r="M360">
        <v>1490313600</v>
      </c>
      <c r="N360" t="s">
        <v>1628</v>
      </c>
      <c r="O360" t="s">
        <v>1628</v>
      </c>
      <c r="P360" t="s">
        <v>1628</v>
      </c>
      <c r="Q360">
        <f>LEN(AMAZON_FASHION_5__2[[#This Row],[reviewText]])</f>
        <v>225</v>
      </c>
      <c r="R360" t="str">
        <f>IF(AMAZON_FASHION_5__2[[#This Row],[overall]]&gt;=4,"Positive",IF(AMAZON_FASHION_5__2[[#This Row],[overall]]&lt;=2,"Negative","Neutral"))</f>
        <v>Positive</v>
      </c>
      <c r="S3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61" spans="1:19" x14ac:dyDescent="0.25">
      <c r="A361">
        <v>5</v>
      </c>
      <c r="B361" t="b">
        <v>1</v>
      </c>
      <c r="C361" s="1">
        <v>42817</v>
      </c>
      <c r="D361">
        <f>YEAR(AMAZON_FASHION_5__2[[#This Row],[reviewDate]])</f>
        <v>2017</v>
      </c>
      <c r="E361" s="1" t="str">
        <f>TEXT(AMAZON_FASHION_5__2[[#This Row],[reviewDate]], "mmmm")</f>
        <v>March</v>
      </c>
      <c r="F361" t="s">
        <v>945</v>
      </c>
      <c r="G361" t="s">
        <v>196</v>
      </c>
      <c r="H361" t="s">
        <v>230</v>
      </c>
      <c r="I361" t="s">
        <v>574</v>
      </c>
      <c r="J361" t="s">
        <v>946</v>
      </c>
      <c r="K361" t="s">
        <v>947</v>
      </c>
      <c r="L361" t="s">
        <v>948</v>
      </c>
      <c r="M361">
        <v>1490227200</v>
      </c>
      <c r="N361" t="s">
        <v>1628</v>
      </c>
      <c r="O361" t="s">
        <v>1628</v>
      </c>
      <c r="P361">
        <v>3</v>
      </c>
      <c r="Q361">
        <f>LEN(AMAZON_FASHION_5__2[[#This Row],[reviewText]])</f>
        <v>401</v>
      </c>
      <c r="R361" t="str">
        <f>IF(AMAZON_FASHION_5__2[[#This Row],[overall]]&gt;=4,"Positive",IF(AMAZON_FASHION_5__2[[#This Row],[overall]]&lt;=2,"Negative","Neutral"))</f>
        <v>Positive</v>
      </c>
      <c r="S3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62" spans="1:19" x14ac:dyDescent="0.25">
      <c r="A362">
        <v>5</v>
      </c>
      <c r="B362" t="b">
        <v>1</v>
      </c>
      <c r="C362" s="1">
        <v>42815</v>
      </c>
      <c r="D362">
        <f>YEAR(AMAZON_FASHION_5__2[[#This Row],[reviewDate]])</f>
        <v>2017</v>
      </c>
      <c r="E362" s="1" t="str">
        <f>TEXT(AMAZON_FASHION_5__2[[#This Row],[reviewDate]], "mmmm")</f>
        <v>March</v>
      </c>
      <c r="F362" t="s">
        <v>949</v>
      </c>
      <c r="G362" t="s">
        <v>196</v>
      </c>
      <c r="H362" t="s">
        <v>210</v>
      </c>
      <c r="I362" t="s">
        <v>419</v>
      </c>
      <c r="J362" t="s">
        <v>950</v>
      </c>
      <c r="K362" t="s">
        <v>951</v>
      </c>
      <c r="L362" t="s">
        <v>543</v>
      </c>
      <c r="M362">
        <v>1490054400</v>
      </c>
      <c r="N362" t="s">
        <v>1628</v>
      </c>
      <c r="O362" t="s">
        <v>1628</v>
      </c>
      <c r="P362" t="s">
        <v>1628</v>
      </c>
      <c r="Q362">
        <f>LEN(AMAZON_FASHION_5__2[[#This Row],[reviewText]])</f>
        <v>110</v>
      </c>
      <c r="R362" t="str">
        <f>IF(AMAZON_FASHION_5__2[[#This Row],[overall]]&gt;=4,"Positive",IF(AMAZON_FASHION_5__2[[#This Row],[overall]]&lt;=2,"Negative","Neutral"))</f>
        <v>Positive</v>
      </c>
      <c r="S3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63" spans="1:19" x14ac:dyDescent="0.25">
      <c r="A363">
        <v>4</v>
      </c>
      <c r="B363" t="b">
        <v>1</v>
      </c>
      <c r="C363" s="1">
        <v>42814</v>
      </c>
      <c r="D363">
        <f>YEAR(AMAZON_FASHION_5__2[[#This Row],[reviewDate]])</f>
        <v>2017</v>
      </c>
      <c r="E363" s="1" t="str">
        <f>TEXT(AMAZON_FASHION_5__2[[#This Row],[reviewDate]], "mmmm")</f>
        <v>March</v>
      </c>
      <c r="F363" t="s">
        <v>952</v>
      </c>
      <c r="G363" t="s">
        <v>196</v>
      </c>
      <c r="H363" t="s">
        <v>477</v>
      </c>
      <c r="I363" t="s">
        <v>344</v>
      </c>
      <c r="J363" t="s">
        <v>953</v>
      </c>
      <c r="K363" t="s">
        <v>954</v>
      </c>
      <c r="L363" t="s">
        <v>955</v>
      </c>
      <c r="M363">
        <v>1489968000</v>
      </c>
      <c r="N363" t="s">
        <v>1628</v>
      </c>
      <c r="O363" t="s">
        <v>1628</v>
      </c>
      <c r="P363" t="s">
        <v>1628</v>
      </c>
      <c r="Q363">
        <f>LEN(AMAZON_FASHION_5__2[[#This Row],[reviewText]])</f>
        <v>23</v>
      </c>
      <c r="R363" t="str">
        <f>IF(AMAZON_FASHION_5__2[[#This Row],[overall]]&gt;=4,"Positive",IF(AMAZON_FASHION_5__2[[#This Row],[overall]]&lt;=2,"Negative","Neutral"))</f>
        <v>Positive</v>
      </c>
      <c r="S3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64" spans="1:19" x14ac:dyDescent="0.25">
      <c r="A364">
        <v>5</v>
      </c>
      <c r="B364" t="b">
        <v>1</v>
      </c>
      <c r="C364" s="1">
        <v>42812</v>
      </c>
      <c r="D364">
        <f>YEAR(AMAZON_FASHION_5__2[[#This Row],[reviewDate]])</f>
        <v>2017</v>
      </c>
      <c r="E364" s="1" t="str">
        <f>TEXT(AMAZON_FASHION_5__2[[#This Row],[reviewDate]], "mmmm")</f>
        <v>March</v>
      </c>
      <c r="F364" t="s">
        <v>956</v>
      </c>
      <c r="G364" t="s">
        <v>196</v>
      </c>
      <c r="H364" t="s">
        <v>201</v>
      </c>
      <c r="I364" t="s">
        <v>198</v>
      </c>
      <c r="J364" t="s">
        <v>957</v>
      </c>
      <c r="K364" t="s">
        <v>958</v>
      </c>
      <c r="L364" t="s">
        <v>17</v>
      </c>
      <c r="M364">
        <v>1489795200</v>
      </c>
      <c r="N364" t="s">
        <v>1628</v>
      </c>
      <c r="O364" t="s">
        <v>1628</v>
      </c>
      <c r="P364" t="s">
        <v>1628</v>
      </c>
      <c r="Q364">
        <f>LEN(AMAZON_FASHION_5__2[[#This Row],[reviewText]])</f>
        <v>40</v>
      </c>
      <c r="R364" t="str">
        <f>IF(AMAZON_FASHION_5__2[[#This Row],[overall]]&gt;=4,"Positive",IF(AMAZON_FASHION_5__2[[#This Row],[overall]]&lt;=2,"Negative","Neutral"))</f>
        <v>Positive</v>
      </c>
      <c r="S3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65" spans="1:19" x14ac:dyDescent="0.25">
      <c r="A365">
        <v>5</v>
      </c>
      <c r="B365" t="b">
        <v>1</v>
      </c>
      <c r="C365" s="1">
        <v>42812</v>
      </c>
      <c r="D365">
        <f>YEAR(AMAZON_FASHION_5__2[[#This Row],[reviewDate]])</f>
        <v>2017</v>
      </c>
      <c r="E365" s="1" t="str">
        <f>TEXT(AMAZON_FASHION_5__2[[#This Row],[reviewDate]], "mmmm")</f>
        <v>March</v>
      </c>
      <c r="F365" t="s">
        <v>959</v>
      </c>
      <c r="G365" t="s">
        <v>196</v>
      </c>
      <c r="H365" t="s">
        <v>201</v>
      </c>
      <c r="I365" t="s">
        <v>419</v>
      </c>
      <c r="J365" t="s">
        <v>960</v>
      </c>
      <c r="K365" t="s">
        <v>961</v>
      </c>
      <c r="L365" t="s">
        <v>962</v>
      </c>
      <c r="M365">
        <v>1489795200</v>
      </c>
      <c r="N365" t="s">
        <v>1628</v>
      </c>
      <c r="O365" t="s">
        <v>1628</v>
      </c>
      <c r="P365">
        <v>8</v>
      </c>
      <c r="Q365">
        <f>LEN(AMAZON_FASHION_5__2[[#This Row],[reviewText]])</f>
        <v>267</v>
      </c>
      <c r="R365" t="str">
        <f>IF(AMAZON_FASHION_5__2[[#This Row],[overall]]&gt;=4,"Positive",IF(AMAZON_FASHION_5__2[[#This Row],[overall]]&lt;=2,"Negative","Neutral"))</f>
        <v>Positive</v>
      </c>
      <c r="S3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66" spans="1:19" x14ac:dyDescent="0.25">
      <c r="A366">
        <v>3</v>
      </c>
      <c r="B366" t="b">
        <v>1</v>
      </c>
      <c r="C366" s="1">
        <v>42811</v>
      </c>
      <c r="D366">
        <f>YEAR(AMAZON_FASHION_5__2[[#This Row],[reviewDate]])</f>
        <v>2017</v>
      </c>
      <c r="E366" s="1" t="str">
        <f>TEXT(AMAZON_FASHION_5__2[[#This Row],[reviewDate]], "mmmm")</f>
        <v>March</v>
      </c>
      <c r="F366" t="s">
        <v>963</v>
      </c>
      <c r="G366" t="s">
        <v>196</v>
      </c>
      <c r="H366" t="s">
        <v>477</v>
      </c>
      <c r="I366" t="s">
        <v>344</v>
      </c>
      <c r="J366" t="s">
        <v>964</v>
      </c>
      <c r="K366" t="s">
        <v>965</v>
      </c>
      <c r="L366" t="s">
        <v>966</v>
      </c>
      <c r="M366">
        <v>1489708800</v>
      </c>
      <c r="N366" t="s">
        <v>1628</v>
      </c>
      <c r="O366" t="s">
        <v>1628</v>
      </c>
      <c r="P366" t="s">
        <v>1628</v>
      </c>
      <c r="Q366">
        <f>LEN(AMAZON_FASHION_5__2[[#This Row],[reviewText]])</f>
        <v>143</v>
      </c>
      <c r="R366" t="str">
        <f>IF(AMAZON_FASHION_5__2[[#This Row],[overall]]&gt;=4,"Positive",IF(AMAZON_FASHION_5__2[[#This Row],[overall]]&lt;=2,"Negative","Neutral"))</f>
        <v>Neutral</v>
      </c>
      <c r="S3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67" spans="1:19" x14ac:dyDescent="0.25">
      <c r="A367">
        <v>4</v>
      </c>
      <c r="B367" t="b">
        <v>1</v>
      </c>
      <c r="C367" s="1">
        <v>42809</v>
      </c>
      <c r="D367">
        <f>YEAR(AMAZON_FASHION_5__2[[#This Row],[reviewDate]])</f>
        <v>2017</v>
      </c>
      <c r="E367" s="1" t="str">
        <f>TEXT(AMAZON_FASHION_5__2[[#This Row],[reviewDate]], "mmmm")</f>
        <v>March</v>
      </c>
      <c r="F367" t="s">
        <v>967</v>
      </c>
      <c r="G367" t="s">
        <v>196</v>
      </c>
      <c r="H367" t="s">
        <v>201</v>
      </c>
      <c r="I367" t="s">
        <v>524</v>
      </c>
      <c r="J367" t="s">
        <v>968</v>
      </c>
      <c r="K367" t="s">
        <v>969</v>
      </c>
      <c r="L367" t="s">
        <v>970</v>
      </c>
      <c r="M367">
        <v>1489536000</v>
      </c>
      <c r="N367" t="s">
        <v>1628</v>
      </c>
      <c r="O367" t="s">
        <v>1628</v>
      </c>
      <c r="P367" t="s">
        <v>1628</v>
      </c>
      <c r="Q367">
        <f>LEN(AMAZON_FASHION_5__2[[#This Row],[reviewText]])</f>
        <v>118</v>
      </c>
      <c r="R367" t="str">
        <f>IF(AMAZON_FASHION_5__2[[#This Row],[overall]]&gt;=4,"Positive",IF(AMAZON_FASHION_5__2[[#This Row],[overall]]&lt;=2,"Negative","Neutral"))</f>
        <v>Positive</v>
      </c>
      <c r="S3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68" spans="1:19" x14ac:dyDescent="0.25">
      <c r="A368">
        <v>3</v>
      </c>
      <c r="B368" t="b">
        <v>1</v>
      </c>
      <c r="C368" s="1">
        <v>42809</v>
      </c>
      <c r="D368">
        <f>YEAR(AMAZON_FASHION_5__2[[#This Row],[reviewDate]])</f>
        <v>2017</v>
      </c>
      <c r="E368" s="1" t="str">
        <f>TEXT(AMAZON_FASHION_5__2[[#This Row],[reviewDate]], "mmmm")</f>
        <v>March</v>
      </c>
      <c r="F368" t="s">
        <v>971</v>
      </c>
      <c r="G368" t="s">
        <v>196</v>
      </c>
      <c r="H368" t="s">
        <v>235</v>
      </c>
      <c r="I368" t="s">
        <v>411</v>
      </c>
      <c r="J368" t="s">
        <v>972</v>
      </c>
      <c r="K368" t="s">
        <v>973</v>
      </c>
      <c r="L368" t="s">
        <v>974</v>
      </c>
      <c r="M368">
        <v>1489536000</v>
      </c>
      <c r="N368" t="s">
        <v>1628</v>
      </c>
      <c r="O368" t="s">
        <v>1628</v>
      </c>
      <c r="P368">
        <v>2</v>
      </c>
      <c r="Q368">
        <f>LEN(AMAZON_FASHION_5__2[[#This Row],[reviewText]])</f>
        <v>150</v>
      </c>
      <c r="R368" t="str">
        <f>IF(AMAZON_FASHION_5__2[[#This Row],[overall]]&gt;=4,"Positive",IF(AMAZON_FASHION_5__2[[#This Row],[overall]]&lt;=2,"Negative","Neutral"))</f>
        <v>Neutral</v>
      </c>
      <c r="S3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69" spans="1:19" x14ac:dyDescent="0.25">
      <c r="A369">
        <v>5</v>
      </c>
      <c r="B369" t="b">
        <v>1</v>
      </c>
      <c r="C369" s="1">
        <v>42809</v>
      </c>
      <c r="D369">
        <f>YEAR(AMAZON_FASHION_5__2[[#This Row],[reviewDate]])</f>
        <v>2017</v>
      </c>
      <c r="E369" s="1" t="str">
        <f>TEXT(AMAZON_FASHION_5__2[[#This Row],[reviewDate]], "mmmm")</f>
        <v>March</v>
      </c>
      <c r="F369" t="s">
        <v>975</v>
      </c>
      <c r="G369" t="s">
        <v>196</v>
      </c>
      <c r="H369" t="s">
        <v>201</v>
      </c>
      <c r="I369" t="s">
        <v>524</v>
      </c>
      <c r="J369" t="s">
        <v>976</v>
      </c>
      <c r="K369" t="s">
        <v>977</v>
      </c>
      <c r="L369" t="s">
        <v>17</v>
      </c>
      <c r="M369">
        <v>1489536000</v>
      </c>
      <c r="N369" t="s">
        <v>1628</v>
      </c>
      <c r="O369" t="s">
        <v>1628</v>
      </c>
      <c r="P369" t="s">
        <v>1628</v>
      </c>
      <c r="Q369">
        <f>LEN(AMAZON_FASHION_5__2[[#This Row],[reviewText]])</f>
        <v>40</v>
      </c>
      <c r="R369" t="str">
        <f>IF(AMAZON_FASHION_5__2[[#This Row],[overall]]&gt;=4,"Positive",IF(AMAZON_FASHION_5__2[[#This Row],[overall]]&lt;=2,"Negative","Neutral"))</f>
        <v>Positive</v>
      </c>
      <c r="S3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70" spans="1:19" x14ac:dyDescent="0.25">
      <c r="A370">
        <v>5</v>
      </c>
      <c r="B370" t="b">
        <v>1</v>
      </c>
      <c r="C370" s="1">
        <v>42808</v>
      </c>
      <c r="D370">
        <f>YEAR(AMAZON_FASHION_5__2[[#This Row],[reviewDate]])</f>
        <v>2017</v>
      </c>
      <c r="E370" s="1" t="str">
        <f>TEXT(AMAZON_FASHION_5__2[[#This Row],[reviewDate]], "mmmm")</f>
        <v>March</v>
      </c>
      <c r="F370" t="s">
        <v>978</v>
      </c>
      <c r="G370" t="s">
        <v>196</v>
      </c>
      <c r="H370" t="s">
        <v>205</v>
      </c>
      <c r="I370" t="s">
        <v>827</v>
      </c>
      <c r="J370" t="s">
        <v>979</v>
      </c>
      <c r="K370" t="s">
        <v>980</v>
      </c>
      <c r="L370" t="s">
        <v>17</v>
      </c>
      <c r="M370">
        <v>1489449600</v>
      </c>
      <c r="N370" t="s">
        <v>1628</v>
      </c>
      <c r="O370" t="s">
        <v>1628</v>
      </c>
      <c r="P370" t="s">
        <v>1628</v>
      </c>
      <c r="Q370">
        <f>LEN(AMAZON_FASHION_5__2[[#This Row],[reviewText]])</f>
        <v>33</v>
      </c>
      <c r="R370" t="str">
        <f>IF(AMAZON_FASHION_5__2[[#This Row],[overall]]&gt;=4,"Positive",IF(AMAZON_FASHION_5__2[[#This Row],[overall]]&lt;=2,"Negative","Neutral"))</f>
        <v>Positive</v>
      </c>
      <c r="S3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71" spans="1:19" x14ac:dyDescent="0.25">
      <c r="A371">
        <v>5</v>
      </c>
      <c r="B371" t="b">
        <v>1</v>
      </c>
      <c r="C371" s="1">
        <v>42807</v>
      </c>
      <c r="D371">
        <f>YEAR(AMAZON_FASHION_5__2[[#This Row],[reviewDate]])</f>
        <v>2017</v>
      </c>
      <c r="E371" s="1" t="str">
        <f>TEXT(AMAZON_FASHION_5__2[[#This Row],[reviewDate]], "mmmm")</f>
        <v>March</v>
      </c>
      <c r="F371" t="s">
        <v>981</v>
      </c>
      <c r="G371" t="s">
        <v>196</v>
      </c>
      <c r="H371" t="s">
        <v>210</v>
      </c>
      <c r="I371" t="s">
        <v>524</v>
      </c>
      <c r="J371" t="s">
        <v>982</v>
      </c>
      <c r="K371" t="s">
        <v>983</v>
      </c>
      <c r="L371" t="s">
        <v>984</v>
      </c>
      <c r="M371">
        <v>1489363200</v>
      </c>
      <c r="N371" t="s">
        <v>1628</v>
      </c>
      <c r="O371" t="s">
        <v>1628</v>
      </c>
      <c r="P371" t="s">
        <v>1628</v>
      </c>
      <c r="Q371">
        <f>LEN(AMAZON_FASHION_5__2[[#This Row],[reviewText]])</f>
        <v>297</v>
      </c>
      <c r="R371" t="str">
        <f>IF(AMAZON_FASHION_5__2[[#This Row],[overall]]&gt;=4,"Positive",IF(AMAZON_FASHION_5__2[[#This Row],[overall]]&lt;=2,"Negative","Neutral"))</f>
        <v>Positive</v>
      </c>
      <c r="S3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72" spans="1:19" x14ac:dyDescent="0.25">
      <c r="A372">
        <v>5</v>
      </c>
      <c r="B372" t="b">
        <v>1</v>
      </c>
      <c r="C372" s="1">
        <v>42806</v>
      </c>
      <c r="D372">
        <f>YEAR(AMAZON_FASHION_5__2[[#This Row],[reviewDate]])</f>
        <v>2017</v>
      </c>
      <c r="E372" s="1" t="str">
        <f>TEXT(AMAZON_FASHION_5__2[[#This Row],[reviewDate]], "mmmm")</f>
        <v>March</v>
      </c>
      <c r="F372" t="s">
        <v>985</v>
      </c>
      <c r="G372" t="s">
        <v>196</v>
      </c>
      <c r="H372" t="s">
        <v>235</v>
      </c>
      <c r="I372" t="s">
        <v>198</v>
      </c>
      <c r="J372" t="s">
        <v>986</v>
      </c>
      <c r="K372" t="s">
        <v>987</v>
      </c>
      <c r="L372" t="s">
        <v>988</v>
      </c>
      <c r="M372">
        <v>1489276800</v>
      </c>
      <c r="N372" t="s">
        <v>1628</v>
      </c>
      <c r="O372" t="s">
        <v>1628</v>
      </c>
      <c r="P372" t="s">
        <v>1628</v>
      </c>
      <c r="Q372">
        <f>LEN(AMAZON_FASHION_5__2[[#This Row],[reviewText]])</f>
        <v>81</v>
      </c>
      <c r="R372" t="str">
        <f>IF(AMAZON_FASHION_5__2[[#This Row],[overall]]&gt;=4,"Positive",IF(AMAZON_FASHION_5__2[[#This Row],[overall]]&lt;=2,"Negative","Neutral"))</f>
        <v>Positive</v>
      </c>
      <c r="S3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73" spans="1:19" x14ac:dyDescent="0.25">
      <c r="A373">
        <v>5</v>
      </c>
      <c r="B373" t="b">
        <v>1</v>
      </c>
      <c r="C373" s="1">
        <v>42802</v>
      </c>
      <c r="D373">
        <f>YEAR(AMAZON_FASHION_5__2[[#This Row],[reviewDate]])</f>
        <v>2017</v>
      </c>
      <c r="E373" s="1" t="str">
        <f>TEXT(AMAZON_FASHION_5__2[[#This Row],[reviewDate]], "mmmm")</f>
        <v>March</v>
      </c>
      <c r="F373" t="s">
        <v>989</v>
      </c>
      <c r="G373" t="s">
        <v>196</v>
      </c>
      <c r="H373" t="s">
        <v>477</v>
      </c>
      <c r="I373" t="s">
        <v>198</v>
      </c>
      <c r="J373" t="s">
        <v>990</v>
      </c>
      <c r="K373" t="s">
        <v>991</v>
      </c>
      <c r="L373" t="s">
        <v>17</v>
      </c>
      <c r="M373">
        <v>1488931200</v>
      </c>
      <c r="N373" t="s">
        <v>1628</v>
      </c>
      <c r="O373" t="s">
        <v>1628</v>
      </c>
      <c r="P373" t="s">
        <v>1628</v>
      </c>
      <c r="Q373">
        <f>LEN(AMAZON_FASHION_5__2[[#This Row],[reviewText]])</f>
        <v>13</v>
      </c>
      <c r="R373" t="str">
        <f>IF(AMAZON_FASHION_5__2[[#This Row],[overall]]&gt;=4,"Positive",IF(AMAZON_FASHION_5__2[[#This Row],[overall]]&lt;=2,"Negative","Neutral"))</f>
        <v>Positive</v>
      </c>
      <c r="S3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74" spans="1:19" x14ac:dyDescent="0.25">
      <c r="A374">
        <v>4</v>
      </c>
      <c r="B374" t="b">
        <v>1</v>
      </c>
      <c r="C374" s="1">
        <v>42802</v>
      </c>
      <c r="D374">
        <f>YEAR(AMAZON_FASHION_5__2[[#This Row],[reviewDate]])</f>
        <v>2017</v>
      </c>
      <c r="E374" s="1" t="str">
        <f>TEXT(AMAZON_FASHION_5__2[[#This Row],[reviewDate]], "mmmm")</f>
        <v>March</v>
      </c>
      <c r="F374" t="s">
        <v>992</v>
      </c>
      <c r="G374" t="s">
        <v>196</v>
      </c>
      <c r="H374" t="s">
        <v>205</v>
      </c>
      <c r="I374" t="s">
        <v>827</v>
      </c>
      <c r="J374" t="s">
        <v>63</v>
      </c>
      <c r="K374" t="s">
        <v>993</v>
      </c>
      <c r="L374" t="s">
        <v>994</v>
      </c>
      <c r="M374">
        <v>1488931200</v>
      </c>
      <c r="N374" t="s">
        <v>1628</v>
      </c>
      <c r="O374" t="s">
        <v>1628</v>
      </c>
      <c r="P374" t="s">
        <v>1628</v>
      </c>
      <c r="Q374">
        <f>LEN(AMAZON_FASHION_5__2[[#This Row],[reviewText]])</f>
        <v>182</v>
      </c>
      <c r="R374" t="str">
        <f>IF(AMAZON_FASHION_5__2[[#This Row],[overall]]&gt;=4,"Positive",IF(AMAZON_FASHION_5__2[[#This Row],[overall]]&lt;=2,"Negative","Neutral"))</f>
        <v>Positive</v>
      </c>
      <c r="S3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75" spans="1:19" x14ac:dyDescent="0.25">
      <c r="A375">
        <v>4</v>
      </c>
      <c r="B375" t="b">
        <v>1</v>
      </c>
      <c r="C375" s="1">
        <v>42802</v>
      </c>
      <c r="D375">
        <f>YEAR(AMAZON_FASHION_5__2[[#This Row],[reviewDate]])</f>
        <v>2017</v>
      </c>
      <c r="E375" s="1" t="str">
        <f>TEXT(AMAZON_FASHION_5__2[[#This Row],[reviewDate]], "mmmm")</f>
        <v>March</v>
      </c>
      <c r="F375" t="s">
        <v>992</v>
      </c>
      <c r="G375" t="s">
        <v>196</v>
      </c>
      <c r="H375" t="s">
        <v>205</v>
      </c>
      <c r="I375" t="s">
        <v>344</v>
      </c>
      <c r="J375" t="s">
        <v>63</v>
      </c>
      <c r="K375" t="s">
        <v>993</v>
      </c>
      <c r="L375" t="s">
        <v>994</v>
      </c>
      <c r="M375">
        <v>1488931200</v>
      </c>
      <c r="N375" t="s">
        <v>1628</v>
      </c>
      <c r="O375" t="s">
        <v>1628</v>
      </c>
      <c r="P375" t="s">
        <v>1628</v>
      </c>
      <c r="Q375">
        <f>LEN(AMAZON_FASHION_5__2[[#This Row],[reviewText]])</f>
        <v>182</v>
      </c>
      <c r="R375" t="str">
        <f>IF(AMAZON_FASHION_5__2[[#This Row],[overall]]&gt;=4,"Positive",IF(AMAZON_FASHION_5__2[[#This Row],[overall]]&lt;=2,"Negative","Neutral"))</f>
        <v>Positive</v>
      </c>
      <c r="S3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76" spans="1:19" x14ac:dyDescent="0.25">
      <c r="A376">
        <v>5</v>
      </c>
      <c r="B376" t="b">
        <v>1</v>
      </c>
      <c r="C376" s="1">
        <v>42800</v>
      </c>
      <c r="D376">
        <f>YEAR(AMAZON_FASHION_5__2[[#This Row],[reviewDate]])</f>
        <v>2017</v>
      </c>
      <c r="E376" s="1" t="str">
        <f>TEXT(AMAZON_FASHION_5__2[[#This Row],[reviewDate]], "mmmm")</f>
        <v>March</v>
      </c>
      <c r="F376" t="s">
        <v>995</v>
      </c>
      <c r="G376" t="s">
        <v>196</v>
      </c>
      <c r="H376" t="s">
        <v>230</v>
      </c>
      <c r="I376" t="s">
        <v>198</v>
      </c>
      <c r="J376" t="s">
        <v>996</v>
      </c>
      <c r="K376" t="s">
        <v>997</v>
      </c>
      <c r="L376" t="s">
        <v>17</v>
      </c>
      <c r="M376">
        <v>1488758400</v>
      </c>
      <c r="N376" t="s">
        <v>1628</v>
      </c>
      <c r="O376" t="s">
        <v>1628</v>
      </c>
      <c r="P376" t="s">
        <v>1628</v>
      </c>
      <c r="Q376">
        <f>LEN(AMAZON_FASHION_5__2[[#This Row],[reviewText]])</f>
        <v>10</v>
      </c>
      <c r="R376" t="str">
        <f>IF(AMAZON_FASHION_5__2[[#This Row],[overall]]&gt;=4,"Positive",IF(AMAZON_FASHION_5__2[[#This Row],[overall]]&lt;=2,"Negative","Neutral"))</f>
        <v>Positive</v>
      </c>
      <c r="S3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77" spans="1:19" x14ac:dyDescent="0.25">
      <c r="A377">
        <v>5</v>
      </c>
      <c r="B377" t="b">
        <v>0</v>
      </c>
      <c r="C377" s="1">
        <v>42792</v>
      </c>
      <c r="D377">
        <f>YEAR(AMAZON_FASHION_5__2[[#This Row],[reviewDate]])</f>
        <v>2017</v>
      </c>
      <c r="E377" s="1" t="str">
        <f>TEXT(AMAZON_FASHION_5__2[[#This Row],[reviewDate]], "mmmm")</f>
        <v>February</v>
      </c>
      <c r="F377" t="s">
        <v>998</v>
      </c>
      <c r="G377" t="s">
        <v>196</v>
      </c>
      <c r="H377" t="s">
        <v>261</v>
      </c>
      <c r="I377" t="s">
        <v>262</v>
      </c>
      <c r="J377" t="s">
        <v>999</v>
      </c>
      <c r="K377" t="s">
        <v>1000</v>
      </c>
      <c r="L377" t="s">
        <v>1001</v>
      </c>
      <c r="M377">
        <v>1488067200</v>
      </c>
      <c r="N377" t="s">
        <v>1628</v>
      </c>
      <c r="O377" t="s">
        <v>1628</v>
      </c>
      <c r="P377" t="s">
        <v>1628</v>
      </c>
      <c r="Q377">
        <f>LEN(AMAZON_FASHION_5__2[[#This Row],[reviewText]])</f>
        <v>206</v>
      </c>
      <c r="R377" t="str">
        <f>IF(AMAZON_FASHION_5__2[[#This Row],[overall]]&gt;=4,"Positive",IF(AMAZON_FASHION_5__2[[#This Row],[overall]]&lt;=2,"Negative","Neutral"))</f>
        <v>Positive</v>
      </c>
      <c r="S3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78" spans="1:19" x14ac:dyDescent="0.25">
      <c r="A378">
        <v>4</v>
      </c>
      <c r="B378" t="b">
        <v>1</v>
      </c>
      <c r="C378" s="1">
        <v>42790</v>
      </c>
      <c r="D378">
        <f>YEAR(AMAZON_FASHION_5__2[[#This Row],[reviewDate]])</f>
        <v>2017</v>
      </c>
      <c r="E378" s="1" t="str">
        <f>TEXT(AMAZON_FASHION_5__2[[#This Row],[reviewDate]], "mmmm")</f>
        <v>February</v>
      </c>
      <c r="F378" t="s">
        <v>1002</v>
      </c>
      <c r="G378" t="s">
        <v>196</v>
      </c>
      <c r="H378" t="s">
        <v>197</v>
      </c>
      <c r="I378" t="s">
        <v>198</v>
      </c>
      <c r="J378" t="s">
        <v>1003</v>
      </c>
      <c r="K378" t="s">
        <v>1004</v>
      </c>
      <c r="L378" t="s">
        <v>1005</v>
      </c>
      <c r="M378">
        <v>1487894400</v>
      </c>
      <c r="N378" t="s">
        <v>1628</v>
      </c>
      <c r="O378" t="s">
        <v>1628</v>
      </c>
      <c r="P378" t="s">
        <v>1628</v>
      </c>
      <c r="Q378">
        <f>LEN(AMAZON_FASHION_5__2[[#This Row],[reviewText]])</f>
        <v>171</v>
      </c>
      <c r="R378" t="str">
        <f>IF(AMAZON_FASHION_5__2[[#This Row],[overall]]&gt;=4,"Positive",IF(AMAZON_FASHION_5__2[[#This Row],[overall]]&lt;=2,"Negative","Neutral"))</f>
        <v>Positive</v>
      </c>
      <c r="S3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79" spans="1:19" x14ac:dyDescent="0.25">
      <c r="A379">
        <v>5</v>
      </c>
      <c r="B379" t="b">
        <v>1</v>
      </c>
      <c r="C379" s="1">
        <v>42790</v>
      </c>
      <c r="D379">
        <f>YEAR(AMAZON_FASHION_5__2[[#This Row],[reviewDate]])</f>
        <v>2017</v>
      </c>
      <c r="E379" s="1" t="str">
        <f>TEXT(AMAZON_FASHION_5__2[[#This Row],[reviewDate]], "mmmm")</f>
        <v>February</v>
      </c>
      <c r="F379" t="s">
        <v>1006</v>
      </c>
      <c r="G379" t="s">
        <v>196</v>
      </c>
      <c r="H379" t="s">
        <v>197</v>
      </c>
      <c r="I379" t="s">
        <v>198</v>
      </c>
      <c r="J379" t="s">
        <v>1007</v>
      </c>
      <c r="K379" t="s">
        <v>1008</v>
      </c>
      <c r="L379" t="s">
        <v>17</v>
      </c>
      <c r="M379">
        <v>1487894400</v>
      </c>
      <c r="N379" t="s">
        <v>1628</v>
      </c>
      <c r="O379" t="s">
        <v>1628</v>
      </c>
      <c r="P379" t="s">
        <v>1628</v>
      </c>
      <c r="Q379">
        <f>LEN(AMAZON_FASHION_5__2[[#This Row],[reviewText]])</f>
        <v>12</v>
      </c>
      <c r="R379" t="str">
        <f>IF(AMAZON_FASHION_5__2[[#This Row],[overall]]&gt;=4,"Positive",IF(AMAZON_FASHION_5__2[[#This Row],[overall]]&lt;=2,"Negative","Neutral"))</f>
        <v>Positive</v>
      </c>
      <c r="S3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80" spans="1:19" x14ac:dyDescent="0.25">
      <c r="A380">
        <v>4</v>
      </c>
      <c r="B380" t="b">
        <v>1</v>
      </c>
      <c r="C380" s="1">
        <v>42787</v>
      </c>
      <c r="D380">
        <f>YEAR(AMAZON_FASHION_5__2[[#This Row],[reviewDate]])</f>
        <v>2017</v>
      </c>
      <c r="E380" s="1" t="str">
        <f>TEXT(AMAZON_FASHION_5__2[[#This Row],[reviewDate]], "mmmm")</f>
        <v>February</v>
      </c>
      <c r="F380" t="s">
        <v>1009</v>
      </c>
      <c r="G380" t="s">
        <v>196</v>
      </c>
      <c r="H380" t="s">
        <v>201</v>
      </c>
      <c r="I380" t="s">
        <v>642</v>
      </c>
      <c r="J380" t="s">
        <v>1010</v>
      </c>
      <c r="K380" t="s">
        <v>1011</v>
      </c>
      <c r="L380" t="s">
        <v>1012</v>
      </c>
      <c r="M380">
        <v>1487635200</v>
      </c>
      <c r="N380" t="s">
        <v>1628</v>
      </c>
      <c r="O380" t="s">
        <v>1628</v>
      </c>
      <c r="P380" t="s">
        <v>1628</v>
      </c>
      <c r="Q380">
        <f>LEN(AMAZON_FASHION_5__2[[#This Row],[reviewText]])</f>
        <v>126</v>
      </c>
      <c r="R380" t="str">
        <f>IF(AMAZON_FASHION_5__2[[#This Row],[overall]]&gt;=4,"Positive",IF(AMAZON_FASHION_5__2[[#This Row],[overall]]&lt;=2,"Negative","Neutral"))</f>
        <v>Positive</v>
      </c>
      <c r="S3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81" spans="1:19" x14ac:dyDescent="0.25">
      <c r="A381">
        <v>5</v>
      </c>
      <c r="B381" t="b">
        <v>1</v>
      </c>
      <c r="C381" s="1">
        <v>42787</v>
      </c>
      <c r="D381">
        <f>YEAR(AMAZON_FASHION_5__2[[#This Row],[reviewDate]])</f>
        <v>2017</v>
      </c>
      <c r="E381" s="1" t="str">
        <f>TEXT(AMAZON_FASHION_5__2[[#This Row],[reviewDate]], "mmmm")</f>
        <v>February</v>
      </c>
      <c r="F381" t="s">
        <v>1013</v>
      </c>
      <c r="G381" t="s">
        <v>196</v>
      </c>
      <c r="H381" t="s">
        <v>210</v>
      </c>
      <c r="I381" t="s">
        <v>198</v>
      </c>
      <c r="J381" t="s">
        <v>1014</v>
      </c>
      <c r="K381" t="s">
        <v>1015</v>
      </c>
      <c r="L381" t="s">
        <v>17</v>
      </c>
      <c r="M381">
        <v>1487635200</v>
      </c>
      <c r="N381" t="s">
        <v>1628</v>
      </c>
      <c r="O381" t="s">
        <v>1628</v>
      </c>
      <c r="P381" t="s">
        <v>1628</v>
      </c>
      <c r="Q381">
        <f>LEN(AMAZON_FASHION_5__2[[#This Row],[reviewText]])</f>
        <v>56</v>
      </c>
      <c r="R381" t="str">
        <f>IF(AMAZON_FASHION_5__2[[#This Row],[overall]]&gt;=4,"Positive",IF(AMAZON_FASHION_5__2[[#This Row],[overall]]&lt;=2,"Negative","Neutral"))</f>
        <v>Positive</v>
      </c>
      <c r="S3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82" spans="1:19" x14ac:dyDescent="0.25">
      <c r="A382">
        <v>3</v>
      </c>
      <c r="B382" t="b">
        <v>1</v>
      </c>
      <c r="C382" s="1">
        <v>42782</v>
      </c>
      <c r="D382">
        <f>YEAR(AMAZON_FASHION_5__2[[#This Row],[reviewDate]])</f>
        <v>2017</v>
      </c>
      <c r="E382" s="1" t="str">
        <f>TEXT(AMAZON_FASHION_5__2[[#This Row],[reviewDate]], "mmmm")</f>
        <v>February</v>
      </c>
      <c r="F382" t="s">
        <v>1016</v>
      </c>
      <c r="G382" t="s">
        <v>196</v>
      </c>
      <c r="H382" t="s">
        <v>197</v>
      </c>
      <c r="I382" t="s">
        <v>524</v>
      </c>
      <c r="J382" t="s">
        <v>63</v>
      </c>
      <c r="K382" t="s">
        <v>1017</v>
      </c>
      <c r="L382" t="s">
        <v>1018</v>
      </c>
      <c r="M382">
        <v>1487203200</v>
      </c>
      <c r="N382" t="s">
        <v>1628</v>
      </c>
      <c r="O382" t="s">
        <v>1628</v>
      </c>
      <c r="P382" t="s">
        <v>1628</v>
      </c>
      <c r="Q382">
        <f>LEN(AMAZON_FASHION_5__2[[#This Row],[reviewText]])</f>
        <v>198</v>
      </c>
      <c r="R382" t="str">
        <f>IF(AMAZON_FASHION_5__2[[#This Row],[overall]]&gt;=4,"Positive",IF(AMAZON_FASHION_5__2[[#This Row],[overall]]&lt;=2,"Negative","Neutral"))</f>
        <v>Neutral</v>
      </c>
      <c r="S3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83" spans="1:19" x14ac:dyDescent="0.25">
      <c r="A383">
        <v>5</v>
      </c>
      <c r="B383" t="b">
        <v>1</v>
      </c>
      <c r="C383" s="1">
        <v>42781</v>
      </c>
      <c r="D383">
        <f>YEAR(AMAZON_FASHION_5__2[[#This Row],[reviewDate]])</f>
        <v>2017</v>
      </c>
      <c r="E383" s="1" t="str">
        <f>TEXT(AMAZON_FASHION_5__2[[#This Row],[reviewDate]], "mmmm")</f>
        <v>February</v>
      </c>
      <c r="F383" t="s">
        <v>1019</v>
      </c>
      <c r="G383" t="s">
        <v>196</v>
      </c>
      <c r="H383" t="s">
        <v>235</v>
      </c>
      <c r="I383" t="s">
        <v>827</v>
      </c>
      <c r="J383" t="s">
        <v>1020</v>
      </c>
      <c r="K383" t="s">
        <v>1021</v>
      </c>
      <c r="L383" t="s">
        <v>1022</v>
      </c>
      <c r="M383">
        <v>1487116800</v>
      </c>
      <c r="N383" t="s">
        <v>1628</v>
      </c>
      <c r="O383" t="s">
        <v>1628</v>
      </c>
      <c r="P383">
        <v>5</v>
      </c>
      <c r="Q383">
        <f>LEN(AMAZON_FASHION_5__2[[#This Row],[reviewText]])</f>
        <v>388</v>
      </c>
      <c r="R383" t="str">
        <f>IF(AMAZON_FASHION_5__2[[#This Row],[overall]]&gt;=4,"Positive",IF(AMAZON_FASHION_5__2[[#This Row],[overall]]&lt;=2,"Negative","Neutral"))</f>
        <v>Positive</v>
      </c>
      <c r="S3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84" spans="1:19" x14ac:dyDescent="0.25">
      <c r="A384">
        <v>5</v>
      </c>
      <c r="B384" t="b">
        <v>1</v>
      </c>
      <c r="C384" s="1">
        <v>42779</v>
      </c>
      <c r="D384">
        <f>YEAR(AMAZON_FASHION_5__2[[#This Row],[reviewDate]])</f>
        <v>2017</v>
      </c>
      <c r="E384" s="1" t="str">
        <f>TEXT(AMAZON_FASHION_5__2[[#This Row],[reviewDate]], "mmmm")</f>
        <v>February</v>
      </c>
      <c r="F384" t="s">
        <v>1023</v>
      </c>
      <c r="G384" t="s">
        <v>196</v>
      </c>
      <c r="H384" t="s">
        <v>205</v>
      </c>
      <c r="I384" t="s">
        <v>198</v>
      </c>
      <c r="J384" t="s">
        <v>1024</v>
      </c>
      <c r="K384" t="s">
        <v>1025</v>
      </c>
      <c r="L384" t="s">
        <v>1026</v>
      </c>
      <c r="M384">
        <v>1486944000</v>
      </c>
      <c r="N384" t="s">
        <v>1628</v>
      </c>
      <c r="O384" t="s">
        <v>1628</v>
      </c>
      <c r="P384" t="s">
        <v>1628</v>
      </c>
      <c r="Q384">
        <f>LEN(AMAZON_FASHION_5__2[[#This Row],[reviewText]])</f>
        <v>87</v>
      </c>
      <c r="R384" t="str">
        <f>IF(AMAZON_FASHION_5__2[[#This Row],[overall]]&gt;=4,"Positive",IF(AMAZON_FASHION_5__2[[#This Row],[overall]]&lt;=2,"Negative","Neutral"))</f>
        <v>Positive</v>
      </c>
      <c r="S3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85" spans="1:19" x14ac:dyDescent="0.25">
      <c r="A385">
        <v>5</v>
      </c>
      <c r="B385" t="b">
        <v>1</v>
      </c>
      <c r="C385" s="1">
        <v>42778</v>
      </c>
      <c r="D385">
        <f>YEAR(AMAZON_FASHION_5__2[[#This Row],[reviewDate]])</f>
        <v>2017</v>
      </c>
      <c r="E385" s="1" t="str">
        <f>TEXT(AMAZON_FASHION_5__2[[#This Row],[reviewDate]], "mmmm")</f>
        <v>February</v>
      </c>
      <c r="F385" t="s">
        <v>1027</v>
      </c>
      <c r="G385" t="s">
        <v>196</v>
      </c>
      <c r="H385" t="s">
        <v>201</v>
      </c>
      <c r="I385" t="s">
        <v>198</v>
      </c>
      <c r="J385" t="s">
        <v>1028</v>
      </c>
      <c r="K385" t="s">
        <v>1029</v>
      </c>
      <c r="L385" t="s">
        <v>1030</v>
      </c>
      <c r="M385">
        <v>1486857600</v>
      </c>
      <c r="N385" t="s">
        <v>1628</v>
      </c>
      <c r="O385" t="s">
        <v>1628</v>
      </c>
      <c r="P385" t="s">
        <v>1628</v>
      </c>
      <c r="Q385">
        <f>LEN(AMAZON_FASHION_5__2[[#This Row],[reviewText]])</f>
        <v>140</v>
      </c>
      <c r="R385" t="str">
        <f>IF(AMAZON_FASHION_5__2[[#This Row],[overall]]&gt;=4,"Positive",IF(AMAZON_FASHION_5__2[[#This Row],[overall]]&lt;=2,"Negative","Neutral"))</f>
        <v>Positive</v>
      </c>
      <c r="S3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86" spans="1:19" x14ac:dyDescent="0.25">
      <c r="A386">
        <v>5</v>
      </c>
      <c r="B386" t="b">
        <v>1</v>
      </c>
      <c r="C386" s="1">
        <v>42777</v>
      </c>
      <c r="D386">
        <f>YEAR(AMAZON_FASHION_5__2[[#This Row],[reviewDate]])</f>
        <v>2017</v>
      </c>
      <c r="E386" s="1" t="str">
        <f>TEXT(AMAZON_FASHION_5__2[[#This Row],[reviewDate]], "mmmm")</f>
        <v>February</v>
      </c>
      <c r="F386" t="s">
        <v>1031</v>
      </c>
      <c r="G386" t="s">
        <v>196</v>
      </c>
      <c r="H386" t="s">
        <v>320</v>
      </c>
      <c r="I386" t="s">
        <v>198</v>
      </c>
      <c r="J386" t="s">
        <v>1032</v>
      </c>
      <c r="K386" t="s">
        <v>1033</v>
      </c>
      <c r="L386" t="s">
        <v>17</v>
      </c>
      <c r="M386">
        <v>1486771200</v>
      </c>
      <c r="N386" t="s">
        <v>1628</v>
      </c>
      <c r="O386" t="s">
        <v>1628</v>
      </c>
      <c r="P386" t="s">
        <v>1628</v>
      </c>
      <c r="Q386">
        <f>LEN(AMAZON_FASHION_5__2[[#This Row],[reviewText]])</f>
        <v>28</v>
      </c>
      <c r="R386" t="str">
        <f>IF(AMAZON_FASHION_5__2[[#This Row],[overall]]&gt;=4,"Positive",IF(AMAZON_FASHION_5__2[[#This Row],[overall]]&lt;=2,"Negative","Neutral"))</f>
        <v>Positive</v>
      </c>
      <c r="S3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87" spans="1:19" x14ac:dyDescent="0.25">
      <c r="A387">
        <v>4</v>
      </c>
      <c r="B387" t="b">
        <v>1</v>
      </c>
      <c r="C387" s="1">
        <v>42774</v>
      </c>
      <c r="D387">
        <f>YEAR(AMAZON_FASHION_5__2[[#This Row],[reviewDate]])</f>
        <v>2017</v>
      </c>
      <c r="E387" s="1" t="str">
        <f>TEXT(AMAZON_FASHION_5__2[[#This Row],[reviewDate]], "mmmm")</f>
        <v>February</v>
      </c>
      <c r="F387" t="s">
        <v>1034</v>
      </c>
      <c r="G387" t="s">
        <v>196</v>
      </c>
      <c r="H387" t="s">
        <v>201</v>
      </c>
      <c r="I387" t="s">
        <v>827</v>
      </c>
      <c r="J387" t="s">
        <v>1035</v>
      </c>
      <c r="K387" t="s">
        <v>1036</v>
      </c>
      <c r="L387" t="s">
        <v>1037</v>
      </c>
      <c r="M387">
        <v>1486512000</v>
      </c>
      <c r="N387" t="s">
        <v>1628</v>
      </c>
      <c r="O387" t="s">
        <v>1628</v>
      </c>
      <c r="P387">
        <v>4</v>
      </c>
      <c r="Q387">
        <f>LEN(AMAZON_FASHION_5__2[[#This Row],[reviewText]])</f>
        <v>570</v>
      </c>
      <c r="R387" t="str">
        <f>IF(AMAZON_FASHION_5__2[[#This Row],[overall]]&gt;=4,"Positive",IF(AMAZON_FASHION_5__2[[#This Row],[overall]]&lt;=2,"Negative","Neutral"))</f>
        <v>Positive</v>
      </c>
      <c r="S3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88" spans="1:19" x14ac:dyDescent="0.25">
      <c r="A388">
        <v>4</v>
      </c>
      <c r="B388" t="b">
        <v>1</v>
      </c>
      <c r="C388" s="1">
        <v>42772</v>
      </c>
      <c r="D388">
        <f>YEAR(AMAZON_FASHION_5__2[[#This Row],[reviewDate]])</f>
        <v>2017</v>
      </c>
      <c r="E388" s="1" t="str">
        <f>TEXT(AMAZON_FASHION_5__2[[#This Row],[reviewDate]], "mmmm")</f>
        <v>February</v>
      </c>
      <c r="F388" t="s">
        <v>1038</v>
      </c>
      <c r="G388" t="s">
        <v>196</v>
      </c>
      <c r="H388" t="s">
        <v>201</v>
      </c>
      <c r="I388" t="s">
        <v>236</v>
      </c>
      <c r="J388" t="s">
        <v>1039</v>
      </c>
      <c r="K388" t="s">
        <v>1040</v>
      </c>
      <c r="L388" t="s">
        <v>1041</v>
      </c>
      <c r="M388">
        <v>1486339200</v>
      </c>
      <c r="N388" t="s">
        <v>1628</v>
      </c>
      <c r="O388" t="s">
        <v>1628</v>
      </c>
      <c r="P388" t="s">
        <v>1628</v>
      </c>
      <c r="Q388">
        <f>LEN(AMAZON_FASHION_5__2[[#This Row],[reviewText]])</f>
        <v>316</v>
      </c>
      <c r="R388" t="str">
        <f>IF(AMAZON_FASHION_5__2[[#This Row],[overall]]&gt;=4,"Positive",IF(AMAZON_FASHION_5__2[[#This Row],[overall]]&lt;=2,"Negative","Neutral"))</f>
        <v>Positive</v>
      </c>
      <c r="S3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89" spans="1:19" x14ac:dyDescent="0.25">
      <c r="A389">
        <v>2</v>
      </c>
      <c r="B389" t="b">
        <v>1</v>
      </c>
      <c r="C389" s="1">
        <v>42768</v>
      </c>
      <c r="D389">
        <f>YEAR(AMAZON_FASHION_5__2[[#This Row],[reviewDate]])</f>
        <v>2017</v>
      </c>
      <c r="E389" s="1" t="str">
        <f>TEXT(AMAZON_FASHION_5__2[[#This Row],[reviewDate]], "mmmm")</f>
        <v>February</v>
      </c>
      <c r="F389" t="s">
        <v>1042</v>
      </c>
      <c r="G389" t="s">
        <v>196</v>
      </c>
      <c r="H389" t="s">
        <v>205</v>
      </c>
      <c r="I389" t="s">
        <v>344</v>
      </c>
      <c r="J389" t="s">
        <v>63</v>
      </c>
      <c r="K389" t="s">
        <v>1043</v>
      </c>
      <c r="L389" t="s">
        <v>1044</v>
      </c>
      <c r="M389">
        <v>1485993600</v>
      </c>
      <c r="N389" t="s">
        <v>1628</v>
      </c>
      <c r="O389" t="s">
        <v>1628</v>
      </c>
      <c r="P389" t="s">
        <v>1628</v>
      </c>
      <c r="Q389">
        <f>LEN(AMAZON_FASHION_5__2[[#This Row],[reviewText]])</f>
        <v>107</v>
      </c>
      <c r="R389" t="str">
        <f>IF(AMAZON_FASHION_5__2[[#This Row],[overall]]&gt;=4,"Positive",IF(AMAZON_FASHION_5__2[[#This Row],[overall]]&lt;=2,"Negative","Neutral"))</f>
        <v>Negative</v>
      </c>
      <c r="S3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90" spans="1:19" x14ac:dyDescent="0.25">
      <c r="A390">
        <v>5</v>
      </c>
      <c r="B390" t="b">
        <v>1</v>
      </c>
      <c r="C390" s="1">
        <v>42767</v>
      </c>
      <c r="D390">
        <f>YEAR(AMAZON_FASHION_5__2[[#This Row],[reviewDate]])</f>
        <v>2017</v>
      </c>
      <c r="E390" s="1" t="str">
        <f>TEXT(AMAZON_FASHION_5__2[[#This Row],[reviewDate]], "mmmm")</f>
        <v>February</v>
      </c>
      <c r="F390" t="s">
        <v>158</v>
      </c>
      <c r="G390" t="s">
        <v>196</v>
      </c>
      <c r="H390" t="s">
        <v>320</v>
      </c>
      <c r="I390" t="s">
        <v>198</v>
      </c>
      <c r="J390" t="s">
        <v>160</v>
      </c>
      <c r="K390" t="s">
        <v>1045</v>
      </c>
      <c r="L390" t="s">
        <v>1046</v>
      </c>
      <c r="M390">
        <v>1485907200</v>
      </c>
      <c r="N390" t="s">
        <v>1628</v>
      </c>
      <c r="O390" t="s">
        <v>1628</v>
      </c>
      <c r="P390" t="s">
        <v>1628</v>
      </c>
      <c r="Q390">
        <f>LEN(AMAZON_FASHION_5__2[[#This Row],[reviewText]])</f>
        <v>122</v>
      </c>
      <c r="R390" t="str">
        <f>IF(AMAZON_FASHION_5__2[[#This Row],[overall]]&gt;=4,"Positive",IF(AMAZON_FASHION_5__2[[#This Row],[overall]]&lt;=2,"Negative","Neutral"))</f>
        <v>Positive</v>
      </c>
      <c r="S3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91" spans="1:19" x14ac:dyDescent="0.25">
      <c r="A391">
        <v>3</v>
      </c>
      <c r="B391" t="b">
        <v>1</v>
      </c>
      <c r="C391" s="1">
        <v>42766</v>
      </c>
      <c r="D391">
        <f>YEAR(AMAZON_FASHION_5__2[[#This Row],[reviewDate]])</f>
        <v>2017</v>
      </c>
      <c r="E391" s="1" t="str">
        <f>TEXT(AMAZON_FASHION_5__2[[#This Row],[reviewDate]], "mmmm")</f>
        <v>January</v>
      </c>
      <c r="F391" t="s">
        <v>1047</v>
      </c>
      <c r="G391" t="s">
        <v>196</v>
      </c>
      <c r="H391" t="s">
        <v>235</v>
      </c>
      <c r="I391" t="s">
        <v>419</v>
      </c>
      <c r="J391" t="s">
        <v>1048</v>
      </c>
      <c r="K391" t="s">
        <v>1049</v>
      </c>
      <c r="L391" t="s">
        <v>101</v>
      </c>
      <c r="M391">
        <v>1485820800</v>
      </c>
      <c r="N391" t="s">
        <v>1628</v>
      </c>
      <c r="O391" t="s">
        <v>1628</v>
      </c>
      <c r="P391">
        <v>3</v>
      </c>
      <c r="Q391">
        <f>LEN(AMAZON_FASHION_5__2[[#This Row],[reviewText]])</f>
        <v>7</v>
      </c>
      <c r="R391" t="str">
        <f>IF(AMAZON_FASHION_5__2[[#This Row],[overall]]&gt;=4,"Positive",IF(AMAZON_FASHION_5__2[[#This Row],[overall]]&lt;=2,"Negative","Neutral"))</f>
        <v>Neutral</v>
      </c>
      <c r="S3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92" spans="1:19" x14ac:dyDescent="0.25">
      <c r="A392">
        <v>5</v>
      </c>
      <c r="B392" t="b">
        <v>1</v>
      </c>
      <c r="C392" s="1">
        <v>42760</v>
      </c>
      <c r="D392">
        <f>YEAR(AMAZON_FASHION_5__2[[#This Row],[reviewDate]])</f>
        <v>2017</v>
      </c>
      <c r="E392" s="1" t="str">
        <f>TEXT(AMAZON_FASHION_5__2[[#This Row],[reviewDate]], "mmmm")</f>
        <v>January</v>
      </c>
      <c r="F392" t="s">
        <v>1050</v>
      </c>
      <c r="G392" t="s">
        <v>196</v>
      </c>
      <c r="H392" t="s">
        <v>197</v>
      </c>
      <c r="I392" t="s">
        <v>524</v>
      </c>
      <c r="J392" t="s">
        <v>63</v>
      </c>
      <c r="K392" t="s">
        <v>1051</v>
      </c>
      <c r="L392" t="s">
        <v>1052</v>
      </c>
      <c r="M392">
        <v>1485302400</v>
      </c>
      <c r="N392" t="s">
        <v>1628</v>
      </c>
      <c r="O392" t="s">
        <v>1628</v>
      </c>
      <c r="P392" t="s">
        <v>1628</v>
      </c>
      <c r="Q392">
        <f>LEN(AMAZON_FASHION_5__2[[#This Row],[reviewText]])</f>
        <v>521</v>
      </c>
      <c r="R392" t="str">
        <f>IF(AMAZON_FASHION_5__2[[#This Row],[overall]]&gt;=4,"Positive",IF(AMAZON_FASHION_5__2[[#This Row],[overall]]&lt;=2,"Negative","Neutral"))</f>
        <v>Positive</v>
      </c>
      <c r="S3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93" spans="1:19" x14ac:dyDescent="0.25">
      <c r="A393">
        <v>5</v>
      </c>
      <c r="B393" t="b">
        <v>1</v>
      </c>
      <c r="C393" s="1">
        <v>42757</v>
      </c>
      <c r="D393">
        <f>YEAR(AMAZON_FASHION_5__2[[#This Row],[reviewDate]])</f>
        <v>2017</v>
      </c>
      <c r="E393" s="1" t="str">
        <f>TEXT(AMAZON_FASHION_5__2[[#This Row],[reviewDate]], "mmmm")</f>
        <v>January</v>
      </c>
      <c r="F393" t="s">
        <v>1053</v>
      </c>
      <c r="G393" t="s">
        <v>196</v>
      </c>
      <c r="H393" t="s">
        <v>205</v>
      </c>
      <c r="I393" t="s">
        <v>827</v>
      </c>
      <c r="J393" t="s">
        <v>1054</v>
      </c>
      <c r="K393" t="s">
        <v>1055</v>
      </c>
      <c r="L393" t="s">
        <v>1056</v>
      </c>
      <c r="M393">
        <v>1485043200</v>
      </c>
      <c r="N393" t="s">
        <v>1628</v>
      </c>
      <c r="O393" t="s">
        <v>1628</v>
      </c>
      <c r="P393" t="s">
        <v>1628</v>
      </c>
      <c r="Q393">
        <f>LEN(AMAZON_FASHION_5__2[[#This Row],[reviewText]])</f>
        <v>90</v>
      </c>
      <c r="R393" t="str">
        <f>IF(AMAZON_FASHION_5__2[[#This Row],[overall]]&gt;=4,"Positive",IF(AMAZON_FASHION_5__2[[#This Row],[overall]]&lt;=2,"Negative","Neutral"))</f>
        <v>Positive</v>
      </c>
      <c r="S3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94" spans="1:19" x14ac:dyDescent="0.25">
      <c r="A394">
        <v>5</v>
      </c>
      <c r="B394" t="b">
        <v>1</v>
      </c>
      <c r="C394" s="1">
        <v>42755</v>
      </c>
      <c r="D394">
        <f>YEAR(AMAZON_FASHION_5__2[[#This Row],[reviewDate]])</f>
        <v>2017</v>
      </c>
      <c r="E394" s="1" t="str">
        <f>TEXT(AMAZON_FASHION_5__2[[#This Row],[reviewDate]], "mmmm")</f>
        <v>January</v>
      </c>
      <c r="F394" t="s">
        <v>1057</v>
      </c>
      <c r="G394" t="s">
        <v>196</v>
      </c>
      <c r="H394" t="s">
        <v>210</v>
      </c>
      <c r="I394" t="s">
        <v>524</v>
      </c>
      <c r="J394" t="s">
        <v>1058</v>
      </c>
      <c r="K394" t="s">
        <v>1059</v>
      </c>
      <c r="L394" t="s">
        <v>1060</v>
      </c>
      <c r="M394">
        <v>1484870400</v>
      </c>
      <c r="N394" t="s">
        <v>1628</v>
      </c>
      <c r="O394" t="s">
        <v>1628</v>
      </c>
      <c r="P394" t="s">
        <v>1628</v>
      </c>
      <c r="Q394">
        <f>LEN(AMAZON_FASHION_5__2[[#This Row],[reviewText]])</f>
        <v>40</v>
      </c>
      <c r="R394" t="str">
        <f>IF(AMAZON_FASHION_5__2[[#This Row],[overall]]&gt;=4,"Positive",IF(AMAZON_FASHION_5__2[[#This Row],[overall]]&lt;=2,"Negative","Neutral"))</f>
        <v>Positive</v>
      </c>
      <c r="S3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95" spans="1:19" x14ac:dyDescent="0.25">
      <c r="A395">
        <v>5</v>
      </c>
      <c r="B395" t="b">
        <v>1</v>
      </c>
      <c r="C395" s="1">
        <v>42753</v>
      </c>
      <c r="D395">
        <f>YEAR(AMAZON_FASHION_5__2[[#This Row],[reviewDate]])</f>
        <v>2017</v>
      </c>
      <c r="E395" s="1" t="str">
        <f>TEXT(AMAZON_FASHION_5__2[[#This Row],[reviewDate]], "mmmm")</f>
        <v>January</v>
      </c>
      <c r="F395" t="s">
        <v>1061</v>
      </c>
      <c r="G395" t="s">
        <v>196</v>
      </c>
      <c r="H395" t="s">
        <v>230</v>
      </c>
      <c r="I395" t="s">
        <v>396</v>
      </c>
      <c r="J395" t="s">
        <v>1062</v>
      </c>
      <c r="K395" t="s">
        <v>1063</v>
      </c>
      <c r="L395" t="s">
        <v>1064</v>
      </c>
      <c r="M395">
        <v>1484697600</v>
      </c>
      <c r="N395" t="s">
        <v>1628</v>
      </c>
      <c r="O395" t="s">
        <v>1628</v>
      </c>
      <c r="P395" t="s">
        <v>1628</v>
      </c>
      <c r="Q395">
        <f>LEN(AMAZON_FASHION_5__2[[#This Row],[reviewText]])</f>
        <v>105</v>
      </c>
      <c r="R395" t="str">
        <f>IF(AMAZON_FASHION_5__2[[#This Row],[overall]]&gt;=4,"Positive",IF(AMAZON_FASHION_5__2[[#This Row],[overall]]&lt;=2,"Negative","Neutral"))</f>
        <v>Positive</v>
      </c>
      <c r="S3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96" spans="1:19" x14ac:dyDescent="0.25">
      <c r="A396">
        <v>2</v>
      </c>
      <c r="B396" t="b">
        <v>1</v>
      </c>
      <c r="C396" s="1">
        <v>42753</v>
      </c>
      <c r="D396">
        <f>YEAR(AMAZON_FASHION_5__2[[#This Row],[reviewDate]])</f>
        <v>2017</v>
      </c>
      <c r="E396" s="1" t="str">
        <f>TEXT(AMAZON_FASHION_5__2[[#This Row],[reviewDate]], "mmmm")</f>
        <v>January</v>
      </c>
      <c r="F396" t="s">
        <v>1065</v>
      </c>
      <c r="G396" t="s">
        <v>196</v>
      </c>
      <c r="H396" t="s">
        <v>230</v>
      </c>
      <c r="I396" t="s">
        <v>198</v>
      </c>
      <c r="J396" t="s">
        <v>1066</v>
      </c>
      <c r="K396" t="s">
        <v>1067</v>
      </c>
      <c r="L396" t="s">
        <v>1068</v>
      </c>
      <c r="M396">
        <v>1484697600</v>
      </c>
      <c r="N396" t="s">
        <v>1628</v>
      </c>
      <c r="O396" t="s">
        <v>1628</v>
      </c>
      <c r="P396" t="s">
        <v>1628</v>
      </c>
      <c r="Q396">
        <f>LEN(AMAZON_FASHION_5__2[[#This Row],[reviewText]])</f>
        <v>118</v>
      </c>
      <c r="R396" t="str">
        <f>IF(AMAZON_FASHION_5__2[[#This Row],[overall]]&gt;=4,"Positive",IF(AMAZON_FASHION_5__2[[#This Row],[overall]]&lt;=2,"Negative","Neutral"))</f>
        <v>Negative</v>
      </c>
      <c r="S3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97" spans="1:19" x14ac:dyDescent="0.25">
      <c r="A397">
        <v>5</v>
      </c>
      <c r="B397" t="b">
        <v>1</v>
      </c>
      <c r="C397" s="1">
        <v>42753</v>
      </c>
      <c r="D397">
        <f>YEAR(AMAZON_FASHION_5__2[[#This Row],[reviewDate]])</f>
        <v>2017</v>
      </c>
      <c r="E397" s="1" t="str">
        <f>TEXT(AMAZON_FASHION_5__2[[#This Row],[reviewDate]], "mmmm")</f>
        <v>January</v>
      </c>
      <c r="F397" t="s">
        <v>1069</v>
      </c>
      <c r="G397" t="s">
        <v>196</v>
      </c>
      <c r="H397" t="s">
        <v>197</v>
      </c>
      <c r="I397" t="s">
        <v>211</v>
      </c>
      <c r="J397" t="s">
        <v>1070</v>
      </c>
      <c r="K397" t="s">
        <v>1071</v>
      </c>
      <c r="L397" t="s">
        <v>1072</v>
      </c>
      <c r="M397">
        <v>1484697600</v>
      </c>
      <c r="N397" t="s">
        <v>1628</v>
      </c>
      <c r="O397" t="s">
        <v>1628</v>
      </c>
      <c r="P397" t="s">
        <v>1628</v>
      </c>
      <c r="Q397">
        <f>LEN(AMAZON_FASHION_5__2[[#This Row],[reviewText]])</f>
        <v>88</v>
      </c>
      <c r="R397" t="str">
        <f>IF(AMAZON_FASHION_5__2[[#This Row],[overall]]&gt;=4,"Positive",IF(AMAZON_FASHION_5__2[[#This Row],[overall]]&lt;=2,"Negative","Neutral"))</f>
        <v>Positive</v>
      </c>
      <c r="S3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98" spans="1:19" x14ac:dyDescent="0.25">
      <c r="A398">
        <v>5</v>
      </c>
      <c r="B398" t="b">
        <v>1</v>
      </c>
      <c r="C398" s="1">
        <v>42753</v>
      </c>
      <c r="D398">
        <f>YEAR(AMAZON_FASHION_5__2[[#This Row],[reviewDate]])</f>
        <v>2017</v>
      </c>
      <c r="E398" s="1" t="str">
        <f>TEXT(AMAZON_FASHION_5__2[[#This Row],[reviewDate]], "mmmm")</f>
        <v>January</v>
      </c>
      <c r="F398" t="s">
        <v>1073</v>
      </c>
      <c r="G398" t="s">
        <v>196</v>
      </c>
      <c r="H398" t="s">
        <v>235</v>
      </c>
      <c r="I398" t="s">
        <v>99</v>
      </c>
      <c r="J398" t="s">
        <v>63</v>
      </c>
      <c r="K398" t="s">
        <v>1074</v>
      </c>
      <c r="L398" t="s">
        <v>17</v>
      </c>
      <c r="M398">
        <v>1484697600</v>
      </c>
      <c r="N398" t="s">
        <v>1628</v>
      </c>
      <c r="O398" t="s">
        <v>1628</v>
      </c>
      <c r="P398" t="s">
        <v>1628</v>
      </c>
      <c r="Q398">
        <f>LEN(AMAZON_FASHION_5__2[[#This Row],[reviewText]])</f>
        <v>11</v>
      </c>
      <c r="R398" t="str">
        <f>IF(AMAZON_FASHION_5__2[[#This Row],[overall]]&gt;=4,"Positive",IF(AMAZON_FASHION_5__2[[#This Row],[overall]]&lt;=2,"Negative","Neutral"))</f>
        <v>Positive</v>
      </c>
      <c r="S3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99" spans="1:19" x14ac:dyDescent="0.25">
      <c r="A399">
        <v>4</v>
      </c>
      <c r="B399" t="b">
        <v>1</v>
      </c>
      <c r="C399" s="1">
        <v>42753</v>
      </c>
      <c r="D399">
        <f>YEAR(AMAZON_FASHION_5__2[[#This Row],[reviewDate]])</f>
        <v>2017</v>
      </c>
      <c r="E399" s="1" t="str">
        <f>TEXT(AMAZON_FASHION_5__2[[#This Row],[reviewDate]], "mmmm")</f>
        <v>January</v>
      </c>
      <c r="F399" t="s">
        <v>1075</v>
      </c>
      <c r="G399" t="s">
        <v>196</v>
      </c>
      <c r="H399" t="s">
        <v>201</v>
      </c>
      <c r="I399" t="s">
        <v>198</v>
      </c>
      <c r="J399" t="s">
        <v>1076</v>
      </c>
      <c r="K399" t="s">
        <v>1077</v>
      </c>
      <c r="L399" t="s">
        <v>1078</v>
      </c>
      <c r="M399">
        <v>1484697600</v>
      </c>
      <c r="N399" t="s">
        <v>1628</v>
      </c>
      <c r="O399" t="s">
        <v>1628</v>
      </c>
      <c r="P399" t="s">
        <v>1628</v>
      </c>
      <c r="Q399">
        <f>LEN(AMAZON_FASHION_5__2[[#This Row],[reviewText]])</f>
        <v>316</v>
      </c>
      <c r="R399" t="str">
        <f>IF(AMAZON_FASHION_5__2[[#This Row],[overall]]&gt;=4,"Positive",IF(AMAZON_FASHION_5__2[[#This Row],[overall]]&lt;=2,"Negative","Neutral"))</f>
        <v>Positive</v>
      </c>
      <c r="S3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00" spans="1:19" x14ac:dyDescent="0.25">
      <c r="A400">
        <v>1</v>
      </c>
      <c r="B400" t="b">
        <v>1</v>
      </c>
      <c r="C400" s="1">
        <v>42750</v>
      </c>
      <c r="D400">
        <f>YEAR(AMAZON_FASHION_5__2[[#This Row],[reviewDate]])</f>
        <v>2017</v>
      </c>
      <c r="E400" s="1" t="str">
        <f>TEXT(AMAZON_FASHION_5__2[[#This Row],[reviewDate]], "mmmm")</f>
        <v>January</v>
      </c>
      <c r="F400" t="s">
        <v>1079</v>
      </c>
      <c r="G400" t="s">
        <v>196</v>
      </c>
      <c r="H400" t="s">
        <v>235</v>
      </c>
      <c r="I400" t="s">
        <v>411</v>
      </c>
      <c r="J400" t="s">
        <v>1080</v>
      </c>
      <c r="K400" t="s">
        <v>1081</v>
      </c>
      <c r="L400" t="s">
        <v>1082</v>
      </c>
      <c r="M400">
        <v>1484438400</v>
      </c>
      <c r="N400" t="s">
        <v>1628</v>
      </c>
      <c r="O400" t="s">
        <v>1628</v>
      </c>
      <c r="P400">
        <v>19</v>
      </c>
      <c r="Q400">
        <f>LEN(AMAZON_FASHION_5__2[[#This Row],[reviewText]])</f>
        <v>69</v>
      </c>
      <c r="R400" t="str">
        <f>IF(AMAZON_FASHION_5__2[[#This Row],[overall]]&gt;=4,"Positive",IF(AMAZON_FASHION_5__2[[#This Row],[overall]]&lt;=2,"Negative","Neutral"))</f>
        <v>Negative</v>
      </c>
      <c r="S4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01" spans="1:19" x14ac:dyDescent="0.25">
      <c r="A401">
        <v>4</v>
      </c>
      <c r="B401" t="b">
        <v>1</v>
      </c>
      <c r="C401" s="1">
        <v>42748</v>
      </c>
      <c r="D401">
        <f>YEAR(AMAZON_FASHION_5__2[[#This Row],[reviewDate]])</f>
        <v>2017</v>
      </c>
      <c r="E401" s="1" t="str">
        <f>TEXT(AMAZON_FASHION_5__2[[#This Row],[reviewDate]], "mmmm")</f>
        <v>January</v>
      </c>
      <c r="F401" t="s">
        <v>1083</v>
      </c>
      <c r="G401" t="s">
        <v>196</v>
      </c>
      <c r="H401" t="s">
        <v>205</v>
      </c>
      <c r="I401" t="s">
        <v>1084</v>
      </c>
      <c r="J401" t="s">
        <v>63</v>
      </c>
      <c r="K401" t="s">
        <v>1085</v>
      </c>
      <c r="L401" t="s">
        <v>1086</v>
      </c>
      <c r="M401">
        <v>1484265600</v>
      </c>
      <c r="N401" t="s">
        <v>1628</v>
      </c>
      <c r="O401" t="s">
        <v>1628</v>
      </c>
      <c r="P401" t="s">
        <v>1628</v>
      </c>
      <c r="Q401">
        <f>LEN(AMAZON_FASHION_5__2[[#This Row],[reviewText]])</f>
        <v>187</v>
      </c>
      <c r="R401" t="str">
        <f>IF(AMAZON_FASHION_5__2[[#This Row],[overall]]&gt;=4,"Positive",IF(AMAZON_FASHION_5__2[[#This Row],[overall]]&lt;=2,"Negative","Neutral"))</f>
        <v>Positive</v>
      </c>
      <c r="S4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02" spans="1:19" x14ac:dyDescent="0.25">
      <c r="A402">
        <v>5</v>
      </c>
      <c r="B402" t="b">
        <v>1</v>
      </c>
      <c r="C402" s="1">
        <v>42747</v>
      </c>
      <c r="D402">
        <f>YEAR(AMAZON_FASHION_5__2[[#This Row],[reviewDate]])</f>
        <v>2017</v>
      </c>
      <c r="E402" s="1" t="str">
        <f>TEXT(AMAZON_FASHION_5__2[[#This Row],[reviewDate]], "mmmm")</f>
        <v>January</v>
      </c>
      <c r="F402" t="s">
        <v>1087</v>
      </c>
      <c r="G402" t="s">
        <v>196</v>
      </c>
      <c r="H402" t="s">
        <v>230</v>
      </c>
      <c r="I402" t="s">
        <v>507</v>
      </c>
      <c r="J402" t="s">
        <v>1088</v>
      </c>
      <c r="K402" t="s">
        <v>1089</v>
      </c>
      <c r="L402" t="s">
        <v>1090</v>
      </c>
      <c r="M402">
        <v>1484179200</v>
      </c>
      <c r="N402" t="s">
        <v>1628</v>
      </c>
      <c r="O402" t="s">
        <v>1628</v>
      </c>
      <c r="P402" t="s">
        <v>1628</v>
      </c>
      <c r="Q402">
        <f>LEN(AMAZON_FASHION_5__2[[#This Row],[reviewText]])</f>
        <v>216</v>
      </c>
      <c r="R402" t="str">
        <f>IF(AMAZON_FASHION_5__2[[#This Row],[overall]]&gt;=4,"Positive",IF(AMAZON_FASHION_5__2[[#This Row],[overall]]&lt;=2,"Negative","Neutral"))</f>
        <v>Positive</v>
      </c>
      <c r="S4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03" spans="1:19" x14ac:dyDescent="0.25">
      <c r="A403">
        <v>5</v>
      </c>
      <c r="B403" t="b">
        <v>1</v>
      </c>
      <c r="C403" s="1">
        <v>42747</v>
      </c>
      <c r="D403">
        <f>YEAR(AMAZON_FASHION_5__2[[#This Row],[reviewDate]])</f>
        <v>2017</v>
      </c>
      <c r="E403" s="1" t="str">
        <f>TEXT(AMAZON_FASHION_5__2[[#This Row],[reviewDate]], "mmmm")</f>
        <v>January</v>
      </c>
      <c r="F403" t="s">
        <v>1091</v>
      </c>
      <c r="G403" t="s">
        <v>196</v>
      </c>
      <c r="H403" t="s">
        <v>201</v>
      </c>
      <c r="I403" t="s">
        <v>198</v>
      </c>
      <c r="J403" t="s">
        <v>1092</v>
      </c>
      <c r="K403" t="s">
        <v>1093</v>
      </c>
      <c r="L403" t="s">
        <v>17</v>
      </c>
      <c r="M403">
        <v>1484179200</v>
      </c>
      <c r="N403" t="s">
        <v>1628</v>
      </c>
      <c r="O403" t="s">
        <v>1628</v>
      </c>
      <c r="P403" t="s">
        <v>1628</v>
      </c>
      <c r="Q403">
        <f>LEN(AMAZON_FASHION_5__2[[#This Row],[reviewText]])</f>
        <v>20</v>
      </c>
      <c r="R403" t="str">
        <f>IF(AMAZON_FASHION_5__2[[#This Row],[overall]]&gt;=4,"Positive",IF(AMAZON_FASHION_5__2[[#This Row],[overall]]&lt;=2,"Negative","Neutral"))</f>
        <v>Positive</v>
      </c>
      <c r="S4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04" spans="1:19" x14ac:dyDescent="0.25">
      <c r="A404">
        <v>5</v>
      </c>
      <c r="B404" t="b">
        <v>1</v>
      </c>
      <c r="C404" s="1">
        <v>42745</v>
      </c>
      <c r="D404">
        <f>YEAR(AMAZON_FASHION_5__2[[#This Row],[reviewDate]])</f>
        <v>2017</v>
      </c>
      <c r="E404" s="1" t="str">
        <f>TEXT(AMAZON_FASHION_5__2[[#This Row],[reviewDate]], "mmmm")</f>
        <v>January</v>
      </c>
      <c r="F404" t="s">
        <v>1094</v>
      </c>
      <c r="G404" t="s">
        <v>196</v>
      </c>
      <c r="H404" t="s">
        <v>235</v>
      </c>
      <c r="I404" t="s">
        <v>574</v>
      </c>
      <c r="J404" t="s">
        <v>63</v>
      </c>
      <c r="K404" t="s">
        <v>914</v>
      </c>
      <c r="L404" t="s">
        <v>17</v>
      </c>
      <c r="M404">
        <v>1484006400</v>
      </c>
      <c r="N404" t="s">
        <v>1628</v>
      </c>
      <c r="O404" t="s">
        <v>1628</v>
      </c>
      <c r="P404" t="s">
        <v>1628</v>
      </c>
      <c r="Q404">
        <f>LEN(AMAZON_FASHION_5__2[[#This Row],[reviewText]])</f>
        <v>17</v>
      </c>
      <c r="R404" t="str">
        <f>IF(AMAZON_FASHION_5__2[[#This Row],[overall]]&gt;=4,"Positive",IF(AMAZON_FASHION_5__2[[#This Row],[overall]]&lt;=2,"Negative","Neutral"))</f>
        <v>Positive</v>
      </c>
      <c r="S4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05" spans="1:19" x14ac:dyDescent="0.25">
      <c r="A405">
        <v>5</v>
      </c>
      <c r="B405" t="b">
        <v>1</v>
      </c>
      <c r="C405" s="1">
        <v>42742</v>
      </c>
      <c r="D405">
        <f>YEAR(AMAZON_FASHION_5__2[[#This Row],[reviewDate]])</f>
        <v>2017</v>
      </c>
      <c r="E405" s="1" t="str">
        <f>TEXT(AMAZON_FASHION_5__2[[#This Row],[reviewDate]], "mmmm")</f>
        <v>January</v>
      </c>
      <c r="F405" t="s">
        <v>1095</v>
      </c>
      <c r="G405" t="s">
        <v>196</v>
      </c>
      <c r="H405" t="s">
        <v>235</v>
      </c>
      <c r="I405" t="s">
        <v>1084</v>
      </c>
      <c r="J405" t="s">
        <v>63</v>
      </c>
      <c r="K405" t="s">
        <v>1096</v>
      </c>
      <c r="L405" t="s">
        <v>1097</v>
      </c>
      <c r="M405">
        <v>1483747200</v>
      </c>
      <c r="N405" t="s">
        <v>1628</v>
      </c>
      <c r="O405" t="s">
        <v>1628</v>
      </c>
      <c r="P405" t="s">
        <v>1628</v>
      </c>
      <c r="Q405">
        <f>LEN(AMAZON_FASHION_5__2[[#This Row],[reviewText]])</f>
        <v>92</v>
      </c>
      <c r="R405" t="str">
        <f>IF(AMAZON_FASHION_5__2[[#This Row],[overall]]&gt;=4,"Positive",IF(AMAZON_FASHION_5__2[[#This Row],[overall]]&lt;=2,"Negative","Neutral"))</f>
        <v>Positive</v>
      </c>
      <c r="S4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06" spans="1:19" x14ac:dyDescent="0.25">
      <c r="A406">
        <v>5</v>
      </c>
      <c r="B406" t="b">
        <v>1</v>
      </c>
      <c r="C406" s="1">
        <v>42742</v>
      </c>
      <c r="D406">
        <f>YEAR(AMAZON_FASHION_5__2[[#This Row],[reviewDate]])</f>
        <v>2017</v>
      </c>
      <c r="E406" s="1" t="str">
        <f>TEXT(AMAZON_FASHION_5__2[[#This Row],[reviewDate]], "mmmm")</f>
        <v>January</v>
      </c>
      <c r="F406" t="s">
        <v>1098</v>
      </c>
      <c r="G406" t="s">
        <v>196</v>
      </c>
      <c r="H406" t="s">
        <v>320</v>
      </c>
      <c r="I406" t="s">
        <v>1084</v>
      </c>
      <c r="J406" t="s">
        <v>1099</v>
      </c>
      <c r="K406" t="s">
        <v>1100</v>
      </c>
      <c r="L406" t="s">
        <v>970</v>
      </c>
      <c r="M406">
        <v>1483747200</v>
      </c>
      <c r="N406" t="s">
        <v>1628</v>
      </c>
      <c r="O406" t="s">
        <v>1628</v>
      </c>
      <c r="P406" t="s">
        <v>1628</v>
      </c>
      <c r="Q406">
        <f>LEN(AMAZON_FASHION_5__2[[#This Row],[reviewText]])</f>
        <v>182</v>
      </c>
      <c r="R406" t="str">
        <f>IF(AMAZON_FASHION_5__2[[#This Row],[overall]]&gt;=4,"Positive",IF(AMAZON_FASHION_5__2[[#This Row],[overall]]&lt;=2,"Negative","Neutral"))</f>
        <v>Positive</v>
      </c>
      <c r="S4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07" spans="1:19" x14ac:dyDescent="0.25">
      <c r="A407">
        <v>4</v>
      </c>
      <c r="B407" t="b">
        <v>1</v>
      </c>
      <c r="C407" s="1">
        <v>42741</v>
      </c>
      <c r="D407">
        <f>YEAR(AMAZON_FASHION_5__2[[#This Row],[reviewDate]])</f>
        <v>2017</v>
      </c>
      <c r="E407" s="1" t="str">
        <f>TEXT(AMAZON_FASHION_5__2[[#This Row],[reviewDate]], "mmmm")</f>
        <v>January</v>
      </c>
      <c r="F407" t="s">
        <v>1101</v>
      </c>
      <c r="G407" t="s">
        <v>196</v>
      </c>
      <c r="H407" t="s">
        <v>197</v>
      </c>
      <c r="I407" t="s">
        <v>1084</v>
      </c>
      <c r="J407" t="s">
        <v>63</v>
      </c>
      <c r="K407" t="s">
        <v>1102</v>
      </c>
      <c r="L407" t="s">
        <v>1103</v>
      </c>
      <c r="M407">
        <v>1483660800</v>
      </c>
      <c r="N407" t="s">
        <v>1628</v>
      </c>
      <c r="O407" t="s">
        <v>1628</v>
      </c>
      <c r="P407" t="s">
        <v>1628</v>
      </c>
      <c r="Q407">
        <f>LEN(AMAZON_FASHION_5__2[[#This Row],[reviewText]])</f>
        <v>219</v>
      </c>
      <c r="R407" t="str">
        <f>IF(AMAZON_FASHION_5__2[[#This Row],[overall]]&gt;=4,"Positive",IF(AMAZON_FASHION_5__2[[#This Row],[overall]]&lt;=2,"Negative","Neutral"))</f>
        <v>Positive</v>
      </c>
      <c r="S4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08" spans="1:19" x14ac:dyDescent="0.25">
      <c r="A408">
        <v>1</v>
      </c>
      <c r="B408" t="b">
        <v>1</v>
      </c>
      <c r="C408" s="1">
        <v>42739</v>
      </c>
      <c r="D408">
        <f>YEAR(AMAZON_FASHION_5__2[[#This Row],[reviewDate]])</f>
        <v>2017</v>
      </c>
      <c r="E408" s="1" t="str">
        <f>TEXT(AMAZON_FASHION_5__2[[#This Row],[reviewDate]], "mmmm")</f>
        <v>January</v>
      </c>
      <c r="F408" t="s">
        <v>1104</v>
      </c>
      <c r="G408" t="s">
        <v>196</v>
      </c>
      <c r="H408" t="s">
        <v>205</v>
      </c>
      <c r="I408" t="s">
        <v>211</v>
      </c>
      <c r="J408" t="s">
        <v>1105</v>
      </c>
      <c r="K408" t="s">
        <v>1106</v>
      </c>
      <c r="L408" t="s">
        <v>1107</v>
      </c>
      <c r="M408">
        <v>1483488000</v>
      </c>
      <c r="N408" t="s">
        <v>1628</v>
      </c>
      <c r="O408" t="s">
        <v>1628</v>
      </c>
      <c r="P408" t="s">
        <v>1628</v>
      </c>
      <c r="Q408">
        <f>LEN(AMAZON_FASHION_5__2[[#This Row],[reviewText]])</f>
        <v>258</v>
      </c>
      <c r="R408" t="str">
        <f>IF(AMAZON_FASHION_5__2[[#This Row],[overall]]&gt;=4,"Positive",IF(AMAZON_FASHION_5__2[[#This Row],[overall]]&lt;=2,"Negative","Neutral"))</f>
        <v>Negative</v>
      </c>
      <c r="S4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09" spans="1:19" x14ac:dyDescent="0.25">
      <c r="A409">
        <v>5</v>
      </c>
      <c r="B409" t="b">
        <v>1</v>
      </c>
      <c r="C409" s="1">
        <v>42739</v>
      </c>
      <c r="D409">
        <f>YEAR(AMAZON_FASHION_5__2[[#This Row],[reviewDate]])</f>
        <v>2017</v>
      </c>
      <c r="E409" s="1" t="str">
        <f>TEXT(AMAZON_FASHION_5__2[[#This Row],[reviewDate]], "mmmm")</f>
        <v>January</v>
      </c>
      <c r="F409" t="s">
        <v>1108</v>
      </c>
      <c r="G409" t="s">
        <v>196</v>
      </c>
      <c r="H409" t="s">
        <v>235</v>
      </c>
      <c r="I409" t="s">
        <v>99</v>
      </c>
      <c r="J409" t="s">
        <v>1109</v>
      </c>
      <c r="K409" t="s">
        <v>1110</v>
      </c>
      <c r="L409" t="s">
        <v>1111</v>
      </c>
      <c r="M409">
        <v>1483488000</v>
      </c>
      <c r="N409" t="s">
        <v>1628</v>
      </c>
      <c r="O409" t="s">
        <v>1628</v>
      </c>
      <c r="P409" t="s">
        <v>1628</v>
      </c>
      <c r="Q409">
        <f>LEN(AMAZON_FASHION_5__2[[#This Row],[reviewText]])</f>
        <v>69</v>
      </c>
      <c r="R409" t="str">
        <f>IF(AMAZON_FASHION_5__2[[#This Row],[overall]]&gt;=4,"Positive",IF(AMAZON_FASHION_5__2[[#This Row],[overall]]&lt;=2,"Negative","Neutral"))</f>
        <v>Positive</v>
      </c>
      <c r="S4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10" spans="1:19" x14ac:dyDescent="0.25">
      <c r="A410">
        <v>5</v>
      </c>
      <c r="B410" t="b">
        <v>1</v>
      </c>
      <c r="C410" s="1">
        <v>42736</v>
      </c>
      <c r="D410">
        <f>YEAR(AMAZON_FASHION_5__2[[#This Row],[reviewDate]])</f>
        <v>2017</v>
      </c>
      <c r="E410" s="1" t="str">
        <f>TEXT(AMAZON_FASHION_5__2[[#This Row],[reviewDate]], "mmmm")</f>
        <v>January</v>
      </c>
      <c r="F410" t="s">
        <v>1112</v>
      </c>
      <c r="G410" t="s">
        <v>196</v>
      </c>
      <c r="H410" t="s">
        <v>197</v>
      </c>
      <c r="I410" t="s">
        <v>1084</v>
      </c>
      <c r="J410" t="s">
        <v>1113</v>
      </c>
      <c r="K410" t="s">
        <v>1114</v>
      </c>
      <c r="L410" t="s">
        <v>17</v>
      </c>
      <c r="M410">
        <v>1483228800</v>
      </c>
      <c r="N410" t="s">
        <v>1628</v>
      </c>
      <c r="O410" t="s">
        <v>1628</v>
      </c>
      <c r="P410" t="s">
        <v>1628</v>
      </c>
      <c r="Q410">
        <f>LEN(AMAZON_FASHION_5__2[[#This Row],[reviewText]])</f>
        <v>32</v>
      </c>
      <c r="R410" t="str">
        <f>IF(AMAZON_FASHION_5__2[[#This Row],[overall]]&gt;=4,"Positive",IF(AMAZON_FASHION_5__2[[#This Row],[overall]]&lt;=2,"Negative","Neutral"))</f>
        <v>Positive</v>
      </c>
      <c r="S4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11" spans="1:19" x14ac:dyDescent="0.25">
      <c r="A411">
        <v>5</v>
      </c>
      <c r="B411" t="b">
        <v>1</v>
      </c>
      <c r="C411" s="1">
        <v>42736</v>
      </c>
      <c r="D411">
        <f>YEAR(AMAZON_FASHION_5__2[[#This Row],[reviewDate]])</f>
        <v>2017</v>
      </c>
      <c r="E411" s="1" t="str">
        <f>TEXT(AMAZON_FASHION_5__2[[#This Row],[reviewDate]], "mmmm")</f>
        <v>January</v>
      </c>
      <c r="F411" t="s">
        <v>1115</v>
      </c>
      <c r="G411" t="s">
        <v>196</v>
      </c>
      <c r="H411" t="s">
        <v>205</v>
      </c>
      <c r="I411" t="s">
        <v>198</v>
      </c>
      <c r="J411" t="s">
        <v>1116</v>
      </c>
      <c r="K411" t="s">
        <v>1117</v>
      </c>
      <c r="L411" t="s">
        <v>17</v>
      </c>
      <c r="M411">
        <v>1483228800</v>
      </c>
      <c r="N411" t="s">
        <v>1628</v>
      </c>
      <c r="O411" t="s">
        <v>1628</v>
      </c>
      <c r="P411" t="s">
        <v>1628</v>
      </c>
      <c r="Q411">
        <f>LEN(AMAZON_FASHION_5__2[[#This Row],[reviewText]])</f>
        <v>36</v>
      </c>
      <c r="R411" t="str">
        <f>IF(AMAZON_FASHION_5__2[[#This Row],[overall]]&gt;=4,"Positive",IF(AMAZON_FASHION_5__2[[#This Row],[overall]]&lt;=2,"Negative","Neutral"))</f>
        <v>Positive</v>
      </c>
      <c r="S4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12" spans="1:19" x14ac:dyDescent="0.25">
      <c r="A412">
        <v>5</v>
      </c>
      <c r="B412" t="b">
        <v>1</v>
      </c>
      <c r="C412" s="1">
        <v>42735</v>
      </c>
      <c r="D412">
        <f>YEAR(AMAZON_FASHION_5__2[[#This Row],[reviewDate]])</f>
        <v>2016</v>
      </c>
      <c r="E412" s="1" t="str">
        <f>TEXT(AMAZON_FASHION_5__2[[#This Row],[reviewDate]], "mmmm")</f>
        <v>December</v>
      </c>
      <c r="F412" t="s">
        <v>1118</v>
      </c>
      <c r="G412" t="s">
        <v>196</v>
      </c>
      <c r="H412" t="s">
        <v>201</v>
      </c>
      <c r="I412" t="s">
        <v>198</v>
      </c>
      <c r="J412" t="s">
        <v>1119</v>
      </c>
      <c r="K412" t="s">
        <v>1120</v>
      </c>
      <c r="L412" t="s">
        <v>1121</v>
      </c>
      <c r="M412">
        <v>1483142400</v>
      </c>
      <c r="N412" t="s">
        <v>1628</v>
      </c>
      <c r="O412" t="s">
        <v>1628</v>
      </c>
      <c r="P412" t="s">
        <v>1628</v>
      </c>
      <c r="Q412">
        <f>LEN(AMAZON_FASHION_5__2[[#This Row],[reviewText]])</f>
        <v>169</v>
      </c>
      <c r="R412" t="str">
        <f>IF(AMAZON_FASHION_5__2[[#This Row],[overall]]&gt;=4,"Positive",IF(AMAZON_FASHION_5__2[[#This Row],[overall]]&lt;=2,"Negative","Neutral"))</f>
        <v>Positive</v>
      </c>
      <c r="S4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13" spans="1:19" x14ac:dyDescent="0.25">
      <c r="A413">
        <v>5</v>
      </c>
      <c r="B413" t="b">
        <v>1</v>
      </c>
      <c r="C413" s="1">
        <v>42733</v>
      </c>
      <c r="D413">
        <f>YEAR(AMAZON_FASHION_5__2[[#This Row],[reviewDate]])</f>
        <v>2016</v>
      </c>
      <c r="E413" s="1" t="str">
        <f>TEXT(AMAZON_FASHION_5__2[[#This Row],[reviewDate]], "mmmm")</f>
        <v>December</v>
      </c>
      <c r="F413" t="s">
        <v>1122</v>
      </c>
      <c r="G413" t="s">
        <v>196</v>
      </c>
      <c r="H413" t="s">
        <v>201</v>
      </c>
      <c r="I413" t="s">
        <v>198</v>
      </c>
      <c r="J413" t="s">
        <v>1123</v>
      </c>
      <c r="K413" t="s">
        <v>1124</v>
      </c>
      <c r="L413" t="s">
        <v>17</v>
      </c>
      <c r="M413">
        <v>1482969600</v>
      </c>
      <c r="N413" t="s">
        <v>1628</v>
      </c>
      <c r="O413" t="s">
        <v>1628</v>
      </c>
      <c r="P413" t="s">
        <v>1628</v>
      </c>
      <c r="Q413">
        <f>LEN(AMAZON_FASHION_5__2[[#This Row],[reviewText]])</f>
        <v>37</v>
      </c>
      <c r="R413" t="str">
        <f>IF(AMAZON_FASHION_5__2[[#This Row],[overall]]&gt;=4,"Positive",IF(AMAZON_FASHION_5__2[[#This Row],[overall]]&lt;=2,"Negative","Neutral"))</f>
        <v>Positive</v>
      </c>
      <c r="S4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14" spans="1:19" x14ac:dyDescent="0.25">
      <c r="A414">
        <v>5</v>
      </c>
      <c r="B414" t="b">
        <v>1</v>
      </c>
      <c r="C414" s="1">
        <v>42733</v>
      </c>
      <c r="D414">
        <f>YEAR(AMAZON_FASHION_5__2[[#This Row],[reviewDate]])</f>
        <v>2016</v>
      </c>
      <c r="E414" s="1" t="str">
        <f>TEXT(AMAZON_FASHION_5__2[[#This Row],[reviewDate]], "mmmm")</f>
        <v>December</v>
      </c>
      <c r="F414" t="s">
        <v>1125</v>
      </c>
      <c r="G414" t="s">
        <v>196</v>
      </c>
      <c r="H414" t="s">
        <v>210</v>
      </c>
      <c r="I414" t="s">
        <v>1084</v>
      </c>
      <c r="J414" t="s">
        <v>63</v>
      </c>
      <c r="K414" t="s">
        <v>1126</v>
      </c>
      <c r="L414" t="s">
        <v>17</v>
      </c>
      <c r="M414">
        <v>1482969600</v>
      </c>
      <c r="N414" t="s">
        <v>1628</v>
      </c>
      <c r="O414" t="s">
        <v>1628</v>
      </c>
      <c r="P414" t="s">
        <v>1628</v>
      </c>
      <c r="Q414">
        <f>LEN(AMAZON_FASHION_5__2[[#This Row],[reviewText]])</f>
        <v>45</v>
      </c>
      <c r="R414" t="str">
        <f>IF(AMAZON_FASHION_5__2[[#This Row],[overall]]&gt;=4,"Positive",IF(AMAZON_FASHION_5__2[[#This Row],[overall]]&lt;=2,"Negative","Neutral"))</f>
        <v>Positive</v>
      </c>
      <c r="S4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15" spans="1:19" x14ac:dyDescent="0.25">
      <c r="A415">
        <v>5</v>
      </c>
      <c r="B415" t="b">
        <v>1</v>
      </c>
      <c r="C415" s="1">
        <v>42732</v>
      </c>
      <c r="D415">
        <f>YEAR(AMAZON_FASHION_5__2[[#This Row],[reviewDate]])</f>
        <v>2016</v>
      </c>
      <c r="E415" s="1" t="str">
        <f>TEXT(AMAZON_FASHION_5__2[[#This Row],[reviewDate]], "mmmm")</f>
        <v>December</v>
      </c>
      <c r="F415" t="s">
        <v>1127</v>
      </c>
      <c r="G415" t="s">
        <v>196</v>
      </c>
      <c r="H415" t="s">
        <v>201</v>
      </c>
      <c r="I415" t="s">
        <v>198</v>
      </c>
      <c r="J415" t="s">
        <v>63</v>
      </c>
      <c r="K415" t="s">
        <v>483</v>
      </c>
      <c r="L415" t="s">
        <v>1128</v>
      </c>
      <c r="M415">
        <v>1482883200</v>
      </c>
      <c r="N415" t="s">
        <v>1628</v>
      </c>
      <c r="O415" t="s">
        <v>1628</v>
      </c>
      <c r="P415" t="s">
        <v>1628</v>
      </c>
      <c r="Q415">
        <f>LEN(AMAZON_FASHION_5__2[[#This Row],[reviewText]])</f>
        <v>8</v>
      </c>
      <c r="R415" t="str">
        <f>IF(AMAZON_FASHION_5__2[[#This Row],[overall]]&gt;=4,"Positive",IF(AMAZON_FASHION_5__2[[#This Row],[overall]]&lt;=2,"Negative","Neutral"))</f>
        <v>Positive</v>
      </c>
      <c r="S4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16" spans="1:19" x14ac:dyDescent="0.25">
      <c r="A416">
        <v>5</v>
      </c>
      <c r="B416" t="b">
        <v>1</v>
      </c>
      <c r="C416" s="1">
        <v>42732</v>
      </c>
      <c r="D416">
        <f>YEAR(AMAZON_FASHION_5__2[[#This Row],[reviewDate]])</f>
        <v>2016</v>
      </c>
      <c r="E416" s="1" t="str">
        <f>TEXT(AMAZON_FASHION_5__2[[#This Row],[reviewDate]], "mmmm")</f>
        <v>December</v>
      </c>
      <c r="F416" t="s">
        <v>1129</v>
      </c>
      <c r="G416" t="s">
        <v>196</v>
      </c>
      <c r="H416" t="s">
        <v>230</v>
      </c>
      <c r="I416" t="s">
        <v>211</v>
      </c>
      <c r="J416" t="s">
        <v>1130</v>
      </c>
      <c r="K416" t="s">
        <v>1131</v>
      </c>
      <c r="L416" t="s">
        <v>1132</v>
      </c>
      <c r="M416">
        <v>1482883200</v>
      </c>
      <c r="N416" t="s">
        <v>1628</v>
      </c>
      <c r="O416" t="s">
        <v>1628</v>
      </c>
      <c r="P416" t="s">
        <v>1628</v>
      </c>
      <c r="Q416">
        <f>LEN(AMAZON_FASHION_5__2[[#This Row],[reviewText]])</f>
        <v>134</v>
      </c>
      <c r="R416" t="str">
        <f>IF(AMAZON_FASHION_5__2[[#This Row],[overall]]&gt;=4,"Positive",IF(AMAZON_FASHION_5__2[[#This Row],[overall]]&lt;=2,"Negative","Neutral"))</f>
        <v>Positive</v>
      </c>
      <c r="S4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17" spans="1:19" x14ac:dyDescent="0.25">
      <c r="A417">
        <v>5</v>
      </c>
      <c r="B417" t="b">
        <v>1</v>
      </c>
      <c r="C417" s="1">
        <v>42731</v>
      </c>
      <c r="D417">
        <f>YEAR(AMAZON_FASHION_5__2[[#This Row],[reviewDate]])</f>
        <v>2016</v>
      </c>
      <c r="E417" s="1" t="str">
        <f>TEXT(AMAZON_FASHION_5__2[[#This Row],[reviewDate]], "mmmm")</f>
        <v>December</v>
      </c>
      <c r="F417" t="s">
        <v>1133</v>
      </c>
      <c r="G417" t="s">
        <v>196</v>
      </c>
      <c r="H417" t="s">
        <v>205</v>
      </c>
      <c r="I417" t="s">
        <v>198</v>
      </c>
      <c r="J417" t="s">
        <v>1134</v>
      </c>
      <c r="K417" t="s">
        <v>1135</v>
      </c>
      <c r="L417" t="s">
        <v>17</v>
      </c>
      <c r="M417">
        <v>1482796800</v>
      </c>
      <c r="N417" t="s">
        <v>1628</v>
      </c>
      <c r="O417" t="s">
        <v>1628</v>
      </c>
      <c r="P417" t="s">
        <v>1628</v>
      </c>
      <c r="Q417">
        <f>LEN(AMAZON_FASHION_5__2[[#This Row],[reviewText]])</f>
        <v>32</v>
      </c>
      <c r="R417" t="str">
        <f>IF(AMAZON_FASHION_5__2[[#This Row],[overall]]&gt;=4,"Positive",IF(AMAZON_FASHION_5__2[[#This Row],[overall]]&lt;=2,"Negative","Neutral"))</f>
        <v>Positive</v>
      </c>
      <c r="S4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18" spans="1:19" x14ac:dyDescent="0.25">
      <c r="A418">
        <v>2</v>
      </c>
      <c r="B418" t="b">
        <v>1</v>
      </c>
      <c r="C418" s="1">
        <v>42729</v>
      </c>
      <c r="D418">
        <f>YEAR(AMAZON_FASHION_5__2[[#This Row],[reviewDate]])</f>
        <v>2016</v>
      </c>
      <c r="E418" s="1" t="str">
        <f>TEXT(AMAZON_FASHION_5__2[[#This Row],[reviewDate]], "mmmm")</f>
        <v>December</v>
      </c>
      <c r="F418" t="s">
        <v>1136</v>
      </c>
      <c r="G418" t="s">
        <v>196</v>
      </c>
      <c r="H418" t="s">
        <v>477</v>
      </c>
      <c r="I418" t="s">
        <v>396</v>
      </c>
      <c r="J418" t="s">
        <v>1137</v>
      </c>
      <c r="K418" t="s">
        <v>1138</v>
      </c>
      <c r="L418" t="s">
        <v>1139</v>
      </c>
      <c r="M418">
        <v>1482624000</v>
      </c>
      <c r="N418" t="s">
        <v>1628</v>
      </c>
      <c r="O418" t="s">
        <v>1628</v>
      </c>
      <c r="P418">
        <v>2</v>
      </c>
      <c r="Q418">
        <f>LEN(AMAZON_FASHION_5__2[[#This Row],[reviewText]])</f>
        <v>108</v>
      </c>
      <c r="R418" t="str">
        <f>IF(AMAZON_FASHION_5__2[[#This Row],[overall]]&gt;=4,"Positive",IF(AMAZON_FASHION_5__2[[#This Row],[overall]]&lt;=2,"Negative","Neutral"))</f>
        <v>Negative</v>
      </c>
      <c r="S4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19" spans="1:19" x14ac:dyDescent="0.25">
      <c r="A419">
        <v>5</v>
      </c>
      <c r="B419" t="b">
        <v>1</v>
      </c>
      <c r="C419" s="1">
        <v>42727</v>
      </c>
      <c r="D419">
        <f>YEAR(AMAZON_FASHION_5__2[[#This Row],[reviewDate]])</f>
        <v>2016</v>
      </c>
      <c r="E419" s="1" t="str">
        <f>TEXT(AMAZON_FASHION_5__2[[#This Row],[reviewDate]], "mmmm")</f>
        <v>December</v>
      </c>
      <c r="F419" t="s">
        <v>1140</v>
      </c>
      <c r="G419" t="s">
        <v>196</v>
      </c>
      <c r="H419" t="s">
        <v>477</v>
      </c>
      <c r="I419" t="s">
        <v>574</v>
      </c>
      <c r="J419" t="s">
        <v>1141</v>
      </c>
      <c r="K419" t="s">
        <v>1142</v>
      </c>
      <c r="L419" t="s">
        <v>1143</v>
      </c>
      <c r="M419">
        <v>1482451200</v>
      </c>
      <c r="N419" t="s">
        <v>1628</v>
      </c>
      <c r="O419" t="s">
        <v>1628</v>
      </c>
      <c r="P419" t="s">
        <v>1628</v>
      </c>
      <c r="Q419">
        <f>LEN(AMAZON_FASHION_5__2[[#This Row],[reviewText]])</f>
        <v>198</v>
      </c>
      <c r="R419" t="str">
        <f>IF(AMAZON_FASHION_5__2[[#This Row],[overall]]&gt;=4,"Positive",IF(AMAZON_FASHION_5__2[[#This Row],[overall]]&lt;=2,"Negative","Neutral"))</f>
        <v>Positive</v>
      </c>
      <c r="S4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20" spans="1:19" x14ac:dyDescent="0.25">
      <c r="A420">
        <v>5</v>
      </c>
      <c r="B420" t="b">
        <v>1</v>
      </c>
      <c r="C420" s="1">
        <v>42726</v>
      </c>
      <c r="D420">
        <f>YEAR(AMAZON_FASHION_5__2[[#This Row],[reviewDate]])</f>
        <v>2016</v>
      </c>
      <c r="E420" s="1" t="str">
        <f>TEXT(AMAZON_FASHION_5__2[[#This Row],[reviewDate]], "mmmm")</f>
        <v>December</v>
      </c>
      <c r="F420" t="s">
        <v>1144</v>
      </c>
      <c r="G420" t="s">
        <v>196</v>
      </c>
      <c r="H420" t="s">
        <v>1145</v>
      </c>
      <c r="I420" t="s">
        <v>411</v>
      </c>
      <c r="J420" t="s">
        <v>63</v>
      </c>
      <c r="K420" t="s">
        <v>1146</v>
      </c>
      <c r="L420" t="s">
        <v>17</v>
      </c>
      <c r="M420">
        <v>1482364800</v>
      </c>
      <c r="N420" t="s">
        <v>1628</v>
      </c>
      <c r="O420" t="s">
        <v>1628</v>
      </c>
      <c r="P420" t="s">
        <v>1628</v>
      </c>
      <c r="Q420">
        <f>LEN(AMAZON_FASHION_5__2[[#This Row],[reviewText]])</f>
        <v>105</v>
      </c>
      <c r="R420" t="str">
        <f>IF(AMAZON_FASHION_5__2[[#This Row],[overall]]&gt;=4,"Positive",IF(AMAZON_FASHION_5__2[[#This Row],[overall]]&lt;=2,"Negative","Neutral"))</f>
        <v>Positive</v>
      </c>
      <c r="S4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21" spans="1:19" x14ac:dyDescent="0.25">
      <c r="A421">
        <v>2</v>
      </c>
      <c r="B421" t="b">
        <v>1</v>
      </c>
      <c r="C421" s="1">
        <v>42720</v>
      </c>
      <c r="D421">
        <f>YEAR(AMAZON_FASHION_5__2[[#This Row],[reviewDate]])</f>
        <v>2016</v>
      </c>
      <c r="E421" s="1" t="str">
        <f>TEXT(AMAZON_FASHION_5__2[[#This Row],[reviewDate]], "mmmm")</f>
        <v>December</v>
      </c>
      <c r="F421" t="s">
        <v>1147</v>
      </c>
      <c r="G421" t="s">
        <v>196</v>
      </c>
      <c r="H421" t="s">
        <v>201</v>
      </c>
      <c r="I421" t="s">
        <v>524</v>
      </c>
      <c r="J421" t="s">
        <v>1148</v>
      </c>
      <c r="K421" t="s">
        <v>1149</v>
      </c>
      <c r="L421" t="s">
        <v>1150</v>
      </c>
      <c r="M421">
        <v>1481846400</v>
      </c>
      <c r="N421" t="s">
        <v>1628</v>
      </c>
      <c r="O421" t="s">
        <v>1628</v>
      </c>
      <c r="P421" t="s">
        <v>1628</v>
      </c>
      <c r="Q421">
        <f>LEN(AMAZON_FASHION_5__2[[#This Row],[reviewText]])</f>
        <v>63</v>
      </c>
      <c r="R421" t="str">
        <f>IF(AMAZON_FASHION_5__2[[#This Row],[overall]]&gt;=4,"Positive",IF(AMAZON_FASHION_5__2[[#This Row],[overall]]&lt;=2,"Negative","Neutral"))</f>
        <v>Negative</v>
      </c>
      <c r="S4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22" spans="1:19" x14ac:dyDescent="0.25">
      <c r="A422">
        <v>1</v>
      </c>
      <c r="B422" t="b">
        <v>1</v>
      </c>
      <c r="C422" s="1">
        <v>42719</v>
      </c>
      <c r="D422">
        <f>YEAR(AMAZON_FASHION_5__2[[#This Row],[reviewDate]])</f>
        <v>2016</v>
      </c>
      <c r="E422" s="1" t="str">
        <f>TEXT(AMAZON_FASHION_5__2[[#This Row],[reviewDate]], "mmmm")</f>
        <v>December</v>
      </c>
      <c r="F422" t="s">
        <v>1151</v>
      </c>
      <c r="G422" t="s">
        <v>196</v>
      </c>
      <c r="H422" t="s">
        <v>197</v>
      </c>
      <c r="I422" t="s">
        <v>1084</v>
      </c>
      <c r="J422" t="s">
        <v>63</v>
      </c>
      <c r="K422" t="s">
        <v>1152</v>
      </c>
      <c r="L422" t="s">
        <v>65</v>
      </c>
      <c r="M422">
        <v>1481760000</v>
      </c>
      <c r="N422" t="s">
        <v>1628</v>
      </c>
      <c r="O422" t="s">
        <v>1628</v>
      </c>
      <c r="P422" t="s">
        <v>1628</v>
      </c>
      <c r="Q422">
        <f>LEN(AMAZON_FASHION_5__2[[#This Row],[reviewText]])</f>
        <v>11</v>
      </c>
      <c r="R422" t="str">
        <f>IF(AMAZON_FASHION_5__2[[#This Row],[overall]]&gt;=4,"Positive",IF(AMAZON_FASHION_5__2[[#This Row],[overall]]&lt;=2,"Negative","Neutral"))</f>
        <v>Negative</v>
      </c>
      <c r="S4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23" spans="1:19" x14ac:dyDescent="0.25">
      <c r="A423">
        <v>5</v>
      </c>
      <c r="B423" t="b">
        <v>1</v>
      </c>
      <c r="C423" s="1">
        <v>42716</v>
      </c>
      <c r="D423">
        <f>YEAR(AMAZON_FASHION_5__2[[#This Row],[reviewDate]])</f>
        <v>2016</v>
      </c>
      <c r="E423" s="1" t="str">
        <f>TEXT(AMAZON_FASHION_5__2[[#This Row],[reviewDate]], "mmmm")</f>
        <v>December</v>
      </c>
      <c r="F423" t="s">
        <v>1153</v>
      </c>
      <c r="G423" t="s">
        <v>196</v>
      </c>
      <c r="H423" t="s">
        <v>443</v>
      </c>
      <c r="I423" t="s">
        <v>336</v>
      </c>
      <c r="J423" t="s">
        <v>1154</v>
      </c>
      <c r="K423" t="s">
        <v>1155</v>
      </c>
      <c r="L423" t="s">
        <v>276</v>
      </c>
      <c r="M423">
        <v>1481500800</v>
      </c>
      <c r="N423" t="s">
        <v>1628</v>
      </c>
      <c r="O423" t="s">
        <v>1628</v>
      </c>
      <c r="P423" t="s">
        <v>1628</v>
      </c>
      <c r="Q423">
        <f>LEN(AMAZON_FASHION_5__2[[#This Row],[reviewText]])</f>
        <v>15</v>
      </c>
      <c r="R423" t="str">
        <f>IF(AMAZON_FASHION_5__2[[#This Row],[overall]]&gt;=4,"Positive",IF(AMAZON_FASHION_5__2[[#This Row],[overall]]&lt;=2,"Negative","Neutral"))</f>
        <v>Positive</v>
      </c>
      <c r="S4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24" spans="1:19" x14ac:dyDescent="0.25">
      <c r="A424">
        <v>5</v>
      </c>
      <c r="B424" t="b">
        <v>1</v>
      </c>
      <c r="C424" s="1">
        <v>42716</v>
      </c>
      <c r="D424">
        <f>YEAR(AMAZON_FASHION_5__2[[#This Row],[reviewDate]])</f>
        <v>2016</v>
      </c>
      <c r="E424" s="1" t="str">
        <f>TEXT(AMAZON_FASHION_5__2[[#This Row],[reviewDate]], "mmmm")</f>
        <v>December</v>
      </c>
      <c r="F424" t="s">
        <v>1156</v>
      </c>
      <c r="G424" t="s">
        <v>196</v>
      </c>
      <c r="H424" t="s">
        <v>235</v>
      </c>
      <c r="I424" t="s">
        <v>198</v>
      </c>
      <c r="J424" t="s">
        <v>1157</v>
      </c>
      <c r="K424" t="s">
        <v>1158</v>
      </c>
      <c r="L424" t="s">
        <v>30</v>
      </c>
      <c r="M424">
        <v>1481500800</v>
      </c>
      <c r="N424" t="s">
        <v>1628</v>
      </c>
      <c r="O424" t="s">
        <v>1628</v>
      </c>
      <c r="P424">
        <v>3</v>
      </c>
      <c r="Q424">
        <f>LEN(AMAZON_FASHION_5__2[[#This Row],[reviewText]])</f>
        <v>362</v>
      </c>
      <c r="R424" t="str">
        <f>IF(AMAZON_FASHION_5__2[[#This Row],[overall]]&gt;=4,"Positive",IF(AMAZON_FASHION_5__2[[#This Row],[overall]]&lt;=2,"Negative","Neutral"))</f>
        <v>Positive</v>
      </c>
      <c r="S4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25" spans="1:19" x14ac:dyDescent="0.25">
      <c r="A425">
        <v>4</v>
      </c>
      <c r="B425" t="b">
        <v>1</v>
      </c>
      <c r="C425" s="1">
        <v>42712</v>
      </c>
      <c r="D425">
        <f>YEAR(AMAZON_FASHION_5__2[[#This Row],[reviewDate]])</f>
        <v>2016</v>
      </c>
      <c r="E425" s="1" t="str">
        <f>TEXT(AMAZON_FASHION_5__2[[#This Row],[reviewDate]], "mmmm")</f>
        <v>December</v>
      </c>
      <c r="F425" t="s">
        <v>1159</v>
      </c>
      <c r="G425" t="s">
        <v>196</v>
      </c>
      <c r="H425" t="s">
        <v>197</v>
      </c>
      <c r="I425" t="s">
        <v>1084</v>
      </c>
      <c r="J425" t="s">
        <v>1160</v>
      </c>
      <c r="K425" t="s">
        <v>1161</v>
      </c>
      <c r="L425" t="s">
        <v>103</v>
      </c>
      <c r="M425">
        <v>1481155200</v>
      </c>
      <c r="N425" t="s">
        <v>1628</v>
      </c>
      <c r="O425" t="s">
        <v>1628</v>
      </c>
      <c r="P425" t="s">
        <v>1628</v>
      </c>
      <c r="Q425">
        <f>LEN(AMAZON_FASHION_5__2[[#This Row],[reviewText]])</f>
        <v>36</v>
      </c>
      <c r="R425" t="str">
        <f>IF(AMAZON_FASHION_5__2[[#This Row],[overall]]&gt;=4,"Positive",IF(AMAZON_FASHION_5__2[[#This Row],[overall]]&lt;=2,"Negative","Neutral"))</f>
        <v>Positive</v>
      </c>
      <c r="S4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26" spans="1:19" x14ac:dyDescent="0.25">
      <c r="A426">
        <v>4</v>
      </c>
      <c r="B426" t="b">
        <v>1</v>
      </c>
      <c r="C426" s="1">
        <v>42708</v>
      </c>
      <c r="D426">
        <f>YEAR(AMAZON_FASHION_5__2[[#This Row],[reviewDate]])</f>
        <v>2016</v>
      </c>
      <c r="E426" s="1" t="str">
        <f>TEXT(AMAZON_FASHION_5__2[[#This Row],[reviewDate]], "mmmm")</f>
        <v>December</v>
      </c>
      <c r="F426" t="s">
        <v>1162</v>
      </c>
      <c r="G426" t="s">
        <v>196</v>
      </c>
      <c r="H426" t="s">
        <v>320</v>
      </c>
      <c r="I426" t="s">
        <v>827</v>
      </c>
      <c r="J426" t="s">
        <v>1163</v>
      </c>
      <c r="K426" t="s">
        <v>1164</v>
      </c>
      <c r="L426" t="s">
        <v>103</v>
      </c>
      <c r="M426">
        <v>1480809600</v>
      </c>
      <c r="N426" t="s">
        <v>1628</v>
      </c>
      <c r="O426" t="s">
        <v>1628</v>
      </c>
      <c r="P426" t="s">
        <v>1628</v>
      </c>
      <c r="Q426">
        <f>LEN(AMAZON_FASHION_5__2[[#This Row],[reviewText]])</f>
        <v>36</v>
      </c>
      <c r="R426" t="str">
        <f>IF(AMAZON_FASHION_5__2[[#This Row],[overall]]&gt;=4,"Positive",IF(AMAZON_FASHION_5__2[[#This Row],[overall]]&lt;=2,"Negative","Neutral"))</f>
        <v>Positive</v>
      </c>
      <c r="S4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27" spans="1:19" x14ac:dyDescent="0.25">
      <c r="A427">
        <v>4</v>
      </c>
      <c r="B427" t="b">
        <v>1</v>
      </c>
      <c r="C427" s="1">
        <v>42706</v>
      </c>
      <c r="D427">
        <f>YEAR(AMAZON_FASHION_5__2[[#This Row],[reviewDate]])</f>
        <v>2016</v>
      </c>
      <c r="E427" s="1" t="str">
        <f>TEXT(AMAZON_FASHION_5__2[[#This Row],[reviewDate]], "mmmm")</f>
        <v>December</v>
      </c>
      <c r="F427" t="s">
        <v>1165</v>
      </c>
      <c r="G427" t="s">
        <v>196</v>
      </c>
      <c r="H427" t="s">
        <v>717</v>
      </c>
      <c r="I427" t="s">
        <v>336</v>
      </c>
      <c r="J427" t="s">
        <v>63</v>
      </c>
      <c r="K427" t="s">
        <v>1166</v>
      </c>
      <c r="L427" t="s">
        <v>103</v>
      </c>
      <c r="M427">
        <v>1480636800</v>
      </c>
      <c r="N427" t="s">
        <v>1628</v>
      </c>
      <c r="O427" t="s">
        <v>1628</v>
      </c>
      <c r="P427">
        <v>2</v>
      </c>
      <c r="Q427">
        <f>LEN(AMAZON_FASHION_5__2[[#This Row],[reviewText]])</f>
        <v>29</v>
      </c>
      <c r="R427" t="str">
        <f>IF(AMAZON_FASHION_5__2[[#This Row],[overall]]&gt;=4,"Positive",IF(AMAZON_FASHION_5__2[[#This Row],[overall]]&lt;=2,"Negative","Neutral"))</f>
        <v>Positive</v>
      </c>
      <c r="S4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28" spans="1:19" x14ac:dyDescent="0.25">
      <c r="A428">
        <v>5</v>
      </c>
      <c r="B428" t="b">
        <v>1</v>
      </c>
      <c r="C428" s="1">
        <v>42706</v>
      </c>
      <c r="D428">
        <f>YEAR(AMAZON_FASHION_5__2[[#This Row],[reviewDate]])</f>
        <v>2016</v>
      </c>
      <c r="E428" s="1" t="str">
        <f>TEXT(AMAZON_FASHION_5__2[[#This Row],[reviewDate]], "mmmm")</f>
        <v>December</v>
      </c>
      <c r="F428" t="s">
        <v>1167</v>
      </c>
      <c r="G428" t="s">
        <v>196</v>
      </c>
      <c r="H428" t="s">
        <v>210</v>
      </c>
      <c r="I428" t="s">
        <v>198</v>
      </c>
      <c r="J428" t="s">
        <v>1168</v>
      </c>
      <c r="K428" t="s">
        <v>1169</v>
      </c>
      <c r="L428" t="s">
        <v>17</v>
      </c>
      <c r="M428">
        <v>1480636800</v>
      </c>
      <c r="N428" t="s">
        <v>1628</v>
      </c>
      <c r="O428" t="s">
        <v>1628</v>
      </c>
      <c r="P428" t="s">
        <v>1628</v>
      </c>
      <c r="Q428">
        <f>LEN(AMAZON_FASHION_5__2[[#This Row],[reviewText]])</f>
        <v>43</v>
      </c>
      <c r="R428" t="str">
        <f>IF(AMAZON_FASHION_5__2[[#This Row],[overall]]&gt;=4,"Positive",IF(AMAZON_FASHION_5__2[[#This Row],[overall]]&lt;=2,"Negative","Neutral"))</f>
        <v>Positive</v>
      </c>
      <c r="S4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29" spans="1:19" x14ac:dyDescent="0.25">
      <c r="A429">
        <v>5</v>
      </c>
      <c r="B429" t="b">
        <v>1</v>
      </c>
      <c r="C429" s="1">
        <v>42705</v>
      </c>
      <c r="D429">
        <f>YEAR(AMAZON_FASHION_5__2[[#This Row],[reviewDate]])</f>
        <v>2016</v>
      </c>
      <c r="E429" s="1" t="str">
        <f>TEXT(AMAZON_FASHION_5__2[[#This Row],[reviewDate]], "mmmm")</f>
        <v>December</v>
      </c>
      <c r="F429" t="s">
        <v>1170</v>
      </c>
      <c r="G429" t="s">
        <v>196</v>
      </c>
      <c r="H429" t="s">
        <v>230</v>
      </c>
      <c r="I429" t="s">
        <v>396</v>
      </c>
      <c r="J429" t="s">
        <v>451</v>
      </c>
      <c r="K429" t="s">
        <v>1171</v>
      </c>
      <c r="L429" t="s">
        <v>17</v>
      </c>
      <c r="M429">
        <v>1480550400</v>
      </c>
      <c r="N429" t="s">
        <v>1628</v>
      </c>
      <c r="O429" t="s">
        <v>1628</v>
      </c>
      <c r="P429" t="s">
        <v>1628</v>
      </c>
      <c r="Q429">
        <f>LEN(AMAZON_FASHION_5__2[[#This Row],[reviewText]])</f>
        <v>93</v>
      </c>
      <c r="R429" t="str">
        <f>IF(AMAZON_FASHION_5__2[[#This Row],[overall]]&gt;=4,"Positive",IF(AMAZON_FASHION_5__2[[#This Row],[overall]]&lt;=2,"Negative","Neutral"))</f>
        <v>Positive</v>
      </c>
      <c r="S4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30" spans="1:19" x14ac:dyDescent="0.25">
      <c r="A430">
        <v>5</v>
      </c>
      <c r="B430" t="b">
        <v>1</v>
      </c>
      <c r="C430" s="1">
        <v>42702</v>
      </c>
      <c r="D430">
        <f>YEAR(AMAZON_FASHION_5__2[[#This Row],[reviewDate]])</f>
        <v>2016</v>
      </c>
      <c r="E430" s="1" t="str">
        <f>TEXT(AMAZON_FASHION_5__2[[#This Row],[reviewDate]], "mmmm")</f>
        <v>November</v>
      </c>
      <c r="F430" t="s">
        <v>1172</v>
      </c>
      <c r="G430" t="s">
        <v>196</v>
      </c>
      <c r="H430" t="s">
        <v>230</v>
      </c>
      <c r="I430" t="s">
        <v>198</v>
      </c>
      <c r="J430" t="s">
        <v>1076</v>
      </c>
      <c r="K430" t="s">
        <v>1173</v>
      </c>
      <c r="L430" t="s">
        <v>17</v>
      </c>
      <c r="M430">
        <v>1480291200</v>
      </c>
      <c r="N430" t="s">
        <v>1628</v>
      </c>
      <c r="O430" t="s">
        <v>1628</v>
      </c>
      <c r="P430" t="s">
        <v>1628</v>
      </c>
      <c r="Q430">
        <f>LEN(AMAZON_FASHION_5__2[[#This Row],[reviewText]])</f>
        <v>90</v>
      </c>
      <c r="R430" t="str">
        <f>IF(AMAZON_FASHION_5__2[[#This Row],[overall]]&gt;=4,"Positive",IF(AMAZON_FASHION_5__2[[#This Row],[overall]]&lt;=2,"Negative","Neutral"))</f>
        <v>Positive</v>
      </c>
      <c r="S4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31" spans="1:19" x14ac:dyDescent="0.25">
      <c r="A431">
        <v>5</v>
      </c>
      <c r="B431" t="b">
        <v>1</v>
      </c>
      <c r="C431" s="1">
        <v>42701</v>
      </c>
      <c r="D431">
        <f>YEAR(AMAZON_FASHION_5__2[[#This Row],[reviewDate]])</f>
        <v>2016</v>
      </c>
      <c r="E431" s="1" t="str">
        <f>TEXT(AMAZON_FASHION_5__2[[#This Row],[reviewDate]], "mmmm")</f>
        <v>November</v>
      </c>
      <c r="F431" t="s">
        <v>1174</v>
      </c>
      <c r="G431" t="s">
        <v>196</v>
      </c>
      <c r="H431" t="s">
        <v>477</v>
      </c>
      <c r="I431" t="s">
        <v>849</v>
      </c>
      <c r="J431" t="s">
        <v>1175</v>
      </c>
      <c r="K431" t="s">
        <v>1176</v>
      </c>
      <c r="L431" t="s">
        <v>877</v>
      </c>
      <c r="M431">
        <v>1480204800</v>
      </c>
      <c r="N431" t="s">
        <v>1628</v>
      </c>
      <c r="O431" t="s">
        <v>1628</v>
      </c>
      <c r="P431" t="s">
        <v>1628</v>
      </c>
      <c r="Q431">
        <f>LEN(AMAZON_FASHION_5__2[[#This Row],[reviewText]])</f>
        <v>338</v>
      </c>
      <c r="R431" t="str">
        <f>IF(AMAZON_FASHION_5__2[[#This Row],[overall]]&gt;=4,"Positive",IF(AMAZON_FASHION_5__2[[#This Row],[overall]]&lt;=2,"Negative","Neutral"))</f>
        <v>Positive</v>
      </c>
      <c r="S4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32" spans="1:19" x14ac:dyDescent="0.25">
      <c r="A432">
        <v>5</v>
      </c>
      <c r="B432" t="b">
        <v>1</v>
      </c>
      <c r="C432" s="1">
        <v>42697</v>
      </c>
      <c r="D432">
        <f>YEAR(AMAZON_FASHION_5__2[[#This Row],[reviewDate]])</f>
        <v>2016</v>
      </c>
      <c r="E432" s="1" t="str">
        <f>TEXT(AMAZON_FASHION_5__2[[#This Row],[reviewDate]], "mmmm")</f>
        <v>November</v>
      </c>
      <c r="F432" t="s">
        <v>1177</v>
      </c>
      <c r="G432" t="s">
        <v>196</v>
      </c>
      <c r="H432" t="s">
        <v>201</v>
      </c>
      <c r="I432" t="s">
        <v>198</v>
      </c>
      <c r="J432" t="s">
        <v>1178</v>
      </c>
      <c r="K432" t="s">
        <v>1179</v>
      </c>
      <c r="L432" t="s">
        <v>1180</v>
      </c>
      <c r="M432">
        <v>1479859200</v>
      </c>
      <c r="N432" t="s">
        <v>1628</v>
      </c>
      <c r="O432" t="s">
        <v>1628</v>
      </c>
      <c r="P432" t="s">
        <v>1628</v>
      </c>
      <c r="Q432">
        <f>LEN(AMAZON_FASHION_5__2[[#This Row],[reviewText]])</f>
        <v>76</v>
      </c>
      <c r="R432" t="str">
        <f>IF(AMAZON_FASHION_5__2[[#This Row],[overall]]&gt;=4,"Positive",IF(AMAZON_FASHION_5__2[[#This Row],[overall]]&lt;=2,"Negative","Neutral"))</f>
        <v>Positive</v>
      </c>
      <c r="S4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33" spans="1:19" x14ac:dyDescent="0.25">
      <c r="A433">
        <v>4</v>
      </c>
      <c r="B433" t="b">
        <v>0</v>
      </c>
      <c r="C433" s="1">
        <v>42695</v>
      </c>
      <c r="D433">
        <f>YEAR(AMAZON_FASHION_5__2[[#This Row],[reviewDate]])</f>
        <v>2016</v>
      </c>
      <c r="E433" s="1" t="str">
        <f>TEXT(AMAZON_FASHION_5__2[[#This Row],[reviewDate]], "mmmm")</f>
        <v>November</v>
      </c>
      <c r="F433" t="s">
        <v>1181</v>
      </c>
      <c r="G433" t="s">
        <v>196</v>
      </c>
      <c r="H433" t="s">
        <v>320</v>
      </c>
      <c r="I433" t="s">
        <v>574</v>
      </c>
      <c r="J433" t="s">
        <v>1182</v>
      </c>
      <c r="K433" t="s">
        <v>1183</v>
      </c>
      <c r="L433" t="s">
        <v>1184</v>
      </c>
      <c r="M433">
        <v>1479686400</v>
      </c>
      <c r="N433" t="s">
        <v>1628</v>
      </c>
      <c r="O433" t="s">
        <v>1628</v>
      </c>
      <c r="P433" t="s">
        <v>1628</v>
      </c>
      <c r="Q433">
        <f>LEN(AMAZON_FASHION_5__2[[#This Row],[reviewText]])</f>
        <v>767</v>
      </c>
      <c r="R433" t="str">
        <f>IF(AMAZON_FASHION_5__2[[#This Row],[overall]]&gt;=4,"Positive",IF(AMAZON_FASHION_5__2[[#This Row],[overall]]&lt;=2,"Negative","Neutral"))</f>
        <v>Positive</v>
      </c>
      <c r="S4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34" spans="1:19" x14ac:dyDescent="0.25">
      <c r="A434">
        <v>4</v>
      </c>
      <c r="B434" t="b">
        <v>1</v>
      </c>
      <c r="C434" s="1">
        <v>42690</v>
      </c>
      <c r="D434">
        <f>YEAR(AMAZON_FASHION_5__2[[#This Row],[reviewDate]])</f>
        <v>2016</v>
      </c>
      <c r="E434" s="1" t="str">
        <f>TEXT(AMAZON_FASHION_5__2[[#This Row],[reviewDate]], "mmmm")</f>
        <v>November</v>
      </c>
      <c r="F434" t="s">
        <v>1185</v>
      </c>
      <c r="G434" t="s">
        <v>196</v>
      </c>
      <c r="H434" t="s">
        <v>230</v>
      </c>
      <c r="I434" t="s">
        <v>396</v>
      </c>
      <c r="J434" t="s">
        <v>1186</v>
      </c>
      <c r="K434" t="s">
        <v>1187</v>
      </c>
      <c r="L434" t="s">
        <v>103</v>
      </c>
      <c r="M434">
        <v>1479254400</v>
      </c>
      <c r="N434" t="s">
        <v>1628</v>
      </c>
      <c r="O434" t="s">
        <v>1628</v>
      </c>
      <c r="P434" t="s">
        <v>1628</v>
      </c>
      <c r="Q434">
        <f>LEN(AMAZON_FASHION_5__2[[#This Row],[reviewText]])</f>
        <v>49</v>
      </c>
      <c r="R434" t="str">
        <f>IF(AMAZON_FASHION_5__2[[#This Row],[overall]]&gt;=4,"Positive",IF(AMAZON_FASHION_5__2[[#This Row],[overall]]&lt;=2,"Negative","Neutral"))</f>
        <v>Positive</v>
      </c>
      <c r="S4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35" spans="1:19" x14ac:dyDescent="0.25">
      <c r="A435">
        <v>5</v>
      </c>
      <c r="B435" t="b">
        <v>1</v>
      </c>
      <c r="C435" s="1">
        <v>42690</v>
      </c>
      <c r="D435">
        <f>YEAR(AMAZON_FASHION_5__2[[#This Row],[reviewDate]])</f>
        <v>2016</v>
      </c>
      <c r="E435" s="1" t="str">
        <f>TEXT(AMAZON_FASHION_5__2[[#This Row],[reviewDate]], "mmmm")</f>
        <v>November</v>
      </c>
      <c r="F435" t="s">
        <v>1188</v>
      </c>
      <c r="G435" t="s">
        <v>196</v>
      </c>
      <c r="H435" t="s">
        <v>230</v>
      </c>
      <c r="I435" t="s">
        <v>198</v>
      </c>
      <c r="J435" t="s">
        <v>63</v>
      </c>
      <c r="K435" t="s">
        <v>1189</v>
      </c>
      <c r="L435" t="s">
        <v>17</v>
      </c>
      <c r="M435">
        <v>1479254400</v>
      </c>
      <c r="N435" t="s">
        <v>1628</v>
      </c>
      <c r="O435" t="s">
        <v>1628</v>
      </c>
      <c r="P435" t="s">
        <v>1628</v>
      </c>
      <c r="Q435">
        <f>LEN(AMAZON_FASHION_5__2[[#This Row],[reviewText]])</f>
        <v>9</v>
      </c>
      <c r="R435" t="str">
        <f>IF(AMAZON_FASHION_5__2[[#This Row],[overall]]&gt;=4,"Positive",IF(AMAZON_FASHION_5__2[[#This Row],[overall]]&lt;=2,"Negative","Neutral"))</f>
        <v>Positive</v>
      </c>
      <c r="S4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36" spans="1:19" x14ac:dyDescent="0.25">
      <c r="A436">
        <v>3</v>
      </c>
      <c r="B436" t="b">
        <v>1</v>
      </c>
      <c r="C436" s="1">
        <v>42688</v>
      </c>
      <c r="D436">
        <f>YEAR(AMAZON_FASHION_5__2[[#This Row],[reviewDate]])</f>
        <v>2016</v>
      </c>
      <c r="E436" s="1" t="str">
        <f>TEXT(AMAZON_FASHION_5__2[[#This Row],[reviewDate]], "mmmm")</f>
        <v>November</v>
      </c>
      <c r="F436" t="s">
        <v>1190</v>
      </c>
      <c r="G436" t="s">
        <v>196</v>
      </c>
      <c r="H436" t="s">
        <v>201</v>
      </c>
      <c r="I436" t="s">
        <v>524</v>
      </c>
      <c r="J436" t="s">
        <v>1191</v>
      </c>
      <c r="K436" t="s">
        <v>1192</v>
      </c>
      <c r="L436" t="s">
        <v>1193</v>
      </c>
      <c r="M436">
        <v>1479081600</v>
      </c>
      <c r="N436" t="s">
        <v>1628</v>
      </c>
      <c r="O436" t="s">
        <v>1628</v>
      </c>
      <c r="P436" t="s">
        <v>1628</v>
      </c>
      <c r="Q436">
        <f>LEN(AMAZON_FASHION_5__2[[#This Row],[reviewText]])</f>
        <v>92</v>
      </c>
      <c r="R436" t="str">
        <f>IF(AMAZON_FASHION_5__2[[#This Row],[overall]]&gt;=4,"Positive",IF(AMAZON_FASHION_5__2[[#This Row],[overall]]&lt;=2,"Negative","Neutral"))</f>
        <v>Neutral</v>
      </c>
      <c r="S4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37" spans="1:19" x14ac:dyDescent="0.25">
      <c r="A437">
        <v>5</v>
      </c>
      <c r="B437" t="b">
        <v>1</v>
      </c>
      <c r="C437" s="1">
        <v>42685</v>
      </c>
      <c r="D437">
        <f>YEAR(AMAZON_FASHION_5__2[[#This Row],[reviewDate]])</f>
        <v>2016</v>
      </c>
      <c r="E437" s="1" t="str">
        <f>TEXT(AMAZON_FASHION_5__2[[#This Row],[reviewDate]], "mmmm")</f>
        <v>November</v>
      </c>
      <c r="F437" t="s">
        <v>1194</v>
      </c>
      <c r="G437" t="s">
        <v>196</v>
      </c>
      <c r="H437" t="s">
        <v>235</v>
      </c>
      <c r="I437" t="s">
        <v>303</v>
      </c>
      <c r="J437" t="s">
        <v>1195</v>
      </c>
      <c r="K437" t="s">
        <v>1196</v>
      </c>
      <c r="L437" t="s">
        <v>1197</v>
      </c>
      <c r="M437">
        <v>1478822400</v>
      </c>
      <c r="N437" t="s">
        <v>1628</v>
      </c>
      <c r="O437" t="s">
        <v>1628</v>
      </c>
      <c r="P437" t="s">
        <v>1628</v>
      </c>
      <c r="Q437">
        <f>LEN(AMAZON_FASHION_5__2[[#This Row],[reviewText]])</f>
        <v>133</v>
      </c>
      <c r="R437" t="str">
        <f>IF(AMAZON_FASHION_5__2[[#This Row],[overall]]&gt;=4,"Positive",IF(AMAZON_FASHION_5__2[[#This Row],[overall]]&lt;=2,"Negative","Neutral"))</f>
        <v>Positive</v>
      </c>
      <c r="S4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38" spans="1:19" x14ac:dyDescent="0.25">
      <c r="A438">
        <v>4</v>
      </c>
      <c r="B438" t="b">
        <v>1</v>
      </c>
      <c r="C438" s="1">
        <v>42685</v>
      </c>
      <c r="D438">
        <f>YEAR(AMAZON_FASHION_5__2[[#This Row],[reviewDate]])</f>
        <v>2016</v>
      </c>
      <c r="E438" s="1" t="str">
        <f>TEXT(AMAZON_FASHION_5__2[[#This Row],[reviewDate]], "mmmm")</f>
        <v>November</v>
      </c>
      <c r="F438" t="s">
        <v>1198</v>
      </c>
      <c r="G438" t="s">
        <v>196</v>
      </c>
      <c r="H438" t="s">
        <v>205</v>
      </c>
      <c r="I438" t="s">
        <v>396</v>
      </c>
      <c r="J438" t="s">
        <v>1199</v>
      </c>
      <c r="K438" t="s">
        <v>1200</v>
      </c>
      <c r="L438" t="s">
        <v>103</v>
      </c>
      <c r="M438">
        <v>1478822400</v>
      </c>
      <c r="N438" t="s">
        <v>1628</v>
      </c>
      <c r="O438" t="s">
        <v>1628</v>
      </c>
      <c r="P438" t="s">
        <v>1628</v>
      </c>
      <c r="Q438">
        <f>LEN(AMAZON_FASHION_5__2[[#This Row],[reviewText]])</f>
        <v>25</v>
      </c>
      <c r="R438" t="str">
        <f>IF(AMAZON_FASHION_5__2[[#This Row],[overall]]&gt;=4,"Positive",IF(AMAZON_FASHION_5__2[[#This Row],[overall]]&lt;=2,"Negative","Neutral"))</f>
        <v>Positive</v>
      </c>
      <c r="S4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39" spans="1:19" x14ac:dyDescent="0.25">
      <c r="A439">
        <v>5</v>
      </c>
      <c r="B439" t="b">
        <v>1</v>
      </c>
      <c r="C439" s="1">
        <v>42683</v>
      </c>
      <c r="D439">
        <f>YEAR(AMAZON_FASHION_5__2[[#This Row],[reviewDate]])</f>
        <v>2016</v>
      </c>
      <c r="E439" s="1" t="str">
        <f>TEXT(AMAZON_FASHION_5__2[[#This Row],[reviewDate]], "mmmm")</f>
        <v>November</v>
      </c>
      <c r="F439" t="s">
        <v>1201</v>
      </c>
      <c r="G439" t="s">
        <v>196</v>
      </c>
      <c r="H439" t="s">
        <v>197</v>
      </c>
      <c r="I439" t="s">
        <v>198</v>
      </c>
      <c r="J439" t="s">
        <v>63</v>
      </c>
      <c r="K439" t="s">
        <v>1202</v>
      </c>
      <c r="L439" t="s">
        <v>1203</v>
      </c>
      <c r="M439">
        <v>1478649600</v>
      </c>
      <c r="N439" t="s">
        <v>1628</v>
      </c>
      <c r="O439" t="s">
        <v>1628</v>
      </c>
      <c r="P439" t="s">
        <v>1628</v>
      </c>
      <c r="Q439">
        <f>LEN(AMAZON_FASHION_5__2[[#This Row],[reviewText]])</f>
        <v>64</v>
      </c>
      <c r="R439" t="str">
        <f>IF(AMAZON_FASHION_5__2[[#This Row],[overall]]&gt;=4,"Positive",IF(AMAZON_FASHION_5__2[[#This Row],[overall]]&lt;=2,"Negative","Neutral"))</f>
        <v>Positive</v>
      </c>
      <c r="S4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40" spans="1:19" x14ac:dyDescent="0.25">
      <c r="A440">
        <v>4</v>
      </c>
      <c r="B440" t="b">
        <v>1</v>
      </c>
      <c r="C440" s="1">
        <v>42682</v>
      </c>
      <c r="D440">
        <f>YEAR(AMAZON_FASHION_5__2[[#This Row],[reviewDate]])</f>
        <v>2016</v>
      </c>
      <c r="E440" s="1" t="str">
        <f>TEXT(AMAZON_FASHION_5__2[[#This Row],[reviewDate]], "mmmm")</f>
        <v>November</v>
      </c>
      <c r="F440" t="s">
        <v>1204</v>
      </c>
      <c r="G440" t="s">
        <v>196</v>
      </c>
      <c r="H440" t="s">
        <v>320</v>
      </c>
      <c r="I440" t="s">
        <v>827</v>
      </c>
      <c r="J440" t="s">
        <v>1205</v>
      </c>
      <c r="K440" t="s">
        <v>1206</v>
      </c>
      <c r="L440" t="s">
        <v>1207</v>
      </c>
      <c r="M440">
        <v>1478563200</v>
      </c>
      <c r="N440" t="s">
        <v>1628</v>
      </c>
      <c r="O440" t="s">
        <v>1628</v>
      </c>
      <c r="P440" t="s">
        <v>1628</v>
      </c>
      <c r="Q440">
        <f>LEN(AMAZON_FASHION_5__2[[#This Row],[reviewText]])</f>
        <v>83</v>
      </c>
      <c r="R440" t="str">
        <f>IF(AMAZON_FASHION_5__2[[#This Row],[overall]]&gt;=4,"Positive",IF(AMAZON_FASHION_5__2[[#This Row],[overall]]&lt;=2,"Negative","Neutral"))</f>
        <v>Positive</v>
      </c>
      <c r="S4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41" spans="1:19" x14ac:dyDescent="0.25">
      <c r="A441">
        <v>5</v>
      </c>
      <c r="B441" t="b">
        <v>1</v>
      </c>
      <c r="C441" s="1">
        <v>42681</v>
      </c>
      <c r="D441">
        <f>YEAR(AMAZON_FASHION_5__2[[#This Row],[reviewDate]])</f>
        <v>2016</v>
      </c>
      <c r="E441" s="1" t="str">
        <f>TEXT(AMAZON_FASHION_5__2[[#This Row],[reviewDate]], "mmmm")</f>
        <v>November</v>
      </c>
      <c r="F441" t="s">
        <v>1208</v>
      </c>
      <c r="G441" t="s">
        <v>196</v>
      </c>
      <c r="H441" t="s">
        <v>477</v>
      </c>
      <c r="I441" t="s">
        <v>198</v>
      </c>
      <c r="J441" t="s">
        <v>1209</v>
      </c>
      <c r="K441" t="s">
        <v>1210</v>
      </c>
      <c r="L441" t="s">
        <v>1211</v>
      </c>
      <c r="M441">
        <v>1478476800</v>
      </c>
      <c r="N441" t="s">
        <v>1628</v>
      </c>
      <c r="O441" t="s">
        <v>1628</v>
      </c>
      <c r="P441">
        <v>3</v>
      </c>
      <c r="Q441">
        <f>LEN(AMAZON_FASHION_5__2[[#This Row],[reviewText]])</f>
        <v>235</v>
      </c>
      <c r="R441" t="str">
        <f>IF(AMAZON_FASHION_5__2[[#This Row],[overall]]&gt;=4,"Positive",IF(AMAZON_FASHION_5__2[[#This Row],[overall]]&lt;=2,"Negative","Neutral"))</f>
        <v>Positive</v>
      </c>
      <c r="S4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42" spans="1:19" x14ac:dyDescent="0.25">
      <c r="A442">
        <v>3</v>
      </c>
      <c r="B442" t="b">
        <v>1</v>
      </c>
      <c r="C442" s="1">
        <v>42680</v>
      </c>
      <c r="D442">
        <f>YEAR(AMAZON_FASHION_5__2[[#This Row],[reviewDate]])</f>
        <v>2016</v>
      </c>
      <c r="E442" s="1" t="str">
        <f>TEXT(AMAZON_FASHION_5__2[[#This Row],[reviewDate]], "mmmm")</f>
        <v>November</v>
      </c>
      <c r="F442" t="s">
        <v>1212</v>
      </c>
      <c r="G442" t="s">
        <v>196</v>
      </c>
      <c r="H442" t="s">
        <v>230</v>
      </c>
      <c r="I442" t="s">
        <v>827</v>
      </c>
      <c r="J442" t="s">
        <v>1213</v>
      </c>
      <c r="K442" t="s">
        <v>1214</v>
      </c>
      <c r="L442" t="s">
        <v>1215</v>
      </c>
      <c r="M442">
        <v>1478390400</v>
      </c>
      <c r="N442" t="s">
        <v>1628</v>
      </c>
      <c r="O442" t="s">
        <v>1628</v>
      </c>
      <c r="P442" t="s">
        <v>1628</v>
      </c>
      <c r="Q442">
        <f>LEN(AMAZON_FASHION_5__2[[#This Row],[reviewText]])</f>
        <v>115</v>
      </c>
      <c r="R442" t="str">
        <f>IF(AMAZON_FASHION_5__2[[#This Row],[overall]]&gt;=4,"Positive",IF(AMAZON_FASHION_5__2[[#This Row],[overall]]&lt;=2,"Negative","Neutral"))</f>
        <v>Neutral</v>
      </c>
      <c r="S4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43" spans="1:19" x14ac:dyDescent="0.25">
      <c r="A443">
        <v>3</v>
      </c>
      <c r="B443" t="b">
        <v>1</v>
      </c>
      <c r="C443" s="1">
        <v>42673</v>
      </c>
      <c r="D443">
        <f>YEAR(AMAZON_FASHION_5__2[[#This Row],[reviewDate]])</f>
        <v>2016</v>
      </c>
      <c r="E443" s="1" t="str">
        <f>TEXT(AMAZON_FASHION_5__2[[#This Row],[reviewDate]], "mmmm")</f>
        <v>October</v>
      </c>
      <c r="F443" t="s">
        <v>1216</v>
      </c>
      <c r="G443" t="s">
        <v>196</v>
      </c>
      <c r="H443" t="s">
        <v>477</v>
      </c>
      <c r="I443" t="s">
        <v>396</v>
      </c>
      <c r="J443" t="s">
        <v>1217</v>
      </c>
      <c r="K443" t="s">
        <v>1218</v>
      </c>
      <c r="L443" t="s">
        <v>1219</v>
      </c>
      <c r="M443">
        <v>1477785600</v>
      </c>
      <c r="N443" t="s">
        <v>1628</v>
      </c>
      <c r="O443" t="s">
        <v>1628</v>
      </c>
      <c r="P443" t="s">
        <v>1628</v>
      </c>
      <c r="Q443">
        <f>LEN(AMAZON_FASHION_5__2[[#This Row],[reviewText]])</f>
        <v>228</v>
      </c>
      <c r="R443" t="str">
        <f>IF(AMAZON_FASHION_5__2[[#This Row],[overall]]&gt;=4,"Positive",IF(AMAZON_FASHION_5__2[[#This Row],[overall]]&lt;=2,"Negative","Neutral"))</f>
        <v>Neutral</v>
      </c>
      <c r="S4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44" spans="1:19" x14ac:dyDescent="0.25">
      <c r="A444">
        <v>5</v>
      </c>
      <c r="B444" t="b">
        <v>1</v>
      </c>
      <c r="C444" s="1">
        <v>42672</v>
      </c>
      <c r="D444">
        <f>YEAR(AMAZON_FASHION_5__2[[#This Row],[reviewDate]])</f>
        <v>2016</v>
      </c>
      <c r="E444" s="1" t="str">
        <f>TEXT(AMAZON_FASHION_5__2[[#This Row],[reviewDate]], "mmmm")</f>
        <v>October</v>
      </c>
      <c r="F444" t="s">
        <v>1220</v>
      </c>
      <c r="G444" t="s">
        <v>196</v>
      </c>
      <c r="H444" t="s">
        <v>210</v>
      </c>
      <c r="I444" t="s">
        <v>274</v>
      </c>
      <c r="J444" t="s">
        <v>1221</v>
      </c>
      <c r="K444" t="s">
        <v>1222</v>
      </c>
      <c r="L444" t="s">
        <v>1223</v>
      </c>
      <c r="M444">
        <v>1477699200</v>
      </c>
      <c r="N444" t="s">
        <v>1628</v>
      </c>
      <c r="O444" t="s">
        <v>1628</v>
      </c>
      <c r="P444" t="s">
        <v>1628</v>
      </c>
      <c r="Q444">
        <f>LEN(AMAZON_FASHION_5__2[[#This Row],[reviewText]])</f>
        <v>59</v>
      </c>
      <c r="R444" t="str">
        <f>IF(AMAZON_FASHION_5__2[[#This Row],[overall]]&gt;=4,"Positive",IF(AMAZON_FASHION_5__2[[#This Row],[overall]]&lt;=2,"Negative","Neutral"))</f>
        <v>Positive</v>
      </c>
      <c r="S4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45" spans="1:19" x14ac:dyDescent="0.25">
      <c r="A445">
        <v>3</v>
      </c>
      <c r="B445" t="b">
        <v>1</v>
      </c>
      <c r="C445" s="1">
        <v>42669</v>
      </c>
      <c r="D445">
        <f>YEAR(AMAZON_FASHION_5__2[[#This Row],[reviewDate]])</f>
        <v>2016</v>
      </c>
      <c r="E445" s="1" t="str">
        <f>TEXT(AMAZON_FASHION_5__2[[#This Row],[reviewDate]], "mmmm")</f>
        <v>October</v>
      </c>
      <c r="F445" t="s">
        <v>1224</v>
      </c>
      <c r="G445" t="s">
        <v>196</v>
      </c>
      <c r="H445" t="s">
        <v>230</v>
      </c>
      <c r="I445" t="s">
        <v>198</v>
      </c>
      <c r="J445" t="s">
        <v>1225</v>
      </c>
      <c r="K445" t="s">
        <v>1226</v>
      </c>
      <c r="L445" t="s">
        <v>1227</v>
      </c>
      <c r="M445">
        <v>1477440000</v>
      </c>
      <c r="N445" t="s">
        <v>1628</v>
      </c>
      <c r="O445" t="s">
        <v>1628</v>
      </c>
      <c r="P445" t="s">
        <v>1628</v>
      </c>
      <c r="Q445">
        <f>LEN(AMAZON_FASHION_5__2[[#This Row],[reviewText]])</f>
        <v>333</v>
      </c>
      <c r="R445" t="str">
        <f>IF(AMAZON_FASHION_5__2[[#This Row],[overall]]&gt;=4,"Positive",IF(AMAZON_FASHION_5__2[[#This Row],[overall]]&lt;=2,"Negative","Neutral"))</f>
        <v>Neutral</v>
      </c>
      <c r="S4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46" spans="1:19" x14ac:dyDescent="0.25">
      <c r="A446">
        <v>5</v>
      </c>
      <c r="B446" t="b">
        <v>1</v>
      </c>
      <c r="C446" s="1">
        <v>42668</v>
      </c>
      <c r="D446">
        <f>YEAR(AMAZON_FASHION_5__2[[#This Row],[reviewDate]])</f>
        <v>2016</v>
      </c>
      <c r="E446" s="1" t="str">
        <f>TEXT(AMAZON_FASHION_5__2[[#This Row],[reviewDate]], "mmmm")</f>
        <v>October</v>
      </c>
      <c r="F446" t="s">
        <v>1228</v>
      </c>
      <c r="G446" t="s">
        <v>196</v>
      </c>
      <c r="H446" t="s">
        <v>261</v>
      </c>
      <c r="I446" t="s">
        <v>262</v>
      </c>
      <c r="J446" t="s">
        <v>1229</v>
      </c>
      <c r="K446" t="s">
        <v>1230</v>
      </c>
      <c r="L446" t="s">
        <v>17</v>
      </c>
      <c r="M446">
        <v>1477353600</v>
      </c>
      <c r="N446" t="s">
        <v>1628</v>
      </c>
      <c r="O446" t="s">
        <v>1628</v>
      </c>
      <c r="P446" t="s">
        <v>1628</v>
      </c>
      <c r="Q446">
        <f>LEN(AMAZON_FASHION_5__2[[#This Row],[reviewText]])</f>
        <v>33</v>
      </c>
      <c r="R446" t="str">
        <f>IF(AMAZON_FASHION_5__2[[#This Row],[overall]]&gt;=4,"Positive",IF(AMAZON_FASHION_5__2[[#This Row],[overall]]&lt;=2,"Negative","Neutral"))</f>
        <v>Positive</v>
      </c>
      <c r="S4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47" spans="1:19" x14ac:dyDescent="0.25">
      <c r="A447">
        <v>5</v>
      </c>
      <c r="B447" t="b">
        <v>0</v>
      </c>
      <c r="C447" s="1">
        <v>42667</v>
      </c>
      <c r="D447">
        <f>YEAR(AMAZON_FASHION_5__2[[#This Row],[reviewDate]])</f>
        <v>2016</v>
      </c>
      <c r="E447" s="1" t="str">
        <f>TEXT(AMAZON_FASHION_5__2[[#This Row],[reviewDate]], "mmmm")</f>
        <v>October</v>
      </c>
      <c r="F447" t="s">
        <v>1231</v>
      </c>
      <c r="G447" t="s">
        <v>196</v>
      </c>
      <c r="H447" t="s">
        <v>197</v>
      </c>
      <c r="I447" t="s">
        <v>419</v>
      </c>
      <c r="J447" t="s">
        <v>63</v>
      </c>
      <c r="K447" t="s">
        <v>1232</v>
      </c>
      <c r="L447" t="s">
        <v>1233</v>
      </c>
      <c r="M447">
        <v>1477267200</v>
      </c>
      <c r="N447" t="s">
        <v>1628</v>
      </c>
      <c r="O447" t="s">
        <v>1628</v>
      </c>
      <c r="P447" t="s">
        <v>1628</v>
      </c>
      <c r="Q447">
        <f>LEN(AMAZON_FASHION_5__2[[#This Row],[reviewText]])</f>
        <v>86</v>
      </c>
      <c r="R447" t="str">
        <f>IF(AMAZON_FASHION_5__2[[#This Row],[overall]]&gt;=4,"Positive",IF(AMAZON_FASHION_5__2[[#This Row],[overall]]&lt;=2,"Negative","Neutral"))</f>
        <v>Positive</v>
      </c>
      <c r="S4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48" spans="1:19" x14ac:dyDescent="0.25">
      <c r="A448">
        <v>5</v>
      </c>
      <c r="B448" t="b">
        <v>1</v>
      </c>
      <c r="C448" s="1">
        <v>42667</v>
      </c>
      <c r="D448">
        <f>YEAR(AMAZON_FASHION_5__2[[#This Row],[reviewDate]])</f>
        <v>2016</v>
      </c>
      <c r="E448" s="1" t="str">
        <f>TEXT(AMAZON_FASHION_5__2[[#This Row],[reviewDate]], "mmmm")</f>
        <v>October</v>
      </c>
      <c r="F448" t="s">
        <v>1234</v>
      </c>
      <c r="G448" t="s">
        <v>196</v>
      </c>
      <c r="H448" t="s">
        <v>197</v>
      </c>
      <c r="I448" t="s">
        <v>493</v>
      </c>
      <c r="J448" t="s">
        <v>1235</v>
      </c>
      <c r="K448" t="s">
        <v>1236</v>
      </c>
      <c r="L448" t="s">
        <v>17</v>
      </c>
      <c r="M448">
        <v>1477267200</v>
      </c>
      <c r="N448" t="s">
        <v>1628</v>
      </c>
      <c r="O448" t="s">
        <v>1628</v>
      </c>
      <c r="P448" t="s">
        <v>1628</v>
      </c>
      <c r="Q448">
        <f>LEN(AMAZON_FASHION_5__2[[#This Row],[reviewText]])</f>
        <v>24</v>
      </c>
      <c r="R448" t="str">
        <f>IF(AMAZON_FASHION_5__2[[#This Row],[overall]]&gt;=4,"Positive",IF(AMAZON_FASHION_5__2[[#This Row],[overall]]&lt;=2,"Negative","Neutral"))</f>
        <v>Positive</v>
      </c>
      <c r="S4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49" spans="1:19" x14ac:dyDescent="0.25">
      <c r="A449">
        <v>5</v>
      </c>
      <c r="B449" t="b">
        <v>1</v>
      </c>
      <c r="C449" s="1">
        <v>42662</v>
      </c>
      <c r="D449">
        <f>YEAR(AMAZON_FASHION_5__2[[#This Row],[reviewDate]])</f>
        <v>2016</v>
      </c>
      <c r="E449" s="1" t="str">
        <f>TEXT(AMAZON_FASHION_5__2[[#This Row],[reviewDate]], "mmmm")</f>
        <v>October</v>
      </c>
      <c r="F449" t="s">
        <v>1237</v>
      </c>
      <c r="G449" t="s">
        <v>196</v>
      </c>
      <c r="H449" t="s">
        <v>320</v>
      </c>
      <c r="I449" t="s">
        <v>198</v>
      </c>
      <c r="J449" t="s">
        <v>63</v>
      </c>
      <c r="K449" t="s">
        <v>1238</v>
      </c>
      <c r="L449" t="s">
        <v>1239</v>
      </c>
      <c r="M449">
        <v>1476835200</v>
      </c>
      <c r="N449" t="s">
        <v>1628</v>
      </c>
      <c r="O449" t="s">
        <v>1628</v>
      </c>
      <c r="P449" t="s">
        <v>1628</v>
      </c>
      <c r="Q449">
        <f>LEN(AMAZON_FASHION_5__2[[#This Row],[reviewText]])</f>
        <v>35</v>
      </c>
      <c r="R449" t="str">
        <f>IF(AMAZON_FASHION_5__2[[#This Row],[overall]]&gt;=4,"Positive",IF(AMAZON_FASHION_5__2[[#This Row],[overall]]&lt;=2,"Negative","Neutral"))</f>
        <v>Positive</v>
      </c>
      <c r="S4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50" spans="1:19" x14ac:dyDescent="0.25">
      <c r="A450">
        <v>5</v>
      </c>
      <c r="B450" t="b">
        <v>1</v>
      </c>
      <c r="C450" s="1">
        <v>42660</v>
      </c>
      <c r="D450">
        <f>YEAR(AMAZON_FASHION_5__2[[#This Row],[reviewDate]])</f>
        <v>2016</v>
      </c>
      <c r="E450" s="1" t="str">
        <f>TEXT(AMAZON_FASHION_5__2[[#This Row],[reviewDate]], "mmmm")</f>
        <v>October</v>
      </c>
      <c r="F450" t="s">
        <v>1240</v>
      </c>
      <c r="G450" t="s">
        <v>196</v>
      </c>
      <c r="H450" t="s">
        <v>205</v>
      </c>
      <c r="I450" t="s">
        <v>396</v>
      </c>
      <c r="J450" t="s">
        <v>1241</v>
      </c>
      <c r="K450" t="s">
        <v>1242</v>
      </c>
      <c r="L450" t="s">
        <v>1243</v>
      </c>
      <c r="M450">
        <v>1476662400</v>
      </c>
      <c r="N450" t="s">
        <v>1628</v>
      </c>
      <c r="O450" t="s">
        <v>1628</v>
      </c>
      <c r="P450">
        <v>5</v>
      </c>
      <c r="Q450">
        <f>LEN(AMAZON_FASHION_5__2[[#This Row],[reviewText]])</f>
        <v>106</v>
      </c>
      <c r="R450" t="str">
        <f>IF(AMAZON_FASHION_5__2[[#This Row],[overall]]&gt;=4,"Positive",IF(AMAZON_FASHION_5__2[[#This Row],[overall]]&lt;=2,"Negative","Neutral"))</f>
        <v>Positive</v>
      </c>
      <c r="S4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51" spans="1:19" x14ac:dyDescent="0.25">
      <c r="A451">
        <v>5</v>
      </c>
      <c r="B451" t="b">
        <v>1</v>
      </c>
      <c r="C451" s="1">
        <v>42658</v>
      </c>
      <c r="D451">
        <f>YEAR(AMAZON_FASHION_5__2[[#This Row],[reviewDate]])</f>
        <v>2016</v>
      </c>
      <c r="E451" s="1" t="str">
        <f>TEXT(AMAZON_FASHION_5__2[[#This Row],[reviewDate]], "mmmm")</f>
        <v>October</v>
      </c>
      <c r="F451" t="s">
        <v>1244</v>
      </c>
      <c r="G451" t="s">
        <v>196</v>
      </c>
      <c r="H451" t="s">
        <v>205</v>
      </c>
      <c r="I451" t="s">
        <v>198</v>
      </c>
      <c r="J451" t="s">
        <v>1245</v>
      </c>
      <c r="K451" t="s">
        <v>1246</v>
      </c>
      <c r="L451" t="s">
        <v>1247</v>
      </c>
      <c r="M451">
        <v>1476489600</v>
      </c>
      <c r="N451" t="s">
        <v>1628</v>
      </c>
      <c r="O451" t="s">
        <v>1628</v>
      </c>
      <c r="P451" t="s">
        <v>1628</v>
      </c>
      <c r="Q451">
        <f>LEN(AMAZON_FASHION_5__2[[#This Row],[reviewText]])</f>
        <v>57</v>
      </c>
      <c r="R451" t="str">
        <f>IF(AMAZON_FASHION_5__2[[#This Row],[overall]]&gt;=4,"Positive",IF(AMAZON_FASHION_5__2[[#This Row],[overall]]&lt;=2,"Negative","Neutral"))</f>
        <v>Positive</v>
      </c>
      <c r="S4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52" spans="1:19" x14ac:dyDescent="0.25">
      <c r="A452">
        <v>4</v>
      </c>
      <c r="B452" t="b">
        <v>1</v>
      </c>
      <c r="C452" s="1">
        <v>42654</v>
      </c>
      <c r="D452">
        <f>YEAR(AMAZON_FASHION_5__2[[#This Row],[reviewDate]])</f>
        <v>2016</v>
      </c>
      <c r="E452" s="1" t="str">
        <f>TEXT(AMAZON_FASHION_5__2[[#This Row],[reviewDate]], "mmmm")</f>
        <v>October</v>
      </c>
      <c r="F452" t="s">
        <v>1248</v>
      </c>
      <c r="G452" t="s">
        <v>196</v>
      </c>
      <c r="H452" t="s">
        <v>201</v>
      </c>
      <c r="I452" t="s">
        <v>827</v>
      </c>
      <c r="J452" t="s">
        <v>1249</v>
      </c>
      <c r="K452" t="s">
        <v>1250</v>
      </c>
      <c r="L452" t="s">
        <v>1251</v>
      </c>
      <c r="M452">
        <v>1476144000</v>
      </c>
      <c r="N452" t="s">
        <v>1628</v>
      </c>
      <c r="O452" t="s">
        <v>1628</v>
      </c>
      <c r="P452" t="s">
        <v>1628</v>
      </c>
      <c r="Q452">
        <f>LEN(AMAZON_FASHION_5__2[[#This Row],[reviewText]])</f>
        <v>181</v>
      </c>
      <c r="R452" t="str">
        <f>IF(AMAZON_FASHION_5__2[[#This Row],[overall]]&gt;=4,"Positive",IF(AMAZON_FASHION_5__2[[#This Row],[overall]]&lt;=2,"Negative","Neutral"))</f>
        <v>Positive</v>
      </c>
      <c r="S4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53" spans="1:19" x14ac:dyDescent="0.25">
      <c r="A453">
        <v>3</v>
      </c>
      <c r="B453" t="b">
        <v>1</v>
      </c>
      <c r="C453" s="1">
        <v>42652</v>
      </c>
      <c r="D453">
        <f>YEAR(AMAZON_FASHION_5__2[[#This Row],[reviewDate]])</f>
        <v>2016</v>
      </c>
      <c r="E453" s="1" t="str">
        <f>TEXT(AMAZON_FASHION_5__2[[#This Row],[reviewDate]], "mmmm")</f>
        <v>October</v>
      </c>
      <c r="F453" t="s">
        <v>1252</v>
      </c>
      <c r="G453" t="s">
        <v>196</v>
      </c>
      <c r="H453" t="s">
        <v>477</v>
      </c>
      <c r="I453" t="s">
        <v>236</v>
      </c>
      <c r="J453" t="s">
        <v>1253</v>
      </c>
      <c r="K453" t="s">
        <v>1254</v>
      </c>
      <c r="L453" t="s">
        <v>1255</v>
      </c>
      <c r="M453">
        <v>1475971200</v>
      </c>
      <c r="N453" t="s">
        <v>1628</v>
      </c>
      <c r="O453" t="s">
        <v>1628</v>
      </c>
      <c r="P453" t="s">
        <v>1628</v>
      </c>
      <c r="Q453">
        <f>LEN(AMAZON_FASHION_5__2[[#This Row],[reviewText]])</f>
        <v>68</v>
      </c>
      <c r="R453" t="str">
        <f>IF(AMAZON_FASHION_5__2[[#This Row],[overall]]&gt;=4,"Positive",IF(AMAZON_FASHION_5__2[[#This Row],[overall]]&lt;=2,"Negative","Neutral"))</f>
        <v>Neutral</v>
      </c>
      <c r="S4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54" spans="1:19" x14ac:dyDescent="0.25">
      <c r="A454">
        <v>4</v>
      </c>
      <c r="B454" t="b">
        <v>1</v>
      </c>
      <c r="C454" s="1">
        <v>42648</v>
      </c>
      <c r="D454">
        <f>YEAR(AMAZON_FASHION_5__2[[#This Row],[reviewDate]])</f>
        <v>2016</v>
      </c>
      <c r="E454" s="1" t="str">
        <f>TEXT(AMAZON_FASHION_5__2[[#This Row],[reviewDate]], "mmmm")</f>
        <v>October</v>
      </c>
      <c r="F454" t="s">
        <v>1256</v>
      </c>
      <c r="G454" t="s">
        <v>196</v>
      </c>
      <c r="H454" t="s">
        <v>197</v>
      </c>
      <c r="I454" t="s">
        <v>198</v>
      </c>
      <c r="J454" t="s">
        <v>1257</v>
      </c>
      <c r="K454" t="s">
        <v>1258</v>
      </c>
      <c r="L454" t="s">
        <v>1259</v>
      </c>
      <c r="M454">
        <v>1475625600</v>
      </c>
      <c r="N454" t="s">
        <v>1628</v>
      </c>
      <c r="O454" t="s">
        <v>1628</v>
      </c>
      <c r="P454" t="s">
        <v>1628</v>
      </c>
      <c r="Q454">
        <f>LEN(AMAZON_FASHION_5__2[[#This Row],[reviewText]])</f>
        <v>100</v>
      </c>
      <c r="R454" t="str">
        <f>IF(AMAZON_FASHION_5__2[[#This Row],[overall]]&gt;=4,"Positive",IF(AMAZON_FASHION_5__2[[#This Row],[overall]]&lt;=2,"Negative","Neutral"))</f>
        <v>Positive</v>
      </c>
      <c r="S4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55" spans="1:19" x14ac:dyDescent="0.25">
      <c r="A455">
        <v>3</v>
      </c>
      <c r="B455" t="b">
        <v>1</v>
      </c>
      <c r="C455" s="1">
        <v>42644</v>
      </c>
      <c r="D455">
        <f>YEAR(AMAZON_FASHION_5__2[[#This Row],[reviewDate]])</f>
        <v>2016</v>
      </c>
      <c r="E455" s="1" t="str">
        <f>TEXT(AMAZON_FASHION_5__2[[#This Row],[reviewDate]], "mmmm")</f>
        <v>October</v>
      </c>
      <c r="F455" t="s">
        <v>1260</v>
      </c>
      <c r="G455" t="s">
        <v>196</v>
      </c>
      <c r="H455" t="s">
        <v>205</v>
      </c>
      <c r="I455" t="s">
        <v>236</v>
      </c>
      <c r="J455" t="s">
        <v>1261</v>
      </c>
      <c r="K455" t="s">
        <v>1262</v>
      </c>
      <c r="L455" t="s">
        <v>1263</v>
      </c>
      <c r="M455">
        <v>1475280000</v>
      </c>
      <c r="N455" t="s">
        <v>1628</v>
      </c>
      <c r="O455" t="s">
        <v>1628</v>
      </c>
      <c r="P455" t="s">
        <v>1628</v>
      </c>
      <c r="Q455">
        <f>LEN(AMAZON_FASHION_5__2[[#This Row],[reviewText]])</f>
        <v>59</v>
      </c>
      <c r="R455" t="str">
        <f>IF(AMAZON_FASHION_5__2[[#This Row],[overall]]&gt;=4,"Positive",IF(AMAZON_FASHION_5__2[[#This Row],[overall]]&lt;=2,"Negative","Neutral"))</f>
        <v>Neutral</v>
      </c>
      <c r="S4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56" spans="1:19" x14ac:dyDescent="0.25">
      <c r="A456">
        <v>5</v>
      </c>
      <c r="B456" t="b">
        <v>1</v>
      </c>
      <c r="C456" s="1">
        <v>42639</v>
      </c>
      <c r="D456">
        <f>YEAR(AMAZON_FASHION_5__2[[#This Row],[reviewDate]])</f>
        <v>2016</v>
      </c>
      <c r="E456" s="1" t="str">
        <f>TEXT(AMAZON_FASHION_5__2[[#This Row],[reviewDate]], "mmmm")</f>
        <v>September</v>
      </c>
      <c r="F456" t="s">
        <v>1264</v>
      </c>
      <c r="G456" t="s">
        <v>196</v>
      </c>
      <c r="H456" t="s">
        <v>477</v>
      </c>
      <c r="I456" t="s">
        <v>211</v>
      </c>
      <c r="J456" t="s">
        <v>1265</v>
      </c>
      <c r="K456" t="s">
        <v>1266</v>
      </c>
      <c r="L456" t="s">
        <v>704</v>
      </c>
      <c r="M456">
        <v>1474848000</v>
      </c>
      <c r="N456" t="s">
        <v>1628</v>
      </c>
      <c r="O456" t="s">
        <v>1628</v>
      </c>
      <c r="P456" t="s">
        <v>1628</v>
      </c>
      <c r="Q456">
        <f>LEN(AMAZON_FASHION_5__2[[#This Row],[reviewText]])</f>
        <v>107</v>
      </c>
      <c r="R456" t="str">
        <f>IF(AMAZON_FASHION_5__2[[#This Row],[overall]]&gt;=4,"Positive",IF(AMAZON_FASHION_5__2[[#This Row],[overall]]&lt;=2,"Negative","Neutral"))</f>
        <v>Positive</v>
      </c>
      <c r="S4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57" spans="1:19" x14ac:dyDescent="0.25">
      <c r="A457">
        <v>5</v>
      </c>
      <c r="B457" t="b">
        <v>1</v>
      </c>
      <c r="C457" s="1">
        <v>42636</v>
      </c>
      <c r="D457">
        <f>YEAR(AMAZON_FASHION_5__2[[#This Row],[reviewDate]])</f>
        <v>2016</v>
      </c>
      <c r="E457" s="1" t="str">
        <f>TEXT(AMAZON_FASHION_5__2[[#This Row],[reviewDate]], "mmmm")</f>
        <v>September</v>
      </c>
      <c r="F457" t="s">
        <v>1267</v>
      </c>
      <c r="G457" t="s">
        <v>196</v>
      </c>
      <c r="H457" t="s">
        <v>197</v>
      </c>
      <c r="I457" t="s">
        <v>524</v>
      </c>
      <c r="J457" t="s">
        <v>1268</v>
      </c>
      <c r="K457" t="s">
        <v>1269</v>
      </c>
      <c r="L457" t="s">
        <v>17</v>
      </c>
      <c r="M457">
        <v>1474588800</v>
      </c>
      <c r="N457" t="s">
        <v>1628</v>
      </c>
      <c r="O457" t="s">
        <v>1628</v>
      </c>
      <c r="P457" t="s">
        <v>1628</v>
      </c>
      <c r="Q457">
        <f>LEN(AMAZON_FASHION_5__2[[#This Row],[reviewText]])</f>
        <v>12</v>
      </c>
      <c r="R457" t="str">
        <f>IF(AMAZON_FASHION_5__2[[#This Row],[overall]]&gt;=4,"Positive",IF(AMAZON_FASHION_5__2[[#This Row],[overall]]&lt;=2,"Negative","Neutral"))</f>
        <v>Positive</v>
      </c>
      <c r="S4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58" spans="1:19" x14ac:dyDescent="0.25">
      <c r="A458">
        <v>5</v>
      </c>
      <c r="B458" t="b">
        <v>1</v>
      </c>
      <c r="C458" s="1">
        <v>42631</v>
      </c>
      <c r="D458">
        <f>YEAR(AMAZON_FASHION_5__2[[#This Row],[reviewDate]])</f>
        <v>2016</v>
      </c>
      <c r="E458" s="1" t="str">
        <f>TEXT(AMAZON_FASHION_5__2[[#This Row],[reviewDate]], "mmmm")</f>
        <v>September</v>
      </c>
      <c r="F458" t="s">
        <v>1270</v>
      </c>
      <c r="G458" t="s">
        <v>196</v>
      </c>
      <c r="H458" t="s">
        <v>443</v>
      </c>
      <c r="I458" t="s">
        <v>336</v>
      </c>
      <c r="J458" t="s">
        <v>63</v>
      </c>
      <c r="K458" t="s">
        <v>1271</v>
      </c>
      <c r="L458" t="s">
        <v>1272</v>
      </c>
      <c r="M458">
        <v>1474156800</v>
      </c>
      <c r="N458" t="s">
        <v>1628</v>
      </c>
      <c r="O458" t="s">
        <v>1628</v>
      </c>
      <c r="P458">
        <v>3</v>
      </c>
      <c r="Q458">
        <f>LEN(AMAZON_FASHION_5__2[[#This Row],[reviewText]])</f>
        <v>140</v>
      </c>
      <c r="R458" t="str">
        <f>IF(AMAZON_FASHION_5__2[[#This Row],[overall]]&gt;=4,"Positive",IF(AMAZON_FASHION_5__2[[#This Row],[overall]]&lt;=2,"Negative","Neutral"))</f>
        <v>Positive</v>
      </c>
      <c r="S4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59" spans="1:19" x14ac:dyDescent="0.25">
      <c r="A459">
        <v>1</v>
      </c>
      <c r="B459" t="b">
        <v>1</v>
      </c>
      <c r="C459" s="1">
        <v>42625</v>
      </c>
      <c r="D459">
        <f>YEAR(AMAZON_FASHION_5__2[[#This Row],[reviewDate]])</f>
        <v>2016</v>
      </c>
      <c r="E459" s="1" t="str">
        <f>TEXT(AMAZON_FASHION_5__2[[#This Row],[reviewDate]], "mmmm")</f>
        <v>September</v>
      </c>
      <c r="F459" t="s">
        <v>1273</v>
      </c>
      <c r="G459" t="s">
        <v>196</v>
      </c>
      <c r="H459" t="s">
        <v>230</v>
      </c>
      <c r="I459" t="s">
        <v>274</v>
      </c>
      <c r="J459" t="s">
        <v>1274</v>
      </c>
      <c r="K459" t="s">
        <v>1275</v>
      </c>
      <c r="L459" t="s">
        <v>1276</v>
      </c>
      <c r="M459">
        <v>1473638400</v>
      </c>
      <c r="N459" t="s">
        <v>1628</v>
      </c>
      <c r="O459" t="s">
        <v>1628</v>
      </c>
      <c r="P459" t="s">
        <v>1628</v>
      </c>
      <c r="Q459">
        <f>LEN(AMAZON_FASHION_5__2[[#This Row],[reviewText]])</f>
        <v>148</v>
      </c>
      <c r="R459" t="str">
        <f>IF(AMAZON_FASHION_5__2[[#This Row],[overall]]&gt;=4,"Positive",IF(AMAZON_FASHION_5__2[[#This Row],[overall]]&lt;=2,"Negative","Neutral"))</f>
        <v>Negative</v>
      </c>
      <c r="S4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60" spans="1:19" x14ac:dyDescent="0.25">
      <c r="A460">
        <v>1</v>
      </c>
      <c r="B460" t="b">
        <v>1</v>
      </c>
      <c r="C460" s="1">
        <v>42624</v>
      </c>
      <c r="D460">
        <f>YEAR(AMAZON_FASHION_5__2[[#This Row],[reviewDate]])</f>
        <v>2016</v>
      </c>
      <c r="E460" s="1" t="str">
        <f>TEXT(AMAZON_FASHION_5__2[[#This Row],[reviewDate]], "mmmm")</f>
        <v>September</v>
      </c>
      <c r="F460" t="s">
        <v>1277</v>
      </c>
      <c r="G460" t="s">
        <v>196</v>
      </c>
      <c r="H460" t="s">
        <v>235</v>
      </c>
      <c r="I460" t="s">
        <v>198</v>
      </c>
      <c r="J460" t="s">
        <v>1278</v>
      </c>
      <c r="K460" t="s">
        <v>1279</v>
      </c>
      <c r="L460" t="s">
        <v>1280</v>
      </c>
      <c r="M460">
        <v>1473552000</v>
      </c>
      <c r="N460" t="s">
        <v>1628</v>
      </c>
      <c r="O460" t="s">
        <v>1628</v>
      </c>
      <c r="P460">
        <v>14</v>
      </c>
      <c r="Q460">
        <f>LEN(AMAZON_FASHION_5__2[[#This Row],[reviewText]])</f>
        <v>258</v>
      </c>
      <c r="R460" t="str">
        <f>IF(AMAZON_FASHION_5__2[[#This Row],[overall]]&gt;=4,"Positive",IF(AMAZON_FASHION_5__2[[#This Row],[overall]]&lt;=2,"Negative","Neutral"))</f>
        <v>Negative</v>
      </c>
      <c r="S4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61" spans="1:19" x14ac:dyDescent="0.25">
      <c r="A461">
        <v>5</v>
      </c>
      <c r="B461" t="b">
        <v>1</v>
      </c>
      <c r="C461" s="1">
        <v>42622</v>
      </c>
      <c r="D461">
        <f>YEAR(AMAZON_FASHION_5__2[[#This Row],[reviewDate]])</f>
        <v>2016</v>
      </c>
      <c r="E461" s="1" t="str">
        <f>TEXT(AMAZON_FASHION_5__2[[#This Row],[reviewDate]], "mmmm")</f>
        <v>September</v>
      </c>
      <c r="F461" t="s">
        <v>1281</v>
      </c>
      <c r="G461" t="s">
        <v>196</v>
      </c>
      <c r="H461" t="s">
        <v>230</v>
      </c>
      <c r="I461" t="s">
        <v>198</v>
      </c>
      <c r="J461" t="s">
        <v>1282</v>
      </c>
      <c r="K461" t="s">
        <v>1283</v>
      </c>
      <c r="L461" t="s">
        <v>17</v>
      </c>
      <c r="M461">
        <v>1473379200</v>
      </c>
      <c r="N461" t="s">
        <v>1628</v>
      </c>
      <c r="O461" t="s">
        <v>1628</v>
      </c>
      <c r="P461" t="s">
        <v>1628</v>
      </c>
      <c r="Q461">
        <f>LEN(AMAZON_FASHION_5__2[[#This Row],[reviewText]])</f>
        <v>49</v>
      </c>
      <c r="R461" t="str">
        <f>IF(AMAZON_FASHION_5__2[[#This Row],[overall]]&gt;=4,"Positive",IF(AMAZON_FASHION_5__2[[#This Row],[overall]]&lt;=2,"Negative","Neutral"))</f>
        <v>Positive</v>
      </c>
      <c r="S4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62" spans="1:19" x14ac:dyDescent="0.25">
      <c r="A462">
        <v>4</v>
      </c>
      <c r="B462" t="b">
        <v>1</v>
      </c>
      <c r="C462" s="1">
        <v>42619</v>
      </c>
      <c r="D462">
        <f>YEAR(AMAZON_FASHION_5__2[[#This Row],[reviewDate]])</f>
        <v>2016</v>
      </c>
      <c r="E462" s="1" t="str">
        <f>TEXT(AMAZON_FASHION_5__2[[#This Row],[reviewDate]], "mmmm")</f>
        <v>September</v>
      </c>
      <c r="F462" t="s">
        <v>1284</v>
      </c>
      <c r="G462" t="s">
        <v>196</v>
      </c>
      <c r="H462" t="s">
        <v>210</v>
      </c>
      <c r="I462" t="s">
        <v>198</v>
      </c>
      <c r="J462" t="s">
        <v>1285</v>
      </c>
      <c r="K462" t="s">
        <v>1286</v>
      </c>
      <c r="L462" t="s">
        <v>1287</v>
      </c>
      <c r="M462">
        <v>1473120000</v>
      </c>
      <c r="N462" t="s">
        <v>1628</v>
      </c>
      <c r="O462" t="s">
        <v>1628</v>
      </c>
      <c r="P462">
        <v>2</v>
      </c>
      <c r="Q462">
        <f>LEN(AMAZON_FASHION_5__2[[#This Row],[reviewText]])</f>
        <v>248</v>
      </c>
      <c r="R462" t="str">
        <f>IF(AMAZON_FASHION_5__2[[#This Row],[overall]]&gt;=4,"Positive",IF(AMAZON_FASHION_5__2[[#This Row],[overall]]&lt;=2,"Negative","Neutral"))</f>
        <v>Positive</v>
      </c>
      <c r="S4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63" spans="1:19" x14ac:dyDescent="0.25">
      <c r="A463">
        <v>4</v>
      </c>
      <c r="B463" t="b">
        <v>1</v>
      </c>
      <c r="C463" s="1">
        <v>42615</v>
      </c>
      <c r="D463">
        <f>YEAR(AMAZON_FASHION_5__2[[#This Row],[reviewDate]])</f>
        <v>2016</v>
      </c>
      <c r="E463" s="1" t="str">
        <f>TEXT(AMAZON_FASHION_5__2[[#This Row],[reviewDate]], "mmmm")</f>
        <v>September</v>
      </c>
      <c r="F463" t="s">
        <v>1288</v>
      </c>
      <c r="G463" t="s">
        <v>196</v>
      </c>
      <c r="H463" t="s">
        <v>235</v>
      </c>
      <c r="I463" t="s">
        <v>493</v>
      </c>
      <c r="J463" t="s">
        <v>63</v>
      </c>
      <c r="K463" t="s">
        <v>1289</v>
      </c>
      <c r="L463" t="s">
        <v>1290</v>
      </c>
      <c r="M463">
        <v>1472774400</v>
      </c>
      <c r="N463" t="s">
        <v>1628</v>
      </c>
      <c r="O463" t="s">
        <v>1628</v>
      </c>
      <c r="P463" t="s">
        <v>1628</v>
      </c>
      <c r="Q463">
        <f>LEN(AMAZON_FASHION_5__2[[#This Row],[reviewText]])</f>
        <v>177</v>
      </c>
      <c r="R463" t="str">
        <f>IF(AMAZON_FASHION_5__2[[#This Row],[overall]]&gt;=4,"Positive",IF(AMAZON_FASHION_5__2[[#This Row],[overall]]&lt;=2,"Negative","Neutral"))</f>
        <v>Positive</v>
      </c>
      <c r="S4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64" spans="1:19" x14ac:dyDescent="0.25">
      <c r="A464">
        <v>5</v>
      </c>
      <c r="B464" t="b">
        <v>1</v>
      </c>
      <c r="C464" s="1">
        <v>42611</v>
      </c>
      <c r="D464">
        <f>YEAR(AMAZON_FASHION_5__2[[#This Row],[reviewDate]])</f>
        <v>2016</v>
      </c>
      <c r="E464" s="1" t="str">
        <f>TEXT(AMAZON_FASHION_5__2[[#This Row],[reviewDate]], "mmmm")</f>
        <v>August</v>
      </c>
      <c r="F464" t="s">
        <v>1291</v>
      </c>
      <c r="G464" t="s">
        <v>196</v>
      </c>
      <c r="H464" t="s">
        <v>205</v>
      </c>
      <c r="I464" t="s">
        <v>198</v>
      </c>
      <c r="J464" t="s">
        <v>63</v>
      </c>
      <c r="K464" t="s">
        <v>1292</v>
      </c>
      <c r="L464" t="s">
        <v>17</v>
      </c>
      <c r="M464">
        <v>1472428800</v>
      </c>
      <c r="N464" t="s">
        <v>1628</v>
      </c>
      <c r="O464" t="s">
        <v>1628</v>
      </c>
      <c r="P464" t="s">
        <v>1628</v>
      </c>
      <c r="Q464">
        <f>LEN(AMAZON_FASHION_5__2[[#This Row],[reviewText]])</f>
        <v>13</v>
      </c>
      <c r="R464" t="str">
        <f>IF(AMAZON_FASHION_5__2[[#This Row],[overall]]&gt;=4,"Positive",IF(AMAZON_FASHION_5__2[[#This Row],[overall]]&lt;=2,"Negative","Neutral"))</f>
        <v>Positive</v>
      </c>
      <c r="S4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65" spans="1:19" x14ac:dyDescent="0.25">
      <c r="A465">
        <v>5</v>
      </c>
      <c r="B465" t="b">
        <v>1</v>
      </c>
      <c r="C465" s="1">
        <v>42609</v>
      </c>
      <c r="D465">
        <f>YEAR(AMAZON_FASHION_5__2[[#This Row],[reviewDate]])</f>
        <v>2016</v>
      </c>
      <c r="E465" s="1" t="str">
        <f>TEXT(AMAZON_FASHION_5__2[[#This Row],[reviewDate]], "mmmm")</f>
        <v>August</v>
      </c>
      <c r="F465" t="s">
        <v>1293</v>
      </c>
      <c r="G465" t="s">
        <v>196</v>
      </c>
      <c r="H465" t="s">
        <v>230</v>
      </c>
      <c r="I465" t="s">
        <v>419</v>
      </c>
      <c r="J465" t="s">
        <v>63</v>
      </c>
      <c r="K465" t="s">
        <v>1294</v>
      </c>
      <c r="L465" t="s">
        <v>17</v>
      </c>
      <c r="M465">
        <v>1472256000</v>
      </c>
      <c r="N465" t="s">
        <v>1628</v>
      </c>
      <c r="O465" t="s">
        <v>1628</v>
      </c>
      <c r="P465" t="s">
        <v>1628</v>
      </c>
      <c r="Q465">
        <f>LEN(AMAZON_FASHION_5__2[[#This Row],[reviewText]])</f>
        <v>62</v>
      </c>
      <c r="R465" t="str">
        <f>IF(AMAZON_FASHION_5__2[[#This Row],[overall]]&gt;=4,"Positive",IF(AMAZON_FASHION_5__2[[#This Row],[overall]]&lt;=2,"Negative","Neutral"))</f>
        <v>Positive</v>
      </c>
      <c r="S4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66" spans="1:19" x14ac:dyDescent="0.25">
      <c r="A466">
        <v>5</v>
      </c>
      <c r="B466" t="b">
        <v>1</v>
      </c>
      <c r="C466" s="1">
        <v>42609</v>
      </c>
      <c r="D466">
        <f>YEAR(AMAZON_FASHION_5__2[[#This Row],[reviewDate]])</f>
        <v>2016</v>
      </c>
      <c r="E466" s="1" t="str">
        <f>TEXT(AMAZON_FASHION_5__2[[#This Row],[reviewDate]], "mmmm")</f>
        <v>August</v>
      </c>
      <c r="F466" t="s">
        <v>1295</v>
      </c>
      <c r="G466" t="s">
        <v>196</v>
      </c>
      <c r="H466" t="s">
        <v>477</v>
      </c>
      <c r="I466" t="s">
        <v>198</v>
      </c>
      <c r="J466" t="s">
        <v>63</v>
      </c>
      <c r="K466" t="s">
        <v>1296</v>
      </c>
      <c r="L466" t="s">
        <v>1297</v>
      </c>
      <c r="M466">
        <v>1472256000</v>
      </c>
      <c r="N466" t="s">
        <v>1628</v>
      </c>
      <c r="O466" t="s">
        <v>1628</v>
      </c>
      <c r="P466">
        <v>5</v>
      </c>
      <c r="Q466">
        <f>LEN(AMAZON_FASHION_5__2[[#This Row],[reviewText]])</f>
        <v>112</v>
      </c>
      <c r="R466" t="str">
        <f>IF(AMAZON_FASHION_5__2[[#This Row],[overall]]&gt;=4,"Positive",IF(AMAZON_FASHION_5__2[[#This Row],[overall]]&lt;=2,"Negative","Neutral"))</f>
        <v>Positive</v>
      </c>
      <c r="S4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67" spans="1:19" x14ac:dyDescent="0.25">
      <c r="A467">
        <v>3</v>
      </c>
      <c r="B467" t="b">
        <v>1</v>
      </c>
      <c r="C467" s="1">
        <v>42608</v>
      </c>
      <c r="D467">
        <f>YEAR(AMAZON_FASHION_5__2[[#This Row],[reviewDate]])</f>
        <v>2016</v>
      </c>
      <c r="E467" s="1" t="str">
        <f>TEXT(AMAZON_FASHION_5__2[[#This Row],[reviewDate]], "mmmm")</f>
        <v>August</v>
      </c>
      <c r="F467" t="s">
        <v>1298</v>
      </c>
      <c r="G467" t="s">
        <v>196</v>
      </c>
      <c r="H467" t="s">
        <v>230</v>
      </c>
      <c r="I467" t="s">
        <v>198</v>
      </c>
      <c r="J467" t="s">
        <v>63</v>
      </c>
      <c r="K467" t="s">
        <v>1299</v>
      </c>
      <c r="L467" t="s">
        <v>1300</v>
      </c>
      <c r="M467">
        <v>1472169600</v>
      </c>
      <c r="N467" t="s">
        <v>1628</v>
      </c>
      <c r="O467" t="s">
        <v>1628</v>
      </c>
      <c r="P467">
        <v>2</v>
      </c>
      <c r="Q467">
        <f>LEN(AMAZON_FASHION_5__2[[#This Row],[reviewText]])</f>
        <v>256</v>
      </c>
      <c r="R467" t="str">
        <f>IF(AMAZON_FASHION_5__2[[#This Row],[overall]]&gt;=4,"Positive",IF(AMAZON_FASHION_5__2[[#This Row],[overall]]&lt;=2,"Negative","Neutral"))</f>
        <v>Neutral</v>
      </c>
      <c r="S4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68" spans="1:19" x14ac:dyDescent="0.25">
      <c r="A468">
        <v>5</v>
      </c>
      <c r="B468" t="b">
        <v>1</v>
      </c>
      <c r="C468" s="1">
        <v>42605</v>
      </c>
      <c r="D468">
        <f>YEAR(AMAZON_FASHION_5__2[[#This Row],[reviewDate]])</f>
        <v>2016</v>
      </c>
      <c r="E468" s="1" t="str">
        <f>TEXT(AMAZON_FASHION_5__2[[#This Row],[reviewDate]], "mmmm")</f>
        <v>August</v>
      </c>
      <c r="F468" t="s">
        <v>1301</v>
      </c>
      <c r="G468" t="s">
        <v>196</v>
      </c>
      <c r="H468" t="s">
        <v>230</v>
      </c>
      <c r="I468" t="s">
        <v>493</v>
      </c>
      <c r="J468" t="s">
        <v>1302</v>
      </c>
      <c r="K468" t="s">
        <v>1303</v>
      </c>
      <c r="L468" t="s">
        <v>1304</v>
      </c>
      <c r="M468">
        <v>1471910400</v>
      </c>
      <c r="N468" t="s">
        <v>1628</v>
      </c>
      <c r="O468" t="s">
        <v>1628</v>
      </c>
      <c r="P468" t="s">
        <v>1628</v>
      </c>
      <c r="Q468">
        <f>LEN(AMAZON_FASHION_5__2[[#This Row],[reviewText]])</f>
        <v>93</v>
      </c>
      <c r="R468" t="str">
        <f>IF(AMAZON_FASHION_5__2[[#This Row],[overall]]&gt;=4,"Positive",IF(AMAZON_FASHION_5__2[[#This Row],[overall]]&lt;=2,"Negative","Neutral"))</f>
        <v>Positive</v>
      </c>
      <c r="S4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69" spans="1:19" x14ac:dyDescent="0.25">
      <c r="A469">
        <v>5</v>
      </c>
      <c r="B469" t="b">
        <v>1</v>
      </c>
      <c r="C469" s="1">
        <v>42602</v>
      </c>
      <c r="D469">
        <f>YEAR(AMAZON_FASHION_5__2[[#This Row],[reviewDate]])</f>
        <v>2016</v>
      </c>
      <c r="E469" s="1" t="str">
        <f>TEXT(AMAZON_FASHION_5__2[[#This Row],[reviewDate]], "mmmm")</f>
        <v>August</v>
      </c>
      <c r="F469" t="s">
        <v>1305</v>
      </c>
      <c r="G469" t="s">
        <v>196</v>
      </c>
      <c r="H469" t="s">
        <v>205</v>
      </c>
      <c r="I469" t="s">
        <v>198</v>
      </c>
      <c r="J469" t="s">
        <v>1306</v>
      </c>
      <c r="K469" t="s">
        <v>1307</v>
      </c>
      <c r="L469" t="s">
        <v>1308</v>
      </c>
      <c r="M469">
        <v>1471651200</v>
      </c>
      <c r="N469" t="s">
        <v>1628</v>
      </c>
      <c r="O469" t="s">
        <v>1628</v>
      </c>
      <c r="P469" t="s">
        <v>1628</v>
      </c>
      <c r="Q469">
        <f>LEN(AMAZON_FASHION_5__2[[#This Row],[reviewText]])</f>
        <v>1225</v>
      </c>
      <c r="R469" t="str">
        <f>IF(AMAZON_FASHION_5__2[[#This Row],[overall]]&gt;=4,"Positive",IF(AMAZON_FASHION_5__2[[#This Row],[overall]]&lt;=2,"Negative","Neutral"))</f>
        <v>Positive</v>
      </c>
      <c r="S4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70" spans="1:19" x14ac:dyDescent="0.25">
      <c r="A470">
        <v>5</v>
      </c>
      <c r="B470" t="b">
        <v>1</v>
      </c>
      <c r="C470" s="1">
        <v>42597</v>
      </c>
      <c r="D470">
        <f>YEAR(AMAZON_FASHION_5__2[[#This Row],[reviewDate]])</f>
        <v>2016</v>
      </c>
      <c r="E470" s="1" t="str">
        <f>TEXT(AMAZON_FASHION_5__2[[#This Row],[reviewDate]], "mmmm")</f>
        <v>August</v>
      </c>
      <c r="F470" t="s">
        <v>1309</v>
      </c>
      <c r="G470" t="s">
        <v>196</v>
      </c>
      <c r="H470" t="s">
        <v>320</v>
      </c>
      <c r="I470" t="s">
        <v>198</v>
      </c>
      <c r="J470" t="s">
        <v>1310</v>
      </c>
      <c r="K470" t="s">
        <v>1311</v>
      </c>
      <c r="L470" t="s">
        <v>1312</v>
      </c>
      <c r="M470">
        <v>1471219200</v>
      </c>
      <c r="N470" t="s">
        <v>1628</v>
      </c>
      <c r="O470" t="s">
        <v>1628</v>
      </c>
      <c r="P470" t="s">
        <v>1628</v>
      </c>
      <c r="Q470">
        <f>LEN(AMAZON_FASHION_5__2[[#This Row],[reviewText]])</f>
        <v>246</v>
      </c>
      <c r="R470" t="str">
        <f>IF(AMAZON_FASHION_5__2[[#This Row],[overall]]&gt;=4,"Positive",IF(AMAZON_FASHION_5__2[[#This Row],[overall]]&lt;=2,"Negative","Neutral"))</f>
        <v>Positive</v>
      </c>
      <c r="S4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71" spans="1:19" x14ac:dyDescent="0.25">
      <c r="A471">
        <v>5</v>
      </c>
      <c r="B471" t="b">
        <v>1</v>
      </c>
      <c r="C471" s="1">
        <v>42597</v>
      </c>
      <c r="D471">
        <f>YEAR(AMAZON_FASHION_5__2[[#This Row],[reviewDate]])</f>
        <v>2016</v>
      </c>
      <c r="E471" s="1" t="str">
        <f>TEXT(AMAZON_FASHION_5__2[[#This Row],[reviewDate]], "mmmm")</f>
        <v>August</v>
      </c>
      <c r="F471" t="s">
        <v>1313</v>
      </c>
      <c r="G471" t="s">
        <v>196</v>
      </c>
      <c r="H471" t="s">
        <v>261</v>
      </c>
      <c r="I471" t="s">
        <v>262</v>
      </c>
      <c r="J471" t="s">
        <v>1314</v>
      </c>
      <c r="K471" t="s">
        <v>1315</v>
      </c>
      <c r="L471" t="s">
        <v>17</v>
      </c>
      <c r="M471">
        <v>1471219200</v>
      </c>
      <c r="N471" t="s">
        <v>1628</v>
      </c>
      <c r="O471" t="s">
        <v>1628</v>
      </c>
      <c r="P471" t="s">
        <v>1628</v>
      </c>
      <c r="Q471">
        <f>LEN(AMAZON_FASHION_5__2[[#This Row],[reviewText]])</f>
        <v>40</v>
      </c>
      <c r="R471" t="str">
        <f>IF(AMAZON_FASHION_5__2[[#This Row],[overall]]&gt;=4,"Positive",IF(AMAZON_FASHION_5__2[[#This Row],[overall]]&lt;=2,"Negative","Neutral"))</f>
        <v>Positive</v>
      </c>
      <c r="S4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72" spans="1:19" x14ac:dyDescent="0.25">
      <c r="A472">
        <v>5</v>
      </c>
      <c r="B472" t="b">
        <v>1</v>
      </c>
      <c r="C472" s="1">
        <v>42596</v>
      </c>
      <c r="D472">
        <f>YEAR(AMAZON_FASHION_5__2[[#This Row],[reviewDate]])</f>
        <v>2016</v>
      </c>
      <c r="E472" s="1" t="str">
        <f>TEXT(AMAZON_FASHION_5__2[[#This Row],[reviewDate]], "mmmm")</f>
        <v>August</v>
      </c>
      <c r="F472" t="s">
        <v>1316</v>
      </c>
      <c r="G472" t="s">
        <v>196</v>
      </c>
      <c r="H472" t="s">
        <v>235</v>
      </c>
      <c r="I472" t="s">
        <v>849</v>
      </c>
      <c r="J472" t="s">
        <v>1317</v>
      </c>
      <c r="K472" t="s">
        <v>1318</v>
      </c>
      <c r="L472" t="s">
        <v>1319</v>
      </c>
      <c r="M472">
        <v>1471132800</v>
      </c>
      <c r="N472" t="s">
        <v>1628</v>
      </c>
      <c r="O472" t="s">
        <v>1628</v>
      </c>
      <c r="P472" t="s">
        <v>1628</v>
      </c>
      <c r="Q472">
        <f>LEN(AMAZON_FASHION_5__2[[#This Row],[reviewText]])</f>
        <v>224</v>
      </c>
      <c r="R472" t="str">
        <f>IF(AMAZON_FASHION_5__2[[#This Row],[overall]]&gt;=4,"Positive",IF(AMAZON_FASHION_5__2[[#This Row],[overall]]&lt;=2,"Negative","Neutral"))</f>
        <v>Positive</v>
      </c>
      <c r="S4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73" spans="1:19" x14ac:dyDescent="0.25">
      <c r="A473">
        <v>5</v>
      </c>
      <c r="B473" t="b">
        <v>1</v>
      </c>
      <c r="C473" s="1">
        <v>42590</v>
      </c>
      <c r="D473">
        <f>YEAR(AMAZON_FASHION_5__2[[#This Row],[reviewDate]])</f>
        <v>2016</v>
      </c>
      <c r="E473" s="1" t="str">
        <f>TEXT(AMAZON_FASHION_5__2[[#This Row],[reviewDate]], "mmmm")</f>
        <v>August</v>
      </c>
      <c r="F473" t="s">
        <v>1320</v>
      </c>
      <c r="G473" t="s">
        <v>196</v>
      </c>
      <c r="H473" t="s">
        <v>235</v>
      </c>
      <c r="I473" t="s">
        <v>198</v>
      </c>
      <c r="J473" t="s">
        <v>1321</v>
      </c>
      <c r="K473" t="s">
        <v>1322</v>
      </c>
      <c r="L473" t="s">
        <v>1323</v>
      </c>
      <c r="M473">
        <v>1470614400</v>
      </c>
      <c r="N473" t="s">
        <v>1628</v>
      </c>
      <c r="O473" t="s">
        <v>1628</v>
      </c>
      <c r="P473" t="s">
        <v>1628</v>
      </c>
      <c r="Q473">
        <f>LEN(AMAZON_FASHION_5__2[[#This Row],[reviewText]])</f>
        <v>105</v>
      </c>
      <c r="R473" t="str">
        <f>IF(AMAZON_FASHION_5__2[[#This Row],[overall]]&gt;=4,"Positive",IF(AMAZON_FASHION_5__2[[#This Row],[overall]]&lt;=2,"Negative","Neutral"))</f>
        <v>Positive</v>
      </c>
      <c r="S4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74" spans="1:19" x14ac:dyDescent="0.25">
      <c r="A474">
        <v>3</v>
      </c>
      <c r="B474" t="b">
        <v>1</v>
      </c>
      <c r="C474" s="1">
        <v>42587</v>
      </c>
      <c r="D474">
        <f>YEAR(AMAZON_FASHION_5__2[[#This Row],[reviewDate]])</f>
        <v>2016</v>
      </c>
      <c r="E474" s="1" t="str">
        <f>TEXT(AMAZON_FASHION_5__2[[#This Row],[reviewDate]], "mmmm")</f>
        <v>August</v>
      </c>
      <c r="F474" t="s">
        <v>1324</v>
      </c>
      <c r="G474" t="s">
        <v>196</v>
      </c>
      <c r="H474" t="s">
        <v>205</v>
      </c>
      <c r="I474" t="s">
        <v>198</v>
      </c>
      <c r="J474" t="s">
        <v>1325</v>
      </c>
      <c r="K474" t="s">
        <v>1326</v>
      </c>
      <c r="L474" t="s">
        <v>1327</v>
      </c>
      <c r="M474">
        <v>1470355200</v>
      </c>
      <c r="N474" t="s">
        <v>1628</v>
      </c>
      <c r="O474" t="s">
        <v>1628</v>
      </c>
      <c r="P474">
        <v>2</v>
      </c>
      <c r="Q474">
        <f>LEN(AMAZON_FASHION_5__2[[#This Row],[reviewText]])</f>
        <v>772</v>
      </c>
      <c r="R474" t="str">
        <f>IF(AMAZON_FASHION_5__2[[#This Row],[overall]]&gt;=4,"Positive",IF(AMAZON_FASHION_5__2[[#This Row],[overall]]&lt;=2,"Negative","Neutral"))</f>
        <v>Neutral</v>
      </c>
      <c r="S4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75" spans="1:19" x14ac:dyDescent="0.25">
      <c r="A475">
        <v>5</v>
      </c>
      <c r="B475" t="b">
        <v>1</v>
      </c>
      <c r="C475" s="1">
        <v>42578</v>
      </c>
      <c r="D475">
        <f>YEAR(AMAZON_FASHION_5__2[[#This Row],[reviewDate]])</f>
        <v>2016</v>
      </c>
      <c r="E475" s="1" t="str">
        <f>TEXT(AMAZON_FASHION_5__2[[#This Row],[reviewDate]], "mmmm")</f>
        <v>July</v>
      </c>
      <c r="F475" t="s">
        <v>1328</v>
      </c>
      <c r="G475" t="s">
        <v>196</v>
      </c>
      <c r="H475" t="s">
        <v>677</v>
      </c>
      <c r="I475" t="s">
        <v>198</v>
      </c>
      <c r="J475" t="s">
        <v>1329</v>
      </c>
      <c r="K475" t="s">
        <v>1330</v>
      </c>
      <c r="L475" t="s">
        <v>1331</v>
      </c>
      <c r="M475">
        <v>1469577600</v>
      </c>
      <c r="N475" t="s">
        <v>1628</v>
      </c>
      <c r="O475" t="s">
        <v>1628</v>
      </c>
      <c r="P475" t="s">
        <v>1628</v>
      </c>
      <c r="Q475">
        <f>LEN(AMAZON_FASHION_5__2[[#This Row],[reviewText]])</f>
        <v>37</v>
      </c>
      <c r="R475" t="str">
        <f>IF(AMAZON_FASHION_5__2[[#This Row],[overall]]&gt;=4,"Positive",IF(AMAZON_FASHION_5__2[[#This Row],[overall]]&lt;=2,"Negative","Neutral"))</f>
        <v>Positive</v>
      </c>
      <c r="S4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76" spans="1:19" x14ac:dyDescent="0.25">
      <c r="A476">
        <v>5</v>
      </c>
      <c r="B476" t="b">
        <v>0</v>
      </c>
      <c r="C476" s="1">
        <v>42573</v>
      </c>
      <c r="D476">
        <f>YEAR(AMAZON_FASHION_5__2[[#This Row],[reviewDate]])</f>
        <v>2016</v>
      </c>
      <c r="E476" s="1" t="str">
        <f>TEXT(AMAZON_FASHION_5__2[[#This Row],[reviewDate]], "mmmm")</f>
        <v>July</v>
      </c>
      <c r="F476" t="s">
        <v>1332</v>
      </c>
      <c r="G476" t="s">
        <v>196</v>
      </c>
      <c r="H476" t="s">
        <v>205</v>
      </c>
      <c r="I476" t="s">
        <v>344</v>
      </c>
      <c r="J476" t="s">
        <v>1333</v>
      </c>
      <c r="K476" t="s">
        <v>1334</v>
      </c>
      <c r="L476" t="s">
        <v>543</v>
      </c>
      <c r="M476">
        <v>1469145600</v>
      </c>
      <c r="N476" t="s">
        <v>1628</v>
      </c>
      <c r="O476" t="s">
        <v>1628</v>
      </c>
      <c r="P476" t="s">
        <v>1628</v>
      </c>
      <c r="Q476">
        <f>LEN(AMAZON_FASHION_5__2[[#This Row],[reviewText]])</f>
        <v>427</v>
      </c>
      <c r="R476" t="str">
        <f>IF(AMAZON_FASHION_5__2[[#This Row],[overall]]&gt;=4,"Positive",IF(AMAZON_FASHION_5__2[[#This Row],[overall]]&lt;=2,"Negative","Neutral"))</f>
        <v>Positive</v>
      </c>
      <c r="S4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77" spans="1:19" x14ac:dyDescent="0.25">
      <c r="A477">
        <v>3</v>
      </c>
      <c r="B477" t="b">
        <v>1</v>
      </c>
      <c r="C477" s="1">
        <v>42572</v>
      </c>
      <c r="D477">
        <f>YEAR(AMAZON_FASHION_5__2[[#This Row],[reviewDate]])</f>
        <v>2016</v>
      </c>
      <c r="E477" s="1" t="str">
        <f>TEXT(AMAZON_FASHION_5__2[[#This Row],[reviewDate]], "mmmm")</f>
        <v>July</v>
      </c>
      <c r="F477" t="s">
        <v>1335</v>
      </c>
      <c r="G477" t="s">
        <v>196</v>
      </c>
      <c r="H477" t="s">
        <v>477</v>
      </c>
      <c r="I477" t="s">
        <v>198</v>
      </c>
      <c r="J477" t="s">
        <v>1336</v>
      </c>
      <c r="K477" t="s">
        <v>1337</v>
      </c>
      <c r="L477" t="s">
        <v>1338</v>
      </c>
      <c r="M477">
        <v>1469059200</v>
      </c>
      <c r="N477" t="s">
        <v>1628</v>
      </c>
      <c r="O477" t="s">
        <v>1628</v>
      </c>
      <c r="P477" t="s">
        <v>1628</v>
      </c>
      <c r="Q477">
        <f>LEN(AMAZON_FASHION_5__2[[#This Row],[reviewText]])</f>
        <v>50</v>
      </c>
      <c r="R477" t="str">
        <f>IF(AMAZON_FASHION_5__2[[#This Row],[overall]]&gt;=4,"Positive",IF(AMAZON_FASHION_5__2[[#This Row],[overall]]&lt;=2,"Negative","Neutral"))</f>
        <v>Neutral</v>
      </c>
      <c r="S4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78" spans="1:19" x14ac:dyDescent="0.25">
      <c r="A478">
        <v>5</v>
      </c>
      <c r="B478" t="b">
        <v>1</v>
      </c>
      <c r="C478" s="1">
        <v>42570</v>
      </c>
      <c r="D478">
        <f>YEAR(AMAZON_FASHION_5__2[[#This Row],[reviewDate]])</f>
        <v>2016</v>
      </c>
      <c r="E478" s="1" t="str">
        <f>TEXT(AMAZON_FASHION_5__2[[#This Row],[reviewDate]], "mmmm")</f>
        <v>July</v>
      </c>
      <c r="F478" t="s">
        <v>1339</v>
      </c>
      <c r="G478" t="s">
        <v>196</v>
      </c>
      <c r="H478" t="s">
        <v>205</v>
      </c>
      <c r="I478" t="s">
        <v>198</v>
      </c>
      <c r="J478" t="s">
        <v>1340</v>
      </c>
      <c r="K478" t="s">
        <v>1341</v>
      </c>
      <c r="L478" t="s">
        <v>17</v>
      </c>
      <c r="M478">
        <v>1468886400</v>
      </c>
      <c r="N478" t="s">
        <v>1628</v>
      </c>
      <c r="O478" t="s">
        <v>1628</v>
      </c>
      <c r="P478" t="s">
        <v>1628</v>
      </c>
      <c r="Q478">
        <f>LEN(AMAZON_FASHION_5__2[[#This Row],[reviewText]])</f>
        <v>20</v>
      </c>
      <c r="R478" t="str">
        <f>IF(AMAZON_FASHION_5__2[[#This Row],[overall]]&gt;=4,"Positive",IF(AMAZON_FASHION_5__2[[#This Row],[overall]]&lt;=2,"Negative","Neutral"))</f>
        <v>Positive</v>
      </c>
      <c r="S4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79" spans="1:19" x14ac:dyDescent="0.25">
      <c r="A479">
        <v>5</v>
      </c>
      <c r="B479" t="b">
        <v>1</v>
      </c>
      <c r="C479" s="1">
        <v>42569</v>
      </c>
      <c r="D479">
        <f>YEAR(AMAZON_FASHION_5__2[[#This Row],[reviewDate]])</f>
        <v>2016</v>
      </c>
      <c r="E479" s="1" t="str">
        <f>TEXT(AMAZON_FASHION_5__2[[#This Row],[reviewDate]], "mmmm")</f>
        <v>July</v>
      </c>
      <c r="F479" t="s">
        <v>1342</v>
      </c>
      <c r="G479" t="s">
        <v>196</v>
      </c>
      <c r="H479" t="s">
        <v>230</v>
      </c>
      <c r="I479" t="s">
        <v>211</v>
      </c>
      <c r="J479" t="s">
        <v>1343</v>
      </c>
      <c r="K479" t="s">
        <v>1344</v>
      </c>
      <c r="L479" t="s">
        <v>1345</v>
      </c>
      <c r="M479">
        <v>1468800000</v>
      </c>
      <c r="N479" t="s">
        <v>1628</v>
      </c>
      <c r="O479" t="s">
        <v>1628</v>
      </c>
      <c r="P479" t="s">
        <v>1628</v>
      </c>
      <c r="Q479">
        <f>LEN(AMAZON_FASHION_5__2[[#This Row],[reviewText]])</f>
        <v>306</v>
      </c>
      <c r="R479" t="str">
        <f>IF(AMAZON_FASHION_5__2[[#This Row],[overall]]&gt;=4,"Positive",IF(AMAZON_FASHION_5__2[[#This Row],[overall]]&lt;=2,"Negative","Neutral"))</f>
        <v>Positive</v>
      </c>
      <c r="S4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80" spans="1:19" x14ac:dyDescent="0.25">
      <c r="A480">
        <v>5</v>
      </c>
      <c r="B480" t="b">
        <v>1</v>
      </c>
      <c r="C480" s="1">
        <v>42564</v>
      </c>
      <c r="D480">
        <f>YEAR(AMAZON_FASHION_5__2[[#This Row],[reviewDate]])</f>
        <v>2016</v>
      </c>
      <c r="E480" s="1" t="str">
        <f>TEXT(AMAZON_FASHION_5__2[[#This Row],[reviewDate]], "mmmm")</f>
        <v>July</v>
      </c>
      <c r="F480" t="s">
        <v>1346</v>
      </c>
      <c r="G480" t="s">
        <v>196</v>
      </c>
      <c r="H480" t="s">
        <v>210</v>
      </c>
      <c r="I480" t="s">
        <v>198</v>
      </c>
      <c r="J480" t="s">
        <v>1347</v>
      </c>
      <c r="K480" t="s">
        <v>1348</v>
      </c>
      <c r="L480" t="s">
        <v>1349</v>
      </c>
      <c r="M480">
        <v>1468368000</v>
      </c>
      <c r="N480" t="s">
        <v>1628</v>
      </c>
      <c r="O480" t="s">
        <v>1628</v>
      </c>
      <c r="P480" t="s">
        <v>1628</v>
      </c>
      <c r="Q480">
        <f>LEN(AMAZON_FASHION_5__2[[#This Row],[reviewText]])</f>
        <v>188</v>
      </c>
      <c r="R480" t="str">
        <f>IF(AMAZON_FASHION_5__2[[#This Row],[overall]]&gt;=4,"Positive",IF(AMAZON_FASHION_5__2[[#This Row],[overall]]&lt;=2,"Negative","Neutral"))</f>
        <v>Positive</v>
      </c>
      <c r="S4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81" spans="1:19" x14ac:dyDescent="0.25">
      <c r="A481">
        <v>5</v>
      </c>
      <c r="B481" t="b">
        <v>1</v>
      </c>
      <c r="C481" s="1">
        <v>42552</v>
      </c>
      <c r="D481">
        <f>YEAR(AMAZON_FASHION_5__2[[#This Row],[reviewDate]])</f>
        <v>2016</v>
      </c>
      <c r="E481" s="1" t="str">
        <f>TEXT(AMAZON_FASHION_5__2[[#This Row],[reviewDate]], "mmmm")</f>
        <v>July</v>
      </c>
      <c r="F481" t="s">
        <v>1350</v>
      </c>
      <c r="G481" t="s">
        <v>196</v>
      </c>
      <c r="H481" t="s">
        <v>320</v>
      </c>
      <c r="I481" t="s">
        <v>198</v>
      </c>
      <c r="J481" t="s">
        <v>63</v>
      </c>
      <c r="K481" t="s">
        <v>1351</v>
      </c>
      <c r="L481" t="s">
        <v>1352</v>
      </c>
      <c r="M481">
        <v>1467331200</v>
      </c>
      <c r="N481" t="s">
        <v>1628</v>
      </c>
      <c r="O481" t="s">
        <v>1628</v>
      </c>
      <c r="P481" t="s">
        <v>1628</v>
      </c>
      <c r="Q481">
        <f>LEN(AMAZON_FASHION_5__2[[#This Row],[reviewText]])</f>
        <v>62</v>
      </c>
      <c r="R481" t="str">
        <f>IF(AMAZON_FASHION_5__2[[#This Row],[overall]]&gt;=4,"Positive",IF(AMAZON_FASHION_5__2[[#This Row],[overall]]&lt;=2,"Negative","Neutral"))</f>
        <v>Positive</v>
      </c>
      <c r="S4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82" spans="1:19" x14ac:dyDescent="0.25">
      <c r="A482">
        <v>5</v>
      </c>
      <c r="B482" t="b">
        <v>1</v>
      </c>
      <c r="C482" s="1">
        <v>42552</v>
      </c>
      <c r="D482">
        <f>YEAR(AMAZON_FASHION_5__2[[#This Row],[reviewDate]])</f>
        <v>2016</v>
      </c>
      <c r="E482" s="1" t="str">
        <f>TEXT(AMAZON_FASHION_5__2[[#This Row],[reviewDate]], "mmmm")</f>
        <v>July</v>
      </c>
      <c r="F482" t="s">
        <v>1353</v>
      </c>
      <c r="G482" t="s">
        <v>196</v>
      </c>
      <c r="H482" t="s">
        <v>205</v>
      </c>
      <c r="I482" t="s">
        <v>493</v>
      </c>
      <c r="J482" t="s">
        <v>1354</v>
      </c>
      <c r="K482" t="s">
        <v>1355</v>
      </c>
      <c r="L482" t="s">
        <v>1356</v>
      </c>
      <c r="M482">
        <v>1467331200</v>
      </c>
      <c r="N482" t="s">
        <v>1628</v>
      </c>
      <c r="O482" t="s">
        <v>1628</v>
      </c>
      <c r="P482">
        <v>5</v>
      </c>
      <c r="Q482">
        <f>LEN(AMAZON_FASHION_5__2[[#This Row],[reviewText]])</f>
        <v>378</v>
      </c>
      <c r="R482" t="str">
        <f>IF(AMAZON_FASHION_5__2[[#This Row],[overall]]&gt;=4,"Positive",IF(AMAZON_FASHION_5__2[[#This Row],[overall]]&lt;=2,"Negative","Neutral"))</f>
        <v>Positive</v>
      </c>
      <c r="S4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83" spans="1:19" x14ac:dyDescent="0.25">
      <c r="A483">
        <v>5</v>
      </c>
      <c r="B483" t="b">
        <v>1</v>
      </c>
      <c r="C483" s="1">
        <v>42549</v>
      </c>
      <c r="D483">
        <f>YEAR(AMAZON_FASHION_5__2[[#This Row],[reviewDate]])</f>
        <v>2016</v>
      </c>
      <c r="E483" s="1" t="str">
        <f>TEXT(AMAZON_FASHION_5__2[[#This Row],[reviewDate]], "mmmm")</f>
        <v>June</v>
      </c>
      <c r="F483" t="s">
        <v>1357</v>
      </c>
      <c r="G483" t="s">
        <v>196</v>
      </c>
      <c r="H483" t="s">
        <v>201</v>
      </c>
      <c r="I483" t="s">
        <v>198</v>
      </c>
      <c r="J483" t="s">
        <v>1358</v>
      </c>
      <c r="K483" t="s">
        <v>1359</v>
      </c>
      <c r="L483" t="s">
        <v>1360</v>
      </c>
      <c r="M483">
        <v>1467072000</v>
      </c>
      <c r="N483" t="s">
        <v>1628</v>
      </c>
      <c r="O483" t="s">
        <v>1628</v>
      </c>
      <c r="P483">
        <v>7</v>
      </c>
      <c r="Q483">
        <f>LEN(AMAZON_FASHION_5__2[[#This Row],[reviewText]])</f>
        <v>288</v>
      </c>
      <c r="R483" t="str">
        <f>IF(AMAZON_FASHION_5__2[[#This Row],[overall]]&gt;=4,"Positive",IF(AMAZON_FASHION_5__2[[#This Row],[overall]]&lt;=2,"Negative","Neutral"))</f>
        <v>Positive</v>
      </c>
      <c r="S4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84" spans="1:19" x14ac:dyDescent="0.25">
      <c r="A484">
        <v>5</v>
      </c>
      <c r="B484" t="b">
        <v>1</v>
      </c>
      <c r="C484" s="1">
        <v>42546</v>
      </c>
      <c r="D484">
        <f>YEAR(AMAZON_FASHION_5__2[[#This Row],[reviewDate]])</f>
        <v>2016</v>
      </c>
      <c r="E484" s="1" t="str">
        <f>TEXT(AMAZON_FASHION_5__2[[#This Row],[reviewDate]], "mmmm")</f>
        <v>June</v>
      </c>
      <c r="F484" t="s">
        <v>1361</v>
      </c>
      <c r="G484" t="s">
        <v>196</v>
      </c>
      <c r="H484" t="s">
        <v>205</v>
      </c>
      <c r="I484" t="s">
        <v>849</v>
      </c>
      <c r="J484" t="s">
        <v>1362</v>
      </c>
      <c r="K484" t="s">
        <v>1363</v>
      </c>
      <c r="L484" t="s">
        <v>17</v>
      </c>
      <c r="M484">
        <v>1466812800</v>
      </c>
      <c r="N484" t="s">
        <v>1628</v>
      </c>
      <c r="O484" t="s">
        <v>1628</v>
      </c>
      <c r="P484" t="s">
        <v>1628</v>
      </c>
      <c r="Q484">
        <f>LEN(AMAZON_FASHION_5__2[[#This Row],[reviewText]])</f>
        <v>60</v>
      </c>
      <c r="R484" t="str">
        <f>IF(AMAZON_FASHION_5__2[[#This Row],[overall]]&gt;=4,"Positive",IF(AMAZON_FASHION_5__2[[#This Row],[overall]]&lt;=2,"Negative","Neutral"))</f>
        <v>Positive</v>
      </c>
      <c r="S4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85" spans="1:19" x14ac:dyDescent="0.25">
      <c r="A485">
        <v>3</v>
      </c>
      <c r="B485" t="b">
        <v>1</v>
      </c>
      <c r="C485" s="1">
        <v>42542</v>
      </c>
      <c r="D485">
        <f>YEAR(AMAZON_FASHION_5__2[[#This Row],[reviewDate]])</f>
        <v>2016</v>
      </c>
      <c r="E485" s="1" t="str">
        <f>TEXT(AMAZON_FASHION_5__2[[#This Row],[reviewDate]], "mmmm")</f>
        <v>June</v>
      </c>
      <c r="F485" t="s">
        <v>1364</v>
      </c>
      <c r="G485" t="s">
        <v>196</v>
      </c>
      <c r="H485" t="s">
        <v>477</v>
      </c>
      <c r="I485" t="s">
        <v>211</v>
      </c>
      <c r="J485" t="s">
        <v>63</v>
      </c>
      <c r="K485" t="s">
        <v>1365</v>
      </c>
      <c r="L485" t="s">
        <v>1366</v>
      </c>
      <c r="M485">
        <v>1466467200</v>
      </c>
      <c r="N485" t="s">
        <v>1628</v>
      </c>
      <c r="O485" t="s">
        <v>1628</v>
      </c>
      <c r="P485">
        <v>2</v>
      </c>
      <c r="Q485">
        <f>LEN(AMAZON_FASHION_5__2[[#This Row],[reviewText]])</f>
        <v>236</v>
      </c>
      <c r="R485" t="str">
        <f>IF(AMAZON_FASHION_5__2[[#This Row],[overall]]&gt;=4,"Positive",IF(AMAZON_FASHION_5__2[[#This Row],[overall]]&lt;=2,"Negative","Neutral"))</f>
        <v>Neutral</v>
      </c>
      <c r="S4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86" spans="1:19" x14ac:dyDescent="0.25">
      <c r="A486">
        <v>5</v>
      </c>
      <c r="B486" t="b">
        <v>1</v>
      </c>
      <c r="C486" s="1">
        <v>42540</v>
      </c>
      <c r="D486">
        <f>YEAR(AMAZON_FASHION_5__2[[#This Row],[reviewDate]])</f>
        <v>2016</v>
      </c>
      <c r="E486" s="1" t="str">
        <f>TEXT(AMAZON_FASHION_5__2[[#This Row],[reviewDate]], "mmmm")</f>
        <v>June</v>
      </c>
      <c r="F486" t="s">
        <v>1367</v>
      </c>
      <c r="G486" t="s">
        <v>196</v>
      </c>
      <c r="H486" t="s">
        <v>230</v>
      </c>
      <c r="I486" t="s">
        <v>198</v>
      </c>
      <c r="J486" t="s">
        <v>1368</v>
      </c>
      <c r="K486" t="s">
        <v>1369</v>
      </c>
      <c r="L486" t="s">
        <v>480</v>
      </c>
      <c r="M486">
        <v>1466294400</v>
      </c>
      <c r="N486" t="s">
        <v>1628</v>
      </c>
      <c r="O486" t="s">
        <v>1628</v>
      </c>
      <c r="P486">
        <v>3</v>
      </c>
      <c r="Q486">
        <f>LEN(AMAZON_FASHION_5__2[[#This Row],[reviewText]])</f>
        <v>308</v>
      </c>
      <c r="R486" t="str">
        <f>IF(AMAZON_FASHION_5__2[[#This Row],[overall]]&gt;=4,"Positive",IF(AMAZON_FASHION_5__2[[#This Row],[overall]]&lt;=2,"Negative","Neutral"))</f>
        <v>Positive</v>
      </c>
      <c r="S4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87" spans="1:19" x14ac:dyDescent="0.25">
      <c r="A487">
        <v>5</v>
      </c>
      <c r="B487" t="b">
        <v>0</v>
      </c>
      <c r="C487" s="1">
        <v>42537</v>
      </c>
      <c r="D487">
        <f>YEAR(AMAZON_FASHION_5__2[[#This Row],[reviewDate]])</f>
        <v>2016</v>
      </c>
      <c r="E487" s="1" t="str">
        <f>TEXT(AMAZON_FASHION_5__2[[#This Row],[reviewDate]], "mmmm")</f>
        <v>June</v>
      </c>
      <c r="F487" t="s">
        <v>1370</v>
      </c>
      <c r="G487" t="s">
        <v>196</v>
      </c>
      <c r="H487" t="s">
        <v>230</v>
      </c>
      <c r="I487" t="s">
        <v>236</v>
      </c>
      <c r="J487" t="s">
        <v>63</v>
      </c>
      <c r="K487" t="s">
        <v>1371</v>
      </c>
      <c r="L487" t="s">
        <v>1372</v>
      </c>
      <c r="M487">
        <v>1466035200</v>
      </c>
      <c r="N487" t="s">
        <v>1628</v>
      </c>
      <c r="O487" t="s">
        <v>1628</v>
      </c>
      <c r="P487">
        <v>3</v>
      </c>
      <c r="Q487">
        <f>LEN(AMAZON_FASHION_5__2[[#This Row],[reviewText]])</f>
        <v>370</v>
      </c>
      <c r="R487" t="str">
        <f>IF(AMAZON_FASHION_5__2[[#This Row],[overall]]&gt;=4,"Positive",IF(AMAZON_FASHION_5__2[[#This Row],[overall]]&lt;=2,"Negative","Neutral"))</f>
        <v>Positive</v>
      </c>
      <c r="S4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88" spans="1:19" x14ac:dyDescent="0.25">
      <c r="A488">
        <v>5</v>
      </c>
      <c r="B488" t="b">
        <v>1</v>
      </c>
      <c r="C488" s="1">
        <v>42531</v>
      </c>
      <c r="D488">
        <f>YEAR(AMAZON_FASHION_5__2[[#This Row],[reviewDate]])</f>
        <v>2016</v>
      </c>
      <c r="E488" s="1" t="str">
        <f>TEXT(AMAZON_FASHION_5__2[[#This Row],[reviewDate]], "mmmm")</f>
        <v>June</v>
      </c>
      <c r="F488" t="s">
        <v>1373</v>
      </c>
      <c r="G488" t="s">
        <v>196</v>
      </c>
      <c r="H488" t="s">
        <v>558</v>
      </c>
      <c r="I488" t="s">
        <v>198</v>
      </c>
      <c r="J488" t="s">
        <v>1374</v>
      </c>
      <c r="K488" t="s">
        <v>1375</v>
      </c>
      <c r="L488" t="s">
        <v>1376</v>
      </c>
      <c r="M488">
        <v>1465516800</v>
      </c>
      <c r="N488" t="s">
        <v>1628</v>
      </c>
      <c r="O488" t="s">
        <v>1628</v>
      </c>
      <c r="P488">
        <v>10</v>
      </c>
      <c r="Q488">
        <f>LEN(AMAZON_FASHION_5__2[[#This Row],[reviewText]])</f>
        <v>204</v>
      </c>
      <c r="R488" t="str">
        <f>IF(AMAZON_FASHION_5__2[[#This Row],[overall]]&gt;=4,"Positive",IF(AMAZON_FASHION_5__2[[#This Row],[overall]]&lt;=2,"Negative","Neutral"))</f>
        <v>Positive</v>
      </c>
      <c r="S4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89" spans="1:19" x14ac:dyDescent="0.25">
      <c r="A489">
        <v>5</v>
      </c>
      <c r="B489" t="b">
        <v>1</v>
      </c>
      <c r="C489" s="1">
        <v>42526</v>
      </c>
      <c r="D489">
        <f>YEAR(AMAZON_FASHION_5__2[[#This Row],[reviewDate]])</f>
        <v>2016</v>
      </c>
      <c r="E489" s="1" t="str">
        <f>TEXT(AMAZON_FASHION_5__2[[#This Row],[reviewDate]], "mmmm")</f>
        <v>June</v>
      </c>
      <c r="F489" t="s">
        <v>1377</v>
      </c>
      <c r="G489" t="s">
        <v>196</v>
      </c>
      <c r="H489" t="s">
        <v>197</v>
      </c>
      <c r="I489" t="s">
        <v>198</v>
      </c>
      <c r="J489" t="s">
        <v>1378</v>
      </c>
      <c r="K489" t="s">
        <v>1379</v>
      </c>
      <c r="L489" t="s">
        <v>17</v>
      </c>
      <c r="M489">
        <v>1465084800</v>
      </c>
      <c r="N489" t="s">
        <v>1628</v>
      </c>
      <c r="O489" t="s">
        <v>1628</v>
      </c>
      <c r="P489" t="s">
        <v>1628</v>
      </c>
      <c r="Q489">
        <f>LEN(AMAZON_FASHION_5__2[[#This Row],[reviewText]])</f>
        <v>9</v>
      </c>
      <c r="R489" t="str">
        <f>IF(AMAZON_FASHION_5__2[[#This Row],[overall]]&gt;=4,"Positive",IF(AMAZON_FASHION_5__2[[#This Row],[overall]]&lt;=2,"Negative","Neutral"))</f>
        <v>Positive</v>
      </c>
      <c r="S4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90" spans="1:19" x14ac:dyDescent="0.25">
      <c r="A490">
        <v>5</v>
      </c>
      <c r="B490" t="b">
        <v>1</v>
      </c>
      <c r="C490" s="1">
        <v>42523</v>
      </c>
      <c r="D490">
        <f>YEAR(AMAZON_FASHION_5__2[[#This Row],[reviewDate]])</f>
        <v>2016</v>
      </c>
      <c r="E490" s="1" t="str">
        <f>TEXT(AMAZON_FASHION_5__2[[#This Row],[reviewDate]], "mmmm")</f>
        <v>June</v>
      </c>
      <c r="F490" t="s">
        <v>1380</v>
      </c>
      <c r="G490" t="s">
        <v>196</v>
      </c>
      <c r="H490" t="s">
        <v>197</v>
      </c>
      <c r="I490" t="s">
        <v>493</v>
      </c>
      <c r="J490" t="s">
        <v>1381</v>
      </c>
      <c r="K490" t="s">
        <v>1382</v>
      </c>
      <c r="L490" t="s">
        <v>1383</v>
      </c>
      <c r="M490">
        <v>1464825600</v>
      </c>
      <c r="N490" t="s">
        <v>1628</v>
      </c>
      <c r="O490" t="s">
        <v>1628</v>
      </c>
      <c r="P490" t="s">
        <v>1628</v>
      </c>
      <c r="Q490">
        <f>LEN(AMAZON_FASHION_5__2[[#This Row],[reviewText]])</f>
        <v>237</v>
      </c>
      <c r="R490" t="str">
        <f>IF(AMAZON_FASHION_5__2[[#This Row],[overall]]&gt;=4,"Positive",IF(AMAZON_FASHION_5__2[[#This Row],[overall]]&lt;=2,"Negative","Neutral"))</f>
        <v>Positive</v>
      </c>
      <c r="S4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91" spans="1:19" x14ac:dyDescent="0.25">
      <c r="A491">
        <v>5</v>
      </c>
      <c r="B491" t="b">
        <v>1</v>
      </c>
      <c r="C491" s="1">
        <v>42519</v>
      </c>
      <c r="D491">
        <f>YEAR(AMAZON_FASHION_5__2[[#This Row],[reviewDate]])</f>
        <v>2016</v>
      </c>
      <c r="E491" s="1" t="str">
        <f>TEXT(AMAZON_FASHION_5__2[[#This Row],[reviewDate]], "mmmm")</f>
        <v>May</v>
      </c>
      <c r="F491" t="s">
        <v>1384</v>
      </c>
      <c r="G491" t="s">
        <v>196</v>
      </c>
      <c r="H491" t="s">
        <v>210</v>
      </c>
      <c r="I491" t="s">
        <v>211</v>
      </c>
      <c r="J491" t="s">
        <v>1385</v>
      </c>
      <c r="K491" t="s">
        <v>1386</v>
      </c>
      <c r="L491" t="s">
        <v>17</v>
      </c>
      <c r="M491">
        <v>1464480000</v>
      </c>
      <c r="N491" t="s">
        <v>1628</v>
      </c>
      <c r="O491" t="s">
        <v>1628</v>
      </c>
      <c r="P491" t="s">
        <v>1628</v>
      </c>
      <c r="Q491">
        <f>LEN(AMAZON_FASHION_5__2[[#This Row],[reviewText]])</f>
        <v>11</v>
      </c>
      <c r="R491" t="str">
        <f>IF(AMAZON_FASHION_5__2[[#This Row],[overall]]&gt;=4,"Positive",IF(AMAZON_FASHION_5__2[[#This Row],[overall]]&lt;=2,"Negative","Neutral"))</f>
        <v>Positive</v>
      </c>
      <c r="S4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92" spans="1:19" x14ac:dyDescent="0.25">
      <c r="A492">
        <v>5</v>
      </c>
      <c r="B492" t="b">
        <v>1</v>
      </c>
      <c r="C492" s="1">
        <v>42518</v>
      </c>
      <c r="D492">
        <f>YEAR(AMAZON_FASHION_5__2[[#This Row],[reviewDate]])</f>
        <v>2016</v>
      </c>
      <c r="E492" s="1" t="str">
        <f>TEXT(AMAZON_FASHION_5__2[[#This Row],[reviewDate]], "mmmm")</f>
        <v>May</v>
      </c>
      <c r="F492" t="s">
        <v>1387</v>
      </c>
      <c r="G492" t="s">
        <v>196</v>
      </c>
      <c r="H492" t="s">
        <v>1388</v>
      </c>
      <c r="I492" t="s">
        <v>217</v>
      </c>
      <c r="J492" t="s">
        <v>63</v>
      </c>
      <c r="K492" t="s">
        <v>638</v>
      </c>
      <c r="L492" t="s">
        <v>17</v>
      </c>
      <c r="M492">
        <v>1464393600</v>
      </c>
      <c r="N492" t="s">
        <v>1628</v>
      </c>
      <c r="O492" t="s">
        <v>1628</v>
      </c>
      <c r="P492" t="s">
        <v>1628</v>
      </c>
      <c r="Q492">
        <f>LEN(AMAZON_FASHION_5__2[[#This Row],[reviewText]])</f>
        <v>7</v>
      </c>
      <c r="R492" t="str">
        <f>IF(AMAZON_FASHION_5__2[[#This Row],[overall]]&gt;=4,"Positive",IF(AMAZON_FASHION_5__2[[#This Row],[overall]]&lt;=2,"Negative","Neutral"))</f>
        <v>Positive</v>
      </c>
      <c r="S4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93" spans="1:19" x14ac:dyDescent="0.25">
      <c r="A493">
        <v>5</v>
      </c>
      <c r="B493" t="b">
        <v>0</v>
      </c>
      <c r="C493" s="1">
        <v>42514</v>
      </c>
      <c r="D493">
        <f>YEAR(AMAZON_FASHION_5__2[[#This Row],[reviewDate]])</f>
        <v>2016</v>
      </c>
      <c r="E493" s="1" t="str">
        <f>TEXT(AMAZON_FASHION_5__2[[#This Row],[reviewDate]], "mmmm")</f>
        <v>May</v>
      </c>
      <c r="F493" t="s">
        <v>1389</v>
      </c>
      <c r="G493" t="s">
        <v>196</v>
      </c>
      <c r="H493" t="s">
        <v>1628</v>
      </c>
      <c r="I493" t="s">
        <v>1628</v>
      </c>
      <c r="J493" t="s">
        <v>1390</v>
      </c>
      <c r="K493" t="s">
        <v>1391</v>
      </c>
      <c r="L493" t="s">
        <v>1392</v>
      </c>
      <c r="M493">
        <v>1464048000</v>
      </c>
      <c r="N493" t="s">
        <v>1628</v>
      </c>
      <c r="O493" t="s">
        <v>1628</v>
      </c>
      <c r="P493">
        <v>8</v>
      </c>
      <c r="Q493">
        <f>LEN(AMAZON_FASHION_5__2[[#This Row],[reviewText]])</f>
        <v>629</v>
      </c>
      <c r="R493" t="str">
        <f>IF(AMAZON_FASHION_5__2[[#This Row],[overall]]&gt;=4,"Positive",IF(AMAZON_FASHION_5__2[[#This Row],[overall]]&lt;=2,"Negative","Neutral"))</f>
        <v>Positive</v>
      </c>
      <c r="S4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94" spans="1:19" x14ac:dyDescent="0.25">
      <c r="A494">
        <v>4</v>
      </c>
      <c r="B494" t="b">
        <v>1</v>
      </c>
      <c r="C494" s="1">
        <v>42514</v>
      </c>
      <c r="D494">
        <f>YEAR(AMAZON_FASHION_5__2[[#This Row],[reviewDate]])</f>
        <v>2016</v>
      </c>
      <c r="E494" s="1" t="str">
        <f>TEXT(AMAZON_FASHION_5__2[[#This Row],[reviewDate]], "mmmm")</f>
        <v>May</v>
      </c>
      <c r="F494" t="s">
        <v>1393</v>
      </c>
      <c r="G494" t="s">
        <v>196</v>
      </c>
      <c r="H494" t="s">
        <v>230</v>
      </c>
      <c r="I494" t="s">
        <v>211</v>
      </c>
      <c r="J494" t="s">
        <v>1394</v>
      </c>
      <c r="K494" t="s">
        <v>1395</v>
      </c>
      <c r="L494" t="s">
        <v>1396</v>
      </c>
      <c r="M494">
        <v>1464048000</v>
      </c>
      <c r="N494" t="s">
        <v>1628</v>
      </c>
      <c r="O494" t="s">
        <v>1628</v>
      </c>
      <c r="P494" t="s">
        <v>1628</v>
      </c>
      <c r="Q494">
        <f>LEN(AMAZON_FASHION_5__2[[#This Row],[reviewText]])</f>
        <v>148</v>
      </c>
      <c r="R494" t="str">
        <f>IF(AMAZON_FASHION_5__2[[#This Row],[overall]]&gt;=4,"Positive",IF(AMAZON_FASHION_5__2[[#This Row],[overall]]&lt;=2,"Negative","Neutral"))</f>
        <v>Positive</v>
      </c>
      <c r="S4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95" spans="1:19" x14ac:dyDescent="0.25">
      <c r="A495">
        <v>5</v>
      </c>
      <c r="B495" t="b">
        <v>1</v>
      </c>
      <c r="C495" s="1">
        <v>42510</v>
      </c>
      <c r="D495">
        <f>YEAR(AMAZON_FASHION_5__2[[#This Row],[reviewDate]])</f>
        <v>2016</v>
      </c>
      <c r="E495" s="1" t="str">
        <f>TEXT(AMAZON_FASHION_5__2[[#This Row],[reviewDate]], "mmmm")</f>
        <v>May</v>
      </c>
      <c r="F495" t="s">
        <v>1397</v>
      </c>
      <c r="G495" t="s">
        <v>196</v>
      </c>
      <c r="H495" t="s">
        <v>320</v>
      </c>
      <c r="I495" t="s">
        <v>198</v>
      </c>
      <c r="J495" t="s">
        <v>1398</v>
      </c>
      <c r="K495" t="s">
        <v>940</v>
      </c>
      <c r="L495" t="s">
        <v>17</v>
      </c>
      <c r="M495">
        <v>1463702400</v>
      </c>
      <c r="N495" t="s">
        <v>1628</v>
      </c>
      <c r="O495" t="s">
        <v>1628</v>
      </c>
      <c r="P495" t="s">
        <v>1628</v>
      </c>
      <c r="Q495">
        <f>LEN(AMAZON_FASHION_5__2[[#This Row],[reviewText]])</f>
        <v>10</v>
      </c>
      <c r="R495" t="str">
        <f>IF(AMAZON_FASHION_5__2[[#This Row],[overall]]&gt;=4,"Positive",IF(AMAZON_FASHION_5__2[[#This Row],[overall]]&lt;=2,"Negative","Neutral"))</f>
        <v>Positive</v>
      </c>
      <c r="S4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96" spans="1:19" x14ac:dyDescent="0.25">
      <c r="A496">
        <v>5</v>
      </c>
      <c r="B496" t="b">
        <v>0</v>
      </c>
      <c r="C496" s="1">
        <v>42508</v>
      </c>
      <c r="D496">
        <f>YEAR(AMAZON_FASHION_5__2[[#This Row],[reviewDate]])</f>
        <v>2016</v>
      </c>
      <c r="E496" s="1" t="str">
        <f>TEXT(AMAZON_FASHION_5__2[[#This Row],[reviewDate]], "mmmm")</f>
        <v>May</v>
      </c>
      <c r="F496" t="s">
        <v>1399</v>
      </c>
      <c r="G496" t="s">
        <v>196</v>
      </c>
      <c r="H496" t="s">
        <v>210</v>
      </c>
      <c r="I496" t="s">
        <v>524</v>
      </c>
      <c r="J496" t="s">
        <v>1400</v>
      </c>
      <c r="K496" t="s">
        <v>1401</v>
      </c>
      <c r="L496" t="s">
        <v>1402</v>
      </c>
      <c r="M496">
        <v>1463529600</v>
      </c>
      <c r="N496" t="s">
        <v>1628</v>
      </c>
      <c r="O496" t="s">
        <v>1628</v>
      </c>
      <c r="P496" t="s">
        <v>1628</v>
      </c>
      <c r="Q496">
        <f>LEN(AMAZON_FASHION_5__2[[#This Row],[reviewText]])</f>
        <v>247</v>
      </c>
      <c r="R496" t="str">
        <f>IF(AMAZON_FASHION_5__2[[#This Row],[overall]]&gt;=4,"Positive",IF(AMAZON_FASHION_5__2[[#This Row],[overall]]&lt;=2,"Negative","Neutral"))</f>
        <v>Positive</v>
      </c>
      <c r="S4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97" spans="1:19" x14ac:dyDescent="0.25">
      <c r="A497">
        <v>5</v>
      </c>
      <c r="B497" t="b">
        <v>1</v>
      </c>
      <c r="C497" s="1">
        <v>42506</v>
      </c>
      <c r="D497">
        <f>YEAR(AMAZON_FASHION_5__2[[#This Row],[reviewDate]])</f>
        <v>2016</v>
      </c>
      <c r="E497" s="1" t="str">
        <f>TEXT(AMAZON_FASHION_5__2[[#This Row],[reviewDate]], "mmmm")</f>
        <v>May</v>
      </c>
      <c r="F497" t="s">
        <v>1403</v>
      </c>
      <c r="G497" t="s">
        <v>196</v>
      </c>
      <c r="H497" t="s">
        <v>235</v>
      </c>
      <c r="I497" t="s">
        <v>236</v>
      </c>
      <c r="J497" t="s">
        <v>63</v>
      </c>
      <c r="K497" t="s">
        <v>1404</v>
      </c>
      <c r="L497" t="s">
        <v>17</v>
      </c>
      <c r="M497">
        <v>1463356800</v>
      </c>
      <c r="N497" t="s">
        <v>1628</v>
      </c>
      <c r="O497" t="s">
        <v>1628</v>
      </c>
      <c r="P497" t="s">
        <v>1628</v>
      </c>
      <c r="Q497">
        <f>LEN(AMAZON_FASHION_5__2[[#This Row],[reviewText]])</f>
        <v>76</v>
      </c>
      <c r="R497" t="str">
        <f>IF(AMAZON_FASHION_5__2[[#This Row],[overall]]&gt;=4,"Positive",IF(AMAZON_FASHION_5__2[[#This Row],[overall]]&lt;=2,"Negative","Neutral"))</f>
        <v>Positive</v>
      </c>
      <c r="S4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98" spans="1:19" x14ac:dyDescent="0.25">
      <c r="A498">
        <v>5</v>
      </c>
      <c r="B498" t="b">
        <v>1</v>
      </c>
      <c r="C498" s="1">
        <v>42505</v>
      </c>
      <c r="D498">
        <f>YEAR(AMAZON_FASHION_5__2[[#This Row],[reviewDate]])</f>
        <v>2016</v>
      </c>
      <c r="E498" s="1" t="str">
        <f>TEXT(AMAZON_FASHION_5__2[[#This Row],[reviewDate]], "mmmm")</f>
        <v>May</v>
      </c>
      <c r="F498" t="s">
        <v>1405</v>
      </c>
      <c r="G498" t="s">
        <v>196</v>
      </c>
      <c r="H498" t="s">
        <v>201</v>
      </c>
      <c r="I498" t="s">
        <v>493</v>
      </c>
      <c r="J498" t="s">
        <v>1406</v>
      </c>
      <c r="K498" t="s">
        <v>1407</v>
      </c>
      <c r="L498" t="s">
        <v>1408</v>
      </c>
      <c r="M498">
        <v>1463270400</v>
      </c>
      <c r="N498" t="s">
        <v>1628</v>
      </c>
      <c r="O498" t="s">
        <v>1628</v>
      </c>
      <c r="P498" t="s">
        <v>1628</v>
      </c>
      <c r="Q498">
        <f>LEN(AMAZON_FASHION_5__2[[#This Row],[reviewText]])</f>
        <v>27</v>
      </c>
      <c r="R498" t="str">
        <f>IF(AMAZON_FASHION_5__2[[#This Row],[overall]]&gt;=4,"Positive",IF(AMAZON_FASHION_5__2[[#This Row],[overall]]&lt;=2,"Negative","Neutral"))</f>
        <v>Positive</v>
      </c>
      <c r="S4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499" spans="1:19" x14ac:dyDescent="0.25">
      <c r="A499">
        <v>4</v>
      </c>
      <c r="B499" t="b">
        <v>1</v>
      </c>
      <c r="C499" s="1">
        <v>42501</v>
      </c>
      <c r="D499">
        <f>YEAR(AMAZON_FASHION_5__2[[#This Row],[reviewDate]])</f>
        <v>2016</v>
      </c>
      <c r="E499" s="1" t="str">
        <f>TEXT(AMAZON_FASHION_5__2[[#This Row],[reviewDate]], "mmmm")</f>
        <v>May</v>
      </c>
      <c r="F499" t="s">
        <v>1409</v>
      </c>
      <c r="G499" t="s">
        <v>196</v>
      </c>
      <c r="H499" t="s">
        <v>1410</v>
      </c>
      <c r="I499" t="s">
        <v>1411</v>
      </c>
      <c r="J499" t="s">
        <v>1412</v>
      </c>
      <c r="K499" t="s">
        <v>1413</v>
      </c>
      <c r="L499" t="s">
        <v>1414</v>
      </c>
      <c r="M499">
        <v>1462924800</v>
      </c>
      <c r="N499" t="s">
        <v>1628</v>
      </c>
      <c r="O499" t="s">
        <v>1628</v>
      </c>
      <c r="P499" t="s">
        <v>1628</v>
      </c>
      <c r="Q499">
        <f>LEN(AMAZON_FASHION_5__2[[#This Row],[reviewText]])</f>
        <v>468</v>
      </c>
      <c r="R499" t="str">
        <f>IF(AMAZON_FASHION_5__2[[#This Row],[overall]]&gt;=4,"Positive",IF(AMAZON_FASHION_5__2[[#This Row],[overall]]&lt;=2,"Negative","Neutral"))</f>
        <v>Positive</v>
      </c>
      <c r="S4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500" spans="1:19" x14ac:dyDescent="0.25">
      <c r="A500">
        <v>5</v>
      </c>
      <c r="B500" t="b">
        <v>0</v>
      </c>
      <c r="C500" s="1">
        <v>42500</v>
      </c>
      <c r="D500">
        <f>YEAR(AMAZON_FASHION_5__2[[#This Row],[reviewDate]])</f>
        <v>2016</v>
      </c>
      <c r="E500" s="1" t="str">
        <f>TEXT(AMAZON_FASHION_5__2[[#This Row],[reviewDate]], "mmmm")</f>
        <v>May</v>
      </c>
      <c r="F500" t="s">
        <v>1415</v>
      </c>
      <c r="G500" t="s">
        <v>196</v>
      </c>
      <c r="H500" t="s">
        <v>210</v>
      </c>
      <c r="I500" t="s">
        <v>211</v>
      </c>
      <c r="J500" t="s">
        <v>63</v>
      </c>
      <c r="K500" t="s">
        <v>1416</v>
      </c>
      <c r="L500" t="s">
        <v>735</v>
      </c>
      <c r="M500">
        <v>1462838400</v>
      </c>
      <c r="N500" t="s">
        <v>1628</v>
      </c>
      <c r="O500" t="s">
        <v>1628</v>
      </c>
      <c r="P500" t="s">
        <v>1628</v>
      </c>
      <c r="Q500">
        <f>LEN(AMAZON_FASHION_5__2[[#This Row],[reviewText]])</f>
        <v>166</v>
      </c>
      <c r="R500" t="str">
        <f>IF(AMAZON_FASHION_5__2[[#This Row],[overall]]&gt;=4,"Positive",IF(AMAZON_FASHION_5__2[[#This Row],[overall]]&lt;=2,"Negative","Neutral"))</f>
        <v>Positive</v>
      </c>
      <c r="S5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501" spans="1:19" x14ac:dyDescent="0.25">
      <c r="A501">
        <v>5</v>
      </c>
      <c r="B501" t="b">
        <v>1</v>
      </c>
      <c r="C501" s="1">
        <v>42499</v>
      </c>
      <c r="D501">
        <f>YEAR(AMAZON_FASHION_5__2[[#This Row],[reviewDate]])</f>
        <v>2016</v>
      </c>
      <c r="E501" s="1" t="str">
        <f>TEXT(AMAZON_FASHION_5__2[[#This Row],[reviewDate]], "mmmm")</f>
        <v>May</v>
      </c>
      <c r="F501" t="s">
        <v>1417</v>
      </c>
      <c r="G501" t="s">
        <v>196</v>
      </c>
      <c r="H501" t="s">
        <v>230</v>
      </c>
      <c r="I501" t="s">
        <v>198</v>
      </c>
      <c r="J501" t="s">
        <v>1418</v>
      </c>
      <c r="K501" t="s">
        <v>1419</v>
      </c>
      <c r="L501" t="s">
        <v>17</v>
      </c>
      <c r="M501">
        <v>1462752000</v>
      </c>
      <c r="N501" t="s">
        <v>1628</v>
      </c>
      <c r="O501" t="s">
        <v>1628</v>
      </c>
      <c r="P501" t="s">
        <v>1628</v>
      </c>
      <c r="Q501">
        <f>LEN(AMAZON_FASHION_5__2[[#This Row],[reviewText]])</f>
        <v>33</v>
      </c>
      <c r="R501" t="str">
        <f>IF(AMAZON_FASHION_5__2[[#This Row],[overall]]&gt;=4,"Positive",IF(AMAZON_FASHION_5__2[[#This Row],[overall]]&lt;=2,"Negative","Neutral"))</f>
        <v>Positive</v>
      </c>
      <c r="S5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502" spans="1:19" x14ac:dyDescent="0.25">
      <c r="A502">
        <v>5</v>
      </c>
      <c r="B502" t="b">
        <v>1</v>
      </c>
      <c r="C502" s="1">
        <v>42498</v>
      </c>
      <c r="D502">
        <f>YEAR(AMAZON_FASHION_5__2[[#This Row],[reviewDate]])</f>
        <v>2016</v>
      </c>
      <c r="E502" s="1" t="str">
        <f>TEXT(AMAZON_FASHION_5__2[[#This Row],[reviewDate]], "mmmm")</f>
        <v>May</v>
      </c>
      <c r="F502" t="s">
        <v>1420</v>
      </c>
      <c r="G502" t="s">
        <v>196</v>
      </c>
      <c r="H502" t="s">
        <v>320</v>
      </c>
      <c r="I502" t="s">
        <v>198</v>
      </c>
      <c r="J502" t="s">
        <v>1421</v>
      </c>
      <c r="K502" t="s">
        <v>1422</v>
      </c>
      <c r="L502" t="s">
        <v>1423</v>
      </c>
      <c r="M502">
        <v>1462665600</v>
      </c>
      <c r="N502" t="s">
        <v>1628</v>
      </c>
      <c r="O502" t="s">
        <v>1628</v>
      </c>
      <c r="P502" t="s">
        <v>1628</v>
      </c>
      <c r="Q502">
        <f>LEN(AMAZON_FASHION_5__2[[#This Row],[reviewText]])</f>
        <v>62</v>
      </c>
      <c r="R502" t="str">
        <f>IF(AMAZON_FASHION_5__2[[#This Row],[overall]]&gt;=4,"Positive",IF(AMAZON_FASHION_5__2[[#This Row],[overall]]&lt;=2,"Negative","Neutral"))</f>
        <v>Positive</v>
      </c>
      <c r="S5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503" spans="1:19" x14ac:dyDescent="0.25">
      <c r="A503">
        <v>4</v>
      </c>
      <c r="B503" t="b">
        <v>1</v>
      </c>
      <c r="C503" s="1">
        <v>42497</v>
      </c>
      <c r="D503">
        <f>YEAR(AMAZON_FASHION_5__2[[#This Row],[reviewDate]])</f>
        <v>2016</v>
      </c>
      <c r="E503" s="1" t="str">
        <f>TEXT(AMAZON_FASHION_5__2[[#This Row],[reviewDate]], "mmmm")</f>
        <v>May</v>
      </c>
      <c r="F503" t="s">
        <v>1424</v>
      </c>
      <c r="G503" t="s">
        <v>196</v>
      </c>
      <c r="H503" t="s">
        <v>1425</v>
      </c>
      <c r="I503" t="s">
        <v>217</v>
      </c>
      <c r="J503" t="s">
        <v>1426</v>
      </c>
      <c r="K503" t="s">
        <v>1427</v>
      </c>
      <c r="L503" t="s">
        <v>103</v>
      </c>
      <c r="M503">
        <v>1462579200</v>
      </c>
      <c r="N503" t="s">
        <v>1628</v>
      </c>
      <c r="O503" t="s">
        <v>1628</v>
      </c>
      <c r="P503" t="s">
        <v>1628</v>
      </c>
      <c r="Q503">
        <f>LEN(AMAZON_FASHION_5__2[[#This Row],[reviewText]])</f>
        <v>25</v>
      </c>
      <c r="R503" t="str">
        <f>IF(AMAZON_FASHION_5__2[[#This Row],[overall]]&gt;=4,"Positive",IF(AMAZON_FASHION_5__2[[#This Row],[overall]]&lt;=2,"Negative","Neutral"))</f>
        <v>Positive</v>
      </c>
      <c r="S5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504" spans="1:19" x14ac:dyDescent="0.25">
      <c r="A504">
        <v>4</v>
      </c>
      <c r="B504" t="b">
        <v>1</v>
      </c>
      <c r="C504" s="1">
        <v>42494</v>
      </c>
      <c r="D504">
        <f>YEAR(AMAZON_FASHION_5__2[[#This Row],[reviewDate]])</f>
        <v>2016</v>
      </c>
      <c r="E504" s="1" t="str">
        <f>TEXT(AMAZON_FASHION_5__2[[#This Row],[reviewDate]], "mmmm")</f>
        <v>May</v>
      </c>
      <c r="F504" t="s">
        <v>1428</v>
      </c>
      <c r="G504" t="s">
        <v>196</v>
      </c>
      <c r="H504" t="s">
        <v>230</v>
      </c>
      <c r="I504" t="s">
        <v>198</v>
      </c>
      <c r="J504" t="s">
        <v>1429</v>
      </c>
      <c r="K504" t="s">
        <v>1430</v>
      </c>
      <c r="L504" t="s">
        <v>1376</v>
      </c>
      <c r="M504">
        <v>1462320000</v>
      </c>
      <c r="N504" t="s">
        <v>1628</v>
      </c>
      <c r="O504" t="s">
        <v>1628</v>
      </c>
      <c r="P504">
        <v>20</v>
      </c>
      <c r="Q504">
        <f>LEN(AMAZON_FASHION_5__2[[#This Row],[reviewText]])</f>
        <v>1368</v>
      </c>
      <c r="R504" t="str">
        <f>IF(AMAZON_FASHION_5__2[[#This Row],[overall]]&gt;=4,"Positive",IF(AMAZON_FASHION_5__2[[#This Row],[overall]]&lt;=2,"Negative","Neutral"))</f>
        <v>Positive</v>
      </c>
      <c r="S5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505" spans="1:19" x14ac:dyDescent="0.25">
      <c r="A505">
        <v>5</v>
      </c>
      <c r="B505" t="b">
        <v>1</v>
      </c>
      <c r="C505" s="1">
        <v>42494</v>
      </c>
      <c r="D505">
        <f>YEAR(AMAZON_FASHION_5__2[[#This Row],[reviewDate]])</f>
        <v>2016</v>
      </c>
      <c r="E505" s="1" t="str">
        <f>TEXT(AMAZON_FASHION_5__2[[#This Row],[reviewDate]], "mmmm")</f>
        <v>May</v>
      </c>
      <c r="F505" t="s">
        <v>1431</v>
      </c>
      <c r="G505" t="s">
        <v>196</v>
      </c>
      <c r="H505" t="s">
        <v>1425</v>
      </c>
      <c r="I505" t="s">
        <v>217</v>
      </c>
      <c r="J505" t="s">
        <v>1432</v>
      </c>
      <c r="K505" t="s">
        <v>1433</v>
      </c>
      <c r="L505" t="s">
        <v>1434</v>
      </c>
      <c r="M505">
        <v>1462320000</v>
      </c>
      <c r="N505" t="s">
        <v>1628</v>
      </c>
      <c r="O505" t="s">
        <v>1628</v>
      </c>
      <c r="P505" t="s">
        <v>1628</v>
      </c>
      <c r="Q505">
        <f>LEN(AMAZON_FASHION_5__2[[#This Row],[reviewText]])</f>
        <v>57</v>
      </c>
      <c r="R505" t="str">
        <f>IF(AMAZON_FASHION_5__2[[#This Row],[overall]]&gt;=4,"Positive",IF(AMAZON_FASHION_5__2[[#This Row],[overall]]&lt;=2,"Negative","Neutral"))</f>
        <v>Positive</v>
      </c>
      <c r="S5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506" spans="1:19" x14ac:dyDescent="0.25">
      <c r="A506">
        <v>5</v>
      </c>
      <c r="B506" t="b">
        <v>1</v>
      </c>
      <c r="C506" s="1">
        <v>42483</v>
      </c>
      <c r="D506">
        <f>YEAR(AMAZON_FASHION_5__2[[#This Row],[reviewDate]])</f>
        <v>2016</v>
      </c>
      <c r="E506" s="1" t="str">
        <f>TEXT(AMAZON_FASHION_5__2[[#This Row],[reviewDate]], "mmmm")</f>
        <v>April</v>
      </c>
      <c r="F506" t="s">
        <v>1435</v>
      </c>
      <c r="G506" t="s">
        <v>196</v>
      </c>
      <c r="H506" t="s">
        <v>205</v>
      </c>
      <c r="I506" t="s">
        <v>198</v>
      </c>
      <c r="J506" t="s">
        <v>1436</v>
      </c>
      <c r="K506" t="s">
        <v>1437</v>
      </c>
      <c r="L506" t="s">
        <v>17</v>
      </c>
      <c r="M506">
        <v>1461369600</v>
      </c>
      <c r="N506" t="s">
        <v>1628</v>
      </c>
      <c r="O506" t="s">
        <v>1628</v>
      </c>
      <c r="P506" t="s">
        <v>1628</v>
      </c>
      <c r="Q506">
        <f>LEN(AMAZON_FASHION_5__2[[#This Row],[reviewText]])</f>
        <v>50</v>
      </c>
      <c r="R506" t="str">
        <f>IF(AMAZON_FASHION_5__2[[#This Row],[overall]]&gt;=4,"Positive",IF(AMAZON_FASHION_5__2[[#This Row],[overall]]&lt;=2,"Negative","Neutral"))</f>
        <v>Positive</v>
      </c>
      <c r="S5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507" spans="1:19" x14ac:dyDescent="0.25">
      <c r="A507">
        <v>5</v>
      </c>
      <c r="B507" t="b">
        <v>1</v>
      </c>
      <c r="C507" s="1">
        <v>42481</v>
      </c>
      <c r="D507">
        <f>YEAR(AMAZON_FASHION_5__2[[#This Row],[reviewDate]])</f>
        <v>2016</v>
      </c>
      <c r="E507" s="1" t="str">
        <f>TEXT(AMAZON_FASHION_5__2[[#This Row],[reviewDate]], "mmmm")</f>
        <v>April</v>
      </c>
      <c r="F507" t="s">
        <v>1438</v>
      </c>
      <c r="G507" t="s">
        <v>196</v>
      </c>
      <c r="H507" t="s">
        <v>477</v>
      </c>
      <c r="I507" t="s">
        <v>198</v>
      </c>
      <c r="J507" t="s">
        <v>1439</v>
      </c>
      <c r="K507" t="s">
        <v>1440</v>
      </c>
      <c r="L507" t="s">
        <v>1441</v>
      </c>
      <c r="M507">
        <v>1461196800</v>
      </c>
      <c r="N507" t="s">
        <v>1628</v>
      </c>
      <c r="O507" t="s">
        <v>1628</v>
      </c>
      <c r="P507">
        <v>3</v>
      </c>
      <c r="Q507">
        <f>LEN(AMAZON_FASHION_5__2[[#This Row],[reviewText]])</f>
        <v>371</v>
      </c>
      <c r="R507" t="str">
        <f>IF(AMAZON_FASHION_5__2[[#This Row],[overall]]&gt;=4,"Positive",IF(AMAZON_FASHION_5__2[[#This Row],[overall]]&lt;=2,"Negative","Neutral"))</f>
        <v>Positive</v>
      </c>
      <c r="S5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508" spans="1:19" x14ac:dyDescent="0.25">
      <c r="A508">
        <v>4</v>
      </c>
      <c r="B508" t="b">
        <v>1</v>
      </c>
      <c r="C508" s="1">
        <v>42480</v>
      </c>
      <c r="D508">
        <f>YEAR(AMAZON_FASHION_5__2[[#This Row],[reviewDate]])</f>
        <v>2016</v>
      </c>
      <c r="E508" s="1" t="str">
        <f>TEXT(AMAZON_FASHION_5__2[[#This Row],[reviewDate]], "mmmm")</f>
        <v>April</v>
      </c>
      <c r="F508" t="s">
        <v>1442</v>
      </c>
      <c r="G508" t="s">
        <v>196</v>
      </c>
      <c r="H508" t="s">
        <v>205</v>
      </c>
      <c r="I508" t="s">
        <v>198</v>
      </c>
      <c r="J508" t="s">
        <v>63</v>
      </c>
      <c r="K508" t="s">
        <v>1443</v>
      </c>
      <c r="L508" t="s">
        <v>103</v>
      </c>
      <c r="M508">
        <v>1461110400</v>
      </c>
      <c r="N508" t="s">
        <v>1628</v>
      </c>
      <c r="O508" t="s">
        <v>1628</v>
      </c>
      <c r="P508" t="s">
        <v>1628</v>
      </c>
      <c r="Q508">
        <f>LEN(AMAZON_FASHION_5__2[[#This Row],[reviewText]])</f>
        <v>19</v>
      </c>
      <c r="R508" t="str">
        <f>IF(AMAZON_FASHION_5__2[[#This Row],[overall]]&gt;=4,"Positive",IF(AMAZON_FASHION_5__2[[#This Row],[overall]]&lt;=2,"Negative","Neutral"))</f>
        <v>Positive</v>
      </c>
      <c r="S5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509" spans="1:19" x14ac:dyDescent="0.25">
      <c r="A509">
        <v>4</v>
      </c>
      <c r="B509" t="b">
        <v>1</v>
      </c>
      <c r="C509" s="1">
        <v>40360</v>
      </c>
      <c r="D509">
        <f>YEAR(AMAZON_FASHION_5__2[[#This Row],[reviewDate]])</f>
        <v>2010</v>
      </c>
      <c r="E509" s="1" t="str">
        <f>TEXT(AMAZON_FASHION_5__2[[#This Row],[reviewDate]], "mmmm")</f>
        <v>July</v>
      </c>
      <c r="F509" t="s">
        <v>70</v>
      </c>
      <c r="G509" t="s">
        <v>1444</v>
      </c>
      <c r="H509" t="s">
        <v>1628</v>
      </c>
      <c r="I509" t="s">
        <v>1628</v>
      </c>
      <c r="J509" t="s">
        <v>72</v>
      </c>
      <c r="K509" t="s">
        <v>73</v>
      </c>
      <c r="L509" t="s">
        <v>74</v>
      </c>
      <c r="M509">
        <v>1277942400</v>
      </c>
      <c r="N509" t="s">
        <v>1628</v>
      </c>
      <c r="O509" t="s">
        <v>1628</v>
      </c>
      <c r="P509">
        <v>35</v>
      </c>
      <c r="Q509">
        <f>LEN(AMAZON_FASHION_5__2[[#This Row],[reviewText]])</f>
        <v>206</v>
      </c>
      <c r="R509" t="str">
        <f>IF(AMAZON_FASHION_5__2[[#This Row],[overall]]&gt;=4,"Positive",IF(AMAZON_FASHION_5__2[[#This Row],[overall]]&lt;=2,"Negative","Neutral"))</f>
        <v>Positive</v>
      </c>
      <c r="S5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10" spans="1:19" x14ac:dyDescent="0.25">
      <c r="A510">
        <v>5</v>
      </c>
      <c r="B510" t="b">
        <v>1</v>
      </c>
      <c r="C510" s="1">
        <v>42437</v>
      </c>
      <c r="D510">
        <f>YEAR(AMAZON_FASHION_5__2[[#This Row],[reviewDate]])</f>
        <v>2016</v>
      </c>
      <c r="E510" s="1" t="str">
        <f>TEXT(AMAZON_FASHION_5__2[[#This Row],[reviewDate]], "mmmm")</f>
        <v>March</v>
      </c>
      <c r="F510" t="s">
        <v>126</v>
      </c>
      <c r="G510" t="s">
        <v>1444</v>
      </c>
      <c r="H510" t="s">
        <v>1628</v>
      </c>
      <c r="I510" t="s">
        <v>1628</v>
      </c>
      <c r="J510" t="s">
        <v>127</v>
      </c>
      <c r="K510" t="s">
        <v>128</v>
      </c>
      <c r="L510" t="s">
        <v>129</v>
      </c>
      <c r="M510">
        <v>1457395200</v>
      </c>
      <c r="N510" t="s">
        <v>1628</v>
      </c>
      <c r="O510" t="s">
        <v>1628</v>
      </c>
      <c r="P510" t="s">
        <v>1628</v>
      </c>
      <c r="Q510">
        <f>LEN(AMAZON_FASHION_5__2[[#This Row],[reviewText]])</f>
        <v>24</v>
      </c>
      <c r="R510" t="str">
        <f>IF(AMAZON_FASHION_5__2[[#This Row],[overall]]&gt;=4,"Positive",IF(AMAZON_FASHION_5__2[[#This Row],[overall]]&lt;=2,"Negative","Neutral"))</f>
        <v>Positive</v>
      </c>
      <c r="S5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11" spans="1:19" x14ac:dyDescent="0.25">
      <c r="A511">
        <v>2</v>
      </c>
      <c r="B511" t="b">
        <v>1</v>
      </c>
      <c r="C511" s="1">
        <v>42303</v>
      </c>
      <c r="D511">
        <f>YEAR(AMAZON_FASHION_5__2[[#This Row],[reviewDate]])</f>
        <v>2015</v>
      </c>
      <c r="E511" s="1" t="str">
        <f>TEXT(AMAZON_FASHION_5__2[[#This Row],[reviewDate]], "mmmm")</f>
        <v>October</v>
      </c>
      <c r="F511" t="s">
        <v>130</v>
      </c>
      <c r="G511" t="s">
        <v>1444</v>
      </c>
      <c r="H511" t="s">
        <v>1628</v>
      </c>
      <c r="I511" t="s">
        <v>1628</v>
      </c>
      <c r="J511" t="s">
        <v>131</v>
      </c>
      <c r="K511" t="s">
        <v>132</v>
      </c>
      <c r="L511" t="s">
        <v>133</v>
      </c>
      <c r="M511">
        <v>1445817600</v>
      </c>
      <c r="N511" t="s">
        <v>1628</v>
      </c>
      <c r="O511" t="s">
        <v>1628</v>
      </c>
      <c r="P511" t="s">
        <v>1628</v>
      </c>
      <c r="Q511">
        <f>LEN(AMAZON_FASHION_5__2[[#This Row],[reviewText]])</f>
        <v>151</v>
      </c>
      <c r="R511" t="str">
        <f>IF(AMAZON_FASHION_5__2[[#This Row],[overall]]&gt;=4,"Positive",IF(AMAZON_FASHION_5__2[[#This Row],[overall]]&lt;=2,"Negative","Neutral"))</f>
        <v>Negative</v>
      </c>
      <c r="S5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12" spans="1:19" x14ac:dyDescent="0.25">
      <c r="A512">
        <v>3</v>
      </c>
      <c r="B512" t="b">
        <v>1</v>
      </c>
      <c r="C512" s="1">
        <v>42166</v>
      </c>
      <c r="D512">
        <f>YEAR(AMAZON_FASHION_5__2[[#This Row],[reviewDate]])</f>
        <v>2015</v>
      </c>
      <c r="E512" s="1" t="str">
        <f>TEXT(AMAZON_FASHION_5__2[[#This Row],[reviewDate]], "mmmm")</f>
        <v>June</v>
      </c>
      <c r="F512" t="s">
        <v>134</v>
      </c>
      <c r="G512" t="s">
        <v>1444</v>
      </c>
      <c r="H512" t="s">
        <v>1628</v>
      </c>
      <c r="I512" t="s">
        <v>1628</v>
      </c>
      <c r="J512" t="s">
        <v>135</v>
      </c>
      <c r="K512" t="s">
        <v>136</v>
      </c>
      <c r="L512" t="s">
        <v>137</v>
      </c>
      <c r="M512">
        <v>1433980800</v>
      </c>
      <c r="N512" t="s">
        <v>1628</v>
      </c>
      <c r="O512" t="s">
        <v>1628</v>
      </c>
      <c r="P512" t="s">
        <v>1628</v>
      </c>
      <c r="Q512">
        <f>LEN(AMAZON_FASHION_5__2[[#This Row],[reviewText]])</f>
        <v>58</v>
      </c>
      <c r="R512" t="str">
        <f>IF(AMAZON_FASHION_5__2[[#This Row],[overall]]&gt;=4,"Positive",IF(AMAZON_FASHION_5__2[[#This Row],[overall]]&lt;=2,"Negative","Neutral"))</f>
        <v>Neutral</v>
      </c>
      <c r="S5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13" spans="1:19" x14ac:dyDescent="0.25">
      <c r="A513">
        <v>4</v>
      </c>
      <c r="B513" t="b">
        <v>1</v>
      </c>
      <c r="C513" s="1">
        <v>42148</v>
      </c>
      <c r="D513">
        <f>YEAR(AMAZON_FASHION_5__2[[#This Row],[reviewDate]])</f>
        <v>2015</v>
      </c>
      <c r="E513" s="1" t="str">
        <f>TEXT(AMAZON_FASHION_5__2[[#This Row],[reviewDate]], "mmmm")</f>
        <v>May</v>
      </c>
      <c r="F513" t="s">
        <v>138</v>
      </c>
      <c r="G513" t="s">
        <v>1444</v>
      </c>
      <c r="H513" t="s">
        <v>1628</v>
      </c>
      <c r="I513" t="s">
        <v>1628</v>
      </c>
      <c r="J513" t="s">
        <v>139</v>
      </c>
      <c r="K513" t="s">
        <v>140</v>
      </c>
      <c r="L513" t="s">
        <v>141</v>
      </c>
      <c r="M513">
        <v>1432425600</v>
      </c>
      <c r="N513" t="s">
        <v>1628</v>
      </c>
      <c r="O513" t="s">
        <v>1628</v>
      </c>
      <c r="P513" t="s">
        <v>1628</v>
      </c>
      <c r="Q513">
        <f>LEN(AMAZON_FASHION_5__2[[#This Row],[reviewText]])</f>
        <v>112</v>
      </c>
      <c r="R513" t="str">
        <f>IF(AMAZON_FASHION_5__2[[#This Row],[overall]]&gt;=4,"Positive",IF(AMAZON_FASHION_5__2[[#This Row],[overall]]&lt;=2,"Negative","Neutral"))</f>
        <v>Positive</v>
      </c>
      <c r="S5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14" spans="1:19" x14ac:dyDescent="0.25">
      <c r="A514">
        <v>4</v>
      </c>
      <c r="B514" t="b">
        <v>1</v>
      </c>
      <c r="C514" s="1">
        <v>42480</v>
      </c>
      <c r="D514">
        <f>YEAR(AMAZON_FASHION_5__2[[#This Row],[reviewDate]])</f>
        <v>2016</v>
      </c>
      <c r="E514" s="1" t="str">
        <f>TEXT(AMAZON_FASHION_5__2[[#This Row],[reviewDate]], "mmmm")</f>
        <v>April</v>
      </c>
      <c r="F514" t="s">
        <v>1442</v>
      </c>
      <c r="G514" t="s">
        <v>1445</v>
      </c>
      <c r="H514" t="s">
        <v>205</v>
      </c>
      <c r="I514" t="s">
        <v>198</v>
      </c>
      <c r="J514" t="s">
        <v>63</v>
      </c>
      <c r="K514" t="s">
        <v>1443</v>
      </c>
      <c r="L514" t="s">
        <v>103</v>
      </c>
      <c r="M514">
        <v>1461110400</v>
      </c>
      <c r="N514" t="s">
        <v>1628</v>
      </c>
      <c r="O514" t="s">
        <v>1628</v>
      </c>
      <c r="P514" t="s">
        <v>1628</v>
      </c>
      <c r="Q514">
        <f>LEN(AMAZON_FASHION_5__2[[#This Row],[reviewText]])</f>
        <v>19</v>
      </c>
      <c r="R514" t="str">
        <f>IF(AMAZON_FASHION_5__2[[#This Row],[overall]]&gt;=4,"Positive",IF(AMAZON_FASHION_5__2[[#This Row],[overall]]&lt;=2,"Negative","Neutral"))</f>
        <v>Positive</v>
      </c>
      <c r="S5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15" spans="1:19" x14ac:dyDescent="0.25">
      <c r="A515">
        <v>4</v>
      </c>
      <c r="B515" t="b">
        <v>1</v>
      </c>
      <c r="C515" s="1">
        <v>42479</v>
      </c>
      <c r="D515">
        <f>YEAR(AMAZON_FASHION_5__2[[#This Row],[reviewDate]])</f>
        <v>2016</v>
      </c>
      <c r="E515" s="1" t="str">
        <f>TEXT(AMAZON_FASHION_5__2[[#This Row],[reviewDate]], "mmmm")</f>
        <v>April</v>
      </c>
      <c r="F515" t="s">
        <v>195</v>
      </c>
      <c r="G515" t="s">
        <v>1445</v>
      </c>
      <c r="H515" t="s">
        <v>197</v>
      </c>
      <c r="I515" t="s">
        <v>198</v>
      </c>
      <c r="J515" t="s">
        <v>63</v>
      </c>
      <c r="K515" t="s">
        <v>199</v>
      </c>
      <c r="L515" t="s">
        <v>103</v>
      </c>
      <c r="M515">
        <v>1461024000</v>
      </c>
      <c r="N515" t="s">
        <v>1628</v>
      </c>
      <c r="O515" t="s">
        <v>1628</v>
      </c>
      <c r="P515">
        <v>2</v>
      </c>
      <c r="Q515">
        <f>LEN(AMAZON_FASHION_5__2[[#This Row],[reviewText]])</f>
        <v>60</v>
      </c>
      <c r="R515" t="str">
        <f>IF(AMAZON_FASHION_5__2[[#This Row],[overall]]&gt;=4,"Positive",IF(AMAZON_FASHION_5__2[[#This Row],[overall]]&lt;=2,"Negative","Neutral"))</f>
        <v>Positive</v>
      </c>
      <c r="S5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16" spans="1:19" x14ac:dyDescent="0.25">
      <c r="A516">
        <v>5</v>
      </c>
      <c r="B516" t="b">
        <v>1</v>
      </c>
      <c r="C516" s="1">
        <v>42478</v>
      </c>
      <c r="D516">
        <f>YEAR(AMAZON_FASHION_5__2[[#This Row],[reviewDate]])</f>
        <v>2016</v>
      </c>
      <c r="E516" s="1" t="str">
        <f>TEXT(AMAZON_FASHION_5__2[[#This Row],[reviewDate]], "mmmm")</f>
        <v>April</v>
      </c>
      <c r="F516" t="s">
        <v>200</v>
      </c>
      <c r="G516" t="s">
        <v>1445</v>
      </c>
      <c r="H516" t="s">
        <v>201</v>
      </c>
      <c r="I516" t="s">
        <v>198</v>
      </c>
      <c r="J516" t="s">
        <v>202</v>
      </c>
      <c r="K516" t="s">
        <v>203</v>
      </c>
      <c r="L516" t="s">
        <v>17</v>
      </c>
      <c r="M516">
        <v>1460937600</v>
      </c>
      <c r="N516" t="s">
        <v>1628</v>
      </c>
      <c r="O516" t="s">
        <v>1628</v>
      </c>
      <c r="P516" t="s">
        <v>1628</v>
      </c>
      <c r="Q516">
        <f>LEN(AMAZON_FASHION_5__2[[#This Row],[reviewText]])</f>
        <v>22</v>
      </c>
      <c r="R516" t="str">
        <f>IF(AMAZON_FASHION_5__2[[#This Row],[overall]]&gt;=4,"Positive",IF(AMAZON_FASHION_5__2[[#This Row],[overall]]&lt;=2,"Negative","Neutral"))</f>
        <v>Positive</v>
      </c>
      <c r="S5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17" spans="1:19" x14ac:dyDescent="0.25">
      <c r="A517">
        <v>3</v>
      </c>
      <c r="B517" t="b">
        <v>1</v>
      </c>
      <c r="C517" s="1">
        <v>42464</v>
      </c>
      <c r="D517">
        <f>YEAR(AMAZON_FASHION_5__2[[#This Row],[reviewDate]])</f>
        <v>2016</v>
      </c>
      <c r="E517" s="1" t="str">
        <f>TEXT(AMAZON_FASHION_5__2[[#This Row],[reviewDate]], "mmmm")</f>
        <v>April</v>
      </c>
      <c r="F517" t="s">
        <v>204</v>
      </c>
      <c r="G517" t="s">
        <v>1445</v>
      </c>
      <c r="H517" t="s">
        <v>205</v>
      </c>
      <c r="I517" t="s">
        <v>198</v>
      </c>
      <c r="J517" t="s">
        <v>206</v>
      </c>
      <c r="K517" t="s">
        <v>207</v>
      </c>
      <c r="L517" t="s">
        <v>208</v>
      </c>
      <c r="M517">
        <v>1459728000</v>
      </c>
      <c r="N517" t="s">
        <v>1628</v>
      </c>
      <c r="O517" t="s">
        <v>1628</v>
      </c>
      <c r="P517">
        <v>2</v>
      </c>
      <c r="Q517">
        <f>LEN(AMAZON_FASHION_5__2[[#This Row],[reviewText]])</f>
        <v>272</v>
      </c>
      <c r="R517" t="str">
        <f>IF(AMAZON_FASHION_5__2[[#This Row],[overall]]&gt;=4,"Positive",IF(AMAZON_FASHION_5__2[[#This Row],[overall]]&lt;=2,"Negative","Neutral"))</f>
        <v>Neutral</v>
      </c>
      <c r="S5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18" spans="1:19" x14ac:dyDescent="0.25">
      <c r="A518">
        <v>5</v>
      </c>
      <c r="B518" t="b">
        <v>1</v>
      </c>
      <c r="C518" s="1">
        <v>42460</v>
      </c>
      <c r="D518">
        <f>YEAR(AMAZON_FASHION_5__2[[#This Row],[reviewDate]])</f>
        <v>2016</v>
      </c>
      <c r="E518" s="1" t="str">
        <f>TEXT(AMAZON_FASHION_5__2[[#This Row],[reviewDate]], "mmmm")</f>
        <v>March</v>
      </c>
      <c r="F518" t="s">
        <v>209</v>
      </c>
      <c r="G518" t="s">
        <v>1445</v>
      </c>
      <c r="H518" t="s">
        <v>210</v>
      </c>
      <c r="I518" t="s">
        <v>211</v>
      </c>
      <c r="J518" t="s">
        <v>212</v>
      </c>
      <c r="K518" t="s">
        <v>213</v>
      </c>
      <c r="L518" t="s">
        <v>214</v>
      </c>
      <c r="M518">
        <v>1459382400</v>
      </c>
      <c r="N518" t="s">
        <v>1628</v>
      </c>
      <c r="O518" t="s">
        <v>1628</v>
      </c>
      <c r="P518" t="s">
        <v>1628</v>
      </c>
      <c r="Q518">
        <f>LEN(AMAZON_FASHION_5__2[[#This Row],[reviewText]])</f>
        <v>123</v>
      </c>
      <c r="R518" t="str">
        <f>IF(AMAZON_FASHION_5__2[[#This Row],[overall]]&gt;=4,"Positive",IF(AMAZON_FASHION_5__2[[#This Row],[overall]]&lt;=2,"Negative","Neutral"))</f>
        <v>Positive</v>
      </c>
      <c r="S5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19" spans="1:19" x14ac:dyDescent="0.25">
      <c r="A519">
        <v>5</v>
      </c>
      <c r="B519" t="b">
        <v>1</v>
      </c>
      <c r="C519" s="1">
        <v>42457</v>
      </c>
      <c r="D519">
        <f>YEAR(AMAZON_FASHION_5__2[[#This Row],[reviewDate]])</f>
        <v>2016</v>
      </c>
      <c r="E519" s="1" t="str">
        <f>TEXT(AMAZON_FASHION_5__2[[#This Row],[reviewDate]], "mmmm")</f>
        <v>March</v>
      </c>
      <c r="F519" t="s">
        <v>215</v>
      </c>
      <c r="G519" t="s">
        <v>1445</v>
      </c>
      <c r="H519" t="s">
        <v>216</v>
      </c>
      <c r="I519" t="s">
        <v>217</v>
      </c>
      <c r="J519" t="s">
        <v>218</v>
      </c>
      <c r="K519" t="s">
        <v>219</v>
      </c>
      <c r="L519" t="s">
        <v>17</v>
      </c>
      <c r="M519">
        <v>1459123200</v>
      </c>
      <c r="N519" t="s">
        <v>1628</v>
      </c>
      <c r="O519" t="s">
        <v>1628</v>
      </c>
      <c r="P519" t="s">
        <v>1628</v>
      </c>
      <c r="Q519">
        <f>LEN(AMAZON_FASHION_5__2[[#This Row],[reviewText]])</f>
        <v>9</v>
      </c>
      <c r="R519" t="str">
        <f>IF(AMAZON_FASHION_5__2[[#This Row],[overall]]&gt;=4,"Positive",IF(AMAZON_FASHION_5__2[[#This Row],[overall]]&lt;=2,"Negative","Neutral"))</f>
        <v>Positive</v>
      </c>
      <c r="S5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20" spans="1:19" x14ac:dyDescent="0.25">
      <c r="A520">
        <v>2</v>
      </c>
      <c r="B520" t="b">
        <v>1</v>
      </c>
      <c r="C520" s="1">
        <v>42457</v>
      </c>
      <c r="D520">
        <f>YEAR(AMAZON_FASHION_5__2[[#This Row],[reviewDate]])</f>
        <v>2016</v>
      </c>
      <c r="E520" s="1" t="str">
        <f>TEXT(AMAZON_FASHION_5__2[[#This Row],[reviewDate]], "mmmm")</f>
        <v>March</v>
      </c>
      <c r="F520" t="s">
        <v>220</v>
      </c>
      <c r="G520" t="s">
        <v>1445</v>
      </c>
      <c r="H520" t="s">
        <v>221</v>
      </c>
      <c r="I520" t="s">
        <v>217</v>
      </c>
      <c r="J520" t="s">
        <v>63</v>
      </c>
      <c r="K520" t="s">
        <v>222</v>
      </c>
      <c r="L520" t="s">
        <v>223</v>
      </c>
      <c r="M520">
        <v>1459123200</v>
      </c>
      <c r="N520" t="s">
        <v>1628</v>
      </c>
      <c r="O520" t="s">
        <v>1628</v>
      </c>
      <c r="P520" t="s">
        <v>1628</v>
      </c>
      <c r="Q520">
        <f>LEN(AMAZON_FASHION_5__2[[#This Row],[reviewText]])</f>
        <v>167</v>
      </c>
      <c r="R520" t="str">
        <f>IF(AMAZON_FASHION_5__2[[#This Row],[overall]]&gt;=4,"Positive",IF(AMAZON_FASHION_5__2[[#This Row],[overall]]&lt;=2,"Negative","Neutral"))</f>
        <v>Negative</v>
      </c>
      <c r="S5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21" spans="1:19" x14ac:dyDescent="0.25">
      <c r="A521">
        <v>4</v>
      </c>
      <c r="B521" t="b">
        <v>1</v>
      </c>
      <c r="C521" s="1">
        <v>42453</v>
      </c>
      <c r="D521">
        <f>YEAR(AMAZON_FASHION_5__2[[#This Row],[reviewDate]])</f>
        <v>2016</v>
      </c>
      <c r="E521" s="1" t="str">
        <f>TEXT(AMAZON_FASHION_5__2[[#This Row],[reviewDate]], "mmmm")</f>
        <v>March</v>
      </c>
      <c r="F521" t="s">
        <v>224</v>
      </c>
      <c r="G521" t="s">
        <v>1445</v>
      </c>
      <c r="H521" t="s">
        <v>225</v>
      </c>
      <c r="I521" t="s">
        <v>217</v>
      </c>
      <c r="J521" t="s">
        <v>226</v>
      </c>
      <c r="K521" t="s">
        <v>227</v>
      </c>
      <c r="L521" t="s">
        <v>228</v>
      </c>
      <c r="M521">
        <v>1458777600</v>
      </c>
      <c r="N521" t="s">
        <v>1628</v>
      </c>
      <c r="O521" t="s">
        <v>1628</v>
      </c>
      <c r="P521" t="s">
        <v>1628</v>
      </c>
      <c r="Q521">
        <f>LEN(AMAZON_FASHION_5__2[[#This Row],[reviewText]])</f>
        <v>132</v>
      </c>
      <c r="R521" t="str">
        <f>IF(AMAZON_FASHION_5__2[[#This Row],[overall]]&gt;=4,"Positive",IF(AMAZON_FASHION_5__2[[#This Row],[overall]]&lt;=2,"Negative","Neutral"))</f>
        <v>Positive</v>
      </c>
      <c r="S5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22" spans="1:19" x14ac:dyDescent="0.25">
      <c r="A522">
        <v>3</v>
      </c>
      <c r="B522" t="b">
        <v>1</v>
      </c>
      <c r="C522" s="1">
        <v>42452</v>
      </c>
      <c r="D522">
        <f>YEAR(AMAZON_FASHION_5__2[[#This Row],[reviewDate]])</f>
        <v>2016</v>
      </c>
      <c r="E522" s="1" t="str">
        <f>TEXT(AMAZON_FASHION_5__2[[#This Row],[reviewDate]], "mmmm")</f>
        <v>March</v>
      </c>
      <c r="F522" t="s">
        <v>229</v>
      </c>
      <c r="G522" t="s">
        <v>1445</v>
      </c>
      <c r="H522" t="s">
        <v>230</v>
      </c>
      <c r="I522" t="s">
        <v>198</v>
      </c>
      <c r="J522" t="s">
        <v>231</v>
      </c>
      <c r="K522" t="s">
        <v>232</v>
      </c>
      <c r="L522" t="s">
        <v>233</v>
      </c>
      <c r="M522">
        <v>1458691200</v>
      </c>
      <c r="N522" t="s">
        <v>1628</v>
      </c>
      <c r="O522" t="s">
        <v>1628</v>
      </c>
      <c r="P522">
        <v>7</v>
      </c>
      <c r="Q522">
        <f>LEN(AMAZON_FASHION_5__2[[#This Row],[reviewText]])</f>
        <v>108</v>
      </c>
      <c r="R522" t="str">
        <f>IF(AMAZON_FASHION_5__2[[#This Row],[overall]]&gt;=4,"Positive",IF(AMAZON_FASHION_5__2[[#This Row],[overall]]&lt;=2,"Negative","Neutral"))</f>
        <v>Neutral</v>
      </c>
      <c r="S5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23" spans="1:19" x14ac:dyDescent="0.25">
      <c r="A523">
        <v>5</v>
      </c>
      <c r="B523" t="b">
        <v>1</v>
      </c>
      <c r="C523" s="1">
        <v>42449</v>
      </c>
      <c r="D523">
        <f>YEAR(AMAZON_FASHION_5__2[[#This Row],[reviewDate]])</f>
        <v>2016</v>
      </c>
      <c r="E523" s="1" t="str">
        <f>TEXT(AMAZON_FASHION_5__2[[#This Row],[reviewDate]], "mmmm")</f>
        <v>March</v>
      </c>
      <c r="F523" t="s">
        <v>234</v>
      </c>
      <c r="G523" t="s">
        <v>1445</v>
      </c>
      <c r="H523" t="s">
        <v>235</v>
      </c>
      <c r="I523" t="s">
        <v>236</v>
      </c>
      <c r="J523" t="s">
        <v>237</v>
      </c>
      <c r="K523" t="s">
        <v>238</v>
      </c>
      <c r="L523" t="s">
        <v>239</v>
      </c>
      <c r="M523">
        <v>1458432000</v>
      </c>
      <c r="N523" t="s">
        <v>1628</v>
      </c>
      <c r="O523" t="s">
        <v>1628</v>
      </c>
      <c r="P523" t="s">
        <v>1628</v>
      </c>
      <c r="Q523">
        <f>LEN(AMAZON_FASHION_5__2[[#This Row],[reviewText]])</f>
        <v>75</v>
      </c>
      <c r="R523" t="str">
        <f>IF(AMAZON_FASHION_5__2[[#This Row],[overall]]&gt;=4,"Positive",IF(AMAZON_FASHION_5__2[[#This Row],[overall]]&lt;=2,"Negative","Neutral"))</f>
        <v>Positive</v>
      </c>
      <c r="S5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24" spans="1:19" x14ac:dyDescent="0.25">
      <c r="A524">
        <v>3</v>
      </c>
      <c r="B524" t="b">
        <v>1</v>
      </c>
      <c r="C524" s="1">
        <v>43220</v>
      </c>
      <c r="D524">
        <f>YEAR(AMAZON_FASHION_5__2[[#This Row],[reviewDate]])</f>
        <v>2018</v>
      </c>
      <c r="E524" s="1" t="str">
        <f>TEXT(AMAZON_FASHION_5__2[[#This Row],[reviewDate]], "mmmm")</f>
        <v>April</v>
      </c>
      <c r="F524" t="s">
        <v>1446</v>
      </c>
      <c r="G524" t="s">
        <v>1445</v>
      </c>
      <c r="H524" t="s">
        <v>1145</v>
      </c>
      <c r="I524" t="s">
        <v>411</v>
      </c>
      <c r="J524" t="s">
        <v>63</v>
      </c>
      <c r="K524" t="s">
        <v>1447</v>
      </c>
      <c r="L524" t="s">
        <v>101</v>
      </c>
      <c r="M524">
        <v>1525046400</v>
      </c>
      <c r="N524" t="s">
        <v>1628</v>
      </c>
      <c r="O524" t="s">
        <v>1628</v>
      </c>
      <c r="P524" t="s">
        <v>1628</v>
      </c>
      <c r="Q524">
        <f>LEN(AMAZON_FASHION_5__2[[#This Row],[reviewText]])</f>
        <v>14</v>
      </c>
      <c r="R524" t="str">
        <f>IF(AMAZON_FASHION_5__2[[#This Row],[overall]]&gt;=4,"Positive",IF(AMAZON_FASHION_5__2[[#This Row],[overall]]&lt;=2,"Negative","Neutral"))</f>
        <v>Neutral</v>
      </c>
      <c r="S5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25" spans="1:19" x14ac:dyDescent="0.25">
      <c r="A525">
        <v>5</v>
      </c>
      <c r="B525" t="b">
        <v>1</v>
      </c>
      <c r="C525" s="1">
        <v>43216</v>
      </c>
      <c r="D525">
        <f>YEAR(AMAZON_FASHION_5__2[[#This Row],[reviewDate]])</f>
        <v>2018</v>
      </c>
      <c r="E525" s="1" t="str">
        <f>TEXT(AMAZON_FASHION_5__2[[#This Row],[reviewDate]], "mmmm")</f>
        <v>April</v>
      </c>
      <c r="F525" t="s">
        <v>1448</v>
      </c>
      <c r="G525" t="s">
        <v>1445</v>
      </c>
      <c r="H525" t="s">
        <v>205</v>
      </c>
      <c r="I525" t="s">
        <v>435</v>
      </c>
      <c r="J525" t="s">
        <v>1449</v>
      </c>
      <c r="K525" t="s">
        <v>1450</v>
      </c>
      <c r="L525" t="s">
        <v>17</v>
      </c>
      <c r="M525">
        <v>1524700800</v>
      </c>
      <c r="N525" t="s">
        <v>1628</v>
      </c>
      <c r="O525" t="s">
        <v>1628</v>
      </c>
      <c r="P525" t="s">
        <v>1628</v>
      </c>
      <c r="Q525">
        <f>LEN(AMAZON_FASHION_5__2[[#This Row],[reviewText]])</f>
        <v>43</v>
      </c>
      <c r="R525" t="str">
        <f>IF(AMAZON_FASHION_5__2[[#This Row],[overall]]&gt;=4,"Positive",IF(AMAZON_FASHION_5__2[[#This Row],[overall]]&lt;=2,"Negative","Neutral"))</f>
        <v>Positive</v>
      </c>
      <c r="S5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26" spans="1:19" x14ac:dyDescent="0.25">
      <c r="A526">
        <v>5</v>
      </c>
      <c r="B526" t="b">
        <v>1</v>
      </c>
      <c r="C526" s="1">
        <v>43214</v>
      </c>
      <c r="D526">
        <f>YEAR(AMAZON_FASHION_5__2[[#This Row],[reviewDate]])</f>
        <v>2018</v>
      </c>
      <c r="E526" s="1" t="str">
        <f>TEXT(AMAZON_FASHION_5__2[[#This Row],[reviewDate]], "mmmm")</f>
        <v>April</v>
      </c>
      <c r="F526" t="s">
        <v>1451</v>
      </c>
      <c r="G526" t="s">
        <v>1445</v>
      </c>
      <c r="H526" t="s">
        <v>205</v>
      </c>
      <c r="I526" t="s">
        <v>198</v>
      </c>
      <c r="J526" t="s">
        <v>1452</v>
      </c>
      <c r="K526" t="s">
        <v>1453</v>
      </c>
      <c r="L526" t="s">
        <v>1454</v>
      </c>
      <c r="M526">
        <v>1524528000</v>
      </c>
      <c r="N526" t="s">
        <v>1628</v>
      </c>
      <c r="O526" t="s">
        <v>1628</v>
      </c>
      <c r="P526" t="s">
        <v>1628</v>
      </c>
      <c r="Q526">
        <f>LEN(AMAZON_FASHION_5__2[[#This Row],[reviewText]])</f>
        <v>160</v>
      </c>
      <c r="R526" t="str">
        <f>IF(AMAZON_FASHION_5__2[[#This Row],[overall]]&gt;=4,"Positive",IF(AMAZON_FASHION_5__2[[#This Row],[overall]]&lt;=2,"Negative","Neutral"))</f>
        <v>Positive</v>
      </c>
      <c r="S5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27" spans="1:19" x14ac:dyDescent="0.25">
      <c r="A527">
        <v>5</v>
      </c>
      <c r="B527" t="b">
        <v>1</v>
      </c>
      <c r="C527" s="1">
        <v>43212</v>
      </c>
      <c r="D527">
        <f>YEAR(AMAZON_FASHION_5__2[[#This Row],[reviewDate]])</f>
        <v>2018</v>
      </c>
      <c r="E527" s="1" t="str">
        <f>TEXT(AMAZON_FASHION_5__2[[#This Row],[reviewDate]], "mmmm")</f>
        <v>April</v>
      </c>
      <c r="F527" t="s">
        <v>244</v>
      </c>
      <c r="G527" t="s">
        <v>1445</v>
      </c>
      <c r="H527" t="s">
        <v>197</v>
      </c>
      <c r="I527" t="s">
        <v>198</v>
      </c>
      <c r="J527" t="s">
        <v>245</v>
      </c>
      <c r="K527" t="s">
        <v>246</v>
      </c>
      <c r="L527" t="s">
        <v>247</v>
      </c>
      <c r="M527">
        <v>1524355200</v>
      </c>
      <c r="N527" t="s">
        <v>1628</v>
      </c>
      <c r="O527" t="s">
        <v>1628</v>
      </c>
      <c r="P527" t="s">
        <v>1628</v>
      </c>
      <c r="Q527">
        <f>LEN(AMAZON_FASHION_5__2[[#This Row],[reviewText]])</f>
        <v>148</v>
      </c>
      <c r="R527" t="str">
        <f>IF(AMAZON_FASHION_5__2[[#This Row],[overall]]&gt;=4,"Positive",IF(AMAZON_FASHION_5__2[[#This Row],[overall]]&lt;=2,"Negative","Neutral"))</f>
        <v>Positive</v>
      </c>
      <c r="S5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28" spans="1:19" x14ac:dyDescent="0.25">
      <c r="A528">
        <v>3</v>
      </c>
      <c r="B528" t="b">
        <v>1</v>
      </c>
      <c r="C528" s="1">
        <v>43209</v>
      </c>
      <c r="D528">
        <f>YEAR(AMAZON_FASHION_5__2[[#This Row],[reviewDate]])</f>
        <v>2018</v>
      </c>
      <c r="E528" s="1" t="str">
        <f>TEXT(AMAZON_FASHION_5__2[[#This Row],[reviewDate]], "mmmm")</f>
        <v>April</v>
      </c>
      <c r="F528" t="s">
        <v>248</v>
      </c>
      <c r="G528" t="s">
        <v>1445</v>
      </c>
      <c r="H528" t="s">
        <v>210</v>
      </c>
      <c r="I528" t="s">
        <v>249</v>
      </c>
      <c r="J528" t="s">
        <v>250</v>
      </c>
      <c r="K528" t="s">
        <v>251</v>
      </c>
      <c r="L528" t="s">
        <v>252</v>
      </c>
      <c r="M528">
        <v>1524096000</v>
      </c>
      <c r="N528" t="s">
        <v>1628</v>
      </c>
      <c r="O528" t="s">
        <v>1628</v>
      </c>
      <c r="P528" t="s">
        <v>1628</v>
      </c>
      <c r="Q528">
        <f>LEN(AMAZON_FASHION_5__2[[#This Row],[reviewText]])</f>
        <v>125</v>
      </c>
      <c r="R528" t="str">
        <f>IF(AMAZON_FASHION_5__2[[#This Row],[overall]]&gt;=4,"Positive",IF(AMAZON_FASHION_5__2[[#This Row],[overall]]&lt;=2,"Negative","Neutral"))</f>
        <v>Neutral</v>
      </c>
      <c r="S5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29" spans="1:19" x14ac:dyDescent="0.25">
      <c r="A529">
        <v>5</v>
      </c>
      <c r="B529" t="b">
        <v>1</v>
      </c>
      <c r="C529" s="1">
        <v>43208</v>
      </c>
      <c r="D529">
        <f>YEAR(AMAZON_FASHION_5__2[[#This Row],[reviewDate]])</f>
        <v>2018</v>
      </c>
      <c r="E529" s="1" t="str">
        <f>TEXT(AMAZON_FASHION_5__2[[#This Row],[reviewDate]], "mmmm")</f>
        <v>April</v>
      </c>
      <c r="F529" t="s">
        <v>253</v>
      </c>
      <c r="G529" t="s">
        <v>1445</v>
      </c>
      <c r="H529" t="s">
        <v>205</v>
      </c>
      <c r="I529" t="s">
        <v>198</v>
      </c>
      <c r="J529" t="s">
        <v>254</v>
      </c>
      <c r="K529" t="s">
        <v>255</v>
      </c>
      <c r="L529" t="s">
        <v>256</v>
      </c>
      <c r="M529">
        <v>1524009600</v>
      </c>
      <c r="N529" t="s">
        <v>1628</v>
      </c>
      <c r="O529" t="s">
        <v>1628</v>
      </c>
      <c r="P529" t="s">
        <v>1628</v>
      </c>
      <c r="Q529">
        <f>LEN(AMAZON_FASHION_5__2[[#This Row],[reviewText]])</f>
        <v>123</v>
      </c>
      <c r="R529" t="str">
        <f>IF(AMAZON_FASHION_5__2[[#This Row],[overall]]&gt;=4,"Positive",IF(AMAZON_FASHION_5__2[[#This Row],[overall]]&lt;=2,"Negative","Neutral"))</f>
        <v>Positive</v>
      </c>
      <c r="S5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30" spans="1:19" x14ac:dyDescent="0.25">
      <c r="A530">
        <v>5</v>
      </c>
      <c r="B530" t="b">
        <v>1</v>
      </c>
      <c r="C530" s="1">
        <v>43208</v>
      </c>
      <c r="D530">
        <f>YEAR(AMAZON_FASHION_5__2[[#This Row],[reviewDate]])</f>
        <v>2018</v>
      </c>
      <c r="E530" s="1" t="str">
        <f>TEXT(AMAZON_FASHION_5__2[[#This Row],[reviewDate]], "mmmm")</f>
        <v>April</v>
      </c>
      <c r="F530" t="s">
        <v>257</v>
      </c>
      <c r="G530" t="s">
        <v>1445</v>
      </c>
      <c r="H530" t="s">
        <v>197</v>
      </c>
      <c r="I530" t="s">
        <v>249</v>
      </c>
      <c r="J530" t="s">
        <v>63</v>
      </c>
      <c r="K530" t="s">
        <v>258</v>
      </c>
      <c r="L530" t="s">
        <v>259</v>
      </c>
      <c r="M530">
        <v>1524009600</v>
      </c>
      <c r="N530" t="s">
        <v>1628</v>
      </c>
      <c r="O530" t="s">
        <v>1628</v>
      </c>
      <c r="P530" t="s">
        <v>1628</v>
      </c>
      <c r="Q530">
        <f>LEN(AMAZON_FASHION_5__2[[#This Row],[reviewText]])</f>
        <v>155</v>
      </c>
      <c r="R530" t="str">
        <f>IF(AMAZON_FASHION_5__2[[#This Row],[overall]]&gt;=4,"Positive",IF(AMAZON_FASHION_5__2[[#This Row],[overall]]&lt;=2,"Negative","Neutral"))</f>
        <v>Positive</v>
      </c>
      <c r="S5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31" spans="1:19" x14ac:dyDescent="0.25">
      <c r="A531">
        <v>5</v>
      </c>
      <c r="B531" t="b">
        <v>1</v>
      </c>
      <c r="C531" s="1">
        <v>43206</v>
      </c>
      <c r="D531">
        <f>YEAR(AMAZON_FASHION_5__2[[#This Row],[reviewDate]])</f>
        <v>2018</v>
      </c>
      <c r="E531" s="1" t="str">
        <f>TEXT(AMAZON_FASHION_5__2[[#This Row],[reviewDate]], "mmmm")</f>
        <v>April</v>
      </c>
      <c r="F531" t="s">
        <v>260</v>
      </c>
      <c r="G531" t="s">
        <v>1445</v>
      </c>
      <c r="H531" t="s">
        <v>261</v>
      </c>
      <c r="I531" t="s">
        <v>1455</v>
      </c>
      <c r="J531" t="s">
        <v>263</v>
      </c>
      <c r="K531" t="s">
        <v>264</v>
      </c>
      <c r="L531" t="s">
        <v>265</v>
      </c>
      <c r="M531">
        <v>1523836800</v>
      </c>
      <c r="N531" t="s">
        <v>1628</v>
      </c>
      <c r="O531" t="s">
        <v>1628</v>
      </c>
      <c r="P531" t="s">
        <v>1628</v>
      </c>
      <c r="Q531">
        <f>LEN(AMAZON_FASHION_5__2[[#This Row],[reviewText]])</f>
        <v>158</v>
      </c>
      <c r="R531" t="str">
        <f>IF(AMAZON_FASHION_5__2[[#This Row],[overall]]&gt;=4,"Positive",IF(AMAZON_FASHION_5__2[[#This Row],[overall]]&lt;=2,"Negative","Neutral"))</f>
        <v>Positive</v>
      </c>
      <c r="S5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32" spans="1:19" x14ac:dyDescent="0.25">
      <c r="A532">
        <v>5</v>
      </c>
      <c r="B532" t="b">
        <v>1</v>
      </c>
      <c r="C532" s="1">
        <v>43205</v>
      </c>
      <c r="D532">
        <f>YEAR(AMAZON_FASHION_5__2[[#This Row],[reviewDate]])</f>
        <v>2018</v>
      </c>
      <c r="E532" s="1" t="str">
        <f>TEXT(AMAZON_FASHION_5__2[[#This Row],[reviewDate]], "mmmm")</f>
        <v>April</v>
      </c>
      <c r="F532" t="s">
        <v>266</v>
      </c>
      <c r="G532" t="s">
        <v>1445</v>
      </c>
      <c r="H532" t="s">
        <v>210</v>
      </c>
      <c r="I532" t="s">
        <v>198</v>
      </c>
      <c r="J532" t="s">
        <v>267</v>
      </c>
      <c r="K532" t="s">
        <v>268</v>
      </c>
      <c r="L532" t="s">
        <v>269</v>
      </c>
      <c r="M532">
        <v>1523750400</v>
      </c>
      <c r="N532" t="s">
        <v>1628</v>
      </c>
      <c r="O532" t="s">
        <v>1628</v>
      </c>
      <c r="P532" t="s">
        <v>1628</v>
      </c>
      <c r="Q532">
        <f>LEN(AMAZON_FASHION_5__2[[#This Row],[reviewText]])</f>
        <v>774</v>
      </c>
      <c r="R532" t="str">
        <f>IF(AMAZON_FASHION_5__2[[#This Row],[overall]]&gt;=4,"Positive",IF(AMAZON_FASHION_5__2[[#This Row],[overall]]&lt;=2,"Negative","Neutral"))</f>
        <v>Positive</v>
      </c>
      <c r="S5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33" spans="1:19" x14ac:dyDescent="0.25">
      <c r="A533">
        <v>3</v>
      </c>
      <c r="B533" t="b">
        <v>1</v>
      </c>
      <c r="C533" s="1">
        <v>43203</v>
      </c>
      <c r="D533">
        <f>YEAR(AMAZON_FASHION_5__2[[#This Row],[reviewDate]])</f>
        <v>2018</v>
      </c>
      <c r="E533" s="1" t="str">
        <f>TEXT(AMAZON_FASHION_5__2[[#This Row],[reviewDate]], "mmmm")</f>
        <v>April</v>
      </c>
      <c r="F533" t="s">
        <v>270</v>
      </c>
      <c r="G533" t="s">
        <v>1445</v>
      </c>
      <c r="H533" t="s">
        <v>201</v>
      </c>
      <c r="I533" t="s">
        <v>249</v>
      </c>
      <c r="J533" t="s">
        <v>271</v>
      </c>
      <c r="K533" t="s">
        <v>272</v>
      </c>
      <c r="L533" t="s">
        <v>101</v>
      </c>
      <c r="M533">
        <v>1523577600</v>
      </c>
      <c r="N533" t="s">
        <v>1628</v>
      </c>
      <c r="O533" t="s">
        <v>1628</v>
      </c>
      <c r="P533" t="s">
        <v>1628</v>
      </c>
      <c r="Q533">
        <f>LEN(AMAZON_FASHION_5__2[[#This Row],[reviewText]])</f>
        <v>85</v>
      </c>
      <c r="R533" t="str">
        <f>IF(AMAZON_FASHION_5__2[[#This Row],[overall]]&gt;=4,"Positive",IF(AMAZON_FASHION_5__2[[#This Row],[overall]]&lt;=2,"Negative","Neutral"))</f>
        <v>Neutral</v>
      </c>
      <c r="S5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34" spans="1:19" x14ac:dyDescent="0.25">
      <c r="A534">
        <v>3</v>
      </c>
      <c r="B534" t="b">
        <v>1</v>
      </c>
      <c r="C534" s="1">
        <v>43199</v>
      </c>
      <c r="D534">
        <f>YEAR(AMAZON_FASHION_5__2[[#This Row],[reviewDate]])</f>
        <v>2018</v>
      </c>
      <c r="E534" s="1" t="str">
        <f>TEXT(AMAZON_FASHION_5__2[[#This Row],[reviewDate]], "mmmm")</f>
        <v>April</v>
      </c>
      <c r="F534" t="s">
        <v>273</v>
      </c>
      <c r="G534" t="s">
        <v>1445</v>
      </c>
      <c r="H534" t="s">
        <v>197</v>
      </c>
      <c r="I534" t="s">
        <v>274</v>
      </c>
      <c r="J534" t="s">
        <v>275</v>
      </c>
      <c r="K534" t="s">
        <v>276</v>
      </c>
      <c r="L534" t="s">
        <v>101</v>
      </c>
      <c r="M534">
        <v>1523232000</v>
      </c>
      <c r="N534" t="s">
        <v>1628</v>
      </c>
      <c r="O534" t="s">
        <v>1628</v>
      </c>
      <c r="P534" t="s">
        <v>1628</v>
      </c>
      <c r="Q534">
        <f>LEN(AMAZON_FASHION_5__2[[#This Row],[reviewText]])</f>
        <v>4</v>
      </c>
      <c r="R534" t="str">
        <f>IF(AMAZON_FASHION_5__2[[#This Row],[overall]]&gt;=4,"Positive",IF(AMAZON_FASHION_5__2[[#This Row],[overall]]&lt;=2,"Negative","Neutral"))</f>
        <v>Neutral</v>
      </c>
      <c r="S5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35" spans="1:19" x14ac:dyDescent="0.25">
      <c r="A535">
        <v>5</v>
      </c>
      <c r="B535" t="b">
        <v>1</v>
      </c>
      <c r="C535" s="1">
        <v>43199</v>
      </c>
      <c r="D535">
        <f>YEAR(AMAZON_FASHION_5__2[[#This Row],[reviewDate]])</f>
        <v>2018</v>
      </c>
      <c r="E535" s="1" t="str">
        <f>TEXT(AMAZON_FASHION_5__2[[#This Row],[reviewDate]], "mmmm")</f>
        <v>April</v>
      </c>
      <c r="F535" t="s">
        <v>277</v>
      </c>
      <c r="G535" t="s">
        <v>1445</v>
      </c>
      <c r="H535" t="s">
        <v>197</v>
      </c>
      <c r="I535" t="s">
        <v>198</v>
      </c>
      <c r="J535" t="s">
        <v>278</v>
      </c>
      <c r="K535" t="s">
        <v>279</v>
      </c>
      <c r="L535" t="s">
        <v>17</v>
      </c>
      <c r="M535">
        <v>1523232000</v>
      </c>
      <c r="N535" t="s">
        <v>1628</v>
      </c>
      <c r="O535" t="s">
        <v>1628</v>
      </c>
      <c r="P535" t="s">
        <v>1628</v>
      </c>
      <c r="Q535">
        <f>LEN(AMAZON_FASHION_5__2[[#This Row],[reviewText]])</f>
        <v>7</v>
      </c>
      <c r="R535" t="str">
        <f>IF(AMAZON_FASHION_5__2[[#This Row],[overall]]&gt;=4,"Positive",IF(AMAZON_FASHION_5__2[[#This Row],[overall]]&lt;=2,"Negative","Neutral"))</f>
        <v>Positive</v>
      </c>
      <c r="S5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36" spans="1:19" x14ac:dyDescent="0.25">
      <c r="A536">
        <v>5</v>
      </c>
      <c r="B536" t="b">
        <v>1</v>
      </c>
      <c r="C536" s="1">
        <v>43198</v>
      </c>
      <c r="D536">
        <f>YEAR(AMAZON_FASHION_5__2[[#This Row],[reviewDate]])</f>
        <v>2018</v>
      </c>
      <c r="E536" s="1" t="str">
        <f>TEXT(AMAZON_FASHION_5__2[[#This Row],[reviewDate]], "mmmm")</f>
        <v>April</v>
      </c>
      <c r="F536" t="s">
        <v>280</v>
      </c>
      <c r="G536" t="s">
        <v>1445</v>
      </c>
      <c r="H536" t="s">
        <v>201</v>
      </c>
      <c r="I536" t="s">
        <v>198</v>
      </c>
      <c r="J536" t="s">
        <v>281</v>
      </c>
      <c r="K536" t="s">
        <v>282</v>
      </c>
      <c r="L536" t="s">
        <v>247</v>
      </c>
      <c r="M536">
        <v>1523145600</v>
      </c>
      <c r="N536" t="s">
        <v>1628</v>
      </c>
      <c r="O536" t="s">
        <v>1628</v>
      </c>
      <c r="P536" t="s">
        <v>1628</v>
      </c>
      <c r="Q536">
        <f>LEN(AMAZON_FASHION_5__2[[#This Row],[reviewText]])</f>
        <v>157</v>
      </c>
      <c r="R536" t="str">
        <f>IF(AMAZON_FASHION_5__2[[#This Row],[overall]]&gt;=4,"Positive",IF(AMAZON_FASHION_5__2[[#This Row],[overall]]&lt;=2,"Negative","Neutral"))</f>
        <v>Positive</v>
      </c>
      <c r="S5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37" spans="1:19" x14ac:dyDescent="0.25">
      <c r="A537">
        <v>5</v>
      </c>
      <c r="B537" t="b">
        <v>1</v>
      </c>
      <c r="C537" s="1">
        <v>43197</v>
      </c>
      <c r="D537">
        <f>YEAR(AMAZON_FASHION_5__2[[#This Row],[reviewDate]])</f>
        <v>2018</v>
      </c>
      <c r="E537" s="1" t="str">
        <f>TEXT(AMAZON_FASHION_5__2[[#This Row],[reviewDate]], "mmmm")</f>
        <v>April</v>
      </c>
      <c r="F537" t="s">
        <v>283</v>
      </c>
      <c r="G537" t="s">
        <v>1445</v>
      </c>
      <c r="H537" t="s">
        <v>284</v>
      </c>
      <c r="I537" t="s">
        <v>274</v>
      </c>
      <c r="J537" t="s">
        <v>285</v>
      </c>
      <c r="K537" t="s">
        <v>18</v>
      </c>
      <c r="L537" t="s">
        <v>17</v>
      </c>
      <c r="M537">
        <v>1523059200</v>
      </c>
      <c r="N537" t="s">
        <v>1628</v>
      </c>
      <c r="O537" t="s">
        <v>1628</v>
      </c>
      <c r="P537" t="s">
        <v>1628</v>
      </c>
      <c r="Q537">
        <f>LEN(AMAZON_FASHION_5__2[[#This Row],[reviewText]])</f>
        <v>0</v>
      </c>
      <c r="R537" t="str">
        <f>IF(AMAZON_FASHION_5__2[[#This Row],[overall]]&gt;=4,"Positive",IF(AMAZON_FASHION_5__2[[#This Row],[overall]]&lt;=2,"Negative","Neutral"))</f>
        <v>Positive</v>
      </c>
      <c r="S5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38" spans="1:19" x14ac:dyDescent="0.25">
      <c r="A538">
        <v>5</v>
      </c>
      <c r="B538" t="b">
        <v>1</v>
      </c>
      <c r="C538" s="1">
        <v>43194</v>
      </c>
      <c r="D538">
        <f>YEAR(AMAZON_FASHION_5__2[[#This Row],[reviewDate]])</f>
        <v>2018</v>
      </c>
      <c r="E538" s="1" t="str">
        <f>TEXT(AMAZON_FASHION_5__2[[#This Row],[reviewDate]], "mmmm")</f>
        <v>April</v>
      </c>
      <c r="F538" t="s">
        <v>286</v>
      </c>
      <c r="G538" t="s">
        <v>1445</v>
      </c>
      <c r="H538" t="s">
        <v>210</v>
      </c>
      <c r="I538" t="s">
        <v>198</v>
      </c>
      <c r="J538" t="s">
        <v>287</v>
      </c>
      <c r="K538" t="s">
        <v>288</v>
      </c>
      <c r="L538" t="s">
        <v>289</v>
      </c>
      <c r="M538">
        <v>1522800000</v>
      </c>
      <c r="N538" t="s">
        <v>1628</v>
      </c>
      <c r="O538" t="s">
        <v>1628</v>
      </c>
      <c r="P538" t="s">
        <v>1628</v>
      </c>
      <c r="Q538">
        <f>LEN(AMAZON_FASHION_5__2[[#This Row],[reviewText]])</f>
        <v>35</v>
      </c>
      <c r="R538" t="str">
        <f>IF(AMAZON_FASHION_5__2[[#This Row],[overall]]&gt;=4,"Positive",IF(AMAZON_FASHION_5__2[[#This Row],[overall]]&lt;=2,"Negative","Neutral"))</f>
        <v>Positive</v>
      </c>
      <c r="S5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39" spans="1:19" x14ac:dyDescent="0.25">
      <c r="A539">
        <v>4</v>
      </c>
      <c r="B539" t="b">
        <v>1</v>
      </c>
      <c r="C539" s="1">
        <v>43193</v>
      </c>
      <c r="D539">
        <f>YEAR(AMAZON_FASHION_5__2[[#This Row],[reviewDate]])</f>
        <v>2018</v>
      </c>
      <c r="E539" s="1" t="str">
        <f>TEXT(AMAZON_FASHION_5__2[[#This Row],[reviewDate]], "mmmm")</f>
        <v>April</v>
      </c>
      <c r="F539" t="s">
        <v>290</v>
      </c>
      <c r="G539" t="s">
        <v>1445</v>
      </c>
      <c r="H539" t="s">
        <v>230</v>
      </c>
      <c r="I539" t="s">
        <v>274</v>
      </c>
      <c r="J539" t="s">
        <v>291</v>
      </c>
      <c r="K539" t="s">
        <v>292</v>
      </c>
      <c r="L539" t="s">
        <v>293</v>
      </c>
      <c r="M539">
        <v>1522713600</v>
      </c>
      <c r="N539" t="s">
        <v>1628</v>
      </c>
      <c r="O539" t="s">
        <v>1628</v>
      </c>
      <c r="P539" t="s">
        <v>1628</v>
      </c>
      <c r="Q539">
        <f>LEN(AMAZON_FASHION_5__2[[#This Row],[reviewText]])</f>
        <v>213</v>
      </c>
      <c r="R539" t="str">
        <f>IF(AMAZON_FASHION_5__2[[#This Row],[overall]]&gt;=4,"Positive",IF(AMAZON_FASHION_5__2[[#This Row],[overall]]&lt;=2,"Negative","Neutral"))</f>
        <v>Positive</v>
      </c>
      <c r="S5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40" spans="1:19" x14ac:dyDescent="0.25">
      <c r="A540">
        <v>5</v>
      </c>
      <c r="B540" t="b">
        <v>1</v>
      </c>
      <c r="C540" s="1">
        <v>43193</v>
      </c>
      <c r="D540">
        <f>YEAR(AMAZON_FASHION_5__2[[#This Row],[reviewDate]])</f>
        <v>2018</v>
      </c>
      <c r="E540" s="1" t="str">
        <f>TEXT(AMAZON_FASHION_5__2[[#This Row],[reviewDate]], "mmmm")</f>
        <v>April</v>
      </c>
      <c r="F540" t="s">
        <v>294</v>
      </c>
      <c r="G540" t="s">
        <v>1445</v>
      </c>
      <c r="H540" t="s">
        <v>210</v>
      </c>
      <c r="I540" t="s">
        <v>198</v>
      </c>
      <c r="J540" t="s">
        <v>295</v>
      </c>
      <c r="K540" t="s">
        <v>296</v>
      </c>
      <c r="L540" t="s">
        <v>297</v>
      </c>
      <c r="M540">
        <v>1522713600</v>
      </c>
      <c r="N540" t="s">
        <v>1628</v>
      </c>
      <c r="O540" t="s">
        <v>1628</v>
      </c>
      <c r="P540" t="s">
        <v>1628</v>
      </c>
      <c r="Q540">
        <f>LEN(AMAZON_FASHION_5__2[[#This Row],[reviewText]])</f>
        <v>105</v>
      </c>
      <c r="R540" t="str">
        <f>IF(AMAZON_FASHION_5__2[[#This Row],[overall]]&gt;=4,"Positive",IF(AMAZON_FASHION_5__2[[#This Row],[overall]]&lt;=2,"Negative","Neutral"))</f>
        <v>Positive</v>
      </c>
      <c r="S5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41" spans="1:19" x14ac:dyDescent="0.25">
      <c r="A541">
        <v>5</v>
      </c>
      <c r="B541" t="b">
        <v>1</v>
      </c>
      <c r="C541" s="1">
        <v>43190</v>
      </c>
      <c r="D541">
        <f>YEAR(AMAZON_FASHION_5__2[[#This Row],[reviewDate]])</f>
        <v>2018</v>
      </c>
      <c r="E541" s="1" t="str">
        <f>TEXT(AMAZON_FASHION_5__2[[#This Row],[reviewDate]], "mmmm")</f>
        <v>March</v>
      </c>
      <c r="F541" t="s">
        <v>298</v>
      </c>
      <c r="G541" t="s">
        <v>1445</v>
      </c>
      <c r="H541" t="s">
        <v>230</v>
      </c>
      <c r="I541" t="s">
        <v>198</v>
      </c>
      <c r="J541" t="s">
        <v>299</v>
      </c>
      <c r="K541" t="s">
        <v>300</v>
      </c>
      <c r="L541" t="s">
        <v>301</v>
      </c>
      <c r="M541">
        <v>1522454400</v>
      </c>
      <c r="N541" t="s">
        <v>1628</v>
      </c>
      <c r="O541" t="s">
        <v>1628</v>
      </c>
      <c r="P541" t="s">
        <v>1628</v>
      </c>
      <c r="Q541">
        <f>LEN(AMAZON_FASHION_5__2[[#This Row],[reviewText]])</f>
        <v>48</v>
      </c>
      <c r="R541" t="str">
        <f>IF(AMAZON_FASHION_5__2[[#This Row],[overall]]&gt;=4,"Positive",IF(AMAZON_FASHION_5__2[[#This Row],[overall]]&lt;=2,"Negative","Neutral"))</f>
        <v>Positive</v>
      </c>
      <c r="S5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42" spans="1:19" x14ac:dyDescent="0.25">
      <c r="A542">
        <v>5</v>
      </c>
      <c r="B542" t="b">
        <v>1</v>
      </c>
      <c r="C542" s="1">
        <v>43187</v>
      </c>
      <c r="D542">
        <f>YEAR(AMAZON_FASHION_5__2[[#This Row],[reviewDate]])</f>
        <v>2018</v>
      </c>
      <c r="E542" s="1" t="str">
        <f>TEXT(AMAZON_FASHION_5__2[[#This Row],[reviewDate]], "mmmm")</f>
        <v>March</v>
      </c>
      <c r="F542" t="s">
        <v>302</v>
      </c>
      <c r="G542" t="s">
        <v>1445</v>
      </c>
      <c r="H542" t="s">
        <v>197</v>
      </c>
      <c r="I542" t="s">
        <v>303</v>
      </c>
      <c r="J542" t="s">
        <v>304</v>
      </c>
      <c r="K542" t="s">
        <v>305</v>
      </c>
      <c r="L542" t="s">
        <v>306</v>
      </c>
      <c r="M542">
        <v>1522195200</v>
      </c>
      <c r="N542" t="s">
        <v>1628</v>
      </c>
      <c r="O542" t="s">
        <v>1628</v>
      </c>
      <c r="P542" t="s">
        <v>1628</v>
      </c>
      <c r="Q542">
        <f>LEN(AMAZON_FASHION_5__2[[#This Row],[reviewText]])</f>
        <v>90</v>
      </c>
      <c r="R542" t="str">
        <f>IF(AMAZON_FASHION_5__2[[#This Row],[overall]]&gt;=4,"Positive",IF(AMAZON_FASHION_5__2[[#This Row],[overall]]&lt;=2,"Negative","Neutral"))</f>
        <v>Positive</v>
      </c>
      <c r="S5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43" spans="1:19" x14ac:dyDescent="0.25">
      <c r="A543">
        <v>3</v>
      </c>
      <c r="B543" t="b">
        <v>1</v>
      </c>
      <c r="C543" s="1">
        <v>43186</v>
      </c>
      <c r="D543">
        <f>YEAR(AMAZON_FASHION_5__2[[#This Row],[reviewDate]])</f>
        <v>2018</v>
      </c>
      <c r="E543" s="1" t="str">
        <f>TEXT(AMAZON_FASHION_5__2[[#This Row],[reviewDate]], "mmmm")</f>
        <v>March</v>
      </c>
      <c r="F543" t="s">
        <v>307</v>
      </c>
      <c r="G543" t="s">
        <v>1445</v>
      </c>
      <c r="H543" t="s">
        <v>230</v>
      </c>
      <c r="I543" t="s">
        <v>274</v>
      </c>
      <c r="J543" t="s">
        <v>308</v>
      </c>
      <c r="K543" t="s">
        <v>309</v>
      </c>
      <c r="L543" t="s">
        <v>310</v>
      </c>
      <c r="M543">
        <v>1522108800</v>
      </c>
      <c r="N543" t="s">
        <v>1628</v>
      </c>
      <c r="O543" t="s">
        <v>1628</v>
      </c>
      <c r="P543" t="s">
        <v>1628</v>
      </c>
      <c r="Q543">
        <f>LEN(AMAZON_FASHION_5__2[[#This Row],[reviewText]])</f>
        <v>121</v>
      </c>
      <c r="R543" t="str">
        <f>IF(AMAZON_FASHION_5__2[[#This Row],[overall]]&gt;=4,"Positive",IF(AMAZON_FASHION_5__2[[#This Row],[overall]]&lt;=2,"Negative","Neutral"))</f>
        <v>Neutral</v>
      </c>
      <c r="S5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44" spans="1:19" x14ac:dyDescent="0.25">
      <c r="A544">
        <v>5</v>
      </c>
      <c r="B544" t="b">
        <v>1</v>
      </c>
      <c r="C544" s="1">
        <v>43181</v>
      </c>
      <c r="D544">
        <f>YEAR(AMAZON_FASHION_5__2[[#This Row],[reviewDate]])</f>
        <v>2018</v>
      </c>
      <c r="E544" s="1" t="str">
        <f>TEXT(AMAZON_FASHION_5__2[[#This Row],[reviewDate]], "mmmm")</f>
        <v>March</v>
      </c>
      <c r="F544" t="s">
        <v>311</v>
      </c>
      <c r="G544" t="s">
        <v>1445</v>
      </c>
      <c r="H544" t="s">
        <v>210</v>
      </c>
      <c r="I544" t="s">
        <v>249</v>
      </c>
      <c r="J544" t="s">
        <v>312</v>
      </c>
      <c r="K544" t="s">
        <v>313</v>
      </c>
      <c r="L544" t="s">
        <v>314</v>
      </c>
      <c r="M544">
        <v>1521676800</v>
      </c>
      <c r="N544" t="s">
        <v>1628</v>
      </c>
      <c r="O544" t="s">
        <v>1628</v>
      </c>
      <c r="P544" t="s">
        <v>1628</v>
      </c>
      <c r="Q544">
        <f>LEN(AMAZON_FASHION_5__2[[#This Row],[reviewText]])</f>
        <v>277</v>
      </c>
      <c r="R544" t="str">
        <f>IF(AMAZON_FASHION_5__2[[#This Row],[overall]]&gt;=4,"Positive",IF(AMAZON_FASHION_5__2[[#This Row],[overall]]&lt;=2,"Negative","Neutral"))</f>
        <v>Positive</v>
      </c>
      <c r="S5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45" spans="1:19" x14ac:dyDescent="0.25">
      <c r="A545">
        <v>5</v>
      </c>
      <c r="B545" t="b">
        <v>1</v>
      </c>
      <c r="C545" s="1">
        <v>43181</v>
      </c>
      <c r="D545">
        <f>YEAR(AMAZON_FASHION_5__2[[#This Row],[reviewDate]])</f>
        <v>2018</v>
      </c>
      <c r="E545" s="1" t="str">
        <f>TEXT(AMAZON_FASHION_5__2[[#This Row],[reviewDate]], "mmmm")</f>
        <v>March</v>
      </c>
      <c r="F545" t="s">
        <v>315</v>
      </c>
      <c r="G545" t="s">
        <v>1445</v>
      </c>
      <c r="H545" t="s">
        <v>205</v>
      </c>
      <c r="I545" t="s">
        <v>198</v>
      </c>
      <c r="J545" t="s">
        <v>316</v>
      </c>
      <c r="K545" t="s">
        <v>317</v>
      </c>
      <c r="L545" t="s">
        <v>318</v>
      </c>
      <c r="M545">
        <v>1521676800</v>
      </c>
      <c r="N545" t="s">
        <v>1628</v>
      </c>
      <c r="O545" t="s">
        <v>1628</v>
      </c>
      <c r="P545" t="s">
        <v>1628</v>
      </c>
      <c r="Q545">
        <f>LEN(AMAZON_FASHION_5__2[[#This Row],[reviewText]])</f>
        <v>129</v>
      </c>
      <c r="R545" t="str">
        <f>IF(AMAZON_FASHION_5__2[[#This Row],[overall]]&gt;=4,"Positive",IF(AMAZON_FASHION_5__2[[#This Row],[overall]]&lt;=2,"Negative","Neutral"))</f>
        <v>Positive</v>
      </c>
      <c r="S5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46" spans="1:19" x14ac:dyDescent="0.25">
      <c r="A546">
        <v>5</v>
      </c>
      <c r="B546" t="b">
        <v>1</v>
      </c>
      <c r="C546" s="1">
        <v>43180</v>
      </c>
      <c r="D546">
        <f>YEAR(AMAZON_FASHION_5__2[[#This Row],[reviewDate]])</f>
        <v>2018</v>
      </c>
      <c r="E546" s="1" t="str">
        <f>TEXT(AMAZON_FASHION_5__2[[#This Row],[reviewDate]], "mmmm")</f>
        <v>March</v>
      </c>
      <c r="F546" t="s">
        <v>319</v>
      </c>
      <c r="G546" t="s">
        <v>1445</v>
      </c>
      <c r="H546" t="s">
        <v>320</v>
      </c>
      <c r="I546" t="s">
        <v>274</v>
      </c>
      <c r="J546" t="s">
        <v>321</v>
      </c>
      <c r="K546" t="s">
        <v>322</v>
      </c>
      <c r="L546" t="s">
        <v>17</v>
      </c>
      <c r="M546">
        <v>1521590400</v>
      </c>
      <c r="N546" t="s">
        <v>1628</v>
      </c>
      <c r="O546" t="s">
        <v>1628</v>
      </c>
      <c r="P546" t="s">
        <v>1628</v>
      </c>
      <c r="Q546">
        <f>LEN(AMAZON_FASHION_5__2[[#This Row],[reviewText]])</f>
        <v>56</v>
      </c>
      <c r="R546" t="str">
        <f>IF(AMAZON_FASHION_5__2[[#This Row],[overall]]&gt;=4,"Positive",IF(AMAZON_FASHION_5__2[[#This Row],[overall]]&lt;=2,"Negative","Neutral"))</f>
        <v>Positive</v>
      </c>
      <c r="S5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47" spans="1:19" x14ac:dyDescent="0.25">
      <c r="A547">
        <v>5</v>
      </c>
      <c r="B547" t="b">
        <v>1</v>
      </c>
      <c r="C547" s="1">
        <v>43179</v>
      </c>
      <c r="D547">
        <f>YEAR(AMAZON_FASHION_5__2[[#This Row],[reviewDate]])</f>
        <v>2018</v>
      </c>
      <c r="E547" s="1" t="str">
        <f>TEXT(AMAZON_FASHION_5__2[[#This Row],[reviewDate]], "mmmm")</f>
        <v>March</v>
      </c>
      <c r="F547" t="s">
        <v>323</v>
      </c>
      <c r="G547" t="s">
        <v>1445</v>
      </c>
      <c r="H547" t="s">
        <v>201</v>
      </c>
      <c r="I547" t="s">
        <v>198</v>
      </c>
      <c r="J547" t="s">
        <v>324</v>
      </c>
      <c r="K547" t="s">
        <v>325</v>
      </c>
      <c r="L547" t="s">
        <v>326</v>
      </c>
      <c r="M547">
        <v>1521504000</v>
      </c>
      <c r="N547" t="s">
        <v>1628</v>
      </c>
      <c r="O547" t="s">
        <v>1628</v>
      </c>
      <c r="P547" t="s">
        <v>1628</v>
      </c>
      <c r="Q547">
        <f>LEN(AMAZON_FASHION_5__2[[#This Row],[reviewText]])</f>
        <v>137</v>
      </c>
      <c r="R547" t="str">
        <f>IF(AMAZON_FASHION_5__2[[#This Row],[overall]]&gt;=4,"Positive",IF(AMAZON_FASHION_5__2[[#This Row],[overall]]&lt;=2,"Negative","Neutral"))</f>
        <v>Positive</v>
      </c>
      <c r="S5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48" spans="1:19" x14ac:dyDescent="0.25">
      <c r="A548">
        <v>5</v>
      </c>
      <c r="B548" t="b">
        <v>1</v>
      </c>
      <c r="C548" s="1">
        <v>43178</v>
      </c>
      <c r="D548">
        <f>YEAR(AMAZON_FASHION_5__2[[#This Row],[reviewDate]])</f>
        <v>2018</v>
      </c>
      <c r="E548" s="1" t="str">
        <f>TEXT(AMAZON_FASHION_5__2[[#This Row],[reviewDate]], "mmmm")</f>
        <v>March</v>
      </c>
      <c r="F548" t="s">
        <v>327</v>
      </c>
      <c r="G548" t="s">
        <v>1445</v>
      </c>
      <c r="H548" t="s">
        <v>230</v>
      </c>
      <c r="I548" t="s">
        <v>198</v>
      </c>
      <c r="J548" t="s">
        <v>328</v>
      </c>
      <c r="K548" t="s">
        <v>329</v>
      </c>
      <c r="L548" t="s">
        <v>330</v>
      </c>
      <c r="M548">
        <v>1521417600</v>
      </c>
      <c r="N548" t="s">
        <v>1628</v>
      </c>
      <c r="O548" t="s">
        <v>1628</v>
      </c>
      <c r="P548" t="s">
        <v>1628</v>
      </c>
      <c r="Q548">
        <f>LEN(AMAZON_FASHION_5__2[[#This Row],[reviewText]])</f>
        <v>211</v>
      </c>
      <c r="R548" t="str">
        <f>IF(AMAZON_FASHION_5__2[[#This Row],[overall]]&gt;=4,"Positive",IF(AMAZON_FASHION_5__2[[#This Row],[overall]]&lt;=2,"Negative","Neutral"))</f>
        <v>Positive</v>
      </c>
      <c r="S5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49" spans="1:19" x14ac:dyDescent="0.25">
      <c r="A549">
        <v>5</v>
      </c>
      <c r="B549" t="b">
        <v>1</v>
      </c>
      <c r="C549" s="1">
        <v>43178</v>
      </c>
      <c r="D549">
        <f>YEAR(AMAZON_FASHION_5__2[[#This Row],[reviewDate]])</f>
        <v>2018</v>
      </c>
      <c r="E549" s="1" t="str">
        <f>TEXT(AMAZON_FASHION_5__2[[#This Row],[reviewDate]], "mmmm")</f>
        <v>March</v>
      </c>
      <c r="F549" t="s">
        <v>331</v>
      </c>
      <c r="G549" t="s">
        <v>1445</v>
      </c>
      <c r="H549" t="s">
        <v>230</v>
      </c>
      <c r="I549" t="s">
        <v>303</v>
      </c>
      <c r="J549" t="s">
        <v>332</v>
      </c>
      <c r="K549" t="s">
        <v>333</v>
      </c>
      <c r="L549" t="s">
        <v>17</v>
      </c>
      <c r="M549">
        <v>1521417600</v>
      </c>
      <c r="N549" t="s">
        <v>1628</v>
      </c>
      <c r="O549" t="s">
        <v>1628</v>
      </c>
      <c r="P549" t="s">
        <v>1628</v>
      </c>
      <c r="Q549">
        <f>LEN(AMAZON_FASHION_5__2[[#This Row],[reviewText]])</f>
        <v>15</v>
      </c>
      <c r="R549" t="str">
        <f>IF(AMAZON_FASHION_5__2[[#This Row],[overall]]&gt;=4,"Positive",IF(AMAZON_FASHION_5__2[[#This Row],[overall]]&lt;=2,"Negative","Neutral"))</f>
        <v>Positive</v>
      </c>
      <c r="S5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50" spans="1:19" x14ac:dyDescent="0.25">
      <c r="A550">
        <v>4</v>
      </c>
      <c r="B550" t="b">
        <v>1</v>
      </c>
      <c r="C550" s="1">
        <v>43176</v>
      </c>
      <c r="D550">
        <f>YEAR(AMAZON_FASHION_5__2[[#This Row],[reviewDate]])</f>
        <v>2018</v>
      </c>
      <c r="E550" s="1" t="str">
        <f>TEXT(AMAZON_FASHION_5__2[[#This Row],[reviewDate]], "mmmm")</f>
        <v>March</v>
      </c>
      <c r="F550" t="s">
        <v>334</v>
      </c>
      <c r="G550" t="s">
        <v>1445</v>
      </c>
      <c r="H550" t="s">
        <v>335</v>
      </c>
      <c r="I550" t="s">
        <v>336</v>
      </c>
      <c r="J550" t="s">
        <v>337</v>
      </c>
      <c r="K550" t="s">
        <v>338</v>
      </c>
      <c r="L550" t="s">
        <v>339</v>
      </c>
      <c r="M550">
        <v>1521244800</v>
      </c>
      <c r="N550" t="s">
        <v>1628</v>
      </c>
      <c r="O550" t="s">
        <v>1628</v>
      </c>
      <c r="P550" t="s">
        <v>1628</v>
      </c>
      <c r="Q550">
        <f>LEN(AMAZON_FASHION_5__2[[#This Row],[reviewText]])</f>
        <v>127</v>
      </c>
      <c r="R550" t="str">
        <f>IF(AMAZON_FASHION_5__2[[#This Row],[overall]]&gt;=4,"Positive",IF(AMAZON_FASHION_5__2[[#This Row],[overall]]&lt;=2,"Negative","Neutral"))</f>
        <v>Positive</v>
      </c>
      <c r="S5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51" spans="1:19" x14ac:dyDescent="0.25">
      <c r="A551">
        <v>5</v>
      </c>
      <c r="B551" t="b">
        <v>1</v>
      </c>
      <c r="C551" s="1">
        <v>43172</v>
      </c>
      <c r="D551">
        <f>YEAR(AMAZON_FASHION_5__2[[#This Row],[reviewDate]])</f>
        <v>2018</v>
      </c>
      <c r="E551" s="1" t="str">
        <f>TEXT(AMAZON_FASHION_5__2[[#This Row],[reviewDate]], "mmmm")</f>
        <v>March</v>
      </c>
      <c r="F551" t="s">
        <v>340</v>
      </c>
      <c r="G551" t="s">
        <v>1445</v>
      </c>
      <c r="H551" t="s">
        <v>235</v>
      </c>
      <c r="I551" t="s">
        <v>198</v>
      </c>
      <c r="J551" t="s">
        <v>341</v>
      </c>
      <c r="K551" t="s">
        <v>342</v>
      </c>
      <c r="L551" t="s">
        <v>269</v>
      </c>
      <c r="M551">
        <v>1520899200</v>
      </c>
      <c r="N551" t="s">
        <v>1628</v>
      </c>
      <c r="O551" t="s">
        <v>1628</v>
      </c>
      <c r="P551" t="s">
        <v>1628</v>
      </c>
      <c r="Q551">
        <f>LEN(AMAZON_FASHION_5__2[[#This Row],[reviewText]])</f>
        <v>174</v>
      </c>
      <c r="R551" t="str">
        <f>IF(AMAZON_FASHION_5__2[[#This Row],[overall]]&gt;=4,"Positive",IF(AMAZON_FASHION_5__2[[#This Row],[overall]]&lt;=2,"Negative","Neutral"))</f>
        <v>Positive</v>
      </c>
      <c r="S5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52" spans="1:19" x14ac:dyDescent="0.25">
      <c r="A552">
        <v>1</v>
      </c>
      <c r="B552" t="b">
        <v>1</v>
      </c>
      <c r="C552" s="1">
        <v>43170</v>
      </c>
      <c r="D552">
        <f>YEAR(AMAZON_FASHION_5__2[[#This Row],[reviewDate]])</f>
        <v>2018</v>
      </c>
      <c r="E552" s="1" t="str">
        <f>TEXT(AMAZON_FASHION_5__2[[#This Row],[reviewDate]], "mmmm")</f>
        <v>March</v>
      </c>
      <c r="F552" t="s">
        <v>343</v>
      </c>
      <c r="G552" t="s">
        <v>1445</v>
      </c>
      <c r="H552" t="s">
        <v>205</v>
      </c>
      <c r="I552" t="s">
        <v>344</v>
      </c>
      <c r="J552" t="s">
        <v>345</v>
      </c>
      <c r="K552" t="s">
        <v>346</v>
      </c>
      <c r="L552" t="s">
        <v>347</v>
      </c>
      <c r="M552">
        <v>1520726400</v>
      </c>
      <c r="N552" t="s">
        <v>1628</v>
      </c>
      <c r="O552" t="s">
        <v>1628</v>
      </c>
      <c r="P552" t="s">
        <v>1628</v>
      </c>
      <c r="Q552">
        <f>LEN(AMAZON_FASHION_5__2[[#This Row],[reviewText]])</f>
        <v>22</v>
      </c>
      <c r="R552" t="str">
        <f>IF(AMAZON_FASHION_5__2[[#This Row],[overall]]&gt;=4,"Positive",IF(AMAZON_FASHION_5__2[[#This Row],[overall]]&lt;=2,"Negative","Neutral"))</f>
        <v>Negative</v>
      </c>
      <c r="S5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53" spans="1:19" x14ac:dyDescent="0.25">
      <c r="A553">
        <v>5</v>
      </c>
      <c r="B553" t="b">
        <v>1</v>
      </c>
      <c r="C553" s="1">
        <v>43164</v>
      </c>
      <c r="D553">
        <f>YEAR(AMAZON_FASHION_5__2[[#This Row],[reviewDate]])</f>
        <v>2018</v>
      </c>
      <c r="E553" s="1" t="str">
        <f>TEXT(AMAZON_FASHION_5__2[[#This Row],[reviewDate]], "mmmm")</f>
        <v>March</v>
      </c>
      <c r="F553" t="s">
        <v>348</v>
      </c>
      <c r="G553" t="s">
        <v>1445</v>
      </c>
      <c r="H553" t="s">
        <v>210</v>
      </c>
      <c r="I553" t="s">
        <v>198</v>
      </c>
      <c r="J553" t="s">
        <v>63</v>
      </c>
      <c r="K553" t="s">
        <v>349</v>
      </c>
      <c r="L553" t="s">
        <v>350</v>
      </c>
      <c r="M553">
        <v>1520208000</v>
      </c>
      <c r="N553" t="s">
        <v>1628</v>
      </c>
      <c r="O553" t="s">
        <v>1628</v>
      </c>
      <c r="P553" t="s">
        <v>1628</v>
      </c>
      <c r="Q553">
        <f>LEN(AMAZON_FASHION_5__2[[#This Row],[reviewText]])</f>
        <v>22</v>
      </c>
      <c r="R553" t="str">
        <f>IF(AMAZON_FASHION_5__2[[#This Row],[overall]]&gt;=4,"Positive",IF(AMAZON_FASHION_5__2[[#This Row],[overall]]&lt;=2,"Negative","Neutral"))</f>
        <v>Positive</v>
      </c>
      <c r="S5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54" spans="1:19" x14ac:dyDescent="0.25">
      <c r="A554">
        <v>5</v>
      </c>
      <c r="B554" t="b">
        <v>1</v>
      </c>
      <c r="C554" s="1">
        <v>43161</v>
      </c>
      <c r="D554">
        <f>YEAR(AMAZON_FASHION_5__2[[#This Row],[reviewDate]])</f>
        <v>2018</v>
      </c>
      <c r="E554" s="1" t="str">
        <f>TEXT(AMAZON_FASHION_5__2[[#This Row],[reviewDate]], "mmmm")</f>
        <v>March</v>
      </c>
      <c r="F554" t="s">
        <v>351</v>
      </c>
      <c r="G554" t="s">
        <v>1445</v>
      </c>
      <c r="H554" t="s">
        <v>284</v>
      </c>
      <c r="I554" t="s">
        <v>198</v>
      </c>
      <c r="J554" t="s">
        <v>352</v>
      </c>
      <c r="K554" t="s">
        <v>353</v>
      </c>
      <c r="L554" t="s">
        <v>354</v>
      </c>
      <c r="M554">
        <v>1519948800</v>
      </c>
      <c r="N554" t="s">
        <v>1628</v>
      </c>
      <c r="O554" t="s">
        <v>1628</v>
      </c>
      <c r="P554" t="s">
        <v>1628</v>
      </c>
      <c r="Q554">
        <f>LEN(AMAZON_FASHION_5__2[[#This Row],[reviewText]])</f>
        <v>100</v>
      </c>
      <c r="R554" t="str">
        <f>IF(AMAZON_FASHION_5__2[[#This Row],[overall]]&gt;=4,"Positive",IF(AMAZON_FASHION_5__2[[#This Row],[overall]]&lt;=2,"Negative","Neutral"))</f>
        <v>Positive</v>
      </c>
      <c r="S5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55" spans="1:19" x14ac:dyDescent="0.25">
      <c r="A555">
        <v>5</v>
      </c>
      <c r="B555" t="b">
        <v>1</v>
      </c>
      <c r="C555" s="1">
        <v>43159</v>
      </c>
      <c r="D555">
        <f>YEAR(AMAZON_FASHION_5__2[[#This Row],[reviewDate]])</f>
        <v>2018</v>
      </c>
      <c r="E555" s="1" t="str">
        <f>TEXT(AMAZON_FASHION_5__2[[#This Row],[reviewDate]], "mmmm")</f>
        <v>February</v>
      </c>
      <c r="F555" t="s">
        <v>355</v>
      </c>
      <c r="G555" t="s">
        <v>1445</v>
      </c>
      <c r="H555" t="s">
        <v>235</v>
      </c>
      <c r="I555" t="s">
        <v>198</v>
      </c>
      <c r="J555" t="s">
        <v>356</v>
      </c>
      <c r="K555" t="s">
        <v>357</v>
      </c>
      <c r="L555" t="s">
        <v>358</v>
      </c>
      <c r="M555">
        <v>1519776000</v>
      </c>
      <c r="N555" t="s">
        <v>1628</v>
      </c>
      <c r="O555" t="s">
        <v>1628</v>
      </c>
      <c r="P555" t="s">
        <v>1628</v>
      </c>
      <c r="Q555">
        <f>LEN(AMAZON_FASHION_5__2[[#This Row],[reviewText]])</f>
        <v>58</v>
      </c>
      <c r="R555" t="str">
        <f>IF(AMAZON_FASHION_5__2[[#This Row],[overall]]&gt;=4,"Positive",IF(AMAZON_FASHION_5__2[[#This Row],[overall]]&lt;=2,"Negative","Neutral"))</f>
        <v>Positive</v>
      </c>
      <c r="S5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56" spans="1:19" x14ac:dyDescent="0.25">
      <c r="A556">
        <v>5</v>
      </c>
      <c r="B556" t="b">
        <v>1</v>
      </c>
      <c r="C556" s="1">
        <v>43158</v>
      </c>
      <c r="D556">
        <f>YEAR(AMAZON_FASHION_5__2[[#This Row],[reviewDate]])</f>
        <v>2018</v>
      </c>
      <c r="E556" s="1" t="str">
        <f>TEXT(AMAZON_FASHION_5__2[[#This Row],[reviewDate]], "mmmm")</f>
        <v>February</v>
      </c>
      <c r="F556" t="s">
        <v>359</v>
      </c>
      <c r="G556" t="s">
        <v>1445</v>
      </c>
      <c r="H556" t="s">
        <v>230</v>
      </c>
      <c r="I556" t="s">
        <v>198</v>
      </c>
      <c r="J556" t="s">
        <v>63</v>
      </c>
      <c r="K556" t="s">
        <v>360</v>
      </c>
      <c r="L556" t="s">
        <v>361</v>
      </c>
      <c r="M556">
        <v>1519689600</v>
      </c>
      <c r="N556" t="s">
        <v>1628</v>
      </c>
      <c r="O556" t="s">
        <v>1628</v>
      </c>
      <c r="P556" t="s">
        <v>1628</v>
      </c>
      <c r="Q556">
        <f>LEN(AMAZON_FASHION_5__2[[#This Row],[reviewText]])</f>
        <v>269</v>
      </c>
      <c r="R556" t="str">
        <f>IF(AMAZON_FASHION_5__2[[#This Row],[overall]]&gt;=4,"Positive",IF(AMAZON_FASHION_5__2[[#This Row],[overall]]&lt;=2,"Negative","Neutral"))</f>
        <v>Positive</v>
      </c>
      <c r="S5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57" spans="1:19" x14ac:dyDescent="0.25">
      <c r="A557">
        <v>5</v>
      </c>
      <c r="B557" t="b">
        <v>1</v>
      </c>
      <c r="C557" s="1">
        <v>43158</v>
      </c>
      <c r="D557">
        <f>YEAR(AMAZON_FASHION_5__2[[#This Row],[reviewDate]])</f>
        <v>2018</v>
      </c>
      <c r="E557" s="1" t="str">
        <f>TEXT(AMAZON_FASHION_5__2[[#This Row],[reviewDate]], "mmmm")</f>
        <v>February</v>
      </c>
      <c r="F557" t="s">
        <v>362</v>
      </c>
      <c r="G557" t="s">
        <v>1445</v>
      </c>
      <c r="H557" t="s">
        <v>230</v>
      </c>
      <c r="I557" t="s">
        <v>249</v>
      </c>
      <c r="J557" t="s">
        <v>363</v>
      </c>
      <c r="K557" t="s">
        <v>364</v>
      </c>
      <c r="L557" t="s">
        <v>365</v>
      </c>
      <c r="M557">
        <v>1519689600</v>
      </c>
      <c r="N557" t="s">
        <v>1628</v>
      </c>
      <c r="O557" t="s">
        <v>1628</v>
      </c>
      <c r="P557" t="s">
        <v>1628</v>
      </c>
      <c r="Q557">
        <f>LEN(AMAZON_FASHION_5__2[[#This Row],[reviewText]])</f>
        <v>152</v>
      </c>
      <c r="R557" t="str">
        <f>IF(AMAZON_FASHION_5__2[[#This Row],[overall]]&gt;=4,"Positive",IF(AMAZON_FASHION_5__2[[#This Row],[overall]]&lt;=2,"Negative","Neutral"))</f>
        <v>Positive</v>
      </c>
      <c r="S5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58" spans="1:19" x14ac:dyDescent="0.25">
      <c r="A558">
        <v>5</v>
      </c>
      <c r="B558" t="b">
        <v>1</v>
      </c>
      <c r="C558" s="1">
        <v>43158</v>
      </c>
      <c r="D558">
        <f>YEAR(AMAZON_FASHION_5__2[[#This Row],[reviewDate]])</f>
        <v>2018</v>
      </c>
      <c r="E558" s="1" t="str">
        <f>TEXT(AMAZON_FASHION_5__2[[#This Row],[reviewDate]], "mmmm")</f>
        <v>February</v>
      </c>
      <c r="F558" t="s">
        <v>366</v>
      </c>
      <c r="G558" t="s">
        <v>1445</v>
      </c>
      <c r="H558" t="s">
        <v>205</v>
      </c>
      <c r="I558" t="s">
        <v>198</v>
      </c>
      <c r="J558" t="s">
        <v>367</v>
      </c>
      <c r="K558" t="s">
        <v>368</v>
      </c>
      <c r="L558" t="s">
        <v>369</v>
      </c>
      <c r="M558">
        <v>1519689600</v>
      </c>
      <c r="N558" t="s">
        <v>1628</v>
      </c>
      <c r="O558" t="s">
        <v>1628</v>
      </c>
      <c r="P558" t="s">
        <v>1628</v>
      </c>
      <c r="Q558">
        <f>LEN(AMAZON_FASHION_5__2[[#This Row],[reviewText]])</f>
        <v>46</v>
      </c>
      <c r="R558" t="str">
        <f>IF(AMAZON_FASHION_5__2[[#This Row],[overall]]&gt;=4,"Positive",IF(AMAZON_FASHION_5__2[[#This Row],[overall]]&lt;=2,"Negative","Neutral"))</f>
        <v>Positive</v>
      </c>
      <c r="S5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59" spans="1:19" x14ac:dyDescent="0.25">
      <c r="A559">
        <v>1</v>
      </c>
      <c r="B559" t="b">
        <v>1</v>
      </c>
      <c r="C559" s="1">
        <v>43156</v>
      </c>
      <c r="D559">
        <f>YEAR(AMAZON_FASHION_5__2[[#This Row],[reviewDate]])</f>
        <v>2018</v>
      </c>
      <c r="E559" s="1" t="str">
        <f>TEXT(AMAZON_FASHION_5__2[[#This Row],[reviewDate]], "mmmm")</f>
        <v>February</v>
      </c>
      <c r="F559" t="s">
        <v>370</v>
      </c>
      <c r="G559" t="s">
        <v>1445</v>
      </c>
      <c r="H559" t="s">
        <v>230</v>
      </c>
      <c r="I559" t="s">
        <v>198</v>
      </c>
      <c r="J559" t="s">
        <v>371</v>
      </c>
      <c r="K559" t="s">
        <v>372</v>
      </c>
      <c r="L559" t="s">
        <v>373</v>
      </c>
      <c r="M559">
        <v>1519516800</v>
      </c>
      <c r="N559" t="s">
        <v>1628</v>
      </c>
      <c r="O559" t="s">
        <v>1628</v>
      </c>
      <c r="P559" t="s">
        <v>1628</v>
      </c>
      <c r="Q559">
        <f>LEN(AMAZON_FASHION_5__2[[#This Row],[reviewText]])</f>
        <v>282</v>
      </c>
      <c r="R559" t="str">
        <f>IF(AMAZON_FASHION_5__2[[#This Row],[overall]]&gt;=4,"Positive",IF(AMAZON_FASHION_5__2[[#This Row],[overall]]&lt;=2,"Negative","Neutral"))</f>
        <v>Negative</v>
      </c>
      <c r="S5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60" spans="1:19" x14ac:dyDescent="0.25">
      <c r="A560">
        <v>2</v>
      </c>
      <c r="B560" t="b">
        <v>1</v>
      </c>
      <c r="C560" s="1">
        <v>43156</v>
      </c>
      <c r="D560">
        <f>YEAR(AMAZON_FASHION_5__2[[#This Row],[reviewDate]])</f>
        <v>2018</v>
      </c>
      <c r="E560" s="1" t="str">
        <f>TEXT(AMAZON_FASHION_5__2[[#This Row],[reviewDate]], "mmmm")</f>
        <v>February</v>
      </c>
      <c r="F560" t="s">
        <v>374</v>
      </c>
      <c r="G560" t="s">
        <v>1445</v>
      </c>
      <c r="H560" t="s">
        <v>210</v>
      </c>
      <c r="I560" t="s">
        <v>198</v>
      </c>
      <c r="J560" t="s">
        <v>63</v>
      </c>
      <c r="K560" t="s">
        <v>375</v>
      </c>
      <c r="L560" t="s">
        <v>376</v>
      </c>
      <c r="M560">
        <v>1519516800</v>
      </c>
      <c r="N560" t="s">
        <v>1628</v>
      </c>
      <c r="O560" t="s">
        <v>1628</v>
      </c>
      <c r="P560" t="s">
        <v>1628</v>
      </c>
      <c r="Q560">
        <f>LEN(AMAZON_FASHION_5__2[[#This Row],[reviewText]])</f>
        <v>89</v>
      </c>
      <c r="R560" t="str">
        <f>IF(AMAZON_FASHION_5__2[[#This Row],[overall]]&gt;=4,"Positive",IF(AMAZON_FASHION_5__2[[#This Row],[overall]]&lt;=2,"Negative","Neutral"))</f>
        <v>Negative</v>
      </c>
      <c r="S5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61" spans="1:19" x14ac:dyDescent="0.25">
      <c r="A561">
        <v>5</v>
      </c>
      <c r="B561" t="b">
        <v>1</v>
      </c>
      <c r="C561" s="1">
        <v>43152</v>
      </c>
      <c r="D561">
        <f>YEAR(AMAZON_FASHION_5__2[[#This Row],[reviewDate]])</f>
        <v>2018</v>
      </c>
      <c r="E561" s="1" t="str">
        <f>TEXT(AMAZON_FASHION_5__2[[#This Row],[reviewDate]], "mmmm")</f>
        <v>February</v>
      </c>
      <c r="F561" t="s">
        <v>377</v>
      </c>
      <c r="G561" t="s">
        <v>1445</v>
      </c>
      <c r="H561" t="s">
        <v>201</v>
      </c>
      <c r="I561" t="s">
        <v>198</v>
      </c>
      <c r="J561" t="s">
        <v>378</v>
      </c>
      <c r="K561" t="s">
        <v>379</v>
      </c>
      <c r="L561" t="s">
        <v>380</v>
      </c>
      <c r="M561">
        <v>1519171200</v>
      </c>
      <c r="N561" t="s">
        <v>1628</v>
      </c>
      <c r="O561" t="s">
        <v>1628</v>
      </c>
      <c r="P561" t="s">
        <v>1628</v>
      </c>
      <c r="Q561">
        <f>LEN(AMAZON_FASHION_5__2[[#This Row],[reviewText]])</f>
        <v>45</v>
      </c>
      <c r="R561" t="str">
        <f>IF(AMAZON_FASHION_5__2[[#This Row],[overall]]&gt;=4,"Positive",IF(AMAZON_FASHION_5__2[[#This Row],[overall]]&lt;=2,"Negative","Neutral"))</f>
        <v>Positive</v>
      </c>
      <c r="S5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62" spans="1:19" x14ac:dyDescent="0.25">
      <c r="A562">
        <v>5</v>
      </c>
      <c r="B562" t="b">
        <v>1</v>
      </c>
      <c r="C562" s="1">
        <v>43151</v>
      </c>
      <c r="D562">
        <f>YEAR(AMAZON_FASHION_5__2[[#This Row],[reviewDate]])</f>
        <v>2018</v>
      </c>
      <c r="E562" s="1" t="str">
        <f>TEXT(AMAZON_FASHION_5__2[[#This Row],[reviewDate]], "mmmm")</f>
        <v>February</v>
      </c>
      <c r="F562" t="s">
        <v>381</v>
      </c>
      <c r="G562" t="s">
        <v>1445</v>
      </c>
      <c r="H562" t="s">
        <v>235</v>
      </c>
      <c r="I562" t="s">
        <v>274</v>
      </c>
      <c r="J562" t="s">
        <v>382</v>
      </c>
      <c r="K562" t="s">
        <v>383</v>
      </c>
      <c r="L562" t="s">
        <v>384</v>
      </c>
      <c r="M562">
        <v>1519084800</v>
      </c>
      <c r="N562" t="s">
        <v>1628</v>
      </c>
      <c r="O562" t="s">
        <v>1628</v>
      </c>
      <c r="P562" t="s">
        <v>1628</v>
      </c>
      <c r="Q562">
        <f>LEN(AMAZON_FASHION_5__2[[#This Row],[reviewText]])</f>
        <v>47</v>
      </c>
      <c r="R562" t="str">
        <f>IF(AMAZON_FASHION_5__2[[#This Row],[overall]]&gt;=4,"Positive",IF(AMAZON_FASHION_5__2[[#This Row],[overall]]&lt;=2,"Negative","Neutral"))</f>
        <v>Positive</v>
      </c>
      <c r="S5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63" spans="1:19" x14ac:dyDescent="0.25">
      <c r="A563">
        <v>5</v>
      </c>
      <c r="B563" t="b">
        <v>1</v>
      </c>
      <c r="C563" s="1">
        <v>43145</v>
      </c>
      <c r="D563">
        <f>YEAR(AMAZON_FASHION_5__2[[#This Row],[reviewDate]])</f>
        <v>2018</v>
      </c>
      <c r="E563" s="1" t="str">
        <f>TEXT(AMAZON_FASHION_5__2[[#This Row],[reviewDate]], "mmmm")</f>
        <v>February</v>
      </c>
      <c r="F563" t="s">
        <v>385</v>
      </c>
      <c r="G563" t="s">
        <v>1445</v>
      </c>
      <c r="H563" t="s">
        <v>230</v>
      </c>
      <c r="I563" t="s">
        <v>249</v>
      </c>
      <c r="J563" t="s">
        <v>386</v>
      </c>
      <c r="K563" t="s">
        <v>387</v>
      </c>
      <c r="L563" t="s">
        <v>17</v>
      </c>
      <c r="M563">
        <v>1518566400</v>
      </c>
      <c r="N563" t="s">
        <v>1628</v>
      </c>
      <c r="O563" t="s">
        <v>1628</v>
      </c>
      <c r="P563" t="s">
        <v>1628</v>
      </c>
      <c r="Q563">
        <f>LEN(AMAZON_FASHION_5__2[[#This Row],[reviewText]])</f>
        <v>46</v>
      </c>
      <c r="R563" t="str">
        <f>IF(AMAZON_FASHION_5__2[[#This Row],[overall]]&gt;=4,"Positive",IF(AMAZON_FASHION_5__2[[#This Row],[overall]]&lt;=2,"Negative","Neutral"))</f>
        <v>Positive</v>
      </c>
      <c r="S5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64" spans="1:19" x14ac:dyDescent="0.25">
      <c r="A564">
        <v>5</v>
      </c>
      <c r="B564" t="b">
        <v>1</v>
      </c>
      <c r="C564" s="1">
        <v>43145</v>
      </c>
      <c r="D564">
        <f>YEAR(AMAZON_FASHION_5__2[[#This Row],[reviewDate]])</f>
        <v>2018</v>
      </c>
      <c r="E564" s="1" t="str">
        <f>TEXT(AMAZON_FASHION_5__2[[#This Row],[reviewDate]], "mmmm")</f>
        <v>February</v>
      </c>
      <c r="F564" t="s">
        <v>388</v>
      </c>
      <c r="G564" t="s">
        <v>1445</v>
      </c>
      <c r="H564" t="s">
        <v>197</v>
      </c>
      <c r="I564" t="s">
        <v>198</v>
      </c>
      <c r="J564" t="s">
        <v>63</v>
      </c>
      <c r="K564" t="s">
        <v>389</v>
      </c>
      <c r="L564" t="s">
        <v>390</v>
      </c>
      <c r="M564">
        <v>1518566400</v>
      </c>
      <c r="N564" t="s">
        <v>1628</v>
      </c>
      <c r="O564" t="s">
        <v>1628</v>
      </c>
      <c r="P564" t="s">
        <v>1628</v>
      </c>
      <c r="Q564">
        <f>LEN(AMAZON_FASHION_5__2[[#This Row],[reviewText]])</f>
        <v>17</v>
      </c>
      <c r="R564" t="str">
        <f>IF(AMAZON_FASHION_5__2[[#This Row],[overall]]&gt;=4,"Positive",IF(AMAZON_FASHION_5__2[[#This Row],[overall]]&lt;=2,"Negative","Neutral"))</f>
        <v>Positive</v>
      </c>
      <c r="S5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65" spans="1:19" x14ac:dyDescent="0.25">
      <c r="A565">
        <v>5</v>
      </c>
      <c r="B565" t="b">
        <v>1</v>
      </c>
      <c r="C565" s="1">
        <v>43143</v>
      </c>
      <c r="D565">
        <f>YEAR(AMAZON_FASHION_5__2[[#This Row],[reviewDate]])</f>
        <v>2018</v>
      </c>
      <c r="E565" s="1" t="str">
        <f>TEXT(AMAZON_FASHION_5__2[[#This Row],[reviewDate]], "mmmm")</f>
        <v>February</v>
      </c>
      <c r="F565" t="s">
        <v>391</v>
      </c>
      <c r="G565" t="s">
        <v>1445</v>
      </c>
      <c r="H565" t="s">
        <v>201</v>
      </c>
      <c r="I565" t="s">
        <v>392</v>
      </c>
      <c r="J565" t="s">
        <v>393</v>
      </c>
      <c r="K565" t="s">
        <v>394</v>
      </c>
      <c r="L565" t="s">
        <v>17</v>
      </c>
      <c r="M565">
        <v>1518393600</v>
      </c>
      <c r="N565" t="s">
        <v>1628</v>
      </c>
      <c r="O565" t="s">
        <v>1628</v>
      </c>
      <c r="P565" t="s">
        <v>1628</v>
      </c>
      <c r="Q565">
        <f>LEN(AMAZON_FASHION_5__2[[#This Row],[reviewText]])</f>
        <v>19</v>
      </c>
      <c r="R565" t="str">
        <f>IF(AMAZON_FASHION_5__2[[#This Row],[overall]]&gt;=4,"Positive",IF(AMAZON_FASHION_5__2[[#This Row],[overall]]&lt;=2,"Negative","Neutral"))</f>
        <v>Positive</v>
      </c>
      <c r="S5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66" spans="1:19" x14ac:dyDescent="0.25">
      <c r="A566">
        <v>5</v>
      </c>
      <c r="B566" t="b">
        <v>1</v>
      </c>
      <c r="C566" s="1">
        <v>43132</v>
      </c>
      <c r="D566">
        <f>YEAR(AMAZON_FASHION_5__2[[#This Row],[reviewDate]])</f>
        <v>2018</v>
      </c>
      <c r="E566" s="1" t="str">
        <f>TEXT(AMAZON_FASHION_5__2[[#This Row],[reviewDate]], "mmmm")</f>
        <v>February</v>
      </c>
      <c r="F566" t="s">
        <v>395</v>
      </c>
      <c r="G566" t="s">
        <v>1445</v>
      </c>
      <c r="H566" t="s">
        <v>230</v>
      </c>
      <c r="I566" t="s">
        <v>396</v>
      </c>
      <c r="J566" t="s">
        <v>397</v>
      </c>
      <c r="K566" t="s">
        <v>398</v>
      </c>
      <c r="L566" t="s">
        <v>399</v>
      </c>
      <c r="M566">
        <v>1517443200</v>
      </c>
      <c r="N566" t="s">
        <v>1628</v>
      </c>
      <c r="O566" t="s">
        <v>1628</v>
      </c>
      <c r="P566" t="s">
        <v>1628</v>
      </c>
      <c r="Q566">
        <f>LEN(AMAZON_FASHION_5__2[[#This Row],[reviewText]])</f>
        <v>102</v>
      </c>
      <c r="R566" t="str">
        <f>IF(AMAZON_FASHION_5__2[[#This Row],[overall]]&gt;=4,"Positive",IF(AMAZON_FASHION_5__2[[#This Row],[overall]]&lt;=2,"Negative","Neutral"))</f>
        <v>Positive</v>
      </c>
      <c r="S5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67" spans="1:19" x14ac:dyDescent="0.25">
      <c r="A567">
        <v>5</v>
      </c>
      <c r="B567" t="b">
        <v>1</v>
      </c>
      <c r="C567" s="1">
        <v>43132</v>
      </c>
      <c r="D567">
        <f>YEAR(AMAZON_FASHION_5__2[[#This Row],[reviewDate]])</f>
        <v>2018</v>
      </c>
      <c r="E567" s="1" t="str">
        <f>TEXT(AMAZON_FASHION_5__2[[#This Row],[reviewDate]], "mmmm")</f>
        <v>February</v>
      </c>
      <c r="F567" t="s">
        <v>400</v>
      </c>
      <c r="G567" t="s">
        <v>1445</v>
      </c>
      <c r="H567" t="s">
        <v>197</v>
      </c>
      <c r="I567" t="s">
        <v>198</v>
      </c>
      <c r="J567" t="s">
        <v>401</v>
      </c>
      <c r="K567" t="s">
        <v>402</v>
      </c>
      <c r="L567" t="s">
        <v>17</v>
      </c>
      <c r="M567">
        <v>1517443200</v>
      </c>
      <c r="N567" t="s">
        <v>1628</v>
      </c>
      <c r="O567" t="s">
        <v>1628</v>
      </c>
      <c r="P567" t="s">
        <v>1628</v>
      </c>
      <c r="Q567">
        <f>LEN(AMAZON_FASHION_5__2[[#This Row],[reviewText]])</f>
        <v>19</v>
      </c>
      <c r="R567" t="str">
        <f>IF(AMAZON_FASHION_5__2[[#This Row],[overall]]&gt;=4,"Positive",IF(AMAZON_FASHION_5__2[[#This Row],[overall]]&lt;=2,"Negative","Neutral"))</f>
        <v>Positive</v>
      </c>
      <c r="S5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68" spans="1:19" x14ac:dyDescent="0.25">
      <c r="A568">
        <v>5</v>
      </c>
      <c r="B568" t="b">
        <v>1</v>
      </c>
      <c r="C568" s="1">
        <v>43129</v>
      </c>
      <c r="D568">
        <f>YEAR(AMAZON_FASHION_5__2[[#This Row],[reviewDate]])</f>
        <v>2018</v>
      </c>
      <c r="E568" s="1" t="str">
        <f>TEXT(AMAZON_FASHION_5__2[[#This Row],[reviewDate]], "mmmm")</f>
        <v>January</v>
      </c>
      <c r="F568" t="s">
        <v>403</v>
      </c>
      <c r="G568" t="s">
        <v>1445</v>
      </c>
      <c r="H568" t="s">
        <v>320</v>
      </c>
      <c r="I568" t="s">
        <v>396</v>
      </c>
      <c r="J568" t="s">
        <v>404</v>
      </c>
      <c r="K568" t="s">
        <v>405</v>
      </c>
      <c r="L568" t="s">
        <v>406</v>
      </c>
      <c r="M568">
        <v>1517184000</v>
      </c>
      <c r="N568" t="s">
        <v>1628</v>
      </c>
      <c r="O568" t="s">
        <v>1628</v>
      </c>
      <c r="P568" t="s">
        <v>1628</v>
      </c>
      <c r="Q568">
        <f>LEN(AMAZON_FASHION_5__2[[#This Row],[reviewText]])</f>
        <v>132</v>
      </c>
      <c r="R568" t="str">
        <f>IF(AMAZON_FASHION_5__2[[#This Row],[overall]]&gt;=4,"Positive",IF(AMAZON_FASHION_5__2[[#This Row],[overall]]&lt;=2,"Negative","Neutral"))</f>
        <v>Positive</v>
      </c>
      <c r="S5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69" spans="1:19" x14ac:dyDescent="0.25">
      <c r="A569">
        <v>4</v>
      </c>
      <c r="B569" t="b">
        <v>1</v>
      </c>
      <c r="C569" s="1">
        <v>43125</v>
      </c>
      <c r="D569">
        <f>YEAR(AMAZON_FASHION_5__2[[#This Row],[reviewDate]])</f>
        <v>2018</v>
      </c>
      <c r="E569" s="1" t="str">
        <f>TEXT(AMAZON_FASHION_5__2[[#This Row],[reviewDate]], "mmmm")</f>
        <v>January</v>
      </c>
      <c r="F569" t="s">
        <v>407</v>
      </c>
      <c r="G569" t="s">
        <v>1445</v>
      </c>
      <c r="H569" t="s">
        <v>205</v>
      </c>
      <c r="I569" t="s">
        <v>198</v>
      </c>
      <c r="J569" t="s">
        <v>408</v>
      </c>
      <c r="K569" t="s">
        <v>409</v>
      </c>
      <c r="L569" t="s">
        <v>406</v>
      </c>
      <c r="M569">
        <v>1516838400</v>
      </c>
      <c r="N569" t="s">
        <v>1628</v>
      </c>
      <c r="O569" t="s">
        <v>1628</v>
      </c>
      <c r="P569" t="s">
        <v>1628</v>
      </c>
      <c r="Q569">
        <f>LEN(AMAZON_FASHION_5__2[[#This Row],[reviewText]])</f>
        <v>860</v>
      </c>
      <c r="R569" t="str">
        <f>IF(AMAZON_FASHION_5__2[[#This Row],[overall]]&gt;=4,"Positive",IF(AMAZON_FASHION_5__2[[#This Row],[overall]]&lt;=2,"Negative","Neutral"))</f>
        <v>Positive</v>
      </c>
      <c r="S5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70" spans="1:19" x14ac:dyDescent="0.25">
      <c r="A570">
        <v>5</v>
      </c>
      <c r="B570" t="b">
        <v>1</v>
      </c>
      <c r="C570" s="1">
        <v>43118</v>
      </c>
      <c r="D570">
        <f>YEAR(AMAZON_FASHION_5__2[[#This Row],[reviewDate]])</f>
        <v>2018</v>
      </c>
      <c r="E570" s="1" t="str">
        <f>TEXT(AMAZON_FASHION_5__2[[#This Row],[reviewDate]], "mmmm")</f>
        <v>January</v>
      </c>
      <c r="F570" t="s">
        <v>410</v>
      </c>
      <c r="G570" t="s">
        <v>1445</v>
      </c>
      <c r="H570" t="s">
        <v>235</v>
      </c>
      <c r="I570" t="s">
        <v>411</v>
      </c>
      <c r="J570" t="s">
        <v>412</v>
      </c>
      <c r="K570" t="s">
        <v>413</v>
      </c>
      <c r="L570" t="s">
        <v>17</v>
      </c>
      <c r="M570">
        <v>1516233600</v>
      </c>
      <c r="N570" t="s">
        <v>1628</v>
      </c>
      <c r="O570" t="s">
        <v>1628</v>
      </c>
      <c r="P570" t="s">
        <v>1628</v>
      </c>
      <c r="Q570">
        <f>LEN(AMAZON_FASHION_5__2[[#This Row],[reviewText]])</f>
        <v>16</v>
      </c>
      <c r="R570" t="str">
        <f>IF(AMAZON_FASHION_5__2[[#This Row],[overall]]&gt;=4,"Positive",IF(AMAZON_FASHION_5__2[[#This Row],[overall]]&lt;=2,"Negative","Neutral"))</f>
        <v>Positive</v>
      </c>
      <c r="S5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71" spans="1:19" x14ac:dyDescent="0.25">
      <c r="A571">
        <v>5</v>
      </c>
      <c r="B571" t="b">
        <v>1</v>
      </c>
      <c r="C571" s="1">
        <v>43111</v>
      </c>
      <c r="D571">
        <f>YEAR(AMAZON_FASHION_5__2[[#This Row],[reviewDate]])</f>
        <v>2018</v>
      </c>
      <c r="E571" s="1" t="str">
        <f>TEXT(AMAZON_FASHION_5__2[[#This Row],[reviewDate]], "mmmm")</f>
        <v>January</v>
      </c>
      <c r="F571" t="s">
        <v>414</v>
      </c>
      <c r="G571" t="s">
        <v>1445</v>
      </c>
      <c r="H571" t="s">
        <v>415</v>
      </c>
      <c r="I571" t="s">
        <v>336</v>
      </c>
      <c r="J571" t="s">
        <v>416</v>
      </c>
      <c r="K571" t="s">
        <v>417</v>
      </c>
      <c r="L571" t="s">
        <v>17</v>
      </c>
      <c r="M571">
        <v>1515628800</v>
      </c>
      <c r="N571" t="s">
        <v>1628</v>
      </c>
      <c r="O571" t="s">
        <v>1628</v>
      </c>
      <c r="P571" t="s">
        <v>1628</v>
      </c>
      <c r="Q571">
        <f>LEN(AMAZON_FASHION_5__2[[#This Row],[reviewText]])</f>
        <v>81</v>
      </c>
      <c r="R571" t="str">
        <f>IF(AMAZON_FASHION_5__2[[#This Row],[overall]]&gt;=4,"Positive",IF(AMAZON_FASHION_5__2[[#This Row],[overall]]&lt;=2,"Negative","Neutral"))</f>
        <v>Positive</v>
      </c>
      <c r="S5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72" spans="1:19" x14ac:dyDescent="0.25">
      <c r="A572">
        <v>1</v>
      </c>
      <c r="B572" t="b">
        <v>1</v>
      </c>
      <c r="C572" s="1">
        <v>43110</v>
      </c>
      <c r="D572">
        <f>YEAR(AMAZON_FASHION_5__2[[#This Row],[reviewDate]])</f>
        <v>2018</v>
      </c>
      <c r="E572" s="1" t="str">
        <f>TEXT(AMAZON_FASHION_5__2[[#This Row],[reviewDate]], "mmmm")</f>
        <v>January</v>
      </c>
      <c r="F572" t="s">
        <v>418</v>
      </c>
      <c r="G572" t="s">
        <v>1445</v>
      </c>
      <c r="H572" t="s">
        <v>261</v>
      </c>
      <c r="I572" t="s">
        <v>419</v>
      </c>
      <c r="J572" t="s">
        <v>420</v>
      </c>
      <c r="K572" t="s">
        <v>421</v>
      </c>
      <c r="L572" t="s">
        <v>65</v>
      </c>
      <c r="M572">
        <v>1515542400</v>
      </c>
      <c r="N572" t="s">
        <v>1628</v>
      </c>
      <c r="O572" t="s">
        <v>1628</v>
      </c>
      <c r="P572" t="s">
        <v>1628</v>
      </c>
      <c r="Q572">
        <f>LEN(AMAZON_FASHION_5__2[[#This Row],[reviewText]])</f>
        <v>27</v>
      </c>
      <c r="R572" t="str">
        <f>IF(AMAZON_FASHION_5__2[[#This Row],[overall]]&gt;=4,"Positive",IF(AMAZON_FASHION_5__2[[#This Row],[overall]]&lt;=2,"Negative","Neutral"))</f>
        <v>Negative</v>
      </c>
      <c r="S5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73" spans="1:19" x14ac:dyDescent="0.25">
      <c r="A573">
        <v>5</v>
      </c>
      <c r="B573" t="b">
        <v>1</v>
      </c>
      <c r="C573" s="1">
        <v>43110</v>
      </c>
      <c r="D573">
        <f>YEAR(AMAZON_FASHION_5__2[[#This Row],[reviewDate]])</f>
        <v>2018</v>
      </c>
      <c r="E573" s="1" t="str">
        <f>TEXT(AMAZON_FASHION_5__2[[#This Row],[reviewDate]], "mmmm")</f>
        <v>January</v>
      </c>
      <c r="F573" t="s">
        <v>422</v>
      </c>
      <c r="G573" t="s">
        <v>1445</v>
      </c>
      <c r="H573" t="s">
        <v>205</v>
      </c>
      <c r="I573" t="s">
        <v>198</v>
      </c>
      <c r="J573" t="s">
        <v>423</v>
      </c>
      <c r="K573" t="s">
        <v>424</v>
      </c>
      <c r="L573" t="s">
        <v>425</v>
      </c>
      <c r="M573">
        <v>1515542400</v>
      </c>
      <c r="N573" t="s">
        <v>1628</v>
      </c>
      <c r="O573" t="s">
        <v>1628</v>
      </c>
      <c r="P573">
        <v>2</v>
      </c>
      <c r="Q573">
        <f>LEN(AMAZON_FASHION_5__2[[#This Row],[reviewText]])</f>
        <v>617</v>
      </c>
      <c r="R573" t="str">
        <f>IF(AMAZON_FASHION_5__2[[#This Row],[overall]]&gt;=4,"Positive",IF(AMAZON_FASHION_5__2[[#This Row],[overall]]&lt;=2,"Negative","Neutral"))</f>
        <v>Positive</v>
      </c>
      <c r="S5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74" spans="1:19" x14ac:dyDescent="0.25">
      <c r="A574">
        <v>3</v>
      </c>
      <c r="B574" t="b">
        <v>1</v>
      </c>
      <c r="C574" s="1">
        <v>43109</v>
      </c>
      <c r="D574">
        <f>YEAR(AMAZON_FASHION_5__2[[#This Row],[reviewDate]])</f>
        <v>2018</v>
      </c>
      <c r="E574" s="1" t="str">
        <f>TEXT(AMAZON_FASHION_5__2[[#This Row],[reviewDate]], "mmmm")</f>
        <v>January</v>
      </c>
      <c r="F574" t="s">
        <v>426</v>
      </c>
      <c r="G574" t="s">
        <v>1445</v>
      </c>
      <c r="H574" t="s">
        <v>205</v>
      </c>
      <c r="I574" t="s">
        <v>249</v>
      </c>
      <c r="J574" t="s">
        <v>427</v>
      </c>
      <c r="K574" t="s">
        <v>428</v>
      </c>
      <c r="L574" t="s">
        <v>429</v>
      </c>
      <c r="M574">
        <v>1515456000</v>
      </c>
      <c r="N574" t="s">
        <v>1628</v>
      </c>
      <c r="O574" t="s">
        <v>1628</v>
      </c>
      <c r="P574" t="s">
        <v>1628</v>
      </c>
      <c r="Q574">
        <f>LEN(AMAZON_FASHION_5__2[[#This Row],[reviewText]])</f>
        <v>54</v>
      </c>
      <c r="R574" t="str">
        <f>IF(AMAZON_FASHION_5__2[[#This Row],[overall]]&gt;=4,"Positive",IF(AMAZON_FASHION_5__2[[#This Row],[overall]]&lt;=2,"Negative","Neutral"))</f>
        <v>Neutral</v>
      </c>
      <c r="S5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75" spans="1:19" x14ac:dyDescent="0.25">
      <c r="A575">
        <v>5</v>
      </c>
      <c r="B575" t="b">
        <v>1</v>
      </c>
      <c r="C575" s="1">
        <v>43108</v>
      </c>
      <c r="D575">
        <f>YEAR(AMAZON_FASHION_5__2[[#This Row],[reviewDate]])</f>
        <v>2018</v>
      </c>
      <c r="E575" s="1" t="str">
        <f>TEXT(AMAZON_FASHION_5__2[[#This Row],[reviewDate]], "mmmm")</f>
        <v>January</v>
      </c>
      <c r="F575" t="s">
        <v>430</v>
      </c>
      <c r="G575" t="s">
        <v>1445</v>
      </c>
      <c r="H575" t="s">
        <v>210</v>
      </c>
      <c r="I575" t="s">
        <v>198</v>
      </c>
      <c r="J575" t="s">
        <v>431</v>
      </c>
      <c r="K575" t="s">
        <v>432</v>
      </c>
      <c r="L575" t="s">
        <v>433</v>
      </c>
      <c r="M575">
        <v>1515369600</v>
      </c>
      <c r="N575" t="s">
        <v>1628</v>
      </c>
      <c r="O575" t="s">
        <v>1628</v>
      </c>
      <c r="P575" t="s">
        <v>1628</v>
      </c>
      <c r="Q575">
        <f>LEN(AMAZON_FASHION_5__2[[#This Row],[reviewText]])</f>
        <v>715</v>
      </c>
      <c r="R575" t="str">
        <f>IF(AMAZON_FASHION_5__2[[#This Row],[overall]]&gt;=4,"Positive",IF(AMAZON_FASHION_5__2[[#This Row],[overall]]&lt;=2,"Negative","Neutral"))</f>
        <v>Positive</v>
      </c>
      <c r="S5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76" spans="1:19" x14ac:dyDescent="0.25">
      <c r="A576">
        <v>5</v>
      </c>
      <c r="B576" t="b">
        <v>1</v>
      </c>
      <c r="C576" s="1">
        <v>43108</v>
      </c>
      <c r="D576">
        <f>YEAR(AMAZON_FASHION_5__2[[#This Row],[reviewDate]])</f>
        <v>2018</v>
      </c>
      <c r="E576" s="1" t="str">
        <f>TEXT(AMAZON_FASHION_5__2[[#This Row],[reviewDate]], "mmmm")</f>
        <v>January</v>
      </c>
      <c r="F576" t="s">
        <v>434</v>
      </c>
      <c r="G576" t="s">
        <v>1445</v>
      </c>
      <c r="H576" t="s">
        <v>261</v>
      </c>
      <c r="I576" t="s">
        <v>435</v>
      </c>
      <c r="J576" t="s">
        <v>436</v>
      </c>
      <c r="K576" t="s">
        <v>437</v>
      </c>
      <c r="L576" t="s">
        <v>438</v>
      </c>
      <c r="M576">
        <v>1515369600</v>
      </c>
      <c r="N576" t="s">
        <v>1628</v>
      </c>
      <c r="O576" t="s">
        <v>1628</v>
      </c>
      <c r="P576" t="s">
        <v>1628</v>
      </c>
      <c r="Q576">
        <f>LEN(AMAZON_FASHION_5__2[[#This Row],[reviewText]])</f>
        <v>1003</v>
      </c>
      <c r="R576" t="str">
        <f>IF(AMAZON_FASHION_5__2[[#This Row],[overall]]&gt;=4,"Positive",IF(AMAZON_FASHION_5__2[[#This Row],[overall]]&lt;=2,"Negative","Neutral"))</f>
        <v>Positive</v>
      </c>
      <c r="S5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77" spans="1:19" x14ac:dyDescent="0.25">
      <c r="A577">
        <v>5</v>
      </c>
      <c r="B577" t="b">
        <v>1</v>
      </c>
      <c r="C577" s="1">
        <v>43107</v>
      </c>
      <c r="D577">
        <f>YEAR(AMAZON_FASHION_5__2[[#This Row],[reviewDate]])</f>
        <v>2018</v>
      </c>
      <c r="E577" s="1" t="str">
        <f>TEXT(AMAZON_FASHION_5__2[[#This Row],[reviewDate]], "mmmm")</f>
        <v>January</v>
      </c>
      <c r="F577" t="s">
        <v>439</v>
      </c>
      <c r="G577" t="s">
        <v>1445</v>
      </c>
      <c r="H577" t="s">
        <v>230</v>
      </c>
      <c r="I577" t="s">
        <v>274</v>
      </c>
      <c r="J577" t="s">
        <v>440</v>
      </c>
      <c r="K577" t="s">
        <v>441</v>
      </c>
      <c r="L577" t="s">
        <v>17</v>
      </c>
      <c r="M577">
        <v>1515283200</v>
      </c>
      <c r="N577" t="s">
        <v>1628</v>
      </c>
      <c r="O577" t="s">
        <v>1628</v>
      </c>
      <c r="P577" t="s">
        <v>1628</v>
      </c>
      <c r="Q577">
        <f>LEN(AMAZON_FASHION_5__2[[#This Row],[reviewText]])</f>
        <v>51</v>
      </c>
      <c r="R577" t="str">
        <f>IF(AMAZON_FASHION_5__2[[#This Row],[overall]]&gt;=4,"Positive",IF(AMAZON_FASHION_5__2[[#This Row],[overall]]&lt;=2,"Negative","Neutral"))</f>
        <v>Positive</v>
      </c>
      <c r="S5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78" spans="1:19" x14ac:dyDescent="0.25">
      <c r="A578">
        <v>5</v>
      </c>
      <c r="B578" t="b">
        <v>1</v>
      </c>
      <c r="C578" s="1">
        <v>43098</v>
      </c>
      <c r="D578">
        <f>YEAR(AMAZON_FASHION_5__2[[#This Row],[reviewDate]])</f>
        <v>2017</v>
      </c>
      <c r="E578" s="1" t="str">
        <f>TEXT(AMAZON_FASHION_5__2[[#This Row],[reviewDate]], "mmmm")</f>
        <v>December</v>
      </c>
      <c r="F578" t="s">
        <v>442</v>
      </c>
      <c r="G578" t="s">
        <v>1445</v>
      </c>
      <c r="H578" t="s">
        <v>443</v>
      </c>
      <c r="I578" t="s">
        <v>336</v>
      </c>
      <c r="J578" t="s">
        <v>63</v>
      </c>
      <c r="K578" t="s">
        <v>444</v>
      </c>
      <c r="L578" t="s">
        <v>445</v>
      </c>
      <c r="M578">
        <v>1514505600</v>
      </c>
      <c r="N578" t="s">
        <v>1628</v>
      </c>
      <c r="O578" t="s">
        <v>1628</v>
      </c>
      <c r="P578" t="s">
        <v>1628</v>
      </c>
      <c r="Q578">
        <f>LEN(AMAZON_FASHION_5__2[[#This Row],[reviewText]])</f>
        <v>240</v>
      </c>
      <c r="R578" t="str">
        <f>IF(AMAZON_FASHION_5__2[[#This Row],[overall]]&gt;=4,"Positive",IF(AMAZON_FASHION_5__2[[#This Row],[overall]]&lt;=2,"Negative","Neutral"))</f>
        <v>Positive</v>
      </c>
      <c r="S5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79" spans="1:19" x14ac:dyDescent="0.25">
      <c r="A579">
        <v>5</v>
      </c>
      <c r="B579" t="b">
        <v>1</v>
      </c>
      <c r="C579" s="1">
        <v>43097</v>
      </c>
      <c r="D579">
        <f>YEAR(AMAZON_FASHION_5__2[[#This Row],[reviewDate]])</f>
        <v>2017</v>
      </c>
      <c r="E579" s="1" t="str">
        <f>TEXT(AMAZON_FASHION_5__2[[#This Row],[reviewDate]], "mmmm")</f>
        <v>December</v>
      </c>
      <c r="F579" t="s">
        <v>446</v>
      </c>
      <c r="G579" t="s">
        <v>1445</v>
      </c>
      <c r="H579" t="s">
        <v>201</v>
      </c>
      <c r="I579" t="s">
        <v>392</v>
      </c>
      <c r="J579" t="s">
        <v>447</v>
      </c>
      <c r="K579" t="s">
        <v>448</v>
      </c>
      <c r="L579" t="s">
        <v>449</v>
      </c>
      <c r="M579">
        <v>1514419200</v>
      </c>
      <c r="N579" t="s">
        <v>1628</v>
      </c>
      <c r="O579" t="s">
        <v>1628</v>
      </c>
      <c r="P579" t="s">
        <v>1628</v>
      </c>
      <c r="Q579">
        <f>LEN(AMAZON_FASHION_5__2[[#This Row],[reviewText]])</f>
        <v>68</v>
      </c>
      <c r="R579" t="str">
        <f>IF(AMAZON_FASHION_5__2[[#This Row],[overall]]&gt;=4,"Positive",IF(AMAZON_FASHION_5__2[[#This Row],[overall]]&lt;=2,"Negative","Neutral"))</f>
        <v>Positive</v>
      </c>
      <c r="S5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80" spans="1:19" x14ac:dyDescent="0.25">
      <c r="A580">
        <v>2</v>
      </c>
      <c r="B580" t="b">
        <v>1</v>
      </c>
      <c r="C580" s="1">
        <v>43086</v>
      </c>
      <c r="D580">
        <f>YEAR(AMAZON_FASHION_5__2[[#This Row],[reviewDate]])</f>
        <v>2017</v>
      </c>
      <c r="E580" s="1" t="str">
        <f>TEXT(AMAZON_FASHION_5__2[[#This Row],[reviewDate]], "mmmm")</f>
        <v>December</v>
      </c>
      <c r="F580" t="s">
        <v>450</v>
      </c>
      <c r="G580" t="s">
        <v>1445</v>
      </c>
      <c r="H580" t="s">
        <v>284</v>
      </c>
      <c r="I580" t="s">
        <v>411</v>
      </c>
      <c r="J580" t="s">
        <v>451</v>
      </c>
      <c r="K580" t="s">
        <v>452</v>
      </c>
      <c r="L580" t="s">
        <v>453</v>
      </c>
      <c r="M580">
        <v>1513468800</v>
      </c>
      <c r="N580" t="s">
        <v>1628</v>
      </c>
      <c r="O580" t="s">
        <v>1628</v>
      </c>
      <c r="P580" t="s">
        <v>1628</v>
      </c>
      <c r="Q580">
        <f>LEN(AMAZON_FASHION_5__2[[#This Row],[reviewText]])</f>
        <v>263</v>
      </c>
      <c r="R580" t="str">
        <f>IF(AMAZON_FASHION_5__2[[#This Row],[overall]]&gt;=4,"Positive",IF(AMAZON_FASHION_5__2[[#This Row],[overall]]&lt;=2,"Negative","Neutral"))</f>
        <v>Negative</v>
      </c>
      <c r="S5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81" spans="1:19" x14ac:dyDescent="0.25">
      <c r="A581">
        <v>5</v>
      </c>
      <c r="B581" t="b">
        <v>1</v>
      </c>
      <c r="C581" s="1">
        <v>43086</v>
      </c>
      <c r="D581">
        <f>YEAR(AMAZON_FASHION_5__2[[#This Row],[reviewDate]])</f>
        <v>2017</v>
      </c>
      <c r="E581" s="1" t="str">
        <f>TEXT(AMAZON_FASHION_5__2[[#This Row],[reviewDate]], "mmmm")</f>
        <v>December</v>
      </c>
      <c r="F581" t="s">
        <v>454</v>
      </c>
      <c r="G581" t="s">
        <v>1445</v>
      </c>
      <c r="H581" t="s">
        <v>230</v>
      </c>
      <c r="I581" t="s">
        <v>198</v>
      </c>
      <c r="J581" t="s">
        <v>455</v>
      </c>
      <c r="K581" t="s">
        <v>456</v>
      </c>
      <c r="L581" t="s">
        <v>17</v>
      </c>
      <c r="M581">
        <v>1513468800</v>
      </c>
      <c r="N581" t="s">
        <v>1628</v>
      </c>
      <c r="O581" t="s">
        <v>1628</v>
      </c>
      <c r="P581" t="s">
        <v>1628</v>
      </c>
      <c r="Q581">
        <f>LEN(AMAZON_FASHION_5__2[[#This Row],[reviewText]])</f>
        <v>14</v>
      </c>
      <c r="R581" t="str">
        <f>IF(AMAZON_FASHION_5__2[[#This Row],[overall]]&gt;=4,"Positive",IF(AMAZON_FASHION_5__2[[#This Row],[overall]]&lt;=2,"Negative","Neutral"))</f>
        <v>Positive</v>
      </c>
      <c r="S5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82" spans="1:19" x14ac:dyDescent="0.25">
      <c r="A582">
        <v>3</v>
      </c>
      <c r="B582" t="b">
        <v>1</v>
      </c>
      <c r="C582" s="1">
        <v>43074</v>
      </c>
      <c r="D582">
        <f>YEAR(AMAZON_FASHION_5__2[[#This Row],[reviewDate]])</f>
        <v>2017</v>
      </c>
      <c r="E582" s="1" t="str">
        <f>TEXT(AMAZON_FASHION_5__2[[#This Row],[reviewDate]], "mmmm")</f>
        <v>December</v>
      </c>
      <c r="F582" t="s">
        <v>457</v>
      </c>
      <c r="G582" t="s">
        <v>1445</v>
      </c>
      <c r="H582" t="s">
        <v>210</v>
      </c>
      <c r="I582" t="s">
        <v>274</v>
      </c>
      <c r="J582" t="s">
        <v>458</v>
      </c>
      <c r="K582" t="s">
        <v>459</v>
      </c>
      <c r="L582" t="s">
        <v>460</v>
      </c>
      <c r="M582">
        <v>1512432000</v>
      </c>
      <c r="N582" t="s">
        <v>1628</v>
      </c>
      <c r="O582" t="s">
        <v>1628</v>
      </c>
      <c r="P582" t="s">
        <v>1628</v>
      </c>
      <c r="Q582">
        <f>LEN(AMAZON_FASHION_5__2[[#This Row],[reviewText]])</f>
        <v>757</v>
      </c>
      <c r="R582" t="str">
        <f>IF(AMAZON_FASHION_5__2[[#This Row],[overall]]&gt;=4,"Positive",IF(AMAZON_FASHION_5__2[[#This Row],[overall]]&lt;=2,"Negative","Neutral"))</f>
        <v>Neutral</v>
      </c>
      <c r="S5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83" spans="1:19" x14ac:dyDescent="0.25">
      <c r="A583">
        <v>5</v>
      </c>
      <c r="B583" t="b">
        <v>1</v>
      </c>
      <c r="C583" s="1">
        <v>43074</v>
      </c>
      <c r="D583">
        <f>YEAR(AMAZON_FASHION_5__2[[#This Row],[reviewDate]])</f>
        <v>2017</v>
      </c>
      <c r="E583" s="1" t="str">
        <f>TEXT(AMAZON_FASHION_5__2[[#This Row],[reviewDate]], "mmmm")</f>
        <v>December</v>
      </c>
      <c r="F583" t="s">
        <v>461</v>
      </c>
      <c r="G583" t="s">
        <v>1445</v>
      </c>
      <c r="H583" t="s">
        <v>230</v>
      </c>
      <c r="I583" t="s">
        <v>303</v>
      </c>
      <c r="J583" t="s">
        <v>462</v>
      </c>
      <c r="K583" t="s">
        <v>463</v>
      </c>
      <c r="L583" t="s">
        <v>17</v>
      </c>
      <c r="M583">
        <v>1512432000</v>
      </c>
      <c r="N583" t="s">
        <v>1628</v>
      </c>
      <c r="O583" t="s">
        <v>1628</v>
      </c>
      <c r="P583" t="s">
        <v>1628</v>
      </c>
      <c r="Q583">
        <f>LEN(AMAZON_FASHION_5__2[[#This Row],[reviewText]])</f>
        <v>5</v>
      </c>
      <c r="R583" t="str">
        <f>IF(AMAZON_FASHION_5__2[[#This Row],[overall]]&gt;=4,"Positive",IF(AMAZON_FASHION_5__2[[#This Row],[overall]]&lt;=2,"Negative","Neutral"))</f>
        <v>Positive</v>
      </c>
      <c r="S5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84" spans="1:19" x14ac:dyDescent="0.25">
      <c r="A584">
        <v>5</v>
      </c>
      <c r="B584" t="b">
        <v>1</v>
      </c>
      <c r="C584" s="1">
        <v>43073</v>
      </c>
      <c r="D584">
        <f>YEAR(AMAZON_FASHION_5__2[[#This Row],[reviewDate]])</f>
        <v>2017</v>
      </c>
      <c r="E584" s="1" t="str">
        <f>TEXT(AMAZON_FASHION_5__2[[#This Row],[reviewDate]], "mmmm")</f>
        <v>December</v>
      </c>
      <c r="F584" t="s">
        <v>464</v>
      </c>
      <c r="G584" t="s">
        <v>1445</v>
      </c>
      <c r="H584" t="s">
        <v>320</v>
      </c>
      <c r="I584" t="s">
        <v>303</v>
      </c>
      <c r="J584" t="s">
        <v>63</v>
      </c>
      <c r="K584" t="s">
        <v>465</v>
      </c>
      <c r="L584" t="s">
        <v>17</v>
      </c>
      <c r="M584">
        <v>1512345600</v>
      </c>
      <c r="N584" t="s">
        <v>1628</v>
      </c>
      <c r="O584" t="s">
        <v>1628</v>
      </c>
      <c r="P584" t="s">
        <v>1628</v>
      </c>
      <c r="Q584">
        <f>LEN(AMAZON_FASHION_5__2[[#This Row],[reviewText]])</f>
        <v>1</v>
      </c>
      <c r="R584" t="str">
        <f>IF(AMAZON_FASHION_5__2[[#This Row],[overall]]&gt;=4,"Positive",IF(AMAZON_FASHION_5__2[[#This Row],[overall]]&lt;=2,"Negative","Neutral"))</f>
        <v>Positive</v>
      </c>
      <c r="S5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85" spans="1:19" x14ac:dyDescent="0.25">
      <c r="A585">
        <v>5</v>
      </c>
      <c r="B585" t="b">
        <v>1</v>
      </c>
      <c r="C585" s="1">
        <v>43069</v>
      </c>
      <c r="D585">
        <f>YEAR(AMAZON_FASHION_5__2[[#This Row],[reviewDate]])</f>
        <v>2017</v>
      </c>
      <c r="E585" s="1" t="str">
        <f>TEXT(AMAZON_FASHION_5__2[[#This Row],[reviewDate]], "mmmm")</f>
        <v>November</v>
      </c>
      <c r="F585" t="s">
        <v>466</v>
      </c>
      <c r="G585" t="s">
        <v>1445</v>
      </c>
      <c r="H585" t="s">
        <v>210</v>
      </c>
      <c r="I585" t="s">
        <v>274</v>
      </c>
      <c r="J585" t="s">
        <v>467</v>
      </c>
      <c r="K585" t="s">
        <v>468</v>
      </c>
      <c r="L585" t="s">
        <v>17</v>
      </c>
      <c r="M585">
        <v>1512000000</v>
      </c>
      <c r="N585" t="s">
        <v>1628</v>
      </c>
      <c r="O585" t="s">
        <v>1628</v>
      </c>
      <c r="P585" t="s">
        <v>1628</v>
      </c>
      <c r="Q585">
        <f>LEN(AMAZON_FASHION_5__2[[#This Row],[reviewText]])</f>
        <v>10</v>
      </c>
      <c r="R585" t="str">
        <f>IF(AMAZON_FASHION_5__2[[#This Row],[overall]]&gt;=4,"Positive",IF(AMAZON_FASHION_5__2[[#This Row],[overall]]&lt;=2,"Negative","Neutral"))</f>
        <v>Positive</v>
      </c>
      <c r="S5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86" spans="1:19" x14ac:dyDescent="0.25">
      <c r="A586">
        <v>3</v>
      </c>
      <c r="B586" t="b">
        <v>1</v>
      </c>
      <c r="C586" s="1">
        <v>43069</v>
      </c>
      <c r="D586">
        <f>YEAR(AMAZON_FASHION_5__2[[#This Row],[reviewDate]])</f>
        <v>2017</v>
      </c>
      <c r="E586" s="1" t="str">
        <f>TEXT(AMAZON_FASHION_5__2[[#This Row],[reviewDate]], "mmmm")</f>
        <v>November</v>
      </c>
      <c r="F586" t="s">
        <v>469</v>
      </c>
      <c r="G586" t="s">
        <v>1445</v>
      </c>
      <c r="H586" t="s">
        <v>210</v>
      </c>
      <c r="I586" t="s">
        <v>198</v>
      </c>
      <c r="J586" t="s">
        <v>63</v>
      </c>
      <c r="K586" t="s">
        <v>470</v>
      </c>
      <c r="L586" t="s">
        <v>471</v>
      </c>
      <c r="M586">
        <v>1512000000</v>
      </c>
      <c r="N586" t="s">
        <v>1628</v>
      </c>
      <c r="O586" t="s">
        <v>1628</v>
      </c>
      <c r="P586" t="s">
        <v>1628</v>
      </c>
      <c r="Q586">
        <f>LEN(AMAZON_FASHION_5__2[[#This Row],[reviewText]])</f>
        <v>192</v>
      </c>
      <c r="R586" t="str">
        <f>IF(AMAZON_FASHION_5__2[[#This Row],[overall]]&gt;=4,"Positive",IF(AMAZON_FASHION_5__2[[#This Row],[overall]]&lt;=2,"Negative","Neutral"))</f>
        <v>Neutral</v>
      </c>
      <c r="S5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87" spans="1:19" x14ac:dyDescent="0.25">
      <c r="A587">
        <v>3</v>
      </c>
      <c r="B587" t="b">
        <v>1</v>
      </c>
      <c r="C587" s="1">
        <v>43067</v>
      </c>
      <c r="D587">
        <f>YEAR(AMAZON_FASHION_5__2[[#This Row],[reviewDate]])</f>
        <v>2017</v>
      </c>
      <c r="E587" s="1" t="str">
        <f>TEXT(AMAZON_FASHION_5__2[[#This Row],[reviewDate]], "mmmm")</f>
        <v>November</v>
      </c>
      <c r="F587" t="s">
        <v>472</v>
      </c>
      <c r="G587" t="s">
        <v>1445</v>
      </c>
      <c r="H587" t="s">
        <v>261</v>
      </c>
      <c r="I587" t="s">
        <v>1455</v>
      </c>
      <c r="J587" t="s">
        <v>473</v>
      </c>
      <c r="K587" t="s">
        <v>474</v>
      </c>
      <c r="L587" t="s">
        <v>475</v>
      </c>
      <c r="M587">
        <v>1511827200</v>
      </c>
      <c r="N587" t="s">
        <v>1628</v>
      </c>
      <c r="O587" t="s">
        <v>1628</v>
      </c>
      <c r="P587" t="s">
        <v>1628</v>
      </c>
      <c r="Q587">
        <f>LEN(AMAZON_FASHION_5__2[[#This Row],[reviewText]])</f>
        <v>194</v>
      </c>
      <c r="R587" t="str">
        <f>IF(AMAZON_FASHION_5__2[[#This Row],[overall]]&gt;=4,"Positive",IF(AMAZON_FASHION_5__2[[#This Row],[overall]]&lt;=2,"Negative","Neutral"))</f>
        <v>Neutral</v>
      </c>
      <c r="S5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88" spans="1:19" x14ac:dyDescent="0.25">
      <c r="A588">
        <v>4</v>
      </c>
      <c r="B588" t="b">
        <v>1</v>
      </c>
      <c r="C588" s="1">
        <v>43067</v>
      </c>
      <c r="D588">
        <f>YEAR(AMAZON_FASHION_5__2[[#This Row],[reviewDate]])</f>
        <v>2017</v>
      </c>
      <c r="E588" s="1" t="str">
        <f>TEXT(AMAZON_FASHION_5__2[[#This Row],[reviewDate]], "mmmm")</f>
        <v>November</v>
      </c>
      <c r="F588" t="s">
        <v>476</v>
      </c>
      <c r="G588" t="s">
        <v>1445</v>
      </c>
      <c r="H588" t="s">
        <v>477</v>
      </c>
      <c r="I588" t="s">
        <v>396</v>
      </c>
      <c r="J588" t="s">
        <v>478</v>
      </c>
      <c r="K588" t="s">
        <v>479</v>
      </c>
      <c r="L588" t="s">
        <v>480</v>
      </c>
      <c r="M588">
        <v>1511827200</v>
      </c>
      <c r="N588" t="s">
        <v>1628</v>
      </c>
      <c r="O588" t="s">
        <v>1628</v>
      </c>
      <c r="P588" t="s">
        <v>1628</v>
      </c>
      <c r="Q588">
        <f>LEN(AMAZON_FASHION_5__2[[#This Row],[reviewText]])</f>
        <v>27</v>
      </c>
      <c r="R588" t="str">
        <f>IF(AMAZON_FASHION_5__2[[#This Row],[overall]]&gt;=4,"Positive",IF(AMAZON_FASHION_5__2[[#This Row],[overall]]&lt;=2,"Negative","Neutral"))</f>
        <v>Positive</v>
      </c>
      <c r="S5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89" spans="1:19" x14ac:dyDescent="0.25">
      <c r="A589">
        <v>5</v>
      </c>
      <c r="B589" t="b">
        <v>1</v>
      </c>
      <c r="C589" s="1">
        <v>43066</v>
      </c>
      <c r="D589">
        <f>YEAR(AMAZON_FASHION_5__2[[#This Row],[reviewDate]])</f>
        <v>2017</v>
      </c>
      <c r="E589" s="1" t="str">
        <f>TEXT(AMAZON_FASHION_5__2[[#This Row],[reviewDate]], "mmmm")</f>
        <v>November</v>
      </c>
      <c r="F589" t="s">
        <v>481</v>
      </c>
      <c r="G589" t="s">
        <v>1445</v>
      </c>
      <c r="H589" t="s">
        <v>210</v>
      </c>
      <c r="I589" t="s">
        <v>303</v>
      </c>
      <c r="J589" t="s">
        <v>482</v>
      </c>
      <c r="K589" t="s">
        <v>483</v>
      </c>
      <c r="L589" t="s">
        <v>17</v>
      </c>
      <c r="M589">
        <v>1511740800</v>
      </c>
      <c r="N589" t="s">
        <v>1628</v>
      </c>
      <c r="O589" t="s">
        <v>1628</v>
      </c>
      <c r="P589" t="s">
        <v>1628</v>
      </c>
      <c r="Q589">
        <f>LEN(AMAZON_FASHION_5__2[[#This Row],[reviewText]])</f>
        <v>8</v>
      </c>
      <c r="R589" t="str">
        <f>IF(AMAZON_FASHION_5__2[[#This Row],[overall]]&gt;=4,"Positive",IF(AMAZON_FASHION_5__2[[#This Row],[overall]]&lt;=2,"Negative","Neutral"))</f>
        <v>Positive</v>
      </c>
      <c r="S5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90" spans="1:19" x14ac:dyDescent="0.25">
      <c r="A590">
        <v>5</v>
      </c>
      <c r="B590" t="b">
        <v>1</v>
      </c>
      <c r="C590" s="1">
        <v>43066</v>
      </c>
      <c r="D590">
        <f>YEAR(AMAZON_FASHION_5__2[[#This Row],[reviewDate]])</f>
        <v>2017</v>
      </c>
      <c r="E590" s="1" t="str">
        <f>TEXT(AMAZON_FASHION_5__2[[#This Row],[reviewDate]], "mmmm")</f>
        <v>November</v>
      </c>
      <c r="F590" t="s">
        <v>481</v>
      </c>
      <c r="G590" t="s">
        <v>1445</v>
      </c>
      <c r="H590" t="s">
        <v>210</v>
      </c>
      <c r="I590" t="s">
        <v>392</v>
      </c>
      <c r="J590" t="s">
        <v>482</v>
      </c>
      <c r="K590" t="s">
        <v>483</v>
      </c>
      <c r="L590" t="s">
        <v>17</v>
      </c>
      <c r="M590">
        <v>1511740800</v>
      </c>
      <c r="N590" t="s">
        <v>1628</v>
      </c>
      <c r="O590" t="s">
        <v>1628</v>
      </c>
      <c r="P590" t="s">
        <v>1628</v>
      </c>
      <c r="Q590">
        <f>LEN(AMAZON_FASHION_5__2[[#This Row],[reviewText]])</f>
        <v>8</v>
      </c>
      <c r="R590" t="str">
        <f>IF(AMAZON_FASHION_5__2[[#This Row],[overall]]&gt;=4,"Positive",IF(AMAZON_FASHION_5__2[[#This Row],[overall]]&lt;=2,"Negative","Neutral"))</f>
        <v>Positive</v>
      </c>
      <c r="S5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91" spans="1:19" x14ac:dyDescent="0.25">
      <c r="A591">
        <v>1</v>
      </c>
      <c r="B591" t="b">
        <v>1</v>
      </c>
      <c r="C591" s="1">
        <v>43058</v>
      </c>
      <c r="D591">
        <f>YEAR(AMAZON_FASHION_5__2[[#This Row],[reviewDate]])</f>
        <v>2017</v>
      </c>
      <c r="E591" s="1" t="str">
        <f>TEXT(AMAZON_FASHION_5__2[[#This Row],[reviewDate]], "mmmm")</f>
        <v>November</v>
      </c>
      <c r="F591" t="s">
        <v>484</v>
      </c>
      <c r="G591" t="s">
        <v>1445</v>
      </c>
      <c r="H591" t="s">
        <v>201</v>
      </c>
      <c r="I591" t="s">
        <v>198</v>
      </c>
      <c r="J591" t="s">
        <v>485</v>
      </c>
      <c r="K591" t="s">
        <v>486</v>
      </c>
      <c r="L591" t="s">
        <v>487</v>
      </c>
      <c r="M591">
        <v>1511049600</v>
      </c>
      <c r="N591" t="s">
        <v>1628</v>
      </c>
      <c r="O591" t="s">
        <v>1628</v>
      </c>
      <c r="P591" t="s">
        <v>1628</v>
      </c>
      <c r="Q591">
        <f>LEN(AMAZON_FASHION_5__2[[#This Row],[reviewText]])</f>
        <v>133</v>
      </c>
      <c r="R591" t="str">
        <f>IF(AMAZON_FASHION_5__2[[#This Row],[overall]]&gt;=4,"Positive",IF(AMAZON_FASHION_5__2[[#This Row],[overall]]&lt;=2,"Negative","Neutral"))</f>
        <v>Negative</v>
      </c>
      <c r="S5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92" spans="1:19" x14ac:dyDescent="0.25">
      <c r="A592">
        <v>5</v>
      </c>
      <c r="B592" t="b">
        <v>1</v>
      </c>
      <c r="C592" s="1">
        <v>43053</v>
      </c>
      <c r="D592">
        <f>YEAR(AMAZON_FASHION_5__2[[#This Row],[reviewDate]])</f>
        <v>2017</v>
      </c>
      <c r="E592" s="1" t="str">
        <f>TEXT(AMAZON_FASHION_5__2[[#This Row],[reviewDate]], "mmmm")</f>
        <v>November</v>
      </c>
      <c r="F592" t="s">
        <v>488</v>
      </c>
      <c r="G592" t="s">
        <v>1445</v>
      </c>
      <c r="H592" t="s">
        <v>210</v>
      </c>
      <c r="I592" t="s">
        <v>303</v>
      </c>
      <c r="J592" t="s">
        <v>489</v>
      </c>
      <c r="K592" t="s">
        <v>490</v>
      </c>
      <c r="L592" t="s">
        <v>491</v>
      </c>
      <c r="M592">
        <v>1510617600</v>
      </c>
      <c r="N592" t="s">
        <v>1628</v>
      </c>
      <c r="O592" t="s">
        <v>1628</v>
      </c>
      <c r="P592" t="s">
        <v>1628</v>
      </c>
      <c r="Q592">
        <f>LEN(AMAZON_FASHION_5__2[[#This Row],[reviewText]])</f>
        <v>232</v>
      </c>
      <c r="R592" t="str">
        <f>IF(AMAZON_FASHION_5__2[[#This Row],[overall]]&gt;=4,"Positive",IF(AMAZON_FASHION_5__2[[#This Row],[overall]]&lt;=2,"Negative","Neutral"))</f>
        <v>Positive</v>
      </c>
      <c r="S5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93" spans="1:19" x14ac:dyDescent="0.25">
      <c r="A593">
        <v>4</v>
      </c>
      <c r="B593" t="b">
        <v>1</v>
      </c>
      <c r="C593" s="1">
        <v>43050</v>
      </c>
      <c r="D593">
        <f>YEAR(AMAZON_FASHION_5__2[[#This Row],[reviewDate]])</f>
        <v>2017</v>
      </c>
      <c r="E593" s="1" t="str">
        <f>TEXT(AMAZON_FASHION_5__2[[#This Row],[reviewDate]], "mmmm")</f>
        <v>November</v>
      </c>
      <c r="F593" t="s">
        <v>492</v>
      </c>
      <c r="G593" t="s">
        <v>1445</v>
      </c>
      <c r="H593" t="s">
        <v>230</v>
      </c>
      <c r="I593" t="s">
        <v>493</v>
      </c>
      <c r="J593" t="s">
        <v>494</v>
      </c>
      <c r="K593" t="s">
        <v>495</v>
      </c>
      <c r="L593" t="s">
        <v>496</v>
      </c>
      <c r="M593">
        <v>1510358400</v>
      </c>
      <c r="N593" t="s">
        <v>1628</v>
      </c>
      <c r="O593" t="s">
        <v>1628</v>
      </c>
      <c r="P593" t="s">
        <v>1628</v>
      </c>
      <c r="Q593">
        <f>LEN(AMAZON_FASHION_5__2[[#This Row],[reviewText]])</f>
        <v>104</v>
      </c>
      <c r="R593" t="str">
        <f>IF(AMAZON_FASHION_5__2[[#This Row],[overall]]&gt;=4,"Positive",IF(AMAZON_FASHION_5__2[[#This Row],[overall]]&lt;=2,"Negative","Neutral"))</f>
        <v>Positive</v>
      </c>
      <c r="S5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94" spans="1:19" x14ac:dyDescent="0.25">
      <c r="A594">
        <v>5</v>
      </c>
      <c r="B594" t="b">
        <v>1</v>
      </c>
      <c r="C594" s="1">
        <v>43049</v>
      </c>
      <c r="D594">
        <f>YEAR(AMAZON_FASHION_5__2[[#This Row],[reviewDate]])</f>
        <v>2017</v>
      </c>
      <c r="E594" s="1" t="str">
        <f>TEXT(AMAZON_FASHION_5__2[[#This Row],[reviewDate]], "mmmm")</f>
        <v>November</v>
      </c>
      <c r="F594" t="s">
        <v>497</v>
      </c>
      <c r="G594" t="s">
        <v>1445</v>
      </c>
      <c r="H594" t="s">
        <v>477</v>
      </c>
      <c r="I594" t="s">
        <v>396</v>
      </c>
      <c r="J594" t="s">
        <v>498</v>
      </c>
      <c r="K594" t="s">
        <v>499</v>
      </c>
      <c r="L594" t="s">
        <v>17</v>
      </c>
      <c r="M594">
        <v>1510272000</v>
      </c>
      <c r="N594" t="s">
        <v>1628</v>
      </c>
      <c r="O594" t="s">
        <v>1628</v>
      </c>
      <c r="P594" t="s">
        <v>1628</v>
      </c>
      <c r="Q594">
        <f>LEN(AMAZON_FASHION_5__2[[#This Row],[reviewText]])</f>
        <v>15</v>
      </c>
      <c r="R594" t="str">
        <f>IF(AMAZON_FASHION_5__2[[#This Row],[overall]]&gt;=4,"Positive",IF(AMAZON_FASHION_5__2[[#This Row],[overall]]&lt;=2,"Negative","Neutral"))</f>
        <v>Positive</v>
      </c>
      <c r="S5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95" spans="1:19" x14ac:dyDescent="0.25">
      <c r="A595">
        <v>5</v>
      </c>
      <c r="B595" t="b">
        <v>1</v>
      </c>
      <c r="C595" s="1">
        <v>43048</v>
      </c>
      <c r="D595">
        <f>YEAR(AMAZON_FASHION_5__2[[#This Row],[reviewDate]])</f>
        <v>2017</v>
      </c>
      <c r="E595" s="1" t="str">
        <f>TEXT(AMAZON_FASHION_5__2[[#This Row],[reviewDate]], "mmmm")</f>
        <v>November</v>
      </c>
      <c r="F595" t="s">
        <v>500</v>
      </c>
      <c r="G595" t="s">
        <v>1445</v>
      </c>
      <c r="H595" t="s">
        <v>197</v>
      </c>
      <c r="I595" t="s">
        <v>198</v>
      </c>
      <c r="J595" t="s">
        <v>63</v>
      </c>
      <c r="K595" t="s">
        <v>501</v>
      </c>
      <c r="L595" t="s">
        <v>502</v>
      </c>
      <c r="M595">
        <v>1510185600</v>
      </c>
      <c r="N595" t="s">
        <v>1628</v>
      </c>
      <c r="O595" t="s">
        <v>1628</v>
      </c>
      <c r="P595" t="s">
        <v>1628</v>
      </c>
      <c r="Q595">
        <f>LEN(AMAZON_FASHION_5__2[[#This Row],[reviewText]])</f>
        <v>278</v>
      </c>
      <c r="R595" t="str">
        <f>IF(AMAZON_FASHION_5__2[[#This Row],[overall]]&gt;=4,"Positive",IF(AMAZON_FASHION_5__2[[#This Row],[overall]]&lt;=2,"Negative","Neutral"))</f>
        <v>Positive</v>
      </c>
      <c r="S5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96" spans="1:19" x14ac:dyDescent="0.25">
      <c r="A596">
        <v>4</v>
      </c>
      <c r="B596" t="b">
        <v>1</v>
      </c>
      <c r="C596" s="1">
        <v>43046</v>
      </c>
      <c r="D596">
        <f>YEAR(AMAZON_FASHION_5__2[[#This Row],[reviewDate]])</f>
        <v>2017</v>
      </c>
      <c r="E596" s="1" t="str">
        <f>TEXT(AMAZON_FASHION_5__2[[#This Row],[reviewDate]], "mmmm")</f>
        <v>November</v>
      </c>
      <c r="F596" t="s">
        <v>503</v>
      </c>
      <c r="G596" t="s">
        <v>1445</v>
      </c>
      <c r="H596" t="s">
        <v>210</v>
      </c>
      <c r="I596" t="s">
        <v>274</v>
      </c>
      <c r="J596" t="s">
        <v>504</v>
      </c>
      <c r="K596" t="s">
        <v>505</v>
      </c>
      <c r="L596" t="s">
        <v>103</v>
      </c>
      <c r="M596">
        <v>1510012800</v>
      </c>
      <c r="N596" t="s">
        <v>1628</v>
      </c>
      <c r="O596" t="s">
        <v>1628</v>
      </c>
      <c r="P596" t="s">
        <v>1628</v>
      </c>
      <c r="Q596">
        <f>LEN(AMAZON_FASHION_5__2[[#This Row],[reviewText]])</f>
        <v>8</v>
      </c>
      <c r="R596" t="str">
        <f>IF(AMAZON_FASHION_5__2[[#This Row],[overall]]&gt;=4,"Positive",IF(AMAZON_FASHION_5__2[[#This Row],[overall]]&lt;=2,"Negative","Neutral"))</f>
        <v>Positive</v>
      </c>
      <c r="S5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97" spans="1:19" x14ac:dyDescent="0.25">
      <c r="A597">
        <v>2</v>
      </c>
      <c r="B597" t="b">
        <v>1</v>
      </c>
      <c r="C597" s="1">
        <v>43044</v>
      </c>
      <c r="D597">
        <f>YEAR(AMAZON_FASHION_5__2[[#This Row],[reviewDate]])</f>
        <v>2017</v>
      </c>
      <c r="E597" s="1" t="str">
        <f>TEXT(AMAZON_FASHION_5__2[[#This Row],[reviewDate]], "mmmm")</f>
        <v>November</v>
      </c>
      <c r="F597" t="s">
        <v>506</v>
      </c>
      <c r="G597" t="s">
        <v>1445</v>
      </c>
      <c r="H597" t="s">
        <v>197</v>
      </c>
      <c r="I597" t="s">
        <v>507</v>
      </c>
      <c r="J597" t="s">
        <v>63</v>
      </c>
      <c r="K597" t="s">
        <v>508</v>
      </c>
      <c r="L597" t="s">
        <v>509</v>
      </c>
      <c r="M597">
        <v>1509840000</v>
      </c>
      <c r="N597" t="s">
        <v>1628</v>
      </c>
      <c r="O597" t="s">
        <v>1628</v>
      </c>
      <c r="P597">
        <v>6</v>
      </c>
      <c r="Q597">
        <f>LEN(AMAZON_FASHION_5__2[[#This Row],[reviewText]])</f>
        <v>467</v>
      </c>
      <c r="R597" t="str">
        <f>IF(AMAZON_FASHION_5__2[[#This Row],[overall]]&gt;=4,"Positive",IF(AMAZON_FASHION_5__2[[#This Row],[overall]]&lt;=2,"Negative","Neutral"))</f>
        <v>Negative</v>
      </c>
      <c r="S5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98" spans="1:19" x14ac:dyDescent="0.25">
      <c r="A598">
        <v>5</v>
      </c>
      <c r="B598" t="b">
        <v>1</v>
      </c>
      <c r="C598" s="1">
        <v>43043</v>
      </c>
      <c r="D598">
        <f>YEAR(AMAZON_FASHION_5__2[[#This Row],[reviewDate]])</f>
        <v>2017</v>
      </c>
      <c r="E598" s="1" t="str">
        <f>TEXT(AMAZON_FASHION_5__2[[#This Row],[reviewDate]], "mmmm")</f>
        <v>November</v>
      </c>
      <c r="F598" t="s">
        <v>510</v>
      </c>
      <c r="G598" t="s">
        <v>1445</v>
      </c>
      <c r="H598" t="s">
        <v>235</v>
      </c>
      <c r="I598" t="s">
        <v>274</v>
      </c>
      <c r="J598" t="s">
        <v>511</v>
      </c>
      <c r="K598" t="s">
        <v>512</v>
      </c>
      <c r="L598" t="s">
        <v>17</v>
      </c>
      <c r="M598">
        <v>1509753600</v>
      </c>
      <c r="N598" t="s">
        <v>1628</v>
      </c>
      <c r="O598" t="s">
        <v>1628</v>
      </c>
      <c r="P598" t="s">
        <v>1628</v>
      </c>
      <c r="Q598">
        <f>LEN(AMAZON_FASHION_5__2[[#This Row],[reviewText]])</f>
        <v>39</v>
      </c>
      <c r="R598" t="str">
        <f>IF(AMAZON_FASHION_5__2[[#This Row],[overall]]&gt;=4,"Positive",IF(AMAZON_FASHION_5__2[[#This Row],[overall]]&lt;=2,"Negative","Neutral"))</f>
        <v>Positive</v>
      </c>
      <c r="S5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599" spans="1:19" x14ac:dyDescent="0.25">
      <c r="A599">
        <v>3</v>
      </c>
      <c r="B599" t="b">
        <v>1</v>
      </c>
      <c r="C599" s="1">
        <v>43043</v>
      </c>
      <c r="D599">
        <f>YEAR(AMAZON_FASHION_5__2[[#This Row],[reviewDate]])</f>
        <v>2017</v>
      </c>
      <c r="E599" s="1" t="str">
        <f>TEXT(AMAZON_FASHION_5__2[[#This Row],[reviewDate]], "mmmm")</f>
        <v>November</v>
      </c>
      <c r="F599" t="s">
        <v>513</v>
      </c>
      <c r="G599" t="s">
        <v>1445</v>
      </c>
      <c r="H599" t="s">
        <v>205</v>
      </c>
      <c r="I599" t="s">
        <v>507</v>
      </c>
      <c r="J599" t="s">
        <v>514</v>
      </c>
      <c r="K599" t="s">
        <v>515</v>
      </c>
      <c r="L599" t="s">
        <v>101</v>
      </c>
      <c r="M599">
        <v>1509753600</v>
      </c>
      <c r="N599" t="s">
        <v>1628</v>
      </c>
      <c r="O599" t="s">
        <v>1628</v>
      </c>
      <c r="P599" t="s">
        <v>1628</v>
      </c>
      <c r="Q599">
        <f>LEN(AMAZON_FASHION_5__2[[#This Row],[reviewText]])</f>
        <v>38</v>
      </c>
      <c r="R599" t="str">
        <f>IF(AMAZON_FASHION_5__2[[#This Row],[overall]]&gt;=4,"Positive",IF(AMAZON_FASHION_5__2[[#This Row],[overall]]&lt;=2,"Negative","Neutral"))</f>
        <v>Neutral</v>
      </c>
      <c r="S5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00" spans="1:19" x14ac:dyDescent="0.25">
      <c r="A600">
        <v>4</v>
      </c>
      <c r="B600" t="b">
        <v>1</v>
      </c>
      <c r="C600" s="1">
        <v>43042</v>
      </c>
      <c r="D600">
        <f>YEAR(AMAZON_FASHION_5__2[[#This Row],[reviewDate]])</f>
        <v>2017</v>
      </c>
      <c r="E600" s="1" t="str">
        <f>TEXT(AMAZON_FASHION_5__2[[#This Row],[reviewDate]], "mmmm")</f>
        <v>November</v>
      </c>
      <c r="F600" t="s">
        <v>516</v>
      </c>
      <c r="G600" t="s">
        <v>1445</v>
      </c>
      <c r="H600" t="s">
        <v>230</v>
      </c>
      <c r="I600" t="s">
        <v>274</v>
      </c>
      <c r="J600" t="s">
        <v>517</v>
      </c>
      <c r="K600" t="s">
        <v>518</v>
      </c>
      <c r="L600" t="s">
        <v>519</v>
      </c>
      <c r="M600">
        <v>1509667200</v>
      </c>
      <c r="N600" t="s">
        <v>1628</v>
      </c>
      <c r="O600" t="s">
        <v>1628</v>
      </c>
      <c r="P600" t="s">
        <v>1628</v>
      </c>
      <c r="Q600">
        <f>LEN(AMAZON_FASHION_5__2[[#This Row],[reviewText]])</f>
        <v>23</v>
      </c>
      <c r="R600" t="str">
        <f>IF(AMAZON_FASHION_5__2[[#This Row],[overall]]&gt;=4,"Positive",IF(AMAZON_FASHION_5__2[[#This Row],[overall]]&lt;=2,"Negative","Neutral"))</f>
        <v>Positive</v>
      </c>
      <c r="S6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01" spans="1:19" x14ac:dyDescent="0.25">
      <c r="A601">
        <v>5</v>
      </c>
      <c r="B601" t="b">
        <v>1</v>
      </c>
      <c r="C601" s="1">
        <v>43041</v>
      </c>
      <c r="D601">
        <f>YEAR(AMAZON_FASHION_5__2[[#This Row],[reviewDate]])</f>
        <v>2017</v>
      </c>
      <c r="E601" s="1" t="str">
        <f>TEXT(AMAZON_FASHION_5__2[[#This Row],[reviewDate]], "mmmm")</f>
        <v>November</v>
      </c>
      <c r="F601" t="s">
        <v>520</v>
      </c>
      <c r="G601" t="s">
        <v>1445</v>
      </c>
      <c r="H601" t="s">
        <v>230</v>
      </c>
      <c r="I601" t="s">
        <v>303</v>
      </c>
      <c r="J601" t="s">
        <v>521</v>
      </c>
      <c r="K601" t="s">
        <v>522</v>
      </c>
      <c r="L601" t="s">
        <v>17</v>
      </c>
      <c r="M601">
        <v>1509580800</v>
      </c>
      <c r="N601" t="s">
        <v>1628</v>
      </c>
      <c r="O601" t="s">
        <v>1628</v>
      </c>
      <c r="P601" t="s">
        <v>1628</v>
      </c>
      <c r="Q601">
        <f>LEN(AMAZON_FASHION_5__2[[#This Row],[reviewText]])</f>
        <v>10</v>
      </c>
      <c r="R601" t="str">
        <f>IF(AMAZON_FASHION_5__2[[#This Row],[overall]]&gt;=4,"Positive",IF(AMAZON_FASHION_5__2[[#This Row],[overall]]&lt;=2,"Negative","Neutral"))</f>
        <v>Positive</v>
      </c>
      <c r="S6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02" spans="1:19" x14ac:dyDescent="0.25">
      <c r="A602">
        <v>4</v>
      </c>
      <c r="B602" t="b">
        <v>1</v>
      </c>
      <c r="C602" s="1">
        <v>43039</v>
      </c>
      <c r="D602">
        <f>YEAR(AMAZON_FASHION_5__2[[#This Row],[reviewDate]])</f>
        <v>2017</v>
      </c>
      <c r="E602" s="1" t="str">
        <f>TEXT(AMAZON_FASHION_5__2[[#This Row],[reviewDate]], "mmmm")</f>
        <v>October</v>
      </c>
      <c r="F602" t="s">
        <v>523</v>
      </c>
      <c r="G602" t="s">
        <v>1445</v>
      </c>
      <c r="H602" t="s">
        <v>201</v>
      </c>
      <c r="I602" t="s">
        <v>524</v>
      </c>
      <c r="J602" t="s">
        <v>525</v>
      </c>
      <c r="K602" t="s">
        <v>526</v>
      </c>
      <c r="L602" t="s">
        <v>527</v>
      </c>
      <c r="M602">
        <v>1509408000</v>
      </c>
      <c r="N602" t="s">
        <v>1628</v>
      </c>
      <c r="O602" t="s">
        <v>1628</v>
      </c>
      <c r="P602" t="s">
        <v>1628</v>
      </c>
      <c r="Q602">
        <f>LEN(AMAZON_FASHION_5__2[[#This Row],[reviewText]])</f>
        <v>152</v>
      </c>
      <c r="R602" t="str">
        <f>IF(AMAZON_FASHION_5__2[[#This Row],[overall]]&gt;=4,"Positive",IF(AMAZON_FASHION_5__2[[#This Row],[overall]]&lt;=2,"Negative","Neutral"))</f>
        <v>Positive</v>
      </c>
      <c r="S6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03" spans="1:19" x14ac:dyDescent="0.25">
      <c r="A603">
        <v>5</v>
      </c>
      <c r="B603" t="b">
        <v>1</v>
      </c>
      <c r="C603" s="1">
        <v>43037</v>
      </c>
      <c r="D603">
        <f>YEAR(AMAZON_FASHION_5__2[[#This Row],[reviewDate]])</f>
        <v>2017</v>
      </c>
      <c r="E603" s="1" t="str">
        <f>TEXT(AMAZON_FASHION_5__2[[#This Row],[reviewDate]], "mmmm")</f>
        <v>October</v>
      </c>
      <c r="F603" t="s">
        <v>528</v>
      </c>
      <c r="G603" t="s">
        <v>1445</v>
      </c>
      <c r="H603" t="s">
        <v>235</v>
      </c>
      <c r="I603" t="s">
        <v>274</v>
      </c>
      <c r="J603" t="s">
        <v>529</v>
      </c>
      <c r="K603" t="s">
        <v>530</v>
      </c>
      <c r="L603" t="s">
        <v>531</v>
      </c>
      <c r="M603">
        <v>1509235200</v>
      </c>
      <c r="N603" t="s">
        <v>1628</v>
      </c>
      <c r="O603" t="s">
        <v>1628</v>
      </c>
      <c r="P603" t="s">
        <v>1628</v>
      </c>
      <c r="Q603">
        <f>LEN(AMAZON_FASHION_5__2[[#This Row],[reviewText]])</f>
        <v>21</v>
      </c>
      <c r="R603" t="str">
        <f>IF(AMAZON_FASHION_5__2[[#This Row],[overall]]&gt;=4,"Positive",IF(AMAZON_FASHION_5__2[[#This Row],[overall]]&lt;=2,"Negative","Neutral"))</f>
        <v>Positive</v>
      </c>
      <c r="S6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04" spans="1:19" x14ac:dyDescent="0.25">
      <c r="A604">
        <v>5</v>
      </c>
      <c r="B604" t="b">
        <v>1</v>
      </c>
      <c r="C604" s="1">
        <v>43034</v>
      </c>
      <c r="D604">
        <f>YEAR(AMAZON_FASHION_5__2[[#This Row],[reviewDate]])</f>
        <v>2017</v>
      </c>
      <c r="E604" s="1" t="str">
        <f>TEXT(AMAZON_FASHION_5__2[[#This Row],[reviewDate]], "mmmm")</f>
        <v>October</v>
      </c>
      <c r="F604" t="s">
        <v>532</v>
      </c>
      <c r="G604" t="s">
        <v>1445</v>
      </c>
      <c r="H604" t="s">
        <v>477</v>
      </c>
      <c r="I604" t="s">
        <v>198</v>
      </c>
      <c r="J604" t="s">
        <v>533</v>
      </c>
      <c r="K604" t="s">
        <v>534</v>
      </c>
      <c r="L604" t="s">
        <v>535</v>
      </c>
      <c r="M604">
        <v>1508976000</v>
      </c>
      <c r="N604" t="s">
        <v>1628</v>
      </c>
      <c r="O604" t="s">
        <v>1628</v>
      </c>
      <c r="P604" t="s">
        <v>1628</v>
      </c>
      <c r="Q604">
        <f>LEN(AMAZON_FASHION_5__2[[#This Row],[reviewText]])</f>
        <v>185</v>
      </c>
      <c r="R604" t="str">
        <f>IF(AMAZON_FASHION_5__2[[#This Row],[overall]]&gt;=4,"Positive",IF(AMAZON_FASHION_5__2[[#This Row],[overall]]&lt;=2,"Negative","Neutral"))</f>
        <v>Positive</v>
      </c>
      <c r="S6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05" spans="1:19" x14ac:dyDescent="0.25">
      <c r="A605">
        <v>5</v>
      </c>
      <c r="B605" t="b">
        <v>1</v>
      </c>
      <c r="C605" s="1">
        <v>43034</v>
      </c>
      <c r="D605">
        <f>YEAR(AMAZON_FASHION_5__2[[#This Row],[reviewDate]])</f>
        <v>2017</v>
      </c>
      <c r="E605" s="1" t="str">
        <f>TEXT(AMAZON_FASHION_5__2[[#This Row],[reviewDate]], "mmmm")</f>
        <v>October</v>
      </c>
      <c r="F605" t="s">
        <v>536</v>
      </c>
      <c r="G605" t="s">
        <v>1445</v>
      </c>
      <c r="H605" t="s">
        <v>197</v>
      </c>
      <c r="I605" t="s">
        <v>303</v>
      </c>
      <c r="J605" t="s">
        <v>537</v>
      </c>
      <c r="K605" t="s">
        <v>538</v>
      </c>
      <c r="L605" t="s">
        <v>539</v>
      </c>
      <c r="M605">
        <v>1508976000</v>
      </c>
      <c r="N605" t="s">
        <v>1628</v>
      </c>
      <c r="O605" t="s">
        <v>1628</v>
      </c>
      <c r="P605" t="s">
        <v>1628</v>
      </c>
      <c r="Q605">
        <f>LEN(AMAZON_FASHION_5__2[[#This Row],[reviewText]])</f>
        <v>351</v>
      </c>
      <c r="R605" t="str">
        <f>IF(AMAZON_FASHION_5__2[[#This Row],[overall]]&gt;=4,"Positive",IF(AMAZON_FASHION_5__2[[#This Row],[overall]]&lt;=2,"Negative","Neutral"))</f>
        <v>Positive</v>
      </c>
      <c r="S6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06" spans="1:19" x14ac:dyDescent="0.25">
      <c r="A606">
        <v>5</v>
      </c>
      <c r="B606" t="b">
        <v>1</v>
      </c>
      <c r="C606" s="1">
        <v>43033</v>
      </c>
      <c r="D606">
        <f>YEAR(AMAZON_FASHION_5__2[[#This Row],[reviewDate]])</f>
        <v>2017</v>
      </c>
      <c r="E606" s="1" t="str">
        <f>TEXT(AMAZON_FASHION_5__2[[#This Row],[reviewDate]], "mmmm")</f>
        <v>October</v>
      </c>
      <c r="F606" t="s">
        <v>540</v>
      </c>
      <c r="G606" t="s">
        <v>1445</v>
      </c>
      <c r="H606" t="s">
        <v>230</v>
      </c>
      <c r="I606" t="s">
        <v>541</v>
      </c>
      <c r="J606" t="s">
        <v>542</v>
      </c>
      <c r="K606" t="s">
        <v>543</v>
      </c>
      <c r="L606" t="s">
        <v>17</v>
      </c>
      <c r="M606">
        <v>1508889600</v>
      </c>
      <c r="N606" t="s">
        <v>1628</v>
      </c>
      <c r="O606" t="s">
        <v>1628</v>
      </c>
      <c r="P606" t="s">
        <v>1628</v>
      </c>
      <c r="Q606">
        <f>LEN(AMAZON_FASHION_5__2[[#This Row],[reviewText]])</f>
        <v>11</v>
      </c>
      <c r="R606" t="str">
        <f>IF(AMAZON_FASHION_5__2[[#This Row],[overall]]&gt;=4,"Positive",IF(AMAZON_FASHION_5__2[[#This Row],[overall]]&lt;=2,"Negative","Neutral"))</f>
        <v>Positive</v>
      </c>
      <c r="S6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07" spans="1:19" x14ac:dyDescent="0.25">
      <c r="A607">
        <v>5</v>
      </c>
      <c r="B607" t="b">
        <v>1</v>
      </c>
      <c r="C607" s="1">
        <v>43032</v>
      </c>
      <c r="D607">
        <f>YEAR(AMAZON_FASHION_5__2[[#This Row],[reviewDate]])</f>
        <v>2017</v>
      </c>
      <c r="E607" s="1" t="str">
        <f>TEXT(AMAZON_FASHION_5__2[[#This Row],[reviewDate]], "mmmm")</f>
        <v>October</v>
      </c>
      <c r="F607" t="s">
        <v>544</v>
      </c>
      <c r="G607" t="s">
        <v>1445</v>
      </c>
      <c r="H607" t="s">
        <v>201</v>
      </c>
      <c r="I607" t="s">
        <v>507</v>
      </c>
      <c r="J607" t="s">
        <v>545</v>
      </c>
      <c r="K607" t="s">
        <v>546</v>
      </c>
      <c r="L607" t="s">
        <v>17</v>
      </c>
      <c r="M607">
        <v>1508803200</v>
      </c>
      <c r="N607" t="s">
        <v>1628</v>
      </c>
      <c r="O607" t="s">
        <v>1628</v>
      </c>
      <c r="P607" t="s">
        <v>1628</v>
      </c>
      <c r="Q607">
        <f>LEN(AMAZON_FASHION_5__2[[#This Row],[reviewText]])</f>
        <v>35</v>
      </c>
      <c r="R607" t="str">
        <f>IF(AMAZON_FASHION_5__2[[#This Row],[overall]]&gt;=4,"Positive",IF(AMAZON_FASHION_5__2[[#This Row],[overall]]&lt;=2,"Negative","Neutral"))</f>
        <v>Positive</v>
      </c>
      <c r="S6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08" spans="1:19" x14ac:dyDescent="0.25">
      <c r="A608">
        <v>5</v>
      </c>
      <c r="B608" t="b">
        <v>1</v>
      </c>
      <c r="C608" s="1">
        <v>43030</v>
      </c>
      <c r="D608">
        <f>YEAR(AMAZON_FASHION_5__2[[#This Row],[reviewDate]])</f>
        <v>2017</v>
      </c>
      <c r="E608" s="1" t="str">
        <f>TEXT(AMAZON_FASHION_5__2[[#This Row],[reviewDate]], "mmmm")</f>
        <v>October</v>
      </c>
      <c r="F608" t="s">
        <v>547</v>
      </c>
      <c r="G608" t="s">
        <v>1445</v>
      </c>
      <c r="H608" t="s">
        <v>230</v>
      </c>
      <c r="I608" t="s">
        <v>548</v>
      </c>
      <c r="J608" t="s">
        <v>549</v>
      </c>
      <c r="K608" t="s">
        <v>550</v>
      </c>
      <c r="L608" t="s">
        <v>17</v>
      </c>
      <c r="M608">
        <v>1508630400</v>
      </c>
      <c r="N608" t="s">
        <v>1628</v>
      </c>
      <c r="O608" t="s">
        <v>1628</v>
      </c>
      <c r="P608" t="s">
        <v>1628</v>
      </c>
      <c r="Q608">
        <f>LEN(AMAZON_FASHION_5__2[[#This Row],[reviewText]])</f>
        <v>14</v>
      </c>
      <c r="R608" t="str">
        <f>IF(AMAZON_FASHION_5__2[[#This Row],[overall]]&gt;=4,"Positive",IF(AMAZON_FASHION_5__2[[#This Row],[overall]]&lt;=2,"Negative","Neutral"))</f>
        <v>Positive</v>
      </c>
      <c r="S6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09" spans="1:19" x14ac:dyDescent="0.25">
      <c r="A609">
        <v>3</v>
      </c>
      <c r="B609" t="b">
        <v>1</v>
      </c>
      <c r="C609" s="1">
        <v>43026</v>
      </c>
      <c r="D609">
        <f>YEAR(AMAZON_FASHION_5__2[[#This Row],[reviewDate]])</f>
        <v>2017</v>
      </c>
      <c r="E609" s="1" t="str">
        <f>TEXT(AMAZON_FASHION_5__2[[#This Row],[reviewDate]], "mmmm")</f>
        <v>October</v>
      </c>
      <c r="F609" t="s">
        <v>551</v>
      </c>
      <c r="G609" t="s">
        <v>1445</v>
      </c>
      <c r="H609" t="s">
        <v>210</v>
      </c>
      <c r="I609" t="s">
        <v>274</v>
      </c>
      <c r="J609" t="s">
        <v>552</v>
      </c>
      <c r="K609" t="s">
        <v>553</v>
      </c>
      <c r="L609" t="s">
        <v>554</v>
      </c>
      <c r="M609">
        <v>1508284800</v>
      </c>
      <c r="N609" t="s">
        <v>1628</v>
      </c>
      <c r="O609" t="s">
        <v>1628</v>
      </c>
      <c r="P609" t="s">
        <v>1628</v>
      </c>
      <c r="Q609">
        <f>LEN(AMAZON_FASHION_5__2[[#This Row],[reviewText]])</f>
        <v>201</v>
      </c>
      <c r="R609" t="str">
        <f>IF(AMAZON_FASHION_5__2[[#This Row],[overall]]&gt;=4,"Positive",IF(AMAZON_FASHION_5__2[[#This Row],[overall]]&lt;=2,"Negative","Neutral"))</f>
        <v>Neutral</v>
      </c>
      <c r="S6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10" spans="1:19" x14ac:dyDescent="0.25">
      <c r="A610">
        <v>5</v>
      </c>
      <c r="B610" t="b">
        <v>1</v>
      </c>
      <c r="C610" s="1">
        <v>43021</v>
      </c>
      <c r="D610">
        <f>YEAR(AMAZON_FASHION_5__2[[#This Row],[reviewDate]])</f>
        <v>2017</v>
      </c>
      <c r="E610" s="1" t="str">
        <f>TEXT(AMAZON_FASHION_5__2[[#This Row],[reviewDate]], "mmmm")</f>
        <v>October</v>
      </c>
      <c r="F610" t="s">
        <v>555</v>
      </c>
      <c r="G610" t="s">
        <v>1445</v>
      </c>
      <c r="H610" t="s">
        <v>201</v>
      </c>
      <c r="I610" t="s">
        <v>303</v>
      </c>
      <c r="J610" t="s">
        <v>63</v>
      </c>
      <c r="K610" t="s">
        <v>556</v>
      </c>
      <c r="L610" t="s">
        <v>17</v>
      </c>
      <c r="M610">
        <v>1507852800</v>
      </c>
      <c r="N610" t="s">
        <v>1628</v>
      </c>
      <c r="O610" t="s">
        <v>1628</v>
      </c>
      <c r="P610" t="s">
        <v>1628</v>
      </c>
      <c r="Q610">
        <f>LEN(AMAZON_FASHION_5__2[[#This Row],[reviewText]])</f>
        <v>25</v>
      </c>
      <c r="R610" t="str">
        <f>IF(AMAZON_FASHION_5__2[[#This Row],[overall]]&gt;=4,"Positive",IF(AMAZON_FASHION_5__2[[#This Row],[overall]]&lt;=2,"Negative","Neutral"))</f>
        <v>Positive</v>
      </c>
      <c r="S6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11" spans="1:19" x14ac:dyDescent="0.25">
      <c r="A611">
        <v>3</v>
      </c>
      <c r="B611" t="b">
        <v>1</v>
      </c>
      <c r="C611" s="1">
        <v>43018</v>
      </c>
      <c r="D611">
        <f>YEAR(AMAZON_FASHION_5__2[[#This Row],[reviewDate]])</f>
        <v>2017</v>
      </c>
      <c r="E611" s="1" t="str">
        <f>TEXT(AMAZON_FASHION_5__2[[#This Row],[reviewDate]], "mmmm")</f>
        <v>October</v>
      </c>
      <c r="F611" t="s">
        <v>557</v>
      </c>
      <c r="G611" t="s">
        <v>1445</v>
      </c>
      <c r="H611" t="s">
        <v>558</v>
      </c>
      <c r="I611" t="s">
        <v>198</v>
      </c>
      <c r="J611" t="s">
        <v>559</v>
      </c>
      <c r="K611" t="s">
        <v>560</v>
      </c>
      <c r="L611" t="s">
        <v>561</v>
      </c>
      <c r="M611">
        <v>1507593600</v>
      </c>
      <c r="N611" t="s">
        <v>1628</v>
      </c>
      <c r="O611" t="s">
        <v>1628</v>
      </c>
      <c r="P611" t="s">
        <v>1628</v>
      </c>
      <c r="Q611">
        <f>LEN(AMAZON_FASHION_5__2[[#This Row],[reviewText]])</f>
        <v>192</v>
      </c>
      <c r="R611" t="str">
        <f>IF(AMAZON_FASHION_5__2[[#This Row],[overall]]&gt;=4,"Positive",IF(AMAZON_FASHION_5__2[[#This Row],[overall]]&lt;=2,"Negative","Neutral"))</f>
        <v>Neutral</v>
      </c>
      <c r="S6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12" spans="1:19" x14ac:dyDescent="0.25">
      <c r="A612">
        <v>5</v>
      </c>
      <c r="B612" t="b">
        <v>1</v>
      </c>
      <c r="C612" s="1">
        <v>43011</v>
      </c>
      <c r="D612">
        <f>YEAR(AMAZON_FASHION_5__2[[#This Row],[reviewDate]])</f>
        <v>2017</v>
      </c>
      <c r="E612" s="1" t="str">
        <f>TEXT(AMAZON_FASHION_5__2[[#This Row],[reviewDate]], "mmmm")</f>
        <v>October</v>
      </c>
      <c r="F612" t="s">
        <v>562</v>
      </c>
      <c r="G612" t="s">
        <v>1445</v>
      </c>
      <c r="H612" t="s">
        <v>261</v>
      </c>
      <c r="I612" t="s">
        <v>99</v>
      </c>
      <c r="J612" t="s">
        <v>563</v>
      </c>
      <c r="K612" t="s">
        <v>564</v>
      </c>
      <c r="L612" t="s">
        <v>565</v>
      </c>
      <c r="M612">
        <v>1506988800</v>
      </c>
      <c r="N612" t="s">
        <v>1628</v>
      </c>
      <c r="O612" t="s">
        <v>1628</v>
      </c>
      <c r="P612" t="s">
        <v>1628</v>
      </c>
      <c r="Q612">
        <f>LEN(AMAZON_FASHION_5__2[[#This Row],[reviewText]])</f>
        <v>230</v>
      </c>
      <c r="R612" t="str">
        <f>IF(AMAZON_FASHION_5__2[[#This Row],[overall]]&gt;=4,"Positive",IF(AMAZON_FASHION_5__2[[#This Row],[overall]]&lt;=2,"Negative","Neutral"))</f>
        <v>Positive</v>
      </c>
      <c r="S6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13" spans="1:19" x14ac:dyDescent="0.25">
      <c r="A613">
        <v>5</v>
      </c>
      <c r="B613" t="b">
        <v>1</v>
      </c>
      <c r="C613" s="1">
        <v>43010</v>
      </c>
      <c r="D613">
        <f>YEAR(AMAZON_FASHION_5__2[[#This Row],[reviewDate]])</f>
        <v>2017</v>
      </c>
      <c r="E613" s="1" t="str">
        <f>TEXT(AMAZON_FASHION_5__2[[#This Row],[reviewDate]], "mmmm")</f>
        <v>October</v>
      </c>
      <c r="F613" t="s">
        <v>566</v>
      </c>
      <c r="G613" t="s">
        <v>1445</v>
      </c>
      <c r="H613" t="s">
        <v>201</v>
      </c>
      <c r="I613" t="s">
        <v>303</v>
      </c>
      <c r="J613" t="s">
        <v>63</v>
      </c>
      <c r="K613" t="s">
        <v>567</v>
      </c>
      <c r="L613" t="s">
        <v>568</v>
      </c>
      <c r="M613">
        <v>1506902400</v>
      </c>
      <c r="N613" t="s">
        <v>1628</v>
      </c>
      <c r="O613" t="s">
        <v>1628</v>
      </c>
      <c r="P613" t="s">
        <v>1628</v>
      </c>
      <c r="Q613">
        <f>LEN(AMAZON_FASHION_5__2[[#This Row],[reviewText]])</f>
        <v>171</v>
      </c>
      <c r="R613" t="str">
        <f>IF(AMAZON_FASHION_5__2[[#This Row],[overall]]&gt;=4,"Positive",IF(AMAZON_FASHION_5__2[[#This Row],[overall]]&lt;=2,"Negative","Neutral"))</f>
        <v>Positive</v>
      </c>
      <c r="S6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14" spans="1:19" x14ac:dyDescent="0.25">
      <c r="A614">
        <v>5</v>
      </c>
      <c r="B614" t="b">
        <v>1</v>
      </c>
      <c r="C614" s="1">
        <v>43005</v>
      </c>
      <c r="D614">
        <f>YEAR(AMAZON_FASHION_5__2[[#This Row],[reviewDate]])</f>
        <v>2017</v>
      </c>
      <c r="E614" s="1" t="str">
        <f>TEXT(AMAZON_FASHION_5__2[[#This Row],[reviewDate]], "mmmm")</f>
        <v>September</v>
      </c>
      <c r="F614" t="s">
        <v>569</v>
      </c>
      <c r="G614" t="s">
        <v>1445</v>
      </c>
      <c r="H614" t="s">
        <v>210</v>
      </c>
      <c r="I614" t="s">
        <v>99</v>
      </c>
      <c r="J614" t="s">
        <v>570</v>
      </c>
      <c r="K614" t="s">
        <v>571</v>
      </c>
      <c r="L614" t="s">
        <v>17</v>
      </c>
      <c r="M614">
        <v>1506470400</v>
      </c>
      <c r="N614" t="s">
        <v>1628</v>
      </c>
      <c r="O614" t="s">
        <v>1628</v>
      </c>
      <c r="P614" t="s">
        <v>1628</v>
      </c>
      <c r="Q614">
        <f>LEN(AMAZON_FASHION_5__2[[#This Row],[reviewText]])</f>
        <v>12</v>
      </c>
      <c r="R614" t="str">
        <f>IF(AMAZON_FASHION_5__2[[#This Row],[overall]]&gt;=4,"Positive",IF(AMAZON_FASHION_5__2[[#This Row],[overall]]&lt;=2,"Negative","Neutral"))</f>
        <v>Positive</v>
      </c>
      <c r="S6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15" spans="1:19" x14ac:dyDescent="0.25">
      <c r="A615">
        <v>5</v>
      </c>
      <c r="B615" t="b">
        <v>1</v>
      </c>
      <c r="C615" s="1">
        <v>43005</v>
      </c>
      <c r="D615">
        <f>YEAR(AMAZON_FASHION_5__2[[#This Row],[reviewDate]])</f>
        <v>2017</v>
      </c>
      <c r="E615" s="1" t="str">
        <f>TEXT(AMAZON_FASHION_5__2[[#This Row],[reviewDate]], "mmmm")</f>
        <v>September</v>
      </c>
      <c r="F615" t="s">
        <v>572</v>
      </c>
      <c r="G615" t="s">
        <v>1445</v>
      </c>
      <c r="H615" t="s">
        <v>573</v>
      </c>
      <c r="I615" t="s">
        <v>574</v>
      </c>
      <c r="J615" t="s">
        <v>575</v>
      </c>
      <c r="K615" t="s">
        <v>576</v>
      </c>
      <c r="L615" t="s">
        <v>577</v>
      </c>
      <c r="M615">
        <v>1506470400</v>
      </c>
      <c r="N615" t="s">
        <v>1628</v>
      </c>
      <c r="O615" t="s">
        <v>1628</v>
      </c>
      <c r="P615" t="s">
        <v>1628</v>
      </c>
      <c r="Q615">
        <f>LEN(AMAZON_FASHION_5__2[[#This Row],[reviewText]])</f>
        <v>70</v>
      </c>
      <c r="R615" t="str">
        <f>IF(AMAZON_FASHION_5__2[[#This Row],[overall]]&gt;=4,"Positive",IF(AMAZON_FASHION_5__2[[#This Row],[overall]]&lt;=2,"Negative","Neutral"))</f>
        <v>Positive</v>
      </c>
      <c r="S6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16" spans="1:19" x14ac:dyDescent="0.25">
      <c r="A616">
        <v>5</v>
      </c>
      <c r="B616" t="b">
        <v>1</v>
      </c>
      <c r="C616" s="1">
        <v>43004</v>
      </c>
      <c r="D616">
        <f>YEAR(AMAZON_FASHION_5__2[[#This Row],[reviewDate]])</f>
        <v>2017</v>
      </c>
      <c r="E616" s="1" t="str">
        <f>TEXT(AMAZON_FASHION_5__2[[#This Row],[reviewDate]], "mmmm")</f>
        <v>September</v>
      </c>
      <c r="F616" t="s">
        <v>578</v>
      </c>
      <c r="G616" t="s">
        <v>1445</v>
      </c>
      <c r="H616" t="s">
        <v>205</v>
      </c>
      <c r="I616" t="s">
        <v>198</v>
      </c>
      <c r="J616" t="s">
        <v>579</v>
      </c>
      <c r="K616" t="s">
        <v>580</v>
      </c>
      <c r="L616" t="s">
        <v>17</v>
      </c>
      <c r="M616">
        <v>1506384000</v>
      </c>
      <c r="N616" t="s">
        <v>1628</v>
      </c>
      <c r="O616" t="s">
        <v>1628</v>
      </c>
      <c r="P616" t="s">
        <v>1628</v>
      </c>
      <c r="Q616">
        <f>LEN(AMAZON_FASHION_5__2[[#This Row],[reviewText]])</f>
        <v>9</v>
      </c>
      <c r="R616" t="str">
        <f>IF(AMAZON_FASHION_5__2[[#This Row],[overall]]&gt;=4,"Positive",IF(AMAZON_FASHION_5__2[[#This Row],[overall]]&lt;=2,"Negative","Neutral"))</f>
        <v>Positive</v>
      </c>
      <c r="S6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17" spans="1:19" x14ac:dyDescent="0.25">
      <c r="A617">
        <v>5</v>
      </c>
      <c r="B617" t="b">
        <v>1</v>
      </c>
      <c r="C617" s="1">
        <v>43003</v>
      </c>
      <c r="D617">
        <f>YEAR(AMAZON_FASHION_5__2[[#This Row],[reviewDate]])</f>
        <v>2017</v>
      </c>
      <c r="E617" s="1" t="str">
        <f>TEXT(AMAZON_FASHION_5__2[[#This Row],[reviewDate]], "mmmm")</f>
        <v>September</v>
      </c>
      <c r="F617" t="s">
        <v>581</v>
      </c>
      <c r="G617" t="s">
        <v>1445</v>
      </c>
      <c r="H617" t="s">
        <v>235</v>
      </c>
      <c r="I617" t="s">
        <v>198</v>
      </c>
      <c r="J617" t="s">
        <v>582</v>
      </c>
      <c r="K617" t="s">
        <v>583</v>
      </c>
      <c r="L617" t="s">
        <v>17</v>
      </c>
      <c r="M617">
        <v>1506297600</v>
      </c>
      <c r="N617" t="s">
        <v>1628</v>
      </c>
      <c r="O617" t="s">
        <v>1628</v>
      </c>
      <c r="P617" t="s">
        <v>1628</v>
      </c>
      <c r="Q617">
        <f>LEN(AMAZON_FASHION_5__2[[#This Row],[reviewText]])</f>
        <v>50</v>
      </c>
      <c r="R617" t="str">
        <f>IF(AMAZON_FASHION_5__2[[#This Row],[overall]]&gt;=4,"Positive",IF(AMAZON_FASHION_5__2[[#This Row],[overall]]&lt;=2,"Negative","Neutral"))</f>
        <v>Positive</v>
      </c>
      <c r="S6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18" spans="1:19" x14ac:dyDescent="0.25">
      <c r="A618">
        <v>5</v>
      </c>
      <c r="B618" t="b">
        <v>1</v>
      </c>
      <c r="C618" s="1">
        <v>42998</v>
      </c>
      <c r="D618">
        <f>YEAR(AMAZON_FASHION_5__2[[#This Row],[reviewDate]])</f>
        <v>2017</v>
      </c>
      <c r="E618" s="1" t="str">
        <f>TEXT(AMAZON_FASHION_5__2[[#This Row],[reviewDate]], "mmmm")</f>
        <v>September</v>
      </c>
      <c r="F618" t="s">
        <v>584</v>
      </c>
      <c r="G618" t="s">
        <v>1445</v>
      </c>
      <c r="H618" t="s">
        <v>235</v>
      </c>
      <c r="I618" t="s">
        <v>99</v>
      </c>
      <c r="J618" t="s">
        <v>63</v>
      </c>
      <c r="K618" t="s">
        <v>585</v>
      </c>
      <c r="L618" t="s">
        <v>586</v>
      </c>
      <c r="M618">
        <v>1505865600</v>
      </c>
      <c r="N618" t="s">
        <v>1628</v>
      </c>
      <c r="O618" t="s">
        <v>1628</v>
      </c>
      <c r="P618" t="s">
        <v>1628</v>
      </c>
      <c r="Q618">
        <f>LEN(AMAZON_FASHION_5__2[[#This Row],[reviewText]])</f>
        <v>370</v>
      </c>
      <c r="R618" t="str">
        <f>IF(AMAZON_FASHION_5__2[[#This Row],[overall]]&gt;=4,"Positive",IF(AMAZON_FASHION_5__2[[#This Row],[overall]]&lt;=2,"Negative","Neutral"))</f>
        <v>Positive</v>
      </c>
      <c r="S6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19" spans="1:19" x14ac:dyDescent="0.25">
      <c r="A619">
        <v>5</v>
      </c>
      <c r="B619" t="b">
        <v>1</v>
      </c>
      <c r="C619" s="1">
        <v>42996</v>
      </c>
      <c r="D619">
        <f>YEAR(AMAZON_FASHION_5__2[[#This Row],[reviewDate]])</f>
        <v>2017</v>
      </c>
      <c r="E619" s="1" t="str">
        <f>TEXT(AMAZON_FASHION_5__2[[#This Row],[reviewDate]], "mmmm")</f>
        <v>September</v>
      </c>
      <c r="F619" t="s">
        <v>587</v>
      </c>
      <c r="G619" t="s">
        <v>1445</v>
      </c>
      <c r="H619" t="s">
        <v>230</v>
      </c>
      <c r="I619" t="s">
        <v>198</v>
      </c>
      <c r="J619" t="s">
        <v>588</v>
      </c>
      <c r="K619" t="s">
        <v>589</v>
      </c>
      <c r="L619" t="s">
        <v>590</v>
      </c>
      <c r="M619">
        <v>1505692800</v>
      </c>
      <c r="N619" t="s">
        <v>1628</v>
      </c>
      <c r="O619" t="s">
        <v>1628</v>
      </c>
      <c r="P619" t="s">
        <v>1628</v>
      </c>
      <c r="Q619">
        <f>LEN(AMAZON_FASHION_5__2[[#This Row],[reviewText]])</f>
        <v>49</v>
      </c>
      <c r="R619" t="str">
        <f>IF(AMAZON_FASHION_5__2[[#This Row],[overall]]&gt;=4,"Positive",IF(AMAZON_FASHION_5__2[[#This Row],[overall]]&lt;=2,"Negative","Neutral"))</f>
        <v>Positive</v>
      </c>
      <c r="S6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20" spans="1:19" x14ac:dyDescent="0.25">
      <c r="A620">
        <v>5</v>
      </c>
      <c r="B620" t="b">
        <v>1</v>
      </c>
      <c r="C620" s="1">
        <v>42994</v>
      </c>
      <c r="D620">
        <f>YEAR(AMAZON_FASHION_5__2[[#This Row],[reviewDate]])</f>
        <v>2017</v>
      </c>
      <c r="E620" s="1" t="str">
        <f>TEXT(AMAZON_FASHION_5__2[[#This Row],[reviewDate]], "mmmm")</f>
        <v>September</v>
      </c>
      <c r="F620" t="s">
        <v>591</v>
      </c>
      <c r="G620" t="s">
        <v>1445</v>
      </c>
      <c r="H620" t="s">
        <v>235</v>
      </c>
      <c r="I620" t="s">
        <v>507</v>
      </c>
      <c r="J620" t="s">
        <v>63</v>
      </c>
      <c r="K620" t="s">
        <v>592</v>
      </c>
      <c r="L620" t="s">
        <v>593</v>
      </c>
      <c r="M620">
        <v>1505520000</v>
      </c>
      <c r="N620" t="s">
        <v>1628</v>
      </c>
      <c r="O620" t="s">
        <v>1628</v>
      </c>
      <c r="P620" t="s">
        <v>1628</v>
      </c>
      <c r="Q620">
        <f>LEN(AMAZON_FASHION_5__2[[#This Row],[reviewText]])</f>
        <v>40</v>
      </c>
      <c r="R620" t="str">
        <f>IF(AMAZON_FASHION_5__2[[#This Row],[overall]]&gt;=4,"Positive",IF(AMAZON_FASHION_5__2[[#This Row],[overall]]&lt;=2,"Negative","Neutral"))</f>
        <v>Positive</v>
      </c>
      <c r="S6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21" spans="1:19" x14ac:dyDescent="0.25">
      <c r="A621">
        <v>5</v>
      </c>
      <c r="B621" t="b">
        <v>1</v>
      </c>
      <c r="C621" s="1">
        <v>42992</v>
      </c>
      <c r="D621">
        <f>YEAR(AMAZON_FASHION_5__2[[#This Row],[reviewDate]])</f>
        <v>2017</v>
      </c>
      <c r="E621" s="1" t="str">
        <f>TEXT(AMAZON_FASHION_5__2[[#This Row],[reviewDate]], "mmmm")</f>
        <v>September</v>
      </c>
      <c r="F621" t="s">
        <v>594</v>
      </c>
      <c r="G621" t="s">
        <v>1445</v>
      </c>
      <c r="H621" t="s">
        <v>201</v>
      </c>
      <c r="I621" t="s">
        <v>524</v>
      </c>
      <c r="J621" t="s">
        <v>595</v>
      </c>
      <c r="K621" t="s">
        <v>596</v>
      </c>
      <c r="L621" t="s">
        <v>597</v>
      </c>
      <c r="M621">
        <v>1505347200</v>
      </c>
      <c r="N621" t="s">
        <v>1628</v>
      </c>
      <c r="O621" t="s">
        <v>1628</v>
      </c>
      <c r="P621" t="s">
        <v>1628</v>
      </c>
      <c r="Q621">
        <f>LEN(AMAZON_FASHION_5__2[[#This Row],[reviewText]])</f>
        <v>23</v>
      </c>
      <c r="R621" t="str">
        <f>IF(AMAZON_FASHION_5__2[[#This Row],[overall]]&gt;=4,"Positive",IF(AMAZON_FASHION_5__2[[#This Row],[overall]]&lt;=2,"Negative","Neutral"))</f>
        <v>Positive</v>
      </c>
      <c r="S6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22" spans="1:19" x14ac:dyDescent="0.25">
      <c r="A622">
        <v>5</v>
      </c>
      <c r="B622" t="b">
        <v>1</v>
      </c>
      <c r="C622" s="1">
        <v>42991</v>
      </c>
      <c r="D622">
        <f>YEAR(AMAZON_FASHION_5__2[[#This Row],[reviewDate]])</f>
        <v>2017</v>
      </c>
      <c r="E622" s="1" t="str">
        <f>TEXT(AMAZON_FASHION_5__2[[#This Row],[reviewDate]], "mmmm")</f>
        <v>September</v>
      </c>
      <c r="F622" t="s">
        <v>598</v>
      </c>
      <c r="G622" t="s">
        <v>1445</v>
      </c>
      <c r="H622" t="s">
        <v>230</v>
      </c>
      <c r="I622" t="s">
        <v>599</v>
      </c>
      <c r="J622" t="s">
        <v>600</v>
      </c>
      <c r="K622" t="s">
        <v>601</v>
      </c>
      <c r="L622" t="s">
        <v>17</v>
      </c>
      <c r="M622">
        <v>1505260800</v>
      </c>
      <c r="N622" t="s">
        <v>1628</v>
      </c>
      <c r="O622" t="s">
        <v>1628</v>
      </c>
      <c r="P622" t="s">
        <v>1628</v>
      </c>
      <c r="Q622">
        <f>LEN(AMAZON_FASHION_5__2[[#This Row],[reviewText]])</f>
        <v>28</v>
      </c>
      <c r="R622" t="str">
        <f>IF(AMAZON_FASHION_5__2[[#This Row],[overall]]&gt;=4,"Positive",IF(AMAZON_FASHION_5__2[[#This Row],[overall]]&lt;=2,"Negative","Neutral"))</f>
        <v>Positive</v>
      </c>
      <c r="S6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23" spans="1:19" x14ac:dyDescent="0.25">
      <c r="A623">
        <v>5</v>
      </c>
      <c r="B623" t="b">
        <v>1</v>
      </c>
      <c r="C623" s="1">
        <v>42988</v>
      </c>
      <c r="D623">
        <f>YEAR(AMAZON_FASHION_5__2[[#This Row],[reviewDate]])</f>
        <v>2017</v>
      </c>
      <c r="E623" s="1" t="str">
        <f>TEXT(AMAZON_FASHION_5__2[[#This Row],[reviewDate]], "mmmm")</f>
        <v>September</v>
      </c>
      <c r="F623" t="s">
        <v>602</v>
      </c>
      <c r="G623" t="s">
        <v>1445</v>
      </c>
      <c r="H623" t="s">
        <v>210</v>
      </c>
      <c r="I623" t="s">
        <v>274</v>
      </c>
      <c r="J623" t="s">
        <v>63</v>
      </c>
      <c r="K623" t="s">
        <v>603</v>
      </c>
      <c r="L623" t="s">
        <v>17</v>
      </c>
      <c r="M623">
        <v>1505001600</v>
      </c>
      <c r="N623" t="s">
        <v>1628</v>
      </c>
      <c r="O623" t="s">
        <v>1628</v>
      </c>
      <c r="P623" t="s">
        <v>1628</v>
      </c>
      <c r="Q623">
        <f>LEN(AMAZON_FASHION_5__2[[#This Row],[reviewText]])</f>
        <v>48</v>
      </c>
      <c r="R623" t="str">
        <f>IF(AMAZON_FASHION_5__2[[#This Row],[overall]]&gt;=4,"Positive",IF(AMAZON_FASHION_5__2[[#This Row],[overall]]&lt;=2,"Negative","Neutral"))</f>
        <v>Positive</v>
      </c>
      <c r="S6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24" spans="1:19" x14ac:dyDescent="0.25">
      <c r="A624">
        <v>5</v>
      </c>
      <c r="B624" t="b">
        <v>1</v>
      </c>
      <c r="C624" s="1">
        <v>42985</v>
      </c>
      <c r="D624">
        <f>YEAR(AMAZON_FASHION_5__2[[#This Row],[reviewDate]])</f>
        <v>2017</v>
      </c>
      <c r="E624" s="1" t="str">
        <f>TEXT(AMAZON_FASHION_5__2[[#This Row],[reviewDate]], "mmmm")</f>
        <v>September</v>
      </c>
      <c r="F624" t="s">
        <v>604</v>
      </c>
      <c r="G624" t="s">
        <v>1445</v>
      </c>
      <c r="H624" t="s">
        <v>230</v>
      </c>
      <c r="I624" t="s">
        <v>507</v>
      </c>
      <c r="J624" t="s">
        <v>605</v>
      </c>
      <c r="K624" t="s">
        <v>606</v>
      </c>
      <c r="L624" t="s">
        <v>607</v>
      </c>
      <c r="M624">
        <v>1504742400</v>
      </c>
      <c r="N624" t="s">
        <v>1628</v>
      </c>
      <c r="O624" t="s">
        <v>1628</v>
      </c>
      <c r="P624" t="s">
        <v>1628</v>
      </c>
      <c r="Q624">
        <f>LEN(AMAZON_FASHION_5__2[[#This Row],[reviewText]])</f>
        <v>119</v>
      </c>
      <c r="R624" t="str">
        <f>IF(AMAZON_FASHION_5__2[[#This Row],[overall]]&gt;=4,"Positive",IF(AMAZON_FASHION_5__2[[#This Row],[overall]]&lt;=2,"Negative","Neutral"))</f>
        <v>Positive</v>
      </c>
      <c r="S6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25" spans="1:19" x14ac:dyDescent="0.25">
      <c r="A625">
        <v>5</v>
      </c>
      <c r="B625" t="b">
        <v>1</v>
      </c>
      <c r="C625" s="1">
        <v>42983</v>
      </c>
      <c r="D625">
        <f>YEAR(AMAZON_FASHION_5__2[[#This Row],[reviewDate]])</f>
        <v>2017</v>
      </c>
      <c r="E625" s="1" t="str">
        <f>TEXT(AMAZON_FASHION_5__2[[#This Row],[reviewDate]], "mmmm")</f>
        <v>September</v>
      </c>
      <c r="F625" t="s">
        <v>608</v>
      </c>
      <c r="G625" t="s">
        <v>1445</v>
      </c>
      <c r="H625" t="s">
        <v>235</v>
      </c>
      <c r="I625" t="s">
        <v>274</v>
      </c>
      <c r="J625" t="s">
        <v>609</v>
      </c>
      <c r="K625" t="s">
        <v>610</v>
      </c>
      <c r="L625" t="s">
        <v>17</v>
      </c>
      <c r="M625">
        <v>1504569600</v>
      </c>
      <c r="N625" t="s">
        <v>1628</v>
      </c>
      <c r="O625" t="s">
        <v>1628</v>
      </c>
      <c r="P625" t="s">
        <v>1628</v>
      </c>
      <c r="Q625">
        <f>LEN(AMAZON_FASHION_5__2[[#This Row],[reviewText]])</f>
        <v>16</v>
      </c>
      <c r="R625" t="str">
        <f>IF(AMAZON_FASHION_5__2[[#This Row],[overall]]&gt;=4,"Positive",IF(AMAZON_FASHION_5__2[[#This Row],[overall]]&lt;=2,"Negative","Neutral"))</f>
        <v>Positive</v>
      </c>
      <c r="S6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26" spans="1:19" x14ac:dyDescent="0.25">
      <c r="A626">
        <v>5</v>
      </c>
      <c r="B626" t="b">
        <v>1</v>
      </c>
      <c r="C626" s="1">
        <v>42982</v>
      </c>
      <c r="D626">
        <f>YEAR(AMAZON_FASHION_5__2[[#This Row],[reviewDate]])</f>
        <v>2017</v>
      </c>
      <c r="E626" s="1" t="str">
        <f>TEXT(AMAZON_FASHION_5__2[[#This Row],[reviewDate]], "mmmm")</f>
        <v>September</v>
      </c>
      <c r="F626" t="s">
        <v>611</v>
      </c>
      <c r="G626" t="s">
        <v>1445</v>
      </c>
      <c r="H626" t="s">
        <v>235</v>
      </c>
      <c r="I626" t="s">
        <v>198</v>
      </c>
      <c r="J626" t="s">
        <v>612</v>
      </c>
      <c r="K626" t="s">
        <v>613</v>
      </c>
      <c r="L626" t="s">
        <v>17</v>
      </c>
      <c r="M626">
        <v>1504483200</v>
      </c>
      <c r="N626" t="s">
        <v>1628</v>
      </c>
      <c r="O626" t="s">
        <v>1628</v>
      </c>
      <c r="P626" t="s">
        <v>1628</v>
      </c>
      <c r="Q626">
        <f>LEN(AMAZON_FASHION_5__2[[#This Row],[reviewText]])</f>
        <v>12</v>
      </c>
      <c r="R626" t="str">
        <f>IF(AMAZON_FASHION_5__2[[#This Row],[overall]]&gt;=4,"Positive",IF(AMAZON_FASHION_5__2[[#This Row],[overall]]&lt;=2,"Negative","Neutral"))</f>
        <v>Positive</v>
      </c>
      <c r="S6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27" spans="1:19" x14ac:dyDescent="0.25">
      <c r="A627">
        <v>4</v>
      </c>
      <c r="B627" t="b">
        <v>1</v>
      </c>
      <c r="C627" s="1">
        <v>42976</v>
      </c>
      <c r="D627">
        <f>YEAR(AMAZON_FASHION_5__2[[#This Row],[reviewDate]])</f>
        <v>2017</v>
      </c>
      <c r="E627" s="1" t="str">
        <f>TEXT(AMAZON_FASHION_5__2[[#This Row],[reviewDate]], "mmmm")</f>
        <v>August</v>
      </c>
      <c r="F627" t="s">
        <v>614</v>
      </c>
      <c r="G627" t="s">
        <v>1445</v>
      </c>
      <c r="H627" t="s">
        <v>230</v>
      </c>
      <c r="I627" t="s">
        <v>507</v>
      </c>
      <c r="J627" t="s">
        <v>615</v>
      </c>
      <c r="K627" t="s">
        <v>616</v>
      </c>
      <c r="L627" t="s">
        <v>617</v>
      </c>
      <c r="M627">
        <v>1503964800</v>
      </c>
      <c r="N627" t="s">
        <v>1628</v>
      </c>
      <c r="O627" t="s">
        <v>1628</v>
      </c>
      <c r="P627" t="s">
        <v>1628</v>
      </c>
      <c r="Q627">
        <f>LEN(AMAZON_FASHION_5__2[[#This Row],[reviewText]])</f>
        <v>118</v>
      </c>
      <c r="R627" t="str">
        <f>IF(AMAZON_FASHION_5__2[[#This Row],[overall]]&gt;=4,"Positive",IF(AMAZON_FASHION_5__2[[#This Row],[overall]]&lt;=2,"Negative","Neutral"))</f>
        <v>Positive</v>
      </c>
      <c r="S6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28" spans="1:19" x14ac:dyDescent="0.25">
      <c r="A628">
        <v>1</v>
      </c>
      <c r="B628" t="b">
        <v>1</v>
      </c>
      <c r="C628" s="1">
        <v>42976</v>
      </c>
      <c r="D628">
        <f>YEAR(AMAZON_FASHION_5__2[[#This Row],[reviewDate]])</f>
        <v>2017</v>
      </c>
      <c r="E628" s="1" t="str">
        <f>TEXT(AMAZON_FASHION_5__2[[#This Row],[reviewDate]], "mmmm")</f>
        <v>August</v>
      </c>
      <c r="F628" t="s">
        <v>618</v>
      </c>
      <c r="G628" t="s">
        <v>1445</v>
      </c>
      <c r="H628" t="s">
        <v>558</v>
      </c>
      <c r="I628" t="s">
        <v>198</v>
      </c>
      <c r="J628" t="s">
        <v>619</v>
      </c>
      <c r="K628" t="s">
        <v>620</v>
      </c>
      <c r="L628" t="s">
        <v>65</v>
      </c>
      <c r="M628">
        <v>1503964800</v>
      </c>
      <c r="N628" t="s">
        <v>1628</v>
      </c>
      <c r="O628" t="s">
        <v>1628</v>
      </c>
      <c r="P628" t="s">
        <v>1628</v>
      </c>
      <c r="Q628">
        <f>LEN(AMAZON_FASHION_5__2[[#This Row],[reviewText]])</f>
        <v>52</v>
      </c>
      <c r="R628" t="str">
        <f>IF(AMAZON_FASHION_5__2[[#This Row],[overall]]&gt;=4,"Positive",IF(AMAZON_FASHION_5__2[[#This Row],[overall]]&lt;=2,"Negative","Neutral"))</f>
        <v>Negative</v>
      </c>
      <c r="S6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29" spans="1:19" x14ac:dyDescent="0.25">
      <c r="A629">
        <v>5</v>
      </c>
      <c r="B629" t="b">
        <v>1</v>
      </c>
      <c r="C629" s="1">
        <v>42976</v>
      </c>
      <c r="D629">
        <f>YEAR(AMAZON_FASHION_5__2[[#This Row],[reviewDate]])</f>
        <v>2017</v>
      </c>
      <c r="E629" s="1" t="str">
        <f>TEXT(AMAZON_FASHION_5__2[[#This Row],[reviewDate]], "mmmm")</f>
        <v>August</v>
      </c>
      <c r="F629" t="s">
        <v>621</v>
      </c>
      <c r="G629" t="s">
        <v>1445</v>
      </c>
      <c r="H629" t="s">
        <v>210</v>
      </c>
      <c r="I629" t="s">
        <v>198</v>
      </c>
      <c r="J629" t="s">
        <v>622</v>
      </c>
      <c r="K629" t="s">
        <v>623</v>
      </c>
      <c r="L629" t="s">
        <v>17</v>
      </c>
      <c r="M629">
        <v>1503964800</v>
      </c>
      <c r="N629" t="s">
        <v>1628</v>
      </c>
      <c r="O629" t="s">
        <v>1628</v>
      </c>
      <c r="P629" t="s">
        <v>1628</v>
      </c>
      <c r="Q629">
        <f>LEN(AMAZON_FASHION_5__2[[#This Row],[reviewText]])</f>
        <v>30</v>
      </c>
      <c r="R629" t="str">
        <f>IF(AMAZON_FASHION_5__2[[#This Row],[overall]]&gt;=4,"Positive",IF(AMAZON_FASHION_5__2[[#This Row],[overall]]&lt;=2,"Negative","Neutral"))</f>
        <v>Positive</v>
      </c>
      <c r="S6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30" spans="1:19" x14ac:dyDescent="0.25">
      <c r="A630">
        <v>5</v>
      </c>
      <c r="B630" t="b">
        <v>1</v>
      </c>
      <c r="C630" s="1">
        <v>42974</v>
      </c>
      <c r="D630">
        <f>YEAR(AMAZON_FASHION_5__2[[#This Row],[reviewDate]])</f>
        <v>2017</v>
      </c>
      <c r="E630" s="1" t="str">
        <f>TEXT(AMAZON_FASHION_5__2[[#This Row],[reviewDate]], "mmmm")</f>
        <v>August</v>
      </c>
      <c r="F630" t="s">
        <v>624</v>
      </c>
      <c r="G630" t="s">
        <v>1445</v>
      </c>
      <c r="H630" t="s">
        <v>201</v>
      </c>
      <c r="I630" t="s">
        <v>99</v>
      </c>
      <c r="J630" t="s">
        <v>625</v>
      </c>
      <c r="K630" t="s">
        <v>626</v>
      </c>
      <c r="L630" t="s">
        <v>627</v>
      </c>
      <c r="M630">
        <v>1503792000</v>
      </c>
      <c r="N630" t="s">
        <v>1628</v>
      </c>
      <c r="O630" t="s">
        <v>1628</v>
      </c>
      <c r="P630" t="s">
        <v>1628</v>
      </c>
      <c r="Q630">
        <f>LEN(AMAZON_FASHION_5__2[[#This Row],[reviewText]])</f>
        <v>17</v>
      </c>
      <c r="R630" t="str">
        <f>IF(AMAZON_FASHION_5__2[[#This Row],[overall]]&gt;=4,"Positive",IF(AMAZON_FASHION_5__2[[#This Row],[overall]]&lt;=2,"Negative","Neutral"))</f>
        <v>Positive</v>
      </c>
      <c r="S6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31" spans="1:19" x14ac:dyDescent="0.25">
      <c r="A631">
        <v>4</v>
      </c>
      <c r="B631" t="b">
        <v>1</v>
      </c>
      <c r="C631" s="1">
        <v>42971</v>
      </c>
      <c r="D631">
        <f>YEAR(AMAZON_FASHION_5__2[[#This Row],[reviewDate]])</f>
        <v>2017</v>
      </c>
      <c r="E631" s="1" t="str">
        <f>TEXT(AMAZON_FASHION_5__2[[#This Row],[reviewDate]], "mmmm")</f>
        <v>August</v>
      </c>
      <c r="F631" t="s">
        <v>628</v>
      </c>
      <c r="G631" t="s">
        <v>1445</v>
      </c>
      <c r="H631" t="s">
        <v>210</v>
      </c>
      <c r="I631" t="s">
        <v>435</v>
      </c>
      <c r="J631" t="s">
        <v>629</v>
      </c>
      <c r="K631" t="s">
        <v>630</v>
      </c>
      <c r="L631" t="s">
        <v>247</v>
      </c>
      <c r="M631">
        <v>1503532800</v>
      </c>
      <c r="N631" t="s">
        <v>1628</v>
      </c>
      <c r="O631" t="s">
        <v>1628</v>
      </c>
      <c r="P631" t="s">
        <v>1628</v>
      </c>
      <c r="Q631">
        <f>LEN(AMAZON_FASHION_5__2[[#This Row],[reviewText]])</f>
        <v>225</v>
      </c>
      <c r="R631" t="str">
        <f>IF(AMAZON_FASHION_5__2[[#This Row],[overall]]&gt;=4,"Positive",IF(AMAZON_FASHION_5__2[[#This Row],[overall]]&lt;=2,"Negative","Neutral"))</f>
        <v>Positive</v>
      </c>
      <c r="S6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32" spans="1:19" x14ac:dyDescent="0.25">
      <c r="A632">
        <v>1</v>
      </c>
      <c r="B632" t="b">
        <v>1</v>
      </c>
      <c r="C632" s="1">
        <v>42971</v>
      </c>
      <c r="D632">
        <f>YEAR(AMAZON_FASHION_5__2[[#This Row],[reviewDate]])</f>
        <v>2017</v>
      </c>
      <c r="E632" s="1" t="str">
        <f>TEXT(AMAZON_FASHION_5__2[[#This Row],[reviewDate]], "mmmm")</f>
        <v>August</v>
      </c>
      <c r="F632" t="s">
        <v>631</v>
      </c>
      <c r="G632" t="s">
        <v>1445</v>
      </c>
      <c r="H632" t="s">
        <v>235</v>
      </c>
      <c r="I632" t="s">
        <v>411</v>
      </c>
      <c r="J632" t="s">
        <v>632</v>
      </c>
      <c r="K632" t="s">
        <v>633</v>
      </c>
      <c r="L632" t="s">
        <v>634</v>
      </c>
      <c r="M632">
        <v>1503532800</v>
      </c>
      <c r="N632" t="s">
        <v>1628</v>
      </c>
      <c r="O632" t="s">
        <v>1628</v>
      </c>
      <c r="P632" t="s">
        <v>1628</v>
      </c>
      <c r="Q632">
        <f>LEN(AMAZON_FASHION_5__2[[#This Row],[reviewText]])</f>
        <v>213</v>
      </c>
      <c r="R632" t="str">
        <f>IF(AMAZON_FASHION_5__2[[#This Row],[overall]]&gt;=4,"Positive",IF(AMAZON_FASHION_5__2[[#This Row],[overall]]&lt;=2,"Negative","Neutral"))</f>
        <v>Negative</v>
      </c>
      <c r="S6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33" spans="1:19" x14ac:dyDescent="0.25">
      <c r="A633">
        <v>5</v>
      </c>
      <c r="B633" t="b">
        <v>1</v>
      </c>
      <c r="C633" s="1">
        <v>42968</v>
      </c>
      <c r="D633">
        <f>YEAR(AMAZON_FASHION_5__2[[#This Row],[reviewDate]])</f>
        <v>2017</v>
      </c>
      <c r="E633" s="1" t="str">
        <f>TEXT(AMAZON_FASHION_5__2[[#This Row],[reviewDate]], "mmmm")</f>
        <v>August</v>
      </c>
      <c r="F633" t="s">
        <v>635</v>
      </c>
      <c r="G633" t="s">
        <v>1445</v>
      </c>
      <c r="H633" t="s">
        <v>477</v>
      </c>
      <c r="I633" t="s">
        <v>303</v>
      </c>
      <c r="J633" t="s">
        <v>636</v>
      </c>
      <c r="K633" t="s">
        <v>637</v>
      </c>
      <c r="L633" t="s">
        <v>638</v>
      </c>
      <c r="M633">
        <v>1503273600</v>
      </c>
      <c r="N633" t="s">
        <v>1628</v>
      </c>
      <c r="O633" t="s">
        <v>1628</v>
      </c>
      <c r="P633" t="s">
        <v>1628</v>
      </c>
      <c r="Q633">
        <f>LEN(AMAZON_FASHION_5__2[[#This Row],[reviewText]])</f>
        <v>55</v>
      </c>
      <c r="R633" t="str">
        <f>IF(AMAZON_FASHION_5__2[[#This Row],[overall]]&gt;=4,"Positive",IF(AMAZON_FASHION_5__2[[#This Row],[overall]]&lt;=2,"Negative","Neutral"))</f>
        <v>Positive</v>
      </c>
      <c r="S6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34" spans="1:19" x14ac:dyDescent="0.25">
      <c r="A634">
        <v>5</v>
      </c>
      <c r="B634" t="b">
        <v>1</v>
      </c>
      <c r="C634" s="1">
        <v>42967</v>
      </c>
      <c r="D634">
        <f>YEAR(AMAZON_FASHION_5__2[[#This Row],[reviewDate]])</f>
        <v>2017</v>
      </c>
      <c r="E634" s="1" t="str">
        <f>TEXT(AMAZON_FASHION_5__2[[#This Row],[reviewDate]], "mmmm")</f>
        <v>August</v>
      </c>
      <c r="F634" t="s">
        <v>639</v>
      </c>
      <c r="G634" t="s">
        <v>1445</v>
      </c>
      <c r="H634" t="s">
        <v>197</v>
      </c>
      <c r="I634" t="s">
        <v>198</v>
      </c>
      <c r="J634" t="s">
        <v>640</v>
      </c>
      <c r="K634" t="s">
        <v>406</v>
      </c>
      <c r="L634" t="s">
        <v>17</v>
      </c>
      <c r="M634">
        <v>1503187200</v>
      </c>
      <c r="N634" t="s">
        <v>1628</v>
      </c>
      <c r="O634" t="s">
        <v>1628</v>
      </c>
      <c r="P634" t="s">
        <v>1628</v>
      </c>
      <c r="Q634">
        <f>LEN(AMAZON_FASHION_5__2[[#This Row],[reviewText]])</f>
        <v>10</v>
      </c>
      <c r="R634" t="str">
        <f>IF(AMAZON_FASHION_5__2[[#This Row],[overall]]&gt;=4,"Positive",IF(AMAZON_FASHION_5__2[[#This Row],[overall]]&lt;=2,"Negative","Neutral"))</f>
        <v>Positive</v>
      </c>
      <c r="S6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35" spans="1:19" x14ac:dyDescent="0.25">
      <c r="A635">
        <v>3</v>
      </c>
      <c r="B635" t="b">
        <v>1</v>
      </c>
      <c r="C635" s="1">
        <v>42964</v>
      </c>
      <c r="D635">
        <f>YEAR(AMAZON_FASHION_5__2[[#This Row],[reviewDate]])</f>
        <v>2017</v>
      </c>
      <c r="E635" s="1" t="str">
        <f>TEXT(AMAZON_FASHION_5__2[[#This Row],[reviewDate]], "mmmm")</f>
        <v>August</v>
      </c>
      <c r="F635" t="s">
        <v>641</v>
      </c>
      <c r="G635" t="s">
        <v>1445</v>
      </c>
      <c r="H635" t="s">
        <v>477</v>
      </c>
      <c r="I635" t="s">
        <v>642</v>
      </c>
      <c r="J635" t="s">
        <v>643</v>
      </c>
      <c r="K635" t="s">
        <v>644</v>
      </c>
      <c r="L635" t="s">
        <v>645</v>
      </c>
      <c r="M635">
        <v>1502928000</v>
      </c>
      <c r="N635" t="s">
        <v>1628</v>
      </c>
      <c r="O635" t="s">
        <v>1628</v>
      </c>
      <c r="P635" t="s">
        <v>1628</v>
      </c>
      <c r="Q635">
        <f>LEN(AMAZON_FASHION_5__2[[#This Row],[reviewText]])</f>
        <v>50</v>
      </c>
      <c r="R635" t="str">
        <f>IF(AMAZON_FASHION_5__2[[#This Row],[overall]]&gt;=4,"Positive",IF(AMAZON_FASHION_5__2[[#This Row],[overall]]&lt;=2,"Negative","Neutral"))</f>
        <v>Neutral</v>
      </c>
      <c r="S6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36" spans="1:19" x14ac:dyDescent="0.25">
      <c r="A636">
        <v>5</v>
      </c>
      <c r="B636" t="b">
        <v>1</v>
      </c>
      <c r="C636" s="1">
        <v>42964</v>
      </c>
      <c r="D636">
        <f>YEAR(AMAZON_FASHION_5__2[[#This Row],[reviewDate]])</f>
        <v>2017</v>
      </c>
      <c r="E636" s="1" t="str">
        <f>TEXT(AMAZON_FASHION_5__2[[#This Row],[reviewDate]], "mmmm")</f>
        <v>August</v>
      </c>
      <c r="F636" t="s">
        <v>646</v>
      </c>
      <c r="G636" t="s">
        <v>1445</v>
      </c>
      <c r="H636" t="s">
        <v>201</v>
      </c>
      <c r="I636" t="s">
        <v>198</v>
      </c>
      <c r="J636" t="s">
        <v>647</v>
      </c>
      <c r="K636" t="s">
        <v>648</v>
      </c>
      <c r="L636" t="s">
        <v>17</v>
      </c>
      <c r="M636">
        <v>1502928000</v>
      </c>
      <c r="N636" t="s">
        <v>1628</v>
      </c>
      <c r="O636" t="s">
        <v>1628</v>
      </c>
      <c r="P636" t="s">
        <v>1628</v>
      </c>
      <c r="Q636">
        <f>LEN(AMAZON_FASHION_5__2[[#This Row],[reviewText]])</f>
        <v>37</v>
      </c>
      <c r="R636" t="str">
        <f>IF(AMAZON_FASHION_5__2[[#This Row],[overall]]&gt;=4,"Positive",IF(AMAZON_FASHION_5__2[[#This Row],[overall]]&lt;=2,"Negative","Neutral"))</f>
        <v>Positive</v>
      </c>
      <c r="S6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37" spans="1:19" x14ac:dyDescent="0.25">
      <c r="A637">
        <v>5</v>
      </c>
      <c r="B637" t="b">
        <v>1</v>
      </c>
      <c r="C637" s="1">
        <v>42962</v>
      </c>
      <c r="D637">
        <f>YEAR(AMAZON_FASHION_5__2[[#This Row],[reviewDate]])</f>
        <v>2017</v>
      </c>
      <c r="E637" s="1" t="str">
        <f>TEXT(AMAZON_FASHION_5__2[[#This Row],[reviewDate]], "mmmm")</f>
        <v>August</v>
      </c>
      <c r="F637" t="s">
        <v>649</v>
      </c>
      <c r="G637" t="s">
        <v>1445</v>
      </c>
      <c r="H637" t="s">
        <v>61</v>
      </c>
      <c r="I637" t="s">
        <v>344</v>
      </c>
      <c r="J637" t="s">
        <v>63</v>
      </c>
      <c r="K637" t="s">
        <v>650</v>
      </c>
      <c r="L637" t="s">
        <v>17</v>
      </c>
      <c r="M637">
        <v>1502755200</v>
      </c>
      <c r="N637" t="s">
        <v>1628</v>
      </c>
      <c r="O637" t="s">
        <v>1628</v>
      </c>
      <c r="P637" t="s">
        <v>1628</v>
      </c>
      <c r="Q637">
        <f>LEN(AMAZON_FASHION_5__2[[#This Row],[reviewText]])</f>
        <v>16</v>
      </c>
      <c r="R637" t="str">
        <f>IF(AMAZON_FASHION_5__2[[#This Row],[overall]]&gt;=4,"Positive",IF(AMAZON_FASHION_5__2[[#This Row],[overall]]&lt;=2,"Negative","Neutral"))</f>
        <v>Positive</v>
      </c>
      <c r="S6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38" spans="1:19" x14ac:dyDescent="0.25">
      <c r="A638">
        <v>5</v>
      </c>
      <c r="B638" t="b">
        <v>1</v>
      </c>
      <c r="C638" s="1">
        <v>42961</v>
      </c>
      <c r="D638">
        <f>YEAR(AMAZON_FASHION_5__2[[#This Row],[reviewDate]])</f>
        <v>2017</v>
      </c>
      <c r="E638" s="1" t="str">
        <f>TEXT(AMAZON_FASHION_5__2[[#This Row],[reviewDate]], "mmmm")</f>
        <v>August</v>
      </c>
      <c r="F638" t="s">
        <v>651</v>
      </c>
      <c r="G638" t="s">
        <v>1445</v>
      </c>
      <c r="H638" t="s">
        <v>230</v>
      </c>
      <c r="I638" t="s">
        <v>198</v>
      </c>
      <c r="J638" t="s">
        <v>652</v>
      </c>
      <c r="K638" t="s">
        <v>653</v>
      </c>
      <c r="L638" t="s">
        <v>654</v>
      </c>
      <c r="M638">
        <v>1502668800</v>
      </c>
      <c r="N638" t="s">
        <v>1628</v>
      </c>
      <c r="O638" t="s">
        <v>1628</v>
      </c>
      <c r="P638" t="s">
        <v>1628</v>
      </c>
      <c r="Q638">
        <f>LEN(AMAZON_FASHION_5__2[[#This Row],[reviewText]])</f>
        <v>145</v>
      </c>
      <c r="R638" t="str">
        <f>IF(AMAZON_FASHION_5__2[[#This Row],[overall]]&gt;=4,"Positive",IF(AMAZON_FASHION_5__2[[#This Row],[overall]]&lt;=2,"Negative","Neutral"))</f>
        <v>Positive</v>
      </c>
      <c r="S6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39" spans="1:19" x14ac:dyDescent="0.25">
      <c r="A639">
        <v>5</v>
      </c>
      <c r="B639" t="b">
        <v>1</v>
      </c>
      <c r="C639" s="1">
        <v>42959</v>
      </c>
      <c r="D639">
        <f>YEAR(AMAZON_FASHION_5__2[[#This Row],[reviewDate]])</f>
        <v>2017</v>
      </c>
      <c r="E639" s="1" t="str">
        <f>TEXT(AMAZON_FASHION_5__2[[#This Row],[reviewDate]], "mmmm")</f>
        <v>August</v>
      </c>
      <c r="F639" t="s">
        <v>655</v>
      </c>
      <c r="G639" t="s">
        <v>1445</v>
      </c>
      <c r="H639" t="s">
        <v>210</v>
      </c>
      <c r="I639" t="s">
        <v>198</v>
      </c>
      <c r="J639" t="s">
        <v>656</v>
      </c>
      <c r="K639" t="s">
        <v>657</v>
      </c>
      <c r="L639" t="s">
        <v>658</v>
      </c>
      <c r="M639">
        <v>1502496000</v>
      </c>
      <c r="N639" t="s">
        <v>1628</v>
      </c>
      <c r="O639" t="s">
        <v>1628</v>
      </c>
      <c r="P639" t="s">
        <v>1628</v>
      </c>
      <c r="Q639">
        <f>LEN(AMAZON_FASHION_5__2[[#This Row],[reviewText]])</f>
        <v>230</v>
      </c>
      <c r="R639" t="str">
        <f>IF(AMAZON_FASHION_5__2[[#This Row],[overall]]&gt;=4,"Positive",IF(AMAZON_FASHION_5__2[[#This Row],[overall]]&lt;=2,"Negative","Neutral"))</f>
        <v>Positive</v>
      </c>
      <c r="S6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40" spans="1:19" x14ac:dyDescent="0.25">
      <c r="A640">
        <v>4</v>
      </c>
      <c r="B640" t="b">
        <v>1</v>
      </c>
      <c r="C640" s="1">
        <v>42958</v>
      </c>
      <c r="D640">
        <f>YEAR(AMAZON_FASHION_5__2[[#This Row],[reviewDate]])</f>
        <v>2017</v>
      </c>
      <c r="E640" s="1" t="str">
        <f>TEXT(AMAZON_FASHION_5__2[[#This Row],[reviewDate]], "mmmm")</f>
        <v>August</v>
      </c>
      <c r="F640" t="s">
        <v>659</v>
      </c>
      <c r="G640" t="s">
        <v>1445</v>
      </c>
      <c r="H640" t="s">
        <v>477</v>
      </c>
      <c r="I640" t="s">
        <v>198</v>
      </c>
      <c r="J640" t="s">
        <v>660</v>
      </c>
      <c r="K640" t="s">
        <v>661</v>
      </c>
      <c r="L640" t="s">
        <v>103</v>
      </c>
      <c r="M640">
        <v>1502409600</v>
      </c>
      <c r="N640" t="s">
        <v>1628</v>
      </c>
      <c r="O640" t="s">
        <v>1628</v>
      </c>
      <c r="P640" t="s">
        <v>1628</v>
      </c>
      <c r="Q640">
        <f>LEN(AMAZON_FASHION_5__2[[#This Row],[reviewText]])</f>
        <v>59</v>
      </c>
      <c r="R640" t="str">
        <f>IF(AMAZON_FASHION_5__2[[#This Row],[overall]]&gt;=4,"Positive",IF(AMAZON_FASHION_5__2[[#This Row],[overall]]&lt;=2,"Negative","Neutral"))</f>
        <v>Positive</v>
      </c>
      <c r="S6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41" spans="1:19" x14ac:dyDescent="0.25">
      <c r="A641">
        <v>3</v>
      </c>
      <c r="B641" t="b">
        <v>1</v>
      </c>
      <c r="C641" s="1">
        <v>42955</v>
      </c>
      <c r="D641">
        <f>YEAR(AMAZON_FASHION_5__2[[#This Row],[reviewDate]])</f>
        <v>2017</v>
      </c>
      <c r="E641" s="1" t="str">
        <f>TEXT(AMAZON_FASHION_5__2[[#This Row],[reviewDate]], "mmmm")</f>
        <v>August</v>
      </c>
      <c r="F641" t="s">
        <v>662</v>
      </c>
      <c r="G641" t="s">
        <v>1445</v>
      </c>
      <c r="H641" t="s">
        <v>210</v>
      </c>
      <c r="I641" t="s">
        <v>198</v>
      </c>
      <c r="J641" t="s">
        <v>663</v>
      </c>
      <c r="K641" t="s">
        <v>664</v>
      </c>
      <c r="L641" t="s">
        <v>665</v>
      </c>
      <c r="M641">
        <v>1502150400</v>
      </c>
      <c r="N641" t="s">
        <v>1628</v>
      </c>
      <c r="O641" t="s">
        <v>1628</v>
      </c>
      <c r="P641" t="s">
        <v>1628</v>
      </c>
      <c r="Q641">
        <f>LEN(AMAZON_FASHION_5__2[[#This Row],[reviewText]])</f>
        <v>138</v>
      </c>
      <c r="R641" t="str">
        <f>IF(AMAZON_FASHION_5__2[[#This Row],[overall]]&gt;=4,"Positive",IF(AMAZON_FASHION_5__2[[#This Row],[overall]]&lt;=2,"Negative","Neutral"))</f>
        <v>Neutral</v>
      </c>
      <c r="S6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42" spans="1:19" x14ac:dyDescent="0.25">
      <c r="A642">
        <v>5</v>
      </c>
      <c r="B642" t="b">
        <v>1</v>
      </c>
      <c r="C642" s="1">
        <v>42955</v>
      </c>
      <c r="D642">
        <f>YEAR(AMAZON_FASHION_5__2[[#This Row],[reviewDate]])</f>
        <v>2017</v>
      </c>
      <c r="E642" s="1" t="str">
        <f>TEXT(AMAZON_FASHION_5__2[[#This Row],[reviewDate]], "mmmm")</f>
        <v>August</v>
      </c>
      <c r="F642" t="s">
        <v>666</v>
      </c>
      <c r="G642" t="s">
        <v>1445</v>
      </c>
      <c r="H642" t="s">
        <v>284</v>
      </c>
      <c r="I642" t="s">
        <v>198</v>
      </c>
      <c r="J642" t="s">
        <v>667</v>
      </c>
      <c r="K642" t="s">
        <v>668</v>
      </c>
      <c r="L642" t="s">
        <v>17</v>
      </c>
      <c r="M642">
        <v>1502150400</v>
      </c>
      <c r="N642" t="s">
        <v>1628</v>
      </c>
      <c r="O642" t="s">
        <v>1628</v>
      </c>
      <c r="P642" t="s">
        <v>1628</v>
      </c>
      <c r="Q642">
        <f>LEN(AMAZON_FASHION_5__2[[#This Row],[reviewText]])</f>
        <v>27</v>
      </c>
      <c r="R642" t="str">
        <f>IF(AMAZON_FASHION_5__2[[#This Row],[overall]]&gt;=4,"Positive",IF(AMAZON_FASHION_5__2[[#This Row],[overall]]&lt;=2,"Negative","Neutral"))</f>
        <v>Positive</v>
      </c>
      <c r="S6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43" spans="1:19" x14ac:dyDescent="0.25">
      <c r="A643">
        <v>5</v>
      </c>
      <c r="B643" t="b">
        <v>1</v>
      </c>
      <c r="C643" s="1">
        <v>42954</v>
      </c>
      <c r="D643">
        <f>YEAR(AMAZON_FASHION_5__2[[#This Row],[reviewDate]])</f>
        <v>2017</v>
      </c>
      <c r="E643" s="1" t="str">
        <f>TEXT(AMAZON_FASHION_5__2[[#This Row],[reviewDate]], "mmmm")</f>
        <v>August</v>
      </c>
      <c r="F643" t="s">
        <v>669</v>
      </c>
      <c r="G643" t="s">
        <v>1445</v>
      </c>
      <c r="H643" t="s">
        <v>230</v>
      </c>
      <c r="I643" t="s">
        <v>396</v>
      </c>
      <c r="J643" t="s">
        <v>670</v>
      </c>
      <c r="K643" t="s">
        <v>671</v>
      </c>
      <c r="L643" t="s">
        <v>17</v>
      </c>
      <c r="M643">
        <v>1502064000</v>
      </c>
      <c r="N643" t="s">
        <v>1628</v>
      </c>
      <c r="O643" t="s">
        <v>1628</v>
      </c>
      <c r="P643" t="s">
        <v>1628</v>
      </c>
      <c r="Q643">
        <f>LEN(AMAZON_FASHION_5__2[[#This Row],[reviewText]])</f>
        <v>10</v>
      </c>
      <c r="R643" t="str">
        <f>IF(AMAZON_FASHION_5__2[[#This Row],[overall]]&gt;=4,"Positive",IF(AMAZON_FASHION_5__2[[#This Row],[overall]]&lt;=2,"Negative","Neutral"))</f>
        <v>Positive</v>
      </c>
      <c r="S6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44" spans="1:19" x14ac:dyDescent="0.25">
      <c r="A644">
        <v>5</v>
      </c>
      <c r="B644" t="b">
        <v>1</v>
      </c>
      <c r="C644" s="1">
        <v>42951</v>
      </c>
      <c r="D644">
        <f>YEAR(AMAZON_FASHION_5__2[[#This Row],[reviewDate]])</f>
        <v>2017</v>
      </c>
      <c r="E644" s="1" t="str">
        <f>TEXT(AMAZON_FASHION_5__2[[#This Row],[reviewDate]], "mmmm")</f>
        <v>August</v>
      </c>
      <c r="F644" t="s">
        <v>672</v>
      </c>
      <c r="G644" t="s">
        <v>1445</v>
      </c>
      <c r="H644" t="s">
        <v>235</v>
      </c>
      <c r="I644" t="s">
        <v>274</v>
      </c>
      <c r="J644" t="s">
        <v>673</v>
      </c>
      <c r="K644" t="s">
        <v>674</v>
      </c>
      <c r="L644" t="s">
        <v>675</v>
      </c>
      <c r="M644">
        <v>1501804800</v>
      </c>
      <c r="N644" t="s">
        <v>1628</v>
      </c>
      <c r="O644" t="s">
        <v>1628</v>
      </c>
      <c r="P644" t="s">
        <v>1628</v>
      </c>
      <c r="Q644">
        <f>LEN(AMAZON_FASHION_5__2[[#This Row],[reviewText]])</f>
        <v>114</v>
      </c>
      <c r="R644" t="str">
        <f>IF(AMAZON_FASHION_5__2[[#This Row],[overall]]&gt;=4,"Positive",IF(AMAZON_FASHION_5__2[[#This Row],[overall]]&lt;=2,"Negative","Neutral"))</f>
        <v>Positive</v>
      </c>
      <c r="S6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45" spans="1:19" x14ac:dyDescent="0.25">
      <c r="A645">
        <v>3</v>
      </c>
      <c r="B645" t="b">
        <v>1</v>
      </c>
      <c r="C645" s="1">
        <v>42949</v>
      </c>
      <c r="D645">
        <f>YEAR(AMAZON_FASHION_5__2[[#This Row],[reviewDate]])</f>
        <v>2017</v>
      </c>
      <c r="E645" s="1" t="str">
        <f>TEXT(AMAZON_FASHION_5__2[[#This Row],[reviewDate]], "mmmm")</f>
        <v>August</v>
      </c>
      <c r="F645" t="s">
        <v>676</v>
      </c>
      <c r="G645" t="s">
        <v>1445</v>
      </c>
      <c r="H645" t="s">
        <v>677</v>
      </c>
      <c r="I645" t="s">
        <v>198</v>
      </c>
      <c r="J645" t="s">
        <v>678</v>
      </c>
      <c r="K645" t="s">
        <v>679</v>
      </c>
      <c r="L645" t="s">
        <v>680</v>
      </c>
      <c r="M645">
        <v>1501632000</v>
      </c>
      <c r="N645" t="s">
        <v>1628</v>
      </c>
      <c r="O645" t="s">
        <v>1628</v>
      </c>
      <c r="P645" t="s">
        <v>1628</v>
      </c>
      <c r="Q645">
        <f>LEN(AMAZON_FASHION_5__2[[#This Row],[reviewText]])</f>
        <v>264</v>
      </c>
      <c r="R645" t="str">
        <f>IF(AMAZON_FASHION_5__2[[#This Row],[overall]]&gt;=4,"Positive",IF(AMAZON_FASHION_5__2[[#This Row],[overall]]&lt;=2,"Negative","Neutral"))</f>
        <v>Neutral</v>
      </c>
      <c r="S6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46" spans="1:19" x14ac:dyDescent="0.25">
      <c r="A646">
        <v>5</v>
      </c>
      <c r="B646" t="b">
        <v>1</v>
      </c>
      <c r="C646" s="1">
        <v>42936</v>
      </c>
      <c r="D646">
        <f>YEAR(AMAZON_FASHION_5__2[[#This Row],[reviewDate]])</f>
        <v>2017</v>
      </c>
      <c r="E646" s="1" t="str">
        <f>TEXT(AMAZON_FASHION_5__2[[#This Row],[reviewDate]], "mmmm")</f>
        <v>July</v>
      </c>
      <c r="F646" t="s">
        <v>681</v>
      </c>
      <c r="G646" t="s">
        <v>1445</v>
      </c>
      <c r="H646" t="s">
        <v>210</v>
      </c>
      <c r="I646" t="s">
        <v>198</v>
      </c>
      <c r="J646" t="s">
        <v>63</v>
      </c>
      <c r="K646" t="s">
        <v>682</v>
      </c>
      <c r="L646" t="s">
        <v>365</v>
      </c>
      <c r="M646">
        <v>1500508800</v>
      </c>
      <c r="N646" t="s">
        <v>1628</v>
      </c>
      <c r="O646" t="s">
        <v>1628</v>
      </c>
      <c r="P646" t="s">
        <v>1628</v>
      </c>
      <c r="Q646">
        <f>LEN(AMAZON_FASHION_5__2[[#This Row],[reviewText]])</f>
        <v>34</v>
      </c>
      <c r="R646" t="str">
        <f>IF(AMAZON_FASHION_5__2[[#This Row],[overall]]&gt;=4,"Positive",IF(AMAZON_FASHION_5__2[[#This Row],[overall]]&lt;=2,"Negative","Neutral"))</f>
        <v>Positive</v>
      </c>
      <c r="S6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47" spans="1:19" x14ac:dyDescent="0.25">
      <c r="A647">
        <v>5</v>
      </c>
      <c r="B647" t="b">
        <v>1</v>
      </c>
      <c r="C647" s="1">
        <v>42934</v>
      </c>
      <c r="D647">
        <f>YEAR(AMAZON_FASHION_5__2[[#This Row],[reviewDate]])</f>
        <v>2017</v>
      </c>
      <c r="E647" s="1" t="str">
        <f>TEXT(AMAZON_FASHION_5__2[[#This Row],[reviewDate]], "mmmm")</f>
        <v>July</v>
      </c>
      <c r="F647" t="s">
        <v>683</v>
      </c>
      <c r="G647" t="s">
        <v>1445</v>
      </c>
      <c r="H647" t="s">
        <v>230</v>
      </c>
      <c r="I647" t="s">
        <v>507</v>
      </c>
      <c r="J647" t="s">
        <v>684</v>
      </c>
      <c r="K647" t="s">
        <v>685</v>
      </c>
      <c r="L647" t="s">
        <v>686</v>
      </c>
      <c r="M647">
        <v>1500336000</v>
      </c>
      <c r="N647" t="s">
        <v>1628</v>
      </c>
      <c r="O647" t="s">
        <v>1628</v>
      </c>
      <c r="P647" t="s">
        <v>1628</v>
      </c>
      <c r="Q647">
        <f>LEN(AMAZON_FASHION_5__2[[#This Row],[reviewText]])</f>
        <v>124</v>
      </c>
      <c r="R647" t="str">
        <f>IF(AMAZON_FASHION_5__2[[#This Row],[overall]]&gt;=4,"Positive",IF(AMAZON_FASHION_5__2[[#This Row],[overall]]&lt;=2,"Negative","Neutral"))</f>
        <v>Positive</v>
      </c>
      <c r="S6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48" spans="1:19" x14ac:dyDescent="0.25">
      <c r="A648">
        <v>4</v>
      </c>
      <c r="B648" t="b">
        <v>1</v>
      </c>
      <c r="C648" s="1">
        <v>42934</v>
      </c>
      <c r="D648">
        <f>YEAR(AMAZON_FASHION_5__2[[#This Row],[reviewDate]])</f>
        <v>2017</v>
      </c>
      <c r="E648" s="1" t="str">
        <f>TEXT(AMAZON_FASHION_5__2[[#This Row],[reviewDate]], "mmmm")</f>
        <v>July</v>
      </c>
      <c r="F648" t="s">
        <v>687</v>
      </c>
      <c r="G648" t="s">
        <v>1445</v>
      </c>
      <c r="H648" t="s">
        <v>235</v>
      </c>
      <c r="I648" t="s">
        <v>344</v>
      </c>
      <c r="J648" t="s">
        <v>688</v>
      </c>
      <c r="K648" t="s">
        <v>689</v>
      </c>
      <c r="L648" t="s">
        <v>103</v>
      </c>
      <c r="M648">
        <v>1500336000</v>
      </c>
      <c r="N648" t="s">
        <v>1628</v>
      </c>
      <c r="O648" t="s">
        <v>1628</v>
      </c>
      <c r="P648" t="s">
        <v>1628</v>
      </c>
      <c r="Q648">
        <f>LEN(AMAZON_FASHION_5__2[[#This Row],[reviewText]])</f>
        <v>28</v>
      </c>
      <c r="R648" t="str">
        <f>IF(AMAZON_FASHION_5__2[[#This Row],[overall]]&gt;=4,"Positive",IF(AMAZON_FASHION_5__2[[#This Row],[overall]]&lt;=2,"Negative","Neutral"))</f>
        <v>Positive</v>
      </c>
      <c r="S6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49" spans="1:19" x14ac:dyDescent="0.25">
      <c r="A649">
        <v>5</v>
      </c>
      <c r="B649" t="b">
        <v>1</v>
      </c>
      <c r="C649" s="1">
        <v>42934</v>
      </c>
      <c r="D649">
        <f>YEAR(AMAZON_FASHION_5__2[[#This Row],[reviewDate]])</f>
        <v>2017</v>
      </c>
      <c r="E649" s="1" t="str">
        <f>TEXT(AMAZON_FASHION_5__2[[#This Row],[reviewDate]], "mmmm")</f>
        <v>July</v>
      </c>
      <c r="F649" t="s">
        <v>690</v>
      </c>
      <c r="G649" t="s">
        <v>1445</v>
      </c>
      <c r="H649" t="s">
        <v>197</v>
      </c>
      <c r="I649" t="s">
        <v>198</v>
      </c>
      <c r="J649" t="s">
        <v>691</v>
      </c>
      <c r="K649" t="s">
        <v>692</v>
      </c>
      <c r="L649" t="s">
        <v>693</v>
      </c>
      <c r="M649">
        <v>1500336000</v>
      </c>
      <c r="N649" t="s">
        <v>1628</v>
      </c>
      <c r="O649" t="s">
        <v>1628</v>
      </c>
      <c r="P649" t="s">
        <v>1628</v>
      </c>
      <c r="Q649">
        <f>LEN(AMAZON_FASHION_5__2[[#This Row],[reviewText]])</f>
        <v>184</v>
      </c>
      <c r="R649" t="str">
        <f>IF(AMAZON_FASHION_5__2[[#This Row],[overall]]&gt;=4,"Positive",IF(AMAZON_FASHION_5__2[[#This Row],[overall]]&lt;=2,"Negative","Neutral"))</f>
        <v>Positive</v>
      </c>
      <c r="S6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50" spans="1:19" x14ac:dyDescent="0.25">
      <c r="A650">
        <v>5</v>
      </c>
      <c r="B650" t="b">
        <v>1</v>
      </c>
      <c r="C650" s="1">
        <v>42934</v>
      </c>
      <c r="D650">
        <f>YEAR(AMAZON_FASHION_5__2[[#This Row],[reviewDate]])</f>
        <v>2017</v>
      </c>
      <c r="E650" s="1" t="str">
        <f>TEXT(AMAZON_FASHION_5__2[[#This Row],[reviewDate]], "mmmm")</f>
        <v>July</v>
      </c>
      <c r="F650" t="s">
        <v>694</v>
      </c>
      <c r="G650" t="s">
        <v>1445</v>
      </c>
      <c r="H650" t="s">
        <v>205</v>
      </c>
      <c r="I650" t="s">
        <v>198</v>
      </c>
      <c r="J650" t="s">
        <v>695</v>
      </c>
      <c r="K650" t="s">
        <v>18</v>
      </c>
      <c r="L650" t="s">
        <v>17</v>
      </c>
      <c r="M650">
        <v>1500336000</v>
      </c>
      <c r="N650" t="s">
        <v>1628</v>
      </c>
      <c r="O650" t="s">
        <v>1628</v>
      </c>
      <c r="P650" t="s">
        <v>1628</v>
      </c>
      <c r="Q650">
        <f>LEN(AMAZON_FASHION_5__2[[#This Row],[reviewText]])</f>
        <v>0</v>
      </c>
      <c r="R650" t="str">
        <f>IF(AMAZON_FASHION_5__2[[#This Row],[overall]]&gt;=4,"Positive",IF(AMAZON_FASHION_5__2[[#This Row],[overall]]&lt;=2,"Negative","Neutral"))</f>
        <v>Positive</v>
      </c>
      <c r="S6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51" spans="1:19" x14ac:dyDescent="0.25">
      <c r="A651">
        <v>5</v>
      </c>
      <c r="B651" t="b">
        <v>1</v>
      </c>
      <c r="C651" s="1">
        <v>42934</v>
      </c>
      <c r="D651">
        <f>YEAR(AMAZON_FASHION_5__2[[#This Row],[reviewDate]])</f>
        <v>2017</v>
      </c>
      <c r="E651" s="1" t="str">
        <f>TEXT(AMAZON_FASHION_5__2[[#This Row],[reviewDate]], "mmmm")</f>
        <v>July</v>
      </c>
      <c r="F651" t="s">
        <v>696</v>
      </c>
      <c r="G651" t="s">
        <v>1445</v>
      </c>
      <c r="H651" t="s">
        <v>210</v>
      </c>
      <c r="I651" t="s">
        <v>99</v>
      </c>
      <c r="J651" t="s">
        <v>697</v>
      </c>
      <c r="K651" t="s">
        <v>276</v>
      </c>
      <c r="L651" t="s">
        <v>17</v>
      </c>
      <c r="M651">
        <v>1500336000</v>
      </c>
      <c r="N651" t="s">
        <v>1628</v>
      </c>
      <c r="O651" t="s">
        <v>1628</v>
      </c>
      <c r="P651" t="s">
        <v>1628</v>
      </c>
      <c r="Q651">
        <f>LEN(AMAZON_FASHION_5__2[[#This Row],[reviewText]])</f>
        <v>4</v>
      </c>
      <c r="R651" t="str">
        <f>IF(AMAZON_FASHION_5__2[[#This Row],[overall]]&gt;=4,"Positive",IF(AMAZON_FASHION_5__2[[#This Row],[overall]]&lt;=2,"Negative","Neutral"))</f>
        <v>Positive</v>
      </c>
      <c r="S6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52" spans="1:19" x14ac:dyDescent="0.25">
      <c r="A652">
        <v>5</v>
      </c>
      <c r="B652" t="b">
        <v>1</v>
      </c>
      <c r="C652" s="1">
        <v>42934</v>
      </c>
      <c r="D652">
        <f>YEAR(AMAZON_FASHION_5__2[[#This Row],[reviewDate]])</f>
        <v>2017</v>
      </c>
      <c r="E652" s="1" t="str">
        <f>TEXT(AMAZON_FASHION_5__2[[#This Row],[reviewDate]], "mmmm")</f>
        <v>July</v>
      </c>
      <c r="F652" t="s">
        <v>698</v>
      </c>
      <c r="G652" t="s">
        <v>1445</v>
      </c>
      <c r="H652" t="s">
        <v>210</v>
      </c>
      <c r="I652" t="s">
        <v>642</v>
      </c>
      <c r="J652" t="s">
        <v>63</v>
      </c>
      <c r="K652" t="s">
        <v>699</v>
      </c>
      <c r="L652" t="s">
        <v>700</v>
      </c>
      <c r="M652">
        <v>1500336000</v>
      </c>
      <c r="N652" t="s">
        <v>1628</v>
      </c>
      <c r="O652" t="s">
        <v>1628</v>
      </c>
      <c r="P652" t="s">
        <v>1628</v>
      </c>
      <c r="Q652">
        <f>LEN(AMAZON_FASHION_5__2[[#This Row],[reviewText]])</f>
        <v>99</v>
      </c>
      <c r="R652" t="str">
        <f>IF(AMAZON_FASHION_5__2[[#This Row],[overall]]&gt;=4,"Positive",IF(AMAZON_FASHION_5__2[[#This Row],[overall]]&lt;=2,"Negative","Neutral"))</f>
        <v>Positive</v>
      </c>
      <c r="S6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53" spans="1:19" x14ac:dyDescent="0.25">
      <c r="A653">
        <v>5</v>
      </c>
      <c r="B653" t="b">
        <v>1</v>
      </c>
      <c r="C653" s="1">
        <v>42934</v>
      </c>
      <c r="D653">
        <f>YEAR(AMAZON_FASHION_5__2[[#This Row],[reviewDate]])</f>
        <v>2017</v>
      </c>
      <c r="E653" s="1" t="str">
        <f>TEXT(AMAZON_FASHION_5__2[[#This Row],[reviewDate]], "mmmm")</f>
        <v>July</v>
      </c>
      <c r="F653" t="s">
        <v>701</v>
      </c>
      <c r="G653" t="s">
        <v>1445</v>
      </c>
      <c r="H653" t="s">
        <v>201</v>
      </c>
      <c r="I653" t="s">
        <v>198</v>
      </c>
      <c r="J653" t="s">
        <v>702</v>
      </c>
      <c r="K653" t="s">
        <v>703</v>
      </c>
      <c r="L653" t="s">
        <v>704</v>
      </c>
      <c r="M653">
        <v>1500336000</v>
      </c>
      <c r="N653" t="s">
        <v>1628</v>
      </c>
      <c r="O653" t="s">
        <v>1628</v>
      </c>
      <c r="P653" t="s">
        <v>1628</v>
      </c>
      <c r="Q653">
        <f>LEN(AMAZON_FASHION_5__2[[#This Row],[reviewText]])</f>
        <v>178</v>
      </c>
      <c r="R653" t="str">
        <f>IF(AMAZON_FASHION_5__2[[#This Row],[overall]]&gt;=4,"Positive",IF(AMAZON_FASHION_5__2[[#This Row],[overall]]&lt;=2,"Negative","Neutral"))</f>
        <v>Positive</v>
      </c>
      <c r="S6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54" spans="1:19" x14ac:dyDescent="0.25">
      <c r="A654">
        <v>5</v>
      </c>
      <c r="B654" t="b">
        <v>1</v>
      </c>
      <c r="C654" s="1">
        <v>42931</v>
      </c>
      <c r="D654">
        <f>YEAR(AMAZON_FASHION_5__2[[#This Row],[reviewDate]])</f>
        <v>2017</v>
      </c>
      <c r="E654" s="1" t="str">
        <f>TEXT(AMAZON_FASHION_5__2[[#This Row],[reviewDate]], "mmmm")</f>
        <v>July</v>
      </c>
      <c r="F654" t="s">
        <v>705</v>
      </c>
      <c r="G654" t="s">
        <v>1445</v>
      </c>
      <c r="H654" t="s">
        <v>205</v>
      </c>
      <c r="I654" t="s">
        <v>396</v>
      </c>
      <c r="J654" t="s">
        <v>706</v>
      </c>
      <c r="K654" t="s">
        <v>707</v>
      </c>
      <c r="L654" t="s">
        <v>17</v>
      </c>
      <c r="M654">
        <v>1500076800</v>
      </c>
      <c r="N654" t="s">
        <v>1628</v>
      </c>
      <c r="O654" t="s">
        <v>1628</v>
      </c>
      <c r="P654" t="s">
        <v>1628</v>
      </c>
      <c r="Q654">
        <f>LEN(AMAZON_FASHION_5__2[[#This Row],[reviewText]])</f>
        <v>30</v>
      </c>
      <c r="R654" t="str">
        <f>IF(AMAZON_FASHION_5__2[[#This Row],[overall]]&gt;=4,"Positive",IF(AMAZON_FASHION_5__2[[#This Row],[overall]]&lt;=2,"Negative","Neutral"))</f>
        <v>Positive</v>
      </c>
      <c r="S6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55" spans="1:19" x14ac:dyDescent="0.25">
      <c r="A655">
        <v>3</v>
      </c>
      <c r="B655" t="b">
        <v>1</v>
      </c>
      <c r="C655" s="1">
        <v>42931</v>
      </c>
      <c r="D655">
        <f>YEAR(AMAZON_FASHION_5__2[[#This Row],[reviewDate]])</f>
        <v>2017</v>
      </c>
      <c r="E655" s="1" t="str">
        <f>TEXT(AMAZON_FASHION_5__2[[#This Row],[reviewDate]], "mmmm")</f>
        <v>July</v>
      </c>
      <c r="F655" t="s">
        <v>708</v>
      </c>
      <c r="G655" t="s">
        <v>1445</v>
      </c>
      <c r="H655" t="s">
        <v>230</v>
      </c>
      <c r="I655" t="s">
        <v>274</v>
      </c>
      <c r="J655" t="s">
        <v>709</v>
      </c>
      <c r="K655" t="s">
        <v>710</v>
      </c>
      <c r="L655" t="s">
        <v>711</v>
      </c>
      <c r="M655">
        <v>1500076800</v>
      </c>
      <c r="N655" t="s">
        <v>1628</v>
      </c>
      <c r="O655" t="s">
        <v>1628</v>
      </c>
      <c r="P655" t="s">
        <v>1628</v>
      </c>
      <c r="Q655">
        <f>LEN(AMAZON_FASHION_5__2[[#This Row],[reviewText]])</f>
        <v>130</v>
      </c>
      <c r="R655" t="str">
        <f>IF(AMAZON_FASHION_5__2[[#This Row],[overall]]&gt;=4,"Positive",IF(AMAZON_FASHION_5__2[[#This Row],[overall]]&lt;=2,"Negative","Neutral"))</f>
        <v>Neutral</v>
      </c>
      <c r="S6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56" spans="1:19" x14ac:dyDescent="0.25">
      <c r="A656">
        <v>5</v>
      </c>
      <c r="B656" t="b">
        <v>1</v>
      </c>
      <c r="C656" s="1">
        <v>42925</v>
      </c>
      <c r="D656">
        <f>YEAR(AMAZON_FASHION_5__2[[#This Row],[reviewDate]])</f>
        <v>2017</v>
      </c>
      <c r="E656" s="1" t="str">
        <f>TEXT(AMAZON_FASHION_5__2[[#This Row],[reviewDate]], "mmmm")</f>
        <v>July</v>
      </c>
      <c r="F656" t="s">
        <v>712</v>
      </c>
      <c r="G656" t="s">
        <v>1445</v>
      </c>
      <c r="H656" t="s">
        <v>477</v>
      </c>
      <c r="I656" t="s">
        <v>419</v>
      </c>
      <c r="J656" t="s">
        <v>713</v>
      </c>
      <c r="K656" t="s">
        <v>714</v>
      </c>
      <c r="L656" t="s">
        <v>715</v>
      </c>
      <c r="M656">
        <v>1499558400</v>
      </c>
      <c r="N656" t="s">
        <v>1628</v>
      </c>
      <c r="O656" t="s">
        <v>1628</v>
      </c>
      <c r="P656" t="s">
        <v>1628</v>
      </c>
      <c r="Q656">
        <f>LEN(AMAZON_FASHION_5__2[[#This Row],[reviewText]])</f>
        <v>112</v>
      </c>
      <c r="R656" t="str">
        <f>IF(AMAZON_FASHION_5__2[[#This Row],[overall]]&gt;=4,"Positive",IF(AMAZON_FASHION_5__2[[#This Row],[overall]]&lt;=2,"Negative","Neutral"))</f>
        <v>Positive</v>
      </c>
      <c r="S6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57" spans="1:19" x14ac:dyDescent="0.25">
      <c r="A657">
        <v>5</v>
      </c>
      <c r="B657" t="b">
        <v>1</v>
      </c>
      <c r="C657" s="1">
        <v>42924</v>
      </c>
      <c r="D657">
        <f>YEAR(AMAZON_FASHION_5__2[[#This Row],[reviewDate]])</f>
        <v>2017</v>
      </c>
      <c r="E657" s="1" t="str">
        <f>TEXT(AMAZON_FASHION_5__2[[#This Row],[reviewDate]], "mmmm")</f>
        <v>July</v>
      </c>
      <c r="F657" t="s">
        <v>716</v>
      </c>
      <c r="G657" t="s">
        <v>1445</v>
      </c>
      <c r="H657" t="s">
        <v>717</v>
      </c>
      <c r="I657" t="s">
        <v>336</v>
      </c>
      <c r="J657" t="s">
        <v>718</v>
      </c>
      <c r="K657" t="s">
        <v>719</v>
      </c>
      <c r="L657" t="s">
        <v>720</v>
      </c>
      <c r="M657">
        <v>1499472000</v>
      </c>
      <c r="N657" t="s">
        <v>1628</v>
      </c>
      <c r="O657" t="s">
        <v>1628</v>
      </c>
      <c r="P657" t="s">
        <v>1628</v>
      </c>
      <c r="Q657">
        <f>LEN(AMAZON_FASHION_5__2[[#This Row],[reviewText]])</f>
        <v>22</v>
      </c>
      <c r="R657" t="str">
        <f>IF(AMAZON_FASHION_5__2[[#This Row],[overall]]&gt;=4,"Positive",IF(AMAZON_FASHION_5__2[[#This Row],[overall]]&lt;=2,"Negative","Neutral"))</f>
        <v>Positive</v>
      </c>
      <c r="S6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58" spans="1:19" x14ac:dyDescent="0.25">
      <c r="A658">
        <v>4</v>
      </c>
      <c r="B658" t="b">
        <v>1</v>
      </c>
      <c r="C658" s="1">
        <v>42923</v>
      </c>
      <c r="D658">
        <f>YEAR(AMAZON_FASHION_5__2[[#This Row],[reviewDate]])</f>
        <v>2017</v>
      </c>
      <c r="E658" s="1" t="str">
        <f>TEXT(AMAZON_FASHION_5__2[[#This Row],[reviewDate]], "mmmm")</f>
        <v>July</v>
      </c>
      <c r="F658" t="s">
        <v>721</v>
      </c>
      <c r="G658" t="s">
        <v>1445</v>
      </c>
      <c r="H658" t="s">
        <v>201</v>
      </c>
      <c r="I658" t="s">
        <v>198</v>
      </c>
      <c r="J658" t="s">
        <v>722</v>
      </c>
      <c r="K658" t="s">
        <v>723</v>
      </c>
      <c r="L658" t="s">
        <v>724</v>
      </c>
      <c r="M658">
        <v>1499385600</v>
      </c>
      <c r="N658" t="s">
        <v>1628</v>
      </c>
      <c r="O658" t="s">
        <v>1628</v>
      </c>
      <c r="P658" t="s">
        <v>1628</v>
      </c>
      <c r="Q658">
        <f>LEN(AMAZON_FASHION_5__2[[#This Row],[reviewText]])</f>
        <v>453</v>
      </c>
      <c r="R658" t="str">
        <f>IF(AMAZON_FASHION_5__2[[#This Row],[overall]]&gt;=4,"Positive",IF(AMAZON_FASHION_5__2[[#This Row],[overall]]&lt;=2,"Negative","Neutral"))</f>
        <v>Positive</v>
      </c>
      <c r="S6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59" spans="1:19" x14ac:dyDescent="0.25">
      <c r="A659">
        <v>3</v>
      </c>
      <c r="B659" t="b">
        <v>0</v>
      </c>
      <c r="C659" s="1">
        <v>42917</v>
      </c>
      <c r="D659">
        <f>YEAR(AMAZON_FASHION_5__2[[#This Row],[reviewDate]])</f>
        <v>2017</v>
      </c>
      <c r="E659" s="1" t="str">
        <f>TEXT(AMAZON_FASHION_5__2[[#This Row],[reviewDate]], "mmmm")</f>
        <v>July</v>
      </c>
      <c r="F659" t="s">
        <v>725</v>
      </c>
      <c r="G659" t="s">
        <v>1445</v>
      </c>
      <c r="H659" t="s">
        <v>261</v>
      </c>
      <c r="I659" t="s">
        <v>99</v>
      </c>
      <c r="J659" t="s">
        <v>726</v>
      </c>
      <c r="K659" t="s">
        <v>727</v>
      </c>
      <c r="L659" t="s">
        <v>728</v>
      </c>
      <c r="M659">
        <v>1498867200</v>
      </c>
      <c r="N659" t="s">
        <v>1628</v>
      </c>
      <c r="O659" t="s">
        <v>1628</v>
      </c>
      <c r="P659" t="s">
        <v>1628</v>
      </c>
      <c r="Q659">
        <f>LEN(AMAZON_FASHION_5__2[[#This Row],[reviewText]])</f>
        <v>566</v>
      </c>
      <c r="R659" t="str">
        <f>IF(AMAZON_FASHION_5__2[[#This Row],[overall]]&gt;=4,"Positive",IF(AMAZON_FASHION_5__2[[#This Row],[overall]]&lt;=2,"Negative","Neutral"))</f>
        <v>Neutral</v>
      </c>
      <c r="S6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60" spans="1:19" x14ac:dyDescent="0.25">
      <c r="A660">
        <v>5</v>
      </c>
      <c r="B660" t="b">
        <v>1</v>
      </c>
      <c r="C660" s="1">
        <v>42916</v>
      </c>
      <c r="D660">
        <f>YEAR(AMAZON_FASHION_5__2[[#This Row],[reviewDate]])</f>
        <v>2017</v>
      </c>
      <c r="E660" s="1" t="str">
        <f>TEXT(AMAZON_FASHION_5__2[[#This Row],[reviewDate]], "mmmm")</f>
        <v>June</v>
      </c>
      <c r="F660" t="s">
        <v>729</v>
      </c>
      <c r="G660" t="s">
        <v>1445</v>
      </c>
      <c r="H660" t="s">
        <v>201</v>
      </c>
      <c r="I660" t="s">
        <v>198</v>
      </c>
      <c r="J660" t="s">
        <v>730</v>
      </c>
      <c r="K660" t="s">
        <v>731</v>
      </c>
      <c r="L660" t="s">
        <v>732</v>
      </c>
      <c r="M660">
        <v>1498780800</v>
      </c>
      <c r="N660" t="s">
        <v>1628</v>
      </c>
      <c r="O660" t="s">
        <v>1628</v>
      </c>
      <c r="P660" t="s">
        <v>1628</v>
      </c>
      <c r="Q660">
        <f>LEN(AMAZON_FASHION_5__2[[#This Row],[reviewText]])</f>
        <v>5</v>
      </c>
      <c r="R660" t="str">
        <f>IF(AMAZON_FASHION_5__2[[#This Row],[overall]]&gt;=4,"Positive",IF(AMAZON_FASHION_5__2[[#This Row],[overall]]&lt;=2,"Negative","Neutral"))</f>
        <v>Positive</v>
      </c>
      <c r="S6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61" spans="1:19" x14ac:dyDescent="0.25">
      <c r="A661">
        <v>5</v>
      </c>
      <c r="B661" t="b">
        <v>1</v>
      </c>
      <c r="C661" s="1">
        <v>42914</v>
      </c>
      <c r="D661">
        <f>YEAR(AMAZON_FASHION_5__2[[#This Row],[reviewDate]])</f>
        <v>2017</v>
      </c>
      <c r="E661" s="1" t="str">
        <f>TEXT(AMAZON_FASHION_5__2[[#This Row],[reviewDate]], "mmmm")</f>
        <v>June</v>
      </c>
      <c r="F661" t="s">
        <v>733</v>
      </c>
      <c r="G661" t="s">
        <v>1445</v>
      </c>
      <c r="H661" t="s">
        <v>235</v>
      </c>
      <c r="I661" t="s">
        <v>493</v>
      </c>
      <c r="J661" t="s">
        <v>734</v>
      </c>
      <c r="K661" t="s">
        <v>735</v>
      </c>
      <c r="L661" t="s">
        <v>17</v>
      </c>
      <c r="M661">
        <v>1498608000</v>
      </c>
      <c r="N661" t="s">
        <v>1628</v>
      </c>
      <c r="O661" t="s">
        <v>1628</v>
      </c>
      <c r="P661" t="s">
        <v>1628</v>
      </c>
      <c r="Q661">
        <f>LEN(AMAZON_FASHION_5__2[[#This Row],[reviewText]])</f>
        <v>18</v>
      </c>
      <c r="R661" t="str">
        <f>IF(AMAZON_FASHION_5__2[[#This Row],[overall]]&gt;=4,"Positive",IF(AMAZON_FASHION_5__2[[#This Row],[overall]]&lt;=2,"Negative","Neutral"))</f>
        <v>Positive</v>
      </c>
      <c r="S6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62" spans="1:19" x14ac:dyDescent="0.25">
      <c r="A662">
        <v>5</v>
      </c>
      <c r="B662" t="b">
        <v>1</v>
      </c>
      <c r="C662" s="1">
        <v>42912</v>
      </c>
      <c r="D662">
        <f>YEAR(AMAZON_FASHION_5__2[[#This Row],[reviewDate]])</f>
        <v>2017</v>
      </c>
      <c r="E662" s="1" t="str">
        <f>TEXT(AMAZON_FASHION_5__2[[#This Row],[reviewDate]], "mmmm")</f>
        <v>June</v>
      </c>
      <c r="F662" t="s">
        <v>736</v>
      </c>
      <c r="G662" t="s">
        <v>1445</v>
      </c>
      <c r="H662" t="s">
        <v>201</v>
      </c>
      <c r="I662" t="s">
        <v>524</v>
      </c>
      <c r="J662" t="s">
        <v>737</v>
      </c>
      <c r="K662" t="s">
        <v>738</v>
      </c>
      <c r="L662" t="s">
        <v>17</v>
      </c>
      <c r="M662">
        <v>1498435200</v>
      </c>
      <c r="N662" t="s">
        <v>1628</v>
      </c>
      <c r="O662" t="s">
        <v>1628</v>
      </c>
      <c r="P662" t="s">
        <v>1628</v>
      </c>
      <c r="Q662">
        <f>LEN(AMAZON_FASHION_5__2[[#This Row],[reviewText]])</f>
        <v>8</v>
      </c>
      <c r="R662" t="str">
        <f>IF(AMAZON_FASHION_5__2[[#This Row],[overall]]&gt;=4,"Positive",IF(AMAZON_FASHION_5__2[[#This Row],[overall]]&lt;=2,"Negative","Neutral"))</f>
        <v>Positive</v>
      </c>
      <c r="S6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63" spans="1:19" x14ac:dyDescent="0.25">
      <c r="A663">
        <v>5</v>
      </c>
      <c r="B663" t="b">
        <v>1</v>
      </c>
      <c r="C663" s="1">
        <v>42907</v>
      </c>
      <c r="D663">
        <f>YEAR(AMAZON_FASHION_5__2[[#This Row],[reviewDate]])</f>
        <v>2017</v>
      </c>
      <c r="E663" s="1" t="str">
        <f>TEXT(AMAZON_FASHION_5__2[[#This Row],[reviewDate]], "mmmm")</f>
        <v>June</v>
      </c>
      <c r="F663" t="s">
        <v>739</v>
      </c>
      <c r="G663" t="s">
        <v>1445</v>
      </c>
      <c r="H663" t="s">
        <v>210</v>
      </c>
      <c r="I663" t="s">
        <v>303</v>
      </c>
      <c r="J663" t="s">
        <v>63</v>
      </c>
      <c r="K663" t="s">
        <v>740</v>
      </c>
      <c r="L663" t="s">
        <v>741</v>
      </c>
      <c r="M663">
        <v>1498003200</v>
      </c>
      <c r="N663" t="s">
        <v>1628</v>
      </c>
      <c r="O663" t="s">
        <v>1628</v>
      </c>
      <c r="P663" t="s">
        <v>1628</v>
      </c>
      <c r="Q663">
        <f>LEN(AMAZON_FASHION_5__2[[#This Row],[reviewText]])</f>
        <v>141</v>
      </c>
      <c r="R663" t="str">
        <f>IF(AMAZON_FASHION_5__2[[#This Row],[overall]]&gt;=4,"Positive",IF(AMAZON_FASHION_5__2[[#This Row],[overall]]&lt;=2,"Negative","Neutral"))</f>
        <v>Positive</v>
      </c>
      <c r="S6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64" spans="1:19" x14ac:dyDescent="0.25">
      <c r="A664">
        <v>5</v>
      </c>
      <c r="B664" t="b">
        <v>1</v>
      </c>
      <c r="C664" s="1">
        <v>42906</v>
      </c>
      <c r="D664">
        <f>YEAR(AMAZON_FASHION_5__2[[#This Row],[reviewDate]])</f>
        <v>2017</v>
      </c>
      <c r="E664" s="1" t="str">
        <f>TEXT(AMAZON_FASHION_5__2[[#This Row],[reviewDate]], "mmmm")</f>
        <v>June</v>
      </c>
      <c r="F664" t="s">
        <v>742</v>
      </c>
      <c r="G664" t="s">
        <v>1445</v>
      </c>
      <c r="H664" t="s">
        <v>415</v>
      </c>
      <c r="I664" t="s">
        <v>336</v>
      </c>
      <c r="J664" t="s">
        <v>743</v>
      </c>
      <c r="K664" t="s">
        <v>744</v>
      </c>
      <c r="L664" t="s">
        <v>745</v>
      </c>
      <c r="M664">
        <v>1497916800</v>
      </c>
      <c r="N664" t="s">
        <v>1628</v>
      </c>
      <c r="O664" t="s">
        <v>1628</v>
      </c>
      <c r="P664" t="s">
        <v>1628</v>
      </c>
      <c r="Q664">
        <f>LEN(AMAZON_FASHION_5__2[[#This Row],[reviewText]])</f>
        <v>275</v>
      </c>
      <c r="R664" t="str">
        <f>IF(AMAZON_FASHION_5__2[[#This Row],[overall]]&gt;=4,"Positive",IF(AMAZON_FASHION_5__2[[#This Row],[overall]]&lt;=2,"Negative","Neutral"))</f>
        <v>Positive</v>
      </c>
      <c r="S6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65" spans="1:19" x14ac:dyDescent="0.25">
      <c r="A665">
        <v>5</v>
      </c>
      <c r="B665" t="b">
        <v>1</v>
      </c>
      <c r="C665" s="1">
        <v>42906</v>
      </c>
      <c r="D665">
        <f>YEAR(AMAZON_FASHION_5__2[[#This Row],[reviewDate]])</f>
        <v>2017</v>
      </c>
      <c r="E665" s="1" t="str">
        <f>TEXT(AMAZON_FASHION_5__2[[#This Row],[reviewDate]], "mmmm")</f>
        <v>June</v>
      </c>
      <c r="F665" t="s">
        <v>746</v>
      </c>
      <c r="G665" t="s">
        <v>1445</v>
      </c>
      <c r="H665" t="s">
        <v>201</v>
      </c>
      <c r="I665" t="s">
        <v>198</v>
      </c>
      <c r="J665" t="s">
        <v>747</v>
      </c>
      <c r="K665" t="s">
        <v>748</v>
      </c>
      <c r="L665" t="s">
        <v>749</v>
      </c>
      <c r="M665">
        <v>1497916800</v>
      </c>
      <c r="N665" t="s">
        <v>1628</v>
      </c>
      <c r="O665" t="s">
        <v>1628</v>
      </c>
      <c r="P665" t="s">
        <v>1628</v>
      </c>
      <c r="Q665">
        <f>LEN(AMAZON_FASHION_5__2[[#This Row],[reviewText]])</f>
        <v>69</v>
      </c>
      <c r="R665" t="str">
        <f>IF(AMAZON_FASHION_5__2[[#This Row],[overall]]&gt;=4,"Positive",IF(AMAZON_FASHION_5__2[[#This Row],[overall]]&lt;=2,"Negative","Neutral"))</f>
        <v>Positive</v>
      </c>
      <c r="S6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66" spans="1:19" x14ac:dyDescent="0.25">
      <c r="A666">
        <v>4</v>
      </c>
      <c r="B666" t="b">
        <v>1</v>
      </c>
      <c r="C666" s="1">
        <v>42905</v>
      </c>
      <c r="D666">
        <f>YEAR(AMAZON_FASHION_5__2[[#This Row],[reviewDate]])</f>
        <v>2017</v>
      </c>
      <c r="E666" s="1" t="str">
        <f>TEXT(AMAZON_FASHION_5__2[[#This Row],[reviewDate]], "mmmm")</f>
        <v>June</v>
      </c>
      <c r="F666" t="s">
        <v>750</v>
      </c>
      <c r="G666" t="s">
        <v>1445</v>
      </c>
      <c r="H666" t="s">
        <v>201</v>
      </c>
      <c r="I666" t="s">
        <v>198</v>
      </c>
      <c r="J666" t="s">
        <v>751</v>
      </c>
      <c r="K666" t="s">
        <v>752</v>
      </c>
      <c r="L666" t="s">
        <v>103</v>
      </c>
      <c r="M666">
        <v>1497830400</v>
      </c>
      <c r="N666" t="s">
        <v>1628</v>
      </c>
      <c r="O666" t="s">
        <v>1628</v>
      </c>
      <c r="P666" t="s">
        <v>1628</v>
      </c>
      <c r="Q666">
        <f>LEN(AMAZON_FASHION_5__2[[#This Row],[reviewText]])</f>
        <v>12</v>
      </c>
      <c r="R666" t="str">
        <f>IF(AMAZON_FASHION_5__2[[#This Row],[overall]]&gt;=4,"Positive",IF(AMAZON_FASHION_5__2[[#This Row],[overall]]&lt;=2,"Negative","Neutral"))</f>
        <v>Positive</v>
      </c>
      <c r="S6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67" spans="1:19" x14ac:dyDescent="0.25">
      <c r="A667">
        <v>5</v>
      </c>
      <c r="B667" t="b">
        <v>1</v>
      </c>
      <c r="C667" s="1">
        <v>42905</v>
      </c>
      <c r="D667">
        <f>YEAR(AMAZON_FASHION_5__2[[#This Row],[reviewDate]])</f>
        <v>2017</v>
      </c>
      <c r="E667" s="1" t="str">
        <f>TEXT(AMAZON_FASHION_5__2[[#This Row],[reviewDate]], "mmmm")</f>
        <v>June</v>
      </c>
      <c r="F667" t="s">
        <v>753</v>
      </c>
      <c r="G667" t="s">
        <v>1445</v>
      </c>
      <c r="H667" t="s">
        <v>284</v>
      </c>
      <c r="I667" t="s">
        <v>198</v>
      </c>
      <c r="J667" t="s">
        <v>754</v>
      </c>
      <c r="K667" t="s">
        <v>755</v>
      </c>
      <c r="L667" t="s">
        <v>756</v>
      </c>
      <c r="M667">
        <v>1497830400</v>
      </c>
      <c r="N667" t="s">
        <v>1628</v>
      </c>
      <c r="O667" t="s">
        <v>1628</v>
      </c>
      <c r="P667" t="s">
        <v>1628</v>
      </c>
      <c r="Q667">
        <f>LEN(AMAZON_FASHION_5__2[[#This Row],[reviewText]])</f>
        <v>108</v>
      </c>
      <c r="R667" t="str">
        <f>IF(AMAZON_FASHION_5__2[[#This Row],[overall]]&gt;=4,"Positive",IF(AMAZON_FASHION_5__2[[#This Row],[overall]]&lt;=2,"Negative","Neutral"))</f>
        <v>Positive</v>
      </c>
      <c r="S6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68" spans="1:19" x14ac:dyDescent="0.25">
      <c r="A668">
        <v>5</v>
      </c>
      <c r="B668" t="b">
        <v>1</v>
      </c>
      <c r="C668" s="1">
        <v>42905</v>
      </c>
      <c r="D668">
        <f>YEAR(AMAZON_FASHION_5__2[[#This Row],[reviewDate]])</f>
        <v>2017</v>
      </c>
      <c r="E668" s="1" t="str">
        <f>TEXT(AMAZON_FASHION_5__2[[#This Row],[reviewDate]], "mmmm")</f>
        <v>June</v>
      </c>
      <c r="F668" t="s">
        <v>757</v>
      </c>
      <c r="G668" t="s">
        <v>1445</v>
      </c>
      <c r="H668" t="s">
        <v>210</v>
      </c>
      <c r="I668" t="s">
        <v>198</v>
      </c>
      <c r="J668" t="s">
        <v>63</v>
      </c>
      <c r="K668" t="s">
        <v>758</v>
      </c>
      <c r="L668" t="s">
        <v>759</v>
      </c>
      <c r="M668">
        <v>1497830400</v>
      </c>
      <c r="N668" t="s">
        <v>1628</v>
      </c>
      <c r="O668" t="s">
        <v>1628</v>
      </c>
      <c r="P668" t="s">
        <v>1628</v>
      </c>
      <c r="Q668">
        <f>LEN(AMAZON_FASHION_5__2[[#This Row],[reviewText]])</f>
        <v>76</v>
      </c>
      <c r="R668" t="str">
        <f>IF(AMAZON_FASHION_5__2[[#This Row],[overall]]&gt;=4,"Positive",IF(AMAZON_FASHION_5__2[[#This Row],[overall]]&lt;=2,"Negative","Neutral"))</f>
        <v>Positive</v>
      </c>
      <c r="S6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69" spans="1:19" x14ac:dyDescent="0.25">
      <c r="A669">
        <v>3</v>
      </c>
      <c r="B669" t="b">
        <v>1</v>
      </c>
      <c r="C669" s="1">
        <v>42902</v>
      </c>
      <c r="D669">
        <f>YEAR(AMAZON_FASHION_5__2[[#This Row],[reviewDate]])</f>
        <v>2017</v>
      </c>
      <c r="E669" s="1" t="str">
        <f>TEXT(AMAZON_FASHION_5__2[[#This Row],[reviewDate]], "mmmm")</f>
        <v>June</v>
      </c>
      <c r="F669" t="s">
        <v>760</v>
      </c>
      <c r="G669" t="s">
        <v>1445</v>
      </c>
      <c r="H669" t="s">
        <v>205</v>
      </c>
      <c r="I669" t="s">
        <v>198</v>
      </c>
      <c r="J669" t="s">
        <v>761</v>
      </c>
      <c r="K669" t="s">
        <v>762</v>
      </c>
      <c r="L669" t="s">
        <v>763</v>
      </c>
      <c r="M669">
        <v>1497571200</v>
      </c>
      <c r="N669" t="s">
        <v>1628</v>
      </c>
      <c r="O669" t="s">
        <v>1628</v>
      </c>
      <c r="P669" t="s">
        <v>1628</v>
      </c>
      <c r="Q669">
        <f>LEN(AMAZON_FASHION_5__2[[#This Row],[reviewText]])</f>
        <v>468</v>
      </c>
      <c r="R669" t="str">
        <f>IF(AMAZON_FASHION_5__2[[#This Row],[overall]]&gt;=4,"Positive",IF(AMAZON_FASHION_5__2[[#This Row],[overall]]&lt;=2,"Negative","Neutral"))</f>
        <v>Neutral</v>
      </c>
      <c r="S6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70" spans="1:19" x14ac:dyDescent="0.25">
      <c r="A670">
        <v>5</v>
      </c>
      <c r="B670" t="b">
        <v>1</v>
      </c>
      <c r="C670" s="1">
        <v>42901</v>
      </c>
      <c r="D670">
        <f>YEAR(AMAZON_FASHION_5__2[[#This Row],[reviewDate]])</f>
        <v>2017</v>
      </c>
      <c r="E670" s="1" t="str">
        <f>TEXT(AMAZON_FASHION_5__2[[#This Row],[reviewDate]], "mmmm")</f>
        <v>June</v>
      </c>
      <c r="F670" t="s">
        <v>764</v>
      </c>
      <c r="G670" t="s">
        <v>1445</v>
      </c>
      <c r="H670" t="s">
        <v>235</v>
      </c>
      <c r="I670" t="s">
        <v>198</v>
      </c>
      <c r="J670" t="s">
        <v>765</v>
      </c>
      <c r="K670" t="s">
        <v>766</v>
      </c>
      <c r="L670" t="s">
        <v>767</v>
      </c>
      <c r="M670">
        <v>1497484800</v>
      </c>
      <c r="N670" t="s">
        <v>1628</v>
      </c>
      <c r="O670" t="s">
        <v>1628</v>
      </c>
      <c r="P670" t="s">
        <v>1628</v>
      </c>
      <c r="Q670">
        <f>LEN(AMAZON_FASHION_5__2[[#This Row],[reviewText]])</f>
        <v>125</v>
      </c>
      <c r="R670" t="str">
        <f>IF(AMAZON_FASHION_5__2[[#This Row],[overall]]&gt;=4,"Positive",IF(AMAZON_FASHION_5__2[[#This Row],[overall]]&lt;=2,"Negative","Neutral"))</f>
        <v>Positive</v>
      </c>
      <c r="S6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71" spans="1:19" x14ac:dyDescent="0.25">
      <c r="A671">
        <v>5</v>
      </c>
      <c r="B671" t="b">
        <v>1</v>
      </c>
      <c r="C671" s="1">
        <v>42901</v>
      </c>
      <c r="D671">
        <f>YEAR(AMAZON_FASHION_5__2[[#This Row],[reviewDate]])</f>
        <v>2017</v>
      </c>
      <c r="E671" s="1" t="str">
        <f>TEXT(AMAZON_FASHION_5__2[[#This Row],[reviewDate]], "mmmm")</f>
        <v>June</v>
      </c>
      <c r="F671" t="s">
        <v>768</v>
      </c>
      <c r="G671" t="s">
        <v>1445</v>
      </c>
      <c r="H671" t="s">
        <v>210</v>
      </c>
      <c r="I671" t="s">
        <v>419</v>
      </c>
      <c r="J671" t="s">
        <v>769</v>
      </c>
      <c r="K671" t="s">
        <v>770</v>
      </c>
      <c r="L671" t="s">
        <v>17</v>
      </c>
      <c r="M671">
        <v>1497484800</v>
      </c>
      <c r="N671" t="s">
        <v>1628</v>
      </c>
      <c r="O671" t="s">
        <v>1628</v>
      </c>
      <c r="P671" t="s">
        <v>1628</v>
      </c>
      <c r="Q671">
        <f>LEN(AMAZON_FASHION_5__2[[#This Row],[reviewText]])</f>
        <v>56</v>
      </c>
      <c r="R671" t="str">
        <f>IF(AMAZON_FASHION_5__2[[#This Row],[overall]]&gt;=4,"Positive",IF(AMAZON_FASHION_5__2[[#This Row],[overall]]&lt;=2,"Negative","Neutral"))</f>
        <v>Positive</v>
      </c>
      <c r="S6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72" spans="1:19" x14ac:dyDescent="0.25">
      <c r="A672">
        <v>5</v>
      </c>
      <c r="B672" t="b">
        <v>1</v>
      </c>
      <c r="C672" s="1">
        <v>42900</v>
      </c>
      <c r="D672">
        <f>YEAR(AMAZON_FASHION_5__2[[#This Row],[reviewDate]])</f>
        <v>2017</v>
      </c>
      <c r="E672" s="1" t="str">
        <f>TEXT(AMAZON_FASHION_5__2[[#This Row],[reviewDate]], "mmmm")</f>
        <v>June</v>
      </c>
      <c r="F672" t="s">
        <v>771</v>
      </c>
      <c r="G672" t="s">
        <v>1445</v>
      </c>
      <c r="H672" t="s">
        <v>201</v>
      </c>
      <c r="I672" t="s">
        <v>211</v>
      </c>
      <c r="J672" t="s">
        <v>63</v>
      </c>
      <c r="K672" t="s">
        <v>772</v>
      </c>
      <c r="L672" t="s">
        <v>17</v>
      </c>
      <c r="M672">
        <v>1497398400</v>
      </c>
      <c r="N672" t="s">
        <v>1628</v>
      </c>
      <c r="O672" t="s">
        <v>1628</v>
      </c>
      <c r="P672" t="s">
        <v>1628</v>
      </c>
      <c r="Q672">
        <f>LEN(AMAZON_FASHION_5__2[[#This Row],[reviewText]])</f>
        <v>21</v>
      </c>
      <c r="R672" t="str">
        <f>IF(AMAZON_FASHION_5__2[[#This Row],[overall]]&gt;=4,"Positive",IF(AMAZON_FASHION_5__2[[#This Row],[overall]]&lt;=2,"Negative","Neutral"))</f>
        <v>Positive</v>
      </c>
      <c r="S6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73" spans="1:19" x14ac:dyDescent="0.25">
      <c r="A673">
        <v>5</v>
      </c>
      <c r="B673" t="b">
        <v>1</v>
      </c>
      <c r="C673" s="1">
        <v>42899</v>
      </c>
      <c r="D673">
        <f>YEAR(AMAZON_FASHION_5__2[[#This Row],[reviewDate]])</f>
        <v>2017</v>
      </c>
      <c r="E673" s="1" t="str">
        <f>TEXT(AMAZON_FASHION_5__2[[#This Row],[reviewDate]], "mmmm")</f>
        <v>June</v>
      </c>
      <c r="F673" t="s">
        <v>773</v>
      </c>
      <c r="G673" t="s">
        <v>1445</v>
      </c>
      <c r="H673" t="s">
        <v>235</v>
      </c>
      <c r="I673" t="s">
        <v>493</v>
      </c>
      <c r="J673" t="s">
        <v>774</v>
      </c>
      <c r="K673" t="s">
        <v>775</v>
      </c>
      <c r="L673" t="s">
        <v>17</v>
      </c>
      <c r="M673">
        <v>1497312000</v>
      </c>
      <c r="N673" t="s">
        <v>1628</v>
      </c>
      <c r="O673" t="s">
        <v>1628</v>
      </c>
      <c r="P673" t="s">
        <v>1628</v>
      </c>
      <c r="Q673">
        <f>LEN(AMAZON_FASHION_5__2[[#This Row],[reviewText]])</f>
        <v>64</v>
      </c>
      <c r="R673" t="str">
        <f>IF(AMAZON_FASHION_5__2[[#This Row],[overall]]&gt;=4,"Positive",IF(AMAZON_FASHION_5__2[[#This Row],[overall]]&lt;=2,"Negative","Neutral"))</f>
        <v>Positive</v>
      </c>
      <c r="S6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74" spans="1:19" x14ac:dyDescent="0.25">
      <c r="A674">
        <v>5</v>
      </c>
      <c r="B674" t="b">
        <v>1</v>
      </c>
      <c r="C674" s="1">
        <v>42894</v>
      </c>
      <c r="D674">
        <f>YEAR(AMAZON_FASHION_5__2[[#This Row],[reviewDate]])</f>
        <v>2017</v>
      </c>
      <c r="E674" s="1" t="str">
        <f>TEXT(AMAZON_FASHION_5__2[[#This Row],[reviewDate]], "mmmm")</f>
        <v>June</v>
      </c>
      <c r="F674" t="s">
        <v>776</v>
      </c>
      <c r="G674" t="s">
        <v>1445</v>
      </c>
      <c r="H674" t="s">
        <v>235</v>
      </c>
      <c r="I674" t="s">
        <v>303</v>
      </c>
      <c r="J674" t="s">
        <v>777</v>
      </c>
      <c r="K674" t="s">
        <v>778</v>
      </c>
      <c r="L674" t="s">
        <v>17</v>
      </c>
      <c r="M674">
        <v>1496880000</v>
      </c>
      <c r="N674" t="s">
        <v>1628</v>
      </c>
      <c r="O674" t="s">
        <v>1628</v>
      </c>
      <c r="P674" t="s">
        <v>1628</v>
      </c>
      <c r="Q674">
        <f>LEN(AMAZON_FASHION_5__2[[#This Row],[reviewText]])</f>
        <v>27</v>
      </c>
      <c r="R674" t="str">
        <f>IF(AMAZON_FASHION_5__2[[#This Row],[overall]]&gt;=4,"Positive",IF(AMAZON_FASHION_5__2[[#This Row],[overall]]&lt;=2,"Negative","Neutral"))</f>
        <v>Positive</v>
      </c>
      <c r="S6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75" spans="1:19" x14ac:dyDescent="0.25">
      <c r="A675">
        <v>1</v>
      </c>
      <c r="B675" t="b">
        <v>1</v>
      </c>
      <c r="C675" s="1">
        <v>42891</v>
      </c>
      <c r="D675">
        <f>YEAR(AMAZON_FASHION_5__2[[#This Row],[reviewDate]])</f>
        <v>2017</v>
      </c>
      <c r="E675" s="1" t="str">
        <f>TEXT(AMAZON_FASHION_5__2[[#This Row],[reviewDate]], "mmmm")</f>
        <v>June</v>
      </c>
      <c r="F675" t="s">
        <v>779</v>
      </c>
      <c r="G675" t="s">
        <v>1445</v>
      </c>
      <c r="H675" t="s">
        <v>443</v>
      </c>
      <c r="I675" t="s">
        <v>336</v>
      </c>
      <c r="J675" t="s">
        <v>780</v>
      </c>
      <c r="K675" t="s">
        <v>781</v>
      </c>
      <c r="L675" t="s">
        <v>782</v>
      </c>
      <c r="M675">
        <v>1496620800</v>
      </c>
      <c r="N675" t="s">
        <v>1628</v>
      </c>
      <c r="O675" t="s">
        <v>1628</v>
      </c>
      <c r="P675" t="s">
        <v>1628</v>
      </c>
      <c r="Q675">
        <f>LEN(AMAZON_FASHION_5__2[[#This Row],[reviewText]])</f>
        <v>75</v>
      </c>
      <c r="R675" t="str">
        <f>IF(AMAZON_FASHION_5__2[[#This Row],[overall]]&gt;=4,"Positive",IF(AMAZON_FASHION_5__2[[#This Row],[overall]]&lt;=2,"Negative","Neutral"))</f>
        <v>Negative</v>
      </c>
      <c r="S6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76" spans="1:19" x14ac:dyDescent="0.25">
      <c r="A676">
        <v>5</v>
      </c>
      <c r="B676" t="b">
        <v>1</v>
      </c>
      <c r="C676" s="1">
        <v>42888</v>
      </c>
      <c r="D676">
        <f>YEAR(AMAZON_FASHION_5__2[[#This Row],[reviewDate]])</f>
        <v>2017</v>
      </c>
      <c r="E676" s="1" t="str">
        <f>TEXT(AMAZON_FASHION_5__2[[#This Row],[reviewDate]], "mmmm")</f>
        <v>June</v>
      </c>
      <c r="F676" t="s">
        <v>783</v>
      </c>
      <c r="G676" t="s">
        <v>1445</v>
      </c>
      <c r="H676" t="s">
        <v>230</v>
      </c>
      <c r="I676" t="s">
        <v>198</v>
      </c>
      <c r="J676" t="s">
        <v>784</v>
      </c>
      <c r="K676" t="s">
        <v>785</v>
      </c>
      <c r="L676" t="s">
        <v>17</v>
      </c>
      <c r="M676">
        <v>1496361600</v>
      </c>
      <c r="N676" t="s">
        <v>1628</v>
      </c>
      <c r="O676" t="s">
        <v>1628</v>
      </c>
      <c r="P676" t="s">
        <v>1628</v>
      </c>
      <c r="Q676">
        <f>LEN(AMAZON_FASHION_5__2[[#This Row],[reviewText]])</f>
        <v>91</v>
      </c>
      <c r="R676" t="str">
        <f>IF(AMAZON_FASHION_5__2[[#This Row],[overall]]&gt;=4,"Positive",IF(AMAZON_FASHION_5__2[[#This Row],[overall]]&lt;=2,"Negative","Neutral"))</f>
        <v>Positive</v>
      </c>
      <c r="S6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77" spans="1:19" x14ac:dyDescent="0.25">
      <c r="A677">
        <v>5</v>
      </c>
      <c r="B677" t="b">
        <v>1</v>
      </c>
      <c r="C677" s="1">
        <v>42885</v>
      </c>
      <c r="D677">
        <f>YEAR(AMAZON_FASHION_5__2[[#This Row],[reviewDate]])</f>
        <v>2017</v>
      </c>
      <c r="E677" s="1" t="str">
        <f>TEXT(AMAZON_FASHION_5__2[[#This Row],[reviewDate]], "mmmm")</f>
        <v>May</v>
      </c>
      <c r="F677" t="s">
        <v>786</v>
      </c>
      <c r="G677" t="s">
        <v>1445</v>
      </c>
      <c r="H677" t="s">
        <v>197</v>
      </c>
      <c r="I677" t="s">
        <v>198</v>
      </c>
      <c r="J677" t="s">
        <v>787</v>
      </c>
      <c r="K677" t="s">
        <v>543</v>
      </c>
      <c r="L677" t="s">
        <v>17</v>
      </c>
      <c r="M677">
        <v>1496102400</v>
      </c>
      <c r="N677" t="s">
        <v>1628</v>
      </c>
      <c r="O677" t="s">
        <v>1628</v>
      </c>
      <c r="P677" t="s">
        <v>1628</v>
      </c>
      <c r="Q677">
        <f>LEN(AMAZON_FASHION_5__2[[#This Row],[reviewText]])</f>
        <v>11</v>
      </c>
      <c r="R677" t="str">
        <f>IF(AMAZON_FASHION_5__2[[#This Row],[overall]]&gt;=4,"Positive",IF(AMAZON_FASHION_5__2[[#This Row],[overall]]&lt;=2,"Negative","Neutral"))</f>
        <v>Positive</v>
      </c>
      <c r="S6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78" spans="1:19" x14ac:dyDescent="0.25">
      <c r="A678">
        <v>5</v>
      </c>
      <c r="B678" t="b">
        <v>1</v>
      </c>
      <c r="C678" s="1">
        <v>42885</v>
      </c>
      <c r="D678">
        <f>YEAR(AMAZON_FASHION_5__2[[#This Row],[reviewDate]])</f>
        <v>2017</v>
      </c>
      <c r="E678" s="1" t="str">
        <f>TEXT(AMAZON_FASHION_5__2[[#This Row],[reviewDate]], "mmmm")</f>
        <v>May</v>
      </c>
      <c r="F678" t="s">
        <v>788</v>
      </c>
      <c r="G678" t="s">
        <v>1445</v>
      </c>
      <c r="H678" t="s">
        <v>477</v>
      </c>
      <c r="I678" t="s">
        <v>344</v>
      </c>
      <c r="J678" t="s">
        <v>789</v>
      </c>
      <c r="K678" t="s">
        <v>790</v>
      </c>
      <c r="L678" t="s">
        <v>791</v>
      </c>
      <c r="M678">
        <v>1496102400</v>
      </c>
      <c r="N678" t="s">
        <v>1628</v>
      </c>
      <c r="O678" t="s">
        <v>1628</v>
      </c>
      <c r="P678" t="s">
        <v>1628</v>
      </c>
      <c r="Q678">
        <f>LEN(AMAZON_FASHION_5__2[[#This Row],[reviewText]])</f>
        <v>61</v>
      </c>
      <c r="R678" t="str">
        <f>IF(AMAZON_FASHION_5__2[[#This Row],[overall]]&gt;=4,"Positive",IF(AMAZON_FASHION_5__2[[#This Row],[overall]]&lt;=2,"Negative","Neutral"))</f>
        <v>Positive</v>
      </c>
      <c r="S6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79" spans="1:19" x14ac:dyDescent="0.25">
      <c r="A679">
        <v>4</v>
      </c>
      <c r="B679" t="b">
        <v>1</v>
      </c>
      <c r="C679" s="1">
        <v>42884</v>
      </c>
      <c r="D679">
        <f>YEAR(AMAZON_FASHION_5__2[[#This Row],[reviewDate]])</f>
        <v>2017</v>
      </c>
      <c r="E679" s="1" t="str">
        <f>TEXT(AMAZON_FASHION_5__2[[#This Row],[reviewDate]], "mmmm")</f>
        <v>May</v>
      </c>
      <c r="F679" t="s">
        <v>792</v>
      </c>
      <c r="G679" t="s">
        <v>1445</v>
      </c>
      <c r="H679" t="s">
        <v>415</v>
      </c>
      <c r="I679" t="s">
        <v>336</v>
      </c>
      <c r="J679" t="s">
        <v>793</v>
      </c>
      <c r="K679" t="s">
        <v>794</v>
      </c>
      <c r="L679" t="s">
        <v>795</v>
      </c>
      <c r="M679">
        <v>1496016000</v>
      </c>
      <c r="N679" t="s">
        <v>1628</v>
      </c>
      <c r="O679" t="s">
        <v>1628</v>
      </c>
      <c r="P679" t="s">
        <v>1628</v>
      </c>
      <c r="Q679">
        <f>LEN(AMAZON_FASHION_5__2[[#This Row],[reviewText]])</f>
        <v>65</v>
      </c>
      <c r="R679" t="str">
        <f>IF(AMAZON_FASHION_5__2[[#This Row],[overall]]&gt;=4,"Positive",IF(AMAZON_FASHION_5__2[[#This Row],[overall]]&lt;=2,"Negative","Neutral"))</f>
        <v>Positive</v>
      </c>
      <c r="S6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80" spans="1:19" x14ac:dyDescent="0.25">
      <c r="A680">
        <v>3</v>
      </c>
      <c r="B680" t="b">
        <v>1</v>
      </c>
      <c r="C680" s="1">
        <v>42880</v>
      </c>
      <c r="D680">
        <f>YEAR(AMAZON_FASHION_5__2[[#This Row],[reviewDate]])</f>
        <v>2017</v>
      </c>
      <c r="E680" s="1" t="str">
        <f>TEXT(AMAZON_FASHION_5__2[[#This Row],[reviewDate]], "mmmm")</f>
        <v>May</v>
      </c>
      <c r="F680" t="s">
        <v>796</v>
      </c>
      <c r="G680" t="s">
        <v>1445</v>
      </c>
      <c r="H680" t="s">
        <v>477</v>
      </c>
      <c r="I680" t="s">
        <v>198</v>
      </c>
      <c r="J680" t="s">
        <v>797</v>
      </c>
      <c r="K680" t="s">
        <v>798</v>
      </c>
      <c r="L680" t="s">
        <v>799</v>
      </c>
      <c r="M680">
        <v>1495670400</v>
      </c>
      <c r="N680" t="s">
        <v>1628</v>
      </c>
      <c r="O680" t="s">
        <v>1628</v>
      </c>
      <c r="P680" t="s">
        <v>1628</v>
      </c>
      <c r="Q680">
        <f>LEN(AMAZON_FASHION_5__2[[#This Row],[reviewText]])</f>
        <v>40</v>
      </c>
      <c r="R680" t="str">
        <f>IF(AMAZON_FASHION_5__2[[#This Row],[overall]]&gt;=4,"Positive",IF(AMAZON_FASHION_5__2[[#This Row],[overall]]&lt;=2,"Negative","Neutral"))</f>
        <v>Neutral</v>
      </c>
      <c r="S6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81" spans="1:19" x14ac:dyDescent="0.25">
      <c r="A681">
        <v>5</v>
      </c>
      <c r="B681" t="b">
        <v>1</v>
      </c>
      <c r="C681" s="1">
        <v>42877</v>
      </c>
      <c r="D681">
        <f>YEAR(AMAZON_FASHION_5__2[[#This Row],[reviewDate]])</f>
        <v>2017</v>
      </c>
      <c r="E681" s="1" t="str">
        <f>TEXT(AMAZON_FASHION_5__2[[#This Row],[reviewDate]], "mmmm")</f>
        <v>May</v>
      </c>
      <c r="F681" t="s">
        <v>800</v>
      </c>
      <c r="G681" t="s">
        <v>1445</v>
      </c>
      <c r="H681" t="s">
        <v>230</v>
      </c>
      <c r="I681" t="s">
        <v>198</v>
      </c>
      <c r="J681" t="s">
        <v>801</v>
      </c>
      <c r="K681" t="s">
        <v>802</v>
      </c>
      <c r="L681" t="s">
        <v>803</v>
      </c>
      <c r="M681">
        <v>1495411200</v>
      </c>
      <c r="N681" t="s">
        <v>1628</v>
      </c>
      <c r="O681" t="s">
        <v>1628</v>
      </c>
      <c r="P681" t="s">
        <v>1628</v>
      </c>
      <c r="Q681">
        <f>LEN(AMAZON_FASHION_5__2[[#This Row],[reviewText]])</f>
        <v>45</v>
      </c>
      <c r="R681" t="str">
        <f>IF(AMAZON_FASHION_5__2[[#This Row],[overall]]&gt;=4,"Positive",IF(AMAZON_FASHION_5__2[[#This Row],[overall]]&lt;=2,"Negative","Neutral"))</f>
        <v>Positive</v>
      </c>
      <c r="S6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82" spans="1:19" x14ac:dyDescent="0.25">
      <c r="A682">
        <v>5</v>
      </c>
      <c r="B682" t="b">
        <v>1</v>
      </c>
      <c r="C682" s="1">
        <v>42877</v>
      </c>
      <c r="D682">
        <f>YEAR(AMAZON_FASHION_5__2[[#This Row],[reviewDate]])</f>
        <v>2017</v>
      </c>
      <c r="E682" s="1" t="str">
        <f>TEXT(AMAZON_FASHION_5__2[[#This Row],[reviewDate]], "mmmm")</f>
        <v>May</v>
      </c>
      <c r="F682" t="s">
        <v>804</v>
      </c>
      <c r="G682" t="s">
        <v>1445</v>
      </c>
      <c r="H682" t="s">
        <v>210</v>
      </c>
      <c r="I682" t="s">
        <v>198</v>
      </c>
      <c r="J682" t="s">
        <v>805</v>
      </c>
      <c r="K682" t="s">
        <v>806</v>
      </c>
      <c r="L682" t="s">
        <v>807</v>
      </c>
      <c r="M682">
        <v>1495411200</v>
      </c>
      <c r="N682" t="s">
        <v>1628</v>
      </c>
      <c r="O682" t="s">
        <v>1628</v>
      </c>
      <c r="P682" t="s">
        <v>1628</v>
      </c>
      <c r="Q682">
        <f>LEN(AMAZON_FASHION_5__2[[#This Row],[reviewText]])</f>
        <v>86</v>
      </c>
      <c r="R682" t="str">
        <f>IF(AMAZON_FASHION_5__2[[#This Row],[overall]]&gt;=4,"Positive",IF(AMAZON_FASHION_5__2[[#This Row],[overall]]&lt;=2,"Negative","Neutral"))</f>
        <v>Positive</v>
      </c>
      <c r="S6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83" spans="1:19" x14ac:dyDescent="0.25">
      <c r="A683">
        <v>5</v>
      </c>
      <c r="B683" t="b">
        <v>0</v>
      </c>
      <c r="C683" s="1">
        <v>42874</v>
      </c>
      <c r="D683">
        <f>YEAR(AMAZON_FASHION_5__2[[#This Row],[reviewDate]])</f>
        <v>2017</v>
      </c>
      <c r="E683" s="1" t="str">
        <f>TEXT(AMAZON_FASHION_5__2[[#This Row],[reviewDate]], "mmmm")</f>
        <v>May</v>
      </c>
      <c r="F683" t="s">
        <v>808</v>
      </c>
      <c r="G683" t="s">
        <v>1445</v>
      </c>
      <c r="H683" t="s">
        <v>809</v>
      </c>
      <c r="I683" t="s">
        <v>336</v>
      </c>
      <c r="J683" t="s">
        <v>810</v>
      </c>
      <c r="K683" t="s">
        <v>811</v>
      </c>
      <c r="L683" t="s">
        <v>812</v>
      </c>
      <c r="M683">
        <v>1495152000</v>
      </c>
      <c r="N683" t="s">
        <v>1628</v>
      </c>
      <c r="O683" t="s">
        <v>1628</v>
      </c>
      <c r="P683">
        <v>2</v>
      </c>
      <c r="Q683">
        <f>LEN(AMAZON_FASHION_5__2[[#This Row],[reviewText]])</f>
        <v>109</v>
      </c>
      <c r="R683" t="str">
        <f>IF(AMAZON_FASHION_5__2[[#This Row],[overall]]&gt;=4,"Positive",IF(AMAZON_FASHION_5__2[[#This Row],[overall]]&lt;=2,"Negative","Neutral"))</f>
        <v>Positive</v>
      </c>
      <c r="S6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84" spans="1:19" x14ac:dyDescent="0.25">
      <c r="A684">
        <v>5</v>
      </c>
      <c r="B684" t="b">
        <v>0</v>
      </c>
      <c r="C684" s="1">
        <v>42874</v>
      </c>
      <c r="D684">
        <f>YEAR(AMAZON_FASHION_5__2[[#This Row],[reviewDate]])</f>
        <v>2017</v>
      </c>
      <c r="E684" s="1" t="str">
        <f>TEXT(AMAZON_FASHION_5__2[[#This Row],[reviewDate]], "mmmm")</f>
        <v>May</v>
      </c>
      <c r="F684" t="s">
        <v>808</v>
      </c>
      <c r="G684" t="s">
        <v>1445</v>
      </c>
      <c r="H684" t="s">
        <v>477</v>
      </c>
      <c r="I684" t="s">
        <v>396</v>
      </c>
      <c r="J684" t="s">
        <v>810</v>
      </c>
      <c r="K684" t="s">
        <v>813</v>
      </c>
      <c r="L684" t="s">
        <v>814</v>
      </c>
      <c r="M684">
        <v>1495152000</v>
      </c>
      <c r="N684" t="s">
        <v>1628</v>
      </c>
      <c r="O684" t="s">
        <v>1628</v>
      </c>
      <c r="P684">
        <v>4</v>
      </c>
      <c r="Q684">
        <f>LEN(AMAZON_FASHION_5__2[[#This Row],[reviewText]])</f>
        <v>274</v>
      </c>
      <c r="R684" t="str">
        <f>IF(AMAZON_FASHION_5__2[[#This Row],[overall]]&gt;=4,"Positive",IF(AMAZON_FASHION_5__2[[#This Row],[overall]]&lt;=2,"Negative","Neutral"))</f>
        <v>Positive</v>
      </c>
      <c r="S6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85" spans="1:19" x14ac:dyDescent="0.25">
      <c r="A685">
        <v>4</v>
      </c>
      <c r="B685" t="b">
        <v>1</v>
      </c>
      <c r="C685" s="1">
        <v>42873</v>
      </c>
      <c r="D685">
        <f>YEAR(AMAZON_FASHION_5__2[[#This Row],[reviewDate]])</f>
        <v>2017</v>
      </c>
      <c r="E685" s="1" t="str">
        <f>TEXT(AMAZON_FASHION_5__2[[#This Row],[reviewDate]], "mmmm")</f>
        <v>May</v>
      </c>
      <c r="F685" t="s">
        <v>815</v>
      </c>
      <c r="G685" t="s">
        <v>1445</v>
      </c>
      <c r="H685" t="s">
        <v>201</v>
      </c>
      <c r="I685" t="s">
        <v>198</v>
      </c>
      <c r="J685" t="s">
        <v>816</v>
      </c>
      <c r="K685" t="s">
        <v>817</v>
      </c>
      <c r="L685" t="s">
        <v>818</v>
      </c>
      <c r="M685">
        <v>1495065600</v>
      </c>
      <c r="N685" t="s">
        <v>1628</v>
      </c>
      <c r="O685" t="s">
        <v>1628</v>
      </c>
      <c r="P685" t="s">
        <v>1628</v>
      </c>
      <c r="Q685">
        <f>LEN(AMAZON_FASHION_5__2[[#This Row],[reviewText]])</f>
        <v>20</v>
      </c>
      <c r="R685" t="str">
        <f>IF(AMAZON_FASHION_5__2[[#This Row],[overall]]&gt;=4,"Positive",IF(AMAZON_FASHION_5__2[[#This Row],[overall]]&lt;=2,"Negative","Neutral"))</f>
        <v>Positive</v>
      </c>
      <c r="S6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86" spans="1:19" x14ac:dyDescent="0.25">
      <c r="A686">
        <v>4</v>
      </c>
      <c r="B686" t="b">
        <v>1</v>
      </c>
      <c r="C686" s="1">
        <v>42870</v>
      </c>
      <c r="D686">
        <f>YEAR(AMAZON_FASHION_5__2[[#This Row],[reviewDate]])</f>
        <v>2017</v>
      </c>
      <c r="E686" s="1" t="str">
        <f>TEXT(AMAZON_FASHION_5__2[[#This Row],[reviewDate]], "mmmm")</f>
        <v>May</v>
      </c>
      <c r="F686" t="s">
        <v>819</v>
      </c>
      <c r="G686" t="s">
        <v>1445</v>
      </c>
      <c r="H686" t="s">
        <v>201</v>
      </c>
      <c r="I686" t="s">
        <v>524</v>
      </c>
      <c r="J686" t="s">
        <v>820</v>
      </c>
      <c r="K686" t="s">
        <v>821</v>
      </c>
      <c r="L686" t="s">
        <v>103</v>
      </c>
      <c r="M686">
        <v>1494806400</v>
      </c>
      <c r="N686" t="s">
        <v>1628</v>
      </c>
      <c r="O686" t="s">
        <v>1628</v>
      </c>
      <c r="P686" t="s">
        <v>1628</v>
      </c>
      <c r="Q686">
        <f>LEN(AMAZON_FASHION_5__2[[#This Row],[reviewText]])</f>
        <v>40</v>
      </c>
      <c r="R686" t="str">
        <f>IF(AMAZON_FASHION_5__2[[#This Row],[overall]]&gt;=4,"Positive",IF(AMAZON_FASHION_5__2[[#This Row],[overall]]&lt;=2,"Negative","Neutral"))</f>
        <v>Positive</v>
      </c>
      <c r="S6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87" spans="1:19" x14ac:dyDescent="0.25">
      <c r="A687">
        <v>3</v>
      </c>
      <c r="B687" t="b">
        <v>1</v>
      </c>
      <c r="C687" s="1">
        <v>42865</v>
      </c>
      <c r="D687">
        <f>YEAR(AMAZON_FASHION_5__2[[#This Row],[reviewDate]])</f>
        <v>2017</v>
      </c>
      <c r="E687" s="1" t="str">
        <f>TEXT(AMAZON_FASHION_5__2[[#This Row],[reviewDate]], "mmmm")</f>
        <v>May</v>
      </c>
      <c r="F687" t="s">
        <v>822</v>
      </c>
      <c r="G687" t="s">
        <v>1445</v>
      </c>
      <c r="H687" t="s">
        <v>210</v>
      </c>
      <c r="I687" t="s">
        <v>198</v>
      </c>
      <c r="J687" t="s">
        <v>823</v>
      </c>
      <c r="K687" t="s">
        <v>824</v>
      </c>
      <c r="L687" t="s">
        <v>825</v>
      </c>
      <c r="M687">
        <v>1494374400</v>
      </c>
      <c r="N687" t="s">
        <v>1628</v>
      </c>
      <c r="O687" t="s">
        <v>1628</v>
      </c>
      <c r="P687" t="s">
        <v>1628</v>
      </c>
      <c r="Q687">
        <f>LEN(AMAZON_FASHION_5__2[[#This Row],[reviewText]])</f>
        <v>170</v>
      </c>
      <c r="R687" t="str">
        <f>IF(AMAZON_FASHION_5__2[[#This Row],[overall]]&gt;=4,"Positive",IF(AMAZON_FASHION_5__2[[#This Row],[overall]]&lt;=2,"Negative","Neutral"))</f>
        <v>Neutral</v>
      </c>
      <c r="S6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88" spans="1:19" x14ac:dyDescent="0.25">
      <c r="A688">
        <v>5</v>
      </c>
      <c r="B688" t="b">
        <v>1</v>
      </c>
      <c r="C688" s="1">
        <v>42862</v>
      </c>
      <c r="D688">
        <f>YEAR(AMAZON_FASHION_5__2[[#This Row],[reviewDate]])</f>
        <v>2017</v>
      </c>
      <c r="E688" s="1" t="str">
        <f>TEXT(AMAZON_FASHION_5__2[[#This Row],[reviewDate]], "mmmm")</f>
        <v>May</v>
      </c>
      <c r="F688" t="s">
        <v>826</v>
      </c>
      <c r="G688" t="s">
        <v>1445</v>
      </c>
      <c r="H688" t="s">
        <v>320</v>
      </c>
      <c r="I688" t="s">
        <v>827</v>
      </c>
      <c r="J688" t="s">
        <v>828</v>
      </c>
      <c r="K688" t="s">
        <v>829</v>
      </c>
      <c r="L688" t="s">
        <v>830</v>
      </c>
      <c r="M688">
        <v>1494115200</v>
      </c>
      <c r="N688" t="s">
        <v>1628</v>
      </c>
      <c r="O688" t="s">
        <v>1628</v>
      </c>
      <c r="P688" t="s">
        <v>1628</v>
      </c>
      <c r="Q688">
        <f>LEN(AMAZON_FASHION_5__2[[#This Row],[reviewText]])</f>
        <v>193</v>
      </c>
      <c r="R688" t="str">
        <f>IF(AMAZON_FASHION_5__2[[#This Row],[overall]]&gt;=4,"Positive",IF(AMAZON_FASHION_5__2[[#This Row],[overall]]&lt;=2,"Negative","Neutral"))</f>
        <v>Positive</v>
      </c>
      <c r="S6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89" spans="1:19" x14ac:dyDescent="0.25">
      <c r="A689">
        <v>5</v>
      </c>
      <c r="B689" t="b">
        <v>1</v>
      </c>
      <c r="C689" s="1">
        <v>42861</v>
      </c>
      <c r="D689">
        <f>YEAR(AMAZON_FASHION_5__2[[#This Row],[reviewDate]])</f>
        <v>2017</v>
      </c>
      <c r="E689" s="1" t="str">
        <f>TEXT(AMAZON_FASHION_5__2[[#This Row],[reviewDate]], "mmmm")</f>
        <v>May</v>
      </c>
      <c r="F689" t="s">
        <v>831</v>
      </c>
      <c r="G689" t="s">
        <v>1445</v>
      </c>
      <c r="H689" t="s">
        <v>717</v>
      </c>
      <c r="I689" t="s">
        <v>336</v>
      </c>
      <c r="J689" t="s">
        <v>832</v>
      </c>
      <c r="K689" t="s">
        <v>833</v>
      </c>
      <c r="L689" t="s">
        <v>834</v>
      </c>
      <c r="M689">
        <v>1494028800</v>
      </c>
      <c r="N689" t="s">
        <v>1628</v>
      </c>
      <c r="O689" t="s">
        <v>1628</v>
      </c>
      <c r="P689" t="s">
        <v>1628</v>
      </c>
      <c r="Q689">
        <f>LEN(AMAZON_FASHION_5__2[[#This Row],[reviewText]])</f>
        <v>126</v>
      </c>
      <c r="R689" t="str">
        <f>IF(AMAZON_FASHION_5__2[[#This Row],[overall]]&gt;=4,"Positive",IF(AMAZON_FASHION_5__2[[#This Row],[overall]]&lt;=2,"Negative","Neutral"))</f>
        <v>Positive</v>
      </c>
      <c r="S6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90" spans="1:19" x14ac:dyDescent="0.25">
      <c r="A690">
        <v>5</v>
      </c>
      <c r="B690" t="b">
        <v>1</v>
      </c>
      <c r="C690" s="1">
        <v>42860</v>
      </c>
      <c r="D690">
        <f>YEAR(AMAZON_FASHION_5__2[[#This Row],[reviewDate]])</f>
        <v>2017</v>
      </c>
      <c r="E690" s="1" t="str">
        <f>TEXT(AMAZON_FASHION_5__2[[#This Row],[reviewDate]], "mmmm")</f>
        <v>May</v>
      </c>
      <c r="F690" t="s">
        <v>835</v>
      </c>
      <c r="G690" t="s">
        <v>1445</v>
      </c>
      <c r="H690" t="s">
        <v>230</v>
      </c>
      <c r="I690" t="s">
        <v>396</v>
      </c>
      <c r="J690" t="s">
        <v>836</v>
      </c>
      <c r="K690" t="s">
        <v>837</v>
      </c>
      <c r="L690" t="s">
        <v>838</v>
      </c>
      <c r="M690">
        <v>1493942400</v>
      </c>
      <c r="N690" t="s">
        <v>1628</v>
      </c>
      <c r="O690" t="s">
        <v>1628</v>
      </c>
      <c r="P690" t="s">
        <v>1628</v>
      </c>
      <c r="Q690">
        <f>LEN(AMAZON_FASHION_5__2[[#This Row],[reviewText]])</f>
        <v>110</v>
      </c>
      <c r="R690" t="str">
        <f>IF(AMAZON_FASHION_5__2[[#This Row],[overall]]&gt;=4,"Positive",IF(AMAZON_FASHION_5__2[[#This Row],[overall]]&lt;=2,"Negative","Neutral"))</f>
        <v>Positive</v>
      </c>
      <c r="S6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91" spans="1:19" x14ac:dyDescent="0.25">
      <c r="A691">
        <v>5</v>
      </c>
      <c r="B691" t="b">
        <v>1</v>
      </c>
      <c r="C691" s="1">
        <v>42858</v>
      </c>
      <c r="D691">
        <f>YEAR(AMAZON_FASHION_5__2[[#This Row],[reviewDate]])</f>
        <v>2017</v>
      </c>
      <c r="E691" s="1" t="str">
        <f>TEXT(AMAZON_FASHION_5__2[[#This Row],[reviewDate]], "mmmm")</f>
        <v>May</v>
      </c>
      <c r="F691" t="s">
        <v>839</v>
      </c>
      <c r="G691" t="s">
        <v>1445</v>
      </c>
      <c r="H691" t="s">
        <v>205</v>
      </c>
      <c r="I691" t="s">
        <v>198</v>
      </c>
      <c r="J691" t="s">
        <v>840</v>
      </c>
      <c r="K691" t="s">
        <v>841</v>
      </c>
      <c r="L691" t="s">
        <v>17</v>
      </c>
      <c r="M691">
        <v>1493769600</v>
      </c>
      <c r="N691" t="s">
        <v>1628</v>
      </c>
      <c r="O691" t="s">
        <v>1628</v>
      </c>
      <c r="P691" t="s">
        <v>1628</v>
      </c>
      <c r="Q691">
        <f>LEN(AMAZON_FASHION_5__2[[#This Row],[reviewText]])</f>
        <v>42</v>
      </c>
      <c r="R691" t="str">
        <f>IF(AMAZON_FASHION_5__2[[#This Row],[overall]]&gt;=4,"Positive",IF(AMAZON_FASHION_5__2[[#This Row],[overall]]&lt;=2,"Negative","Neutral"))</f>
        <v>Positive</v>
      </c>
      <c r="S6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92" spans="1:19" x14ac:dyDescent="0.25">
      <c r="A692">
        <v>5</v>
      </c>
      <c r="B692" t="b">
        <v>1</v>
      </c>
      <c r="C692" s="1">
        <v>42858</v>
      </c>
      <c r="D692">
        <f>YEAR(AMAZON_FASHION_5__2[[#This Row],[reviewDate]])</f>
        <v>2017</v>
      </c>
      <c r="E692" s="1" t="str">
        <f>TEXT(AMAZON_FASHION_5__2[[#This Row],[reviewDate]], "mmmm")</f>
        <v>May</v>
      </c>
      <c r="F692" t="s">
        <v>842</v>
      </c>
      <c r="G692" t="s">
        <v>1445</v>
      </c>
      <c r="H692" t="s">
        <v>230</v>
      </c>
      <c r="I692" t="s">
        <v>198</v>
      </c>
      <c r="J692" t="s">
        <v>843</v>
      </c>
      <c r="K692" t="s">
        <v>844</v>
      </c>
      <c r="L692" t="s">
        <v>17</v>
      </c>
      <c r="M692">
        <v>1493769600</v>
      </c>
      <c r="N692" t="s">
        <v>1628</v>
      </c>
      <c r="O692" t="s">
        <v>1628</v>
      </c>
      <c r="P692" t="s">
        <v>1628</v>
      </c>
      <c r="Q692">
        <f>LEN(AMAZON_FASHION_5__2[[#This Row],[reviewText]])</f>
        <v>12</v>
      </c>
      <c r="R692" t="str">
        <f>IF(AMAZON_FASHION_5__2[[#This Row],[overall]]&gt;=4,"Positive",IF(AMAZON_FASHION_5__2[[#This Row],[overall]]&lt;=2,"Negative","Neutral"))</f>
        <v>Positive</v>
      </c>
      <c r="S6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93" spans="1:19" x14ac:dyDescent="0.25">
      <c r="A693">
        <v>4</v>
      </c>
      <c r="B693" t="b">
        <v>1</v>
      </c>
      <c r="C693" s="1">
        <v>42857</v>
      </c>
      <c r="D693">
        <f>YEAR(AMAZON_FASHION_5__2[[#This Row],[reviewDate]])</f>
        <v>2017</v>
      </c>
      <c r="E693" s="1" t="str">
        <f>TEXT(AMAZON_FASHION_5__2[[#This Row],[reviewDate]], "mmmm")</f>
        <v>May</v>
      </c>
      <c r="F693" t="s">
        <v>845</v>
      </c>
      <c r="G693" t="s">
        <v>1445</v>
      </c>
      <c r="H693" t="s">
        <v>320</v>
      </c>
      <c r="I693" t="s">
        <v>827</v>
      </c>
      <c r="J693" t="s">
        <v>846</v>
      </c>
      <c r="K693" t="s">
        <v>847</v>
      </c>
      <c r="L693" t="s">
        <v>812</v>
      </c>
      <c r="M693">
        <v>1493683200</v>
      </c>
      <c r="N693" t="s">
        <v>1628</v>
      </c>
      <c r="O693" t="s">
        <v>1628</v>
      </c>
      <c r="P693" t="s">
        <v>1628</v>
      </c>
      <c r="Q693">
        <f>LEN(AMAZON_FASHION_5__2[[#This Row],[reviewText]])</f>
        <v>86</v>
      </c>
      <c r="R693" t="str">
        <f>IF(AMAZON_FASHION_5__2[[#This Row],[overall]]&gt;=4,"Positive",IF(AMAZON_FASHION_5__2[[#This Row],[overall]]&lt;=2,"Negative","Neutral"))</f>
        <v>Positive</v>
      </c>
      <c r="S6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94" spans="1:19" x14ac:dyDescent="0.25">
      <c r="A694">
        <v>5</v>
      </c>
      <c r="B694" t="b">
        <v>1</v>
      </c>
      <c r="C694" s="1">
        <v>42856</v>
      </c>
      <c r="D694">
        <f>YEAR(AMAZON_FASHION_5__2[[#This Row],[reviewDate]])</f>
        <v>2017</v>
      </c>
      <c r="E694" s="1" t="str">
        <f>TEXT(AMAZON_FASHION_5__2[[#This Row],[reviewDate]], "mmmm")</f>
        <v>May</v>
      </c>
      <c r="F694" t="s">
        <v>848</v>
      </c>
      <c r="G694" t="s">
        <v>1445</v>
      </c>
      <c r="H694" t="s">
        <v>320</v>
      </c>
      <c r="I694" t="s">
        <v>849</v>
      </c>
      <c r="J694" t="s">
        <v>850</v>
      </c>
      <c r="K694" t="s">
        <v>851</v>
      </c>
      <c r="L694" t="s">
        <v>17</v>
      </c>
      <c r="M694">
        <v>1493596800</v>
      </c>
      <c r="N694" t="s">
        <v>1628</v>
      </c>
      <c r="O694" t="s">
        <v>1628</v>
      </c>
      <c r="P694" t="s">
        <v>1628</v>
      </c>
      <c r="Q694">
        <f>LEN(AMAZON_FASHION_5__2[[#This Row],[reviewText]])</f>
        <v>89</v>
      </c>
      <c r="R694" t="str">
        <f>IF(AMAZON_FASHION_5__2[[#This Row],[overall]]&gt;=4,"Positive",IF(AMAZON_FASHION_5__2[[#This Row],[overall]]&lt;=2,"Negative","Neutral"))</f>
        <v>Positive</v>
      </c>
      <c r="S6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95" spans="1:19" x14ac:dyDescent="0.25">
      <c r="A695">
        <v>5</v>
      </c>
      <c r="B695" t="b">
        <v>1</v>
      </c>
      <c r="C695" s="1">
        <v>42853</v>
      </c>
      <c r="D695">
        <f>YEAR(AMAZON_FASHION_5__2[[#This Row],[reviewDate]])</f>
        <v>2017</v>
      </c>
      <c r="E695" s="1" t="str">
        <f>TEXT(AMAZON_FASHION_5__2[[#This Row],[reviewDate]], "mmmm")</f>
        <v>April</v>
      </c>
      <c r="F695" t="s">
        <v>852</v>
      </c>
      <c r="G695" t="s">
        <v>1445</v>
      </c>
      <c r="H695" t="s">
        <v>235</v>
      </c>
      <c r="I695" t="s">
        <v>211</v>
      </c>
      <c r="J695" t="s">
        <v>853</v>
      </c>
      <c r="K695" t="s">
        <v>854</v>
      </c>
      <c r="L695" t="s">
        <v>17</v>
      </c>
      <c r="M695">
        <v>1493337600</v>
      </c>
      <c r="N695" t="s">
        <v>1628</v>
      </c>
      <c r="O695" t="s">
        <v>1628</v>
      </c>
      <c r="P695" t="s">
        <v>1628</v>
      </c>
      <c r="Q695">
        <f>LEN(AMAZON_FASHION_5__2[[#This Row],[reviewText]])</f>
        <v>12</v>
      </c>
      <c r="R695" t="str">
        <f>IF(AMAZON_FASHION_5__2[[#This Row],[overall]]&gt;=4,"Positive",IF(AMAZON_FASHION_5__2[[#This Row],[overall]]&lt;=2,"Negative","Neutral"))</f>
        <v>Positive</v>
      </c>
      <c r="S6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96" spans="1:19" x14ac:dyDescent="0.25">
      <c r="A696">
        <v>4</v>
      </c>
      <c r="B696" t="b">
        <v>1</v>
      </c>
      <c r="C696" s="1">
        <v>42852</v>
      </c>
      <c r="D696">
        <f>YEAR(AMAZON_FASHION_5__2[[#This Row],[reviewDate]])</f>
        <v>2017</v>
      </c>
      <c r="E696" s="1" t="str">
        <f>TEXT(AMAZON_FASHION_5__2[[#This Row],[reviewDate]], "mmmm")</f>
        <v>April</v>
      </c>
      <c r="F696" t="s">
        <v>855</v>
      </c>
      <c r="G696" t="s">
        <v>1445</v>
      </c>
      <c r="H696" t="s">
        <v>809</v>
      </c>
      <c r="I696" t="s">
        <v>336</v>
      </c>
      <c r="J696" t="s">
        <v>63</v>
      </c>
      <c r="K696" t="s">
        <v>856</v>
      </c>
      <c r="L696" t="s">
        <v>103</v>
      </c>
      <c r="M696">
        <v>1493251200</v>
      </c>
      <c r="N696" t="s">
        <v>1628</v>
      </c>
      <c r="O696" t="s">
        <v>1628</v>
      </c>
      <c r="P696" t="s">
        <v>1628</v>
      </c>
      <c r="Q696">
        <f>LEN(AMAZON_FASHION_5__2[[#This Row],[reviewText]])</f>
        <v>58</v>
      </c>
      <c r="R696" t="str">
        <f>IF(AMAZON_FASHION_5__2[[#This Row],[overall]]&gt;=4,"Positive",IF(AMAZON_FASHION_5__2[[#This Row],[overall]]&lt;=2,"Negative","Neutral"))</f>
        <v>Positive</v>
      </c>
      <c r="S6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97" spans="1:19" x14ac:dyDescent="0.25">
      <c r="A697">
        <v>4</v>
      </c>
      <c r="B697" t="b">
        <v>1</v>
      </c>
      <c r="C697" s="1">
        <v>42852</v>
      </c>
      <c r="D697">
        <f>YEAR(AMAZON_FASHION_5__2[[#This Row],[reviewDate]])</f>
        <v>2017</v>
      </c>
      <c r="E697" s="1" t="str">
        <f>TEXT(AMAZON_FASHION_5__2[[#This Row],[reviewDate]], "mmmm")</f>
        <v>April</v>
      </c>
      <c r="F697" t="s">
        <v>857</v>
      </c>
      <c r="G697" t="s">
        <v>1445</v>
      </c>
      <c r="H697" t="s">
        <v>858</v>
      </c>
      <c r="I697" t="s">
        <v>336</v>
      </c>
      <c r="J697" t="s">
        <v>859</v>
      </c>
      <c r="K697" t="s">
        <v>860</v>
      </c>
      <c r="L697" t="s">
        <v>861</v>
      </c>
      <c r="M697">
        <v>1493251200</v>
      </c>
      <c r="N697" t="s">
        <v>1628</v>
      </c>
      <c r="O697" t="s">
        <v>1628</v>
      </c>
      <c r="P697" t="s">
        <v>1628</v>
      </c>
      <c r="Q697">
        <f>LEN(AMAZON_FASHION_5__2[[#This Row],[reviewText]])</f>
        <v>199</v>
      </c>
      <c r="R697" t="str">
        <f>IF(AMAZON_FASHION_5__2[[#This Row],[overall]]&gt;=4,"Positive",IF(AMAZON_FASHION_5__2[[#This Row],[overall]]&lt;=2,"Negative","Neutral"))</f>
        <v>Positive</v>
      </c>
      <c r="S6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98" spans="1:19" x14ac:dyDescent="0.25">
      <c r="A698">
        <v>5</v>
      </c>
      <c r="B698" t="b">
        <v>1</v>
      </c>
      <c r="C698" s="1">
        <v>42851</v>
      </c>
      <c r="D698">
        <f>YEAR(AMAZON_FASHION_5__2[[#This Row],[reviewDate]])</f>
        <v>2017</v>
      </c>
      <c r="E698" s="1" t="str">
        <f>TEXT(AMAZON_FASHION_5__2[[#This Row],[reviewDate]], "mmmm")</f>
        <v>April</v>
      </c>
      <c r="F698" t="s">
        <v>862</v>
      </c>
      <c r="G698" t="s">
        <v>1445</v>
      </c>
      <c r="H698" t="s">
        <v>235</v>
      </c>
      <c r="I698" t="s">
        <v>198</v>
      </c>
      <c r="J698" t="s">
        <v>863</v>
      </c>
      <c r="K698" t="s">
        <v>864</v>
      </c>
      <c r="L698" t="s">
        <v>17</v>
      </c>
      <c r="M698">
        <v>1493164800</v>
      </c>
      <c r="N698" t="s">
        <v>1628</v>
      </c>
      <c r="O698" t="s">
        <v>1628</v>
      </c>
      <c r="P698" t="s">
        <v>1628</v>
      </c>
      <c r="Q698">
        <f>LEN(AMAZON_FASHION_5__2[[#This Row],[reviewText]])</f>
        <v>28</v>
      </c>
      <c r="R698" t="str">
        <f>IF(AMAZON_FASHION_5__2[[#This Row],[overall]]&gt;=4,"Positive",IF(AMAZON_FASHION_5__2[[#This Row],[overall]]&lt;=2,"Negative","Neutral"))</f>
        <v>Positive</v>
      </c>
      <c r="S6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699" spans="1:19" x14ac:dyDescent="0.25">
      <c r="A699">
        <v>5</v>
      </c>
      <c r="B699" t="b">
        <v>1</v>
      </c>
      <c r="C699" s="1">
        <v>42850</v>
      </c>
      <c r="D699">
        <f>YEAR(AMAZON_FASHION_5__2[[#This Row],[reviewDate]])</f>
        <v>2017</v>
      </c>
      <c r="E699" s="1" t="str">
        <f>TEXT(AMAZON_FASHION_5__2[[#This Row],[reviewDate]], "mmmm")</f>
        <v>April</v>
      </c>
      <c r="F699" t="s">
        <v>865</v>
      </c>
      <c r="G699" t="s">
        <v>1445</v>
      </c>
      <c r="H699" t="s">
        <v>415</v>
      </c>
      <c r="I699" t="s">
        <v>336</v>
      </c>
      <c r="J699" t="s">
        <v>866</v>
      </c>
      <c r="K699" t="s">
        <v>867</v>
      </c>
      <c r="L699" t="s">
        <v>868</v>
      </c>
      <c r="M699">
        <v>1493078400</v>
      </c>
      <c r="N699" t="s">
        <v>1628</v>
      </c>
      <c r="O699" t="s">
        <v>1628</v>
      </c>
      <c r="P699" t="s">
        <v>1628</v>
      </c>
      <c r="Q699">
        <f>LEN(AMAZON_FASHION_5__2[[#This Row],[reviewText]])</f>
        <v>235</v>
      </c>
      <c r="R699" t="str">
        <f>IF(AMAZON_FASHION_5__2[[#This Row],[overall]]&gt;=4,"Positive",IF(AMAZON_FASHION_5__2[[#This Row],[overall]]&lt;=2,"Negative","Neutral"))</f>
        <v>Positive</v>
      </c>
      <c r="S6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00" spans="1:19" x14ac:dyDescent="0.25">
      <c r="A700">
        <v>4</v>
      </c>
      <c r="B700" t="b">
        <v>1</v>
      </c>
      <c r="C700" s="1">
        <v>42849</v>
      </c>
      <c r="D700">
        <f>YEAR(AMAZON_FASHION_5__2[[#This Row],[reviewDate]])</f>
        <v>2017</v>
      </c>
      <c r="E700" s="1" t="str">
        <f>TEXT(AMAZON_FASHION_5__2[[#This Row],[reviewDate]], "mmmm")</f>
        <v>April</v>
      </c>
      <c r="F700" t="s">
        <v>869</v>
      </c>
      <c r="G700" t="s">
        <v>1445</v>
      </c>
      <c r="H700" t="s">
        <v>201</v>
      </c>
      <c r="I700" t="s">
        <v>198</v>
      </c>
      <c r="J700" t="s">
        <v>870</v>
      </c>
      <c r="K700" t="s">
        <v>871</v>
      </c>
      <c r="L700" t="s">
        <v>872</v>
      </c>
      <c r="M700">
        <v>1492992000</v>
      </c>
      <c r="N700" t="s">
        <v>1628</v>
      </c>
      <c r="O700" t="s">
        <v>1628</v>
      </c>
      <c r="P700" t="s">
        <v>1628</v>
      </c>
      <c r="Q700">
        <f>LEN(AMAZON_FASHION_5__2[[#This Row],[reviewText]])</f>
        <v>140</v>
      </c>
      <c r="R700" t="str">
        <f>IF(AMAZON_FASHION_5__2[[#This Row],[overall]]&gt;=4,"Positive",IF(AMAZON_FASHION_5__2[[#This Row],[overall]]&lt;=2,"Negative","Neutral"))</f>
        <v>Positive</v>
      </c>
      <c r="S7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01" spans="1:19" x14ac:dyDescent="0.25">
      <c r="A701">
        <v>5</v>
      </c>
      <c r="B701" t="b">
        <v>1</v>
      </c>
      <c r="C701" s="1">
        <v>42849</v>
      </c>
      <c r="D701">
        <f>YEAR(AMAZON_FASHION_5__2[[#This Row],[reviewDate]])</f>
        <v>2017</v>
      </c>
      <c r="E701" s="1" t="str">
        <f>TEXT(AMAZON_FASHION_5__2[[#This Row],[reviewDate]], "mmmm")</f>
        <v>April</v>
      </c>
      <c r="F701" t="s">
        <v>873</v>
      </c>
      <c r="G701" t="s">
        <v>1445</v>
      </c>
      <c r="H701" t="s">
        <v>197</v>
      </c>
      <c r="I701" t="s">
        <v>524</v>
      </c>
      <c r="J701" t="s">
        <v>63</v>
      </c>
      <c r="K701" t="s">
        <v>874</v>
      </c>
      <c r="L701" t="s">
        <v>17</v>
      </c>
      <c r="M701">
        <v>1492992000</v>
      </c>
      <c r="N701" t="s">
        <v>1628</v>
      </c>
      <c r="O701" t="s">
        <v>1628</v>
      </c>
      <c r="P701" t="s">
        <v>1628</v>
      </c>
      <c r="Q701">
        <f>LEN(AMAZON_FASHION_5__2[[#This Row],[reviewText]])</f>
        <v>39</v>
      </c>
      <c r="R701" t="str">
        <f>IF(AMAZON_FASHION_5__2[[#This Row],[overall]]&gt;=4,"Positive",IF(AMAZON_FASHION_5__2[[#This Row],[overall]]&lt;=2,"Negative","Neutral"))</f>
        <v>Positive</v>
      </c>
      <c r="S7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02" spans="1:19" x14ac:dyDescent="0.25">
      <c r="A702">
        <v>5</v>
      </c>
      <c r="B702" t="b">
        <v>1</v>
      </c>
      <c r="C702" s="1">
        <v>42845</v>
      </c>
      <c r="D702">
        <f>YEAR(AMAZON_FASHION_5__2[[#This Row],[reviewDate]])</f>
        <v>2017</v>
      </c>
      <c r="E702" s="1" t="str">
        <f>TEXT(AMAZON_FASHION_5__2[[#This Row],[reviewDate]], "mmmm")</f>
        <v>April</v>
      </c>
      <c r="F702" t="s">
        <v>875</v>
      </c>
      <c r="G702" t="s">
        <v>1445</v>
      </c>
      <c r="H702" t="s">
        <v>230</v>
      </c>
      <c r="I702" t="s">
        <v>198</v>
      </c>
      <c r="J702" t="s">
        <v>63</v>
      </c>
      <c r="K702" t="s">
        <v>715</v>
      </c>
      <c r="L702" t="s">
        <v>17</v>
      </c>
      <c r="M702">
        <v>1492646400</v>
      </c>
      <c r="N702" t="s">
        <v>1628</v>
      </c>
      <c r="O702" t="s">
        <v>1628</v>
      </c>
      <c r="P702" t="s">
        <v>1628</v>
      </c>
      <c r="Q702">
        <f>LEN(AMAZON_FASHION_5__2[[#This Row],[reviewText]])</f>
        <v>7</v>
      </c>
      <c r="R702" t="str">
        <f>IF(AMAZON_FASHION_5__2[[#This Row],[overall]]&gt;=4,"Positive",IF(AMAZON_FASHION_5__2[[#This Row],[overall]]&lt;=2,"Negative","Neutral"))</f>
        <v>Positive</v>
      </c>
      <c r="S7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03" spans="1:19" x14ac:dyDescent="0.25">
      <c r="A703">
        <v>5</v>
      </c>
      <c r="B703" t="b">
        <v>1</v>
      </c>
      <c r="C703" s="1">
        <v>42844</v>
      </c>
      <c r="D703">
        <f>YEAR(AMAZON_FASHION_5__2[[#This Row],[reviewDate]])</f>
        <v>2017</v>
      </c>
      <c r="E703" s="1" t="str">
        <f>TEXT(AMAZON_FASHION_5__2[[#This Row],[reviewDate]], "mmmm")</f>
        <v>April</v>
      </c>
      <c r="F703" t="s">
        <v>876</v>
      </c>
      <c r="G703" t="s">
        <v>1445</v>
      </c>
      <c r="H703" t="s">
        <v>210</v>
      </c>
      <c r="I703" t="s">
        <v>198</v>
      </c>
      <c r="J703" t="s">
        <v>63</v>
      </c>
      <c r="K703" t="s">
        <v>877</v>
      </c>
      <c r="L703" t="s">
        <v>17</v>
      </c>
      <c r="M703">
        <v>1492560000</v>
      </c>
      <c r="N703" t="s">
        <v>1628</v>
      </c>
      <c r="O703" t="s">
        <v>1628</v>
      </c>
      <c r="P703" t="s">
        <v>1628</v>
      </c>
      <c r="Q703">
        <f>LEN(AMAZON_FASHION_5__2[[#This Row],[reviewText]])</f>
        <v>9</v>
      </c>
      <c r="R703" t="str">
        <f>IF(AMAZON_FASHION_5__2[[#This Row],[overall]]&gt;=4,"Positive",IF(AMAZON_FASHION_5__2[[#This Row],[overall]]&lt;=2,"Negative","Neutral"))</f>
        <v>Positive</v>
      </c>
      <c r="S7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04" spans="1:19" x14ac:dyDescent="0.25">
      <c r="A704">
        <v>5</v>
      </c>
      <c r="B704" t="b">
        <v>0</v>
      </c>
      <c r="C704" s="1">
        <v>42843</v>
      </c>
      <c r="D704">
        <f>YEAR(AMAZON_FASHION_5__2[[#This Row],[reviewDate]])</f>
        <v>2017</v>
      </c>
      <c r="E704" s="1" t="str">
        <f>TEXT(AMAZON_FASHION_5__2[[#This Row],[reviewDate]], "mmmm")</f>
        <v>April</v>
      </c>
      <c r="F704" t="s">
        <v>878</v>
      </c>
      <c r="G704" t="s">
        <v>1445</v>
      </c>
      <c r="H704" t="s">
        <v>201</v>
      </c>
      <c r="I704" t="s">
        <v>198</v>
      </c>
      <c r="J704" t="s">
        <v>879</v>
      </c>
      <c r="K704" t="s">
        <v>880</v>
      </c>
      <c r="L704" t="s">
        <v>881</v>
      </c>
      <c r="M704">
        <v>1492473600</v>
      </c>
      <c r="N704" t="s">
        <v>1628</v>
      </c>
      <c r="O704" t="s">
        <v>1628</v>
      </c>
      <c r="P704" t="s">
        <v>1628</v>
      </c>
      <c r="Q704">
        <f>LEN(AMAZON_FASHION_5__2[[#This Row],[reviewText]])</f>
        <v>115</v>
      </c>
      <c r="R704" t="str">
        <f>IF(AMAZON_FASHION_5__2[[#This Row],[overall]]&gt;=4,"Positive",IF(AMAZON_FASHION_5__2[[#This Row],[overall]]&lt;=2,"Negative","Neutral"))</f>
        <v>Positive</v>
      </c>
      <c r="S7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05" spans="1:19" x14ac:dyDescent="0.25">
      <c r="A705">
        <v>5</v>
      </c>
      <c r="B705" t="b">
        <v>1</v>
      </c>
      <c r="C705" s="1">
        <v>42842</v>
      </c>
      <c r="D705">
        <f>YEAR(AMAZON_FASHION_5__2[[#This Row],[reviewDate]])</f>
        <v>2017</v>
      </c>
      <c r="E705" s="1" t="str">
        <f>TEXT(AMAZON_FASHION_5__2[[#This Row],[reviewDate]], "mmmm")</f>
        <v>April</v>
      </c>
      <c r="F705" t="s">
        <v>882</v>
      </c>
      <c r="G705" t="s">
        <v>1445</v>
      </c>
      <c r="H705" t="s">
        <v>230</v>
      </c>
      <c r="I705" t="s">
        <v>198</v>
      </c>
      <c r="J705" t="s">
        <v>883</v>
      </c>
      <c r="K705" t="s">
        <v>884</v>
      </c>
      <c r="L705" t="s">
        <v>543</v>
      </c>
      <c r="M705">
        <v>1492387200</v>
      </c>
      <c r="N705" t="s">
        <v>1628</v>
      </c>
      <c r="O705" t="s">
        <v>1628</v>
      </c>
      <c r="P705" t="s">
        <v>1628</v>
      </c>
      <c r="Q705">
        <f>LEN(AMAZON_FASHION_5__2[[#This Row],[reviewText]])</f>
        <v>62</v>
      </c>
      <c r="R705" t="str">
        <f>IF(AMAZON_FASHION_5__2[[#This Row],[overall]]&gt;=4,"Positive",IF(AMAZON_FASHION_5__2[[#This Row],[overall]]&lt;=2,"Negative","Neutral"))</f>
        <v>Positive</v>
      </c>
      <c r="S7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06" spans="1:19" x14ac:dyDescent="0.25">
      <c r="A706">
        <v>5</v>
      </c>
      <c r="B706" t="b">
        <v>1</v>
      </c>
      <c r="C706" s="1">
        <v>42840</v>
      </c>
      <c r="D706">
        <f>YEAR(AMAZON_FASHION_5__2[[#This Row],[reviewDate]])</f>
        <v>2017</v>
      </c>
      <c r="E706" s="1" t="str">
        <f>TEXT(AMAZON_FASHION_5__2[[#This Row],[reviewDate]], "mmmm")</f>
        <v>April</v>
      </c>
      <c r="F706" t="s">
        <v>885</v>
      </c>
      <c r="G706" t="s">
        <v>1445</v>
      </c>
      <c r="H706" t="s">
        <v>261</v>
      </c>
      <c r="I706" t="s">
        <v>1455</v>
      </c>
      <c r="J706" t="s">
        <v>886</v>
      </c>
      <c r="K706" t="s">
        <v>887</v>
      </c>
      <c r="L706" t="s">
        <v>247</v>
      </c>
      <c r="M706">
        <v>1492214400</v>
      </c>
      <c r="N706" t="s">
        <v>1628</v>
      </c>
      <c r="O706" t="s">
        <v>1628</v>
      </c>
      <c r="P706" t="s">
        <v>1628</v>
      </c>
      <c r="Q706">
        <f>LEN(AMAZON_FASHION_5__2[[#This Row],[reviewText]])</f>
        <v>112</v>
      </c>
      <c r="R706" t="str">
        <f>IF(AMAZON_FASHION_5__2[[#This Row],[overall]]&gt;=4,"Positive",IF(AMAZON_FASHION_5__2[[#This Row],[overall]]&lt;=2,"Negative","Neutral"))</f>
        <v>Positive</v>
      </c>
      <c r="S7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07" spans="1:19" x14ac:dyDescent="0.25">
      <c r="A707">
        <v>5</v>
      </c>
      <c r="B707" t="b">
        <v>1</v>
      </c>
      <c r="C707" s="1">
        <v>42839</v>
      </c>
      <c r="D707">
        <f>YEAR(AMAZON_FASHION_5__2[[#This Row],[reviewDate]])</f>
        <v>2017</v>
      </c>
      <c r="E707" s="1" t="str">
        <f>TEXT(AMAZON_FASHION_5__2[[#This Row],[reviewDate]], "mmmm")</f>
        <v>April</v>
      </c>
      <c r="F707" t="s">
        <v>888</v>
      </c>
      <c r="G707" t="s">
        <v>1445</v>
      </c>
      <c r="H707" t="s">
        <v>235</v>
      </c>
      <c r="I707" t="s">
        <v>198</v>
      </c>
      <c r="J707" t="s">
        <v>63</v>
      </c>
      <c r="K707" t="s">
        <v>889</v>
      </c>
      <c r="L707" t="s">
        <v>17</v>
      </c>
      <c r="M707">
        <v>1492128000</v>
      </c>
      <c r="N707" t="s">
        <v>1628</v>
      </c>
      <c r="O707" t="s">
        <v>1628</v>
      </c>
      <c r="P707" t="s">
        <v>1628</v>
      </c>
      <c r="Q707">
        <f>LEN(AMAZON_FASHION_5__2[[#This Row],[reviewText]])</f>
        <v>38</v>
      </c>
      <c r="R707" t="str">
        <f>IF(AMAZON_FASHION_5__2[[#This Row],[overall]]&gt;=4,"Positive",IF(AMAZON_FASHION_5__2[[#This Row],[overall]]&lt;=2,"Negative","Neutral"))</f>
        <v>Positive</v>
      </c>
      <c r="S7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08" spans="1:19" x14ac:dyDescent="0.25">
      <c r="A708">
        <v>4</v>
      </c>
      <c r="B708" t="b">
        <v>1</v>
      </c>
      <c r="C708" s="1">
        <v>42836</v>
      </c>
      <c r="D708">
        <f>YEAR(AMAZON_FASHION_5__2[[#This Row],[reviewDate]])</f>
        <v>2017</v>
      </c>
      <c r="E708" s="1" t="str">
        <f>TEXT(AMAZON_FASHION_5__2[[#This Row],[reviewDate]], "mmmm")</f>
        <v>April</v>
      </c>
      <c r="F708" t="s">
        <v>890</v>
      </c>
      <c r="G708" t="s">
        <v>1445</v>
      </c>
      <c r="H708" t="s">
        <v>284</v>
      </c>
      <c r="I708" t="s">
        <v>198</v>
      </c>
      <c r="J708" t="s">
        <v>891</v>
      </c>
      <c r="K708" t="s">
        <v>892</v>
      </c>
      <c r="L708" t="s">
        <v>893</v>
      </c>
      <c r="M708">
        <v>1491868800</v>
      </c>
      <c r="N708" t="s">
        <v>1628</v>
      </c>
      <c r="O708" t="s">
        <v>1628</v>
      </c>
      <c r="P708" t="s">
        <v>1628</v>
      </c>
      <c r="Q708">
        <f>LEN(AMAZON_FASHION_5__2[[#This Row],[reviewText]])</f>
        <v>67</v>
      </c>
      <c r="R708" t="str">
        <f>IF(AMAZON_FASHION_5__2[[#This Row],[overall]]&gt;=4,"Positive",IF(AMAZON_FASHION_5__2[[#This Row],[overall]]&lt;=2,"Negative","Neutral"))</f>
        <v>Positive</v>
      </c>
      <c r="S7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09" spans="1:19" x14ac:dyDescent="0.25">
      <c r="A709">
        <v>5</v>
      </c>
      <c r="B709" t="b">
        <v>1</v>
      </c>
      <c r="C709" s="1">
        <v>42836</v>
      </c>
      <c r="D709">
        <f>YEAR(AMAZON_FASHION_5__2[[#This Row],[reviewDate]])</f>
        <v>2017</v>
      </c>
      <c r="E709" s="1" t="str">
        <f>TEXT(AMAZON_FASHION_5__2[[#This Row],[reviewDate]], "mmmm")</f>
        <v>April</v>
      </c>
      <c r="F709" t="s">
        <v>894</v>
      </c>
      <c r="G709" t="s">
        <v>1445</v>
      </c>
      <c r="H709" t="s">
        <v>895</v>
      </c>
      <c r="I709" t="s">
        <v>336</v>
      </c>
      <c r="J709" t="s">
        <v>896</v>
      </c>
      <c r="K709" t="s">
        <v>897</v>
      </c>
      <c r="L709" t="s">
        <v>17</v>
      </c>
      <c r="M709">
        <v>1491868800</v>
      </c>
      <c r="N709" t="s">
        <v>1628</v>
      </c>
      <c r="O709" t="s">
        <v>1628</v>
      </c>
      <c r="P709" t="s">
        <v>1628</v>
      </c>
      <c r="Q709">
        <f>LEN(AMAZON_FASHION_5__2[[#This Row],[reviewText]])</f>
        <v>13</v>
      </c>
      <c r="R709" t="str">
        <f>IF(AMAZON_FASHION_5__2[[#This Row],[overall]]&gt;=4,"Positive",IF(AMAZON_FASHION_5__2[[#This Row],[overall]]&lt;=2,"Negative","Neutral"))</f>
        <v>Positive</v>
      </c>
      <c r="S7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10" spans="1:19" x14ac:dyDescent="0.25">
      <c r="A710">
        <v>5</v>
      </c>
      <c r="B710" t="b">
        <v>1</v>
      </c>
      <c r="C710" s="1">
        <v>42835</v>
      </c>
      <c r="D710">
        <f>YEAR(AMAZON_FASHION_5__2[[#This Row],[reviewDate]])</f>
        <v>2017</v>
      </c>
      <c r="E710" s="1" t="str">
        <f>TEXT(AMAZON_FASHION_5__2[[#This Row],[reviewDate]], "mmmm")</f>
        <v>April</v>
      </c>
      <c r="F710" t="s">
        <v>898</v>
      </c>
      <c r="G710" t="s">
        <v>1445</v>
      </c>
      <c r="H710" t="s">
        <v>235</v>
      </c>
      <c r="I710" t="s">
        <v>411</v>
      </c>
      <c r="J710" t="s">
        <v>899</v>
      </c>
      <c r="K710" t="s">
        <v>900</v>
      </c>
      <c r="L710" t="s">
        <v>901</v>
      </c>
      <c r="M710">
        <v>1491782400</v>
      </c>
      <c r="N710" t="s">
        <v>1628</v>
      </c>
      <c r="O710" t="s">
        <v>1628</v>
      </c>
      <c r="P710" t="s">
        <v>1628</v>
      </c>
      <c r="Q710">
        <f>LEN(AMAZON_FASHION_5__2[[#This Row],[reviewText]])</f>
        <v>49</v>
      </c>
      <c r="R710" t="str">
        <f>IF(AMAZON_FASHION_5__2[[#This Row],[overall]]&gt;=4,"Positive",IF(AMAZON_FASHION_5__2[[#This Row],[overall]]&lt;=2,"Negative","Neutral"))</f>
        <v>Positive</v>
      </c>
      <c r="S7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11" spans="1:19" x14ac:dyDescent="0.25">
      <c r="A711">
        <v>5</v>
      </c>
      <c r="B711" t="b">
        <v>1</v>
      </c>
      <c r="C711" s="1">
        <v>42835</v>
      </c>
      <c r="D711">
        <f>YEAR(AMAZON_FASHION_5__2[[#This Row],[reviewDate]])</f>
        <v>2017</v>
      </c>
      <c r="E711" s="1" t="str">
        <f>TEXT(AMAZON_FASHION_5__2[[#This Row],[reviewDate]], "mmmm")</f>
        <v>April</v>
      </c>
      <c r="F711" t="s">
        <v>902</v>
      </c>
      <c r="G711" t="s">
        <v>1445</v>
      </c>
      <c r="H711" t="s">
        <v>205</v>
      </c>
      <c r="I711" t="s">
        <v>396</v>
      </c>
      <c r="J711" t="s">
        <v>903</v>
      </c>
      <c r="K711" t="s">
        <v>904</v>
      </c>
      <c r="L711" t="s">
        <v>905</v>
      </c>
      <c r="M711">
        <v>1491782400</v>
      </c>
      <c r="N711" t="s">
        <v>1628</v>
      </c>
      <c r="O711" t="s">
        <v>1628</v>
      </c>
      <c r="P711" t="s">
        <v>1628</v>
      </c>
      <c r="Q711">
        <f>LEN(AMAZON_FASHION_5__2[[#This Row],[reviewText]])</f>
        <v>17</v>
      </c>
      <c r="R711" t="str">
        <f>IF(AMAZON_FASHION_5__2[[#This Row],[overall]]&gt;=4,"Positive",IF(AMAZON_FASHION_5__2[[#This Row],[overall]]&lt;=2,"Negative","Neutral"))</f>
        <v>Positive</v>
      </c>
      <c r="S7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12" spans="1:19" x14ac:dyDescent="0.25">
      <c r="A712">
        <v>4</v>
      </c>
      <c r="B712" t="b">
        <v>1</v>
      </c>
      <c r="C712" s="1">
        <v>42835</v>
      </c>
      <c r="D712">
        <f>YEAR(AMAZON_FASHION_5__2[[#This Row],[reviewDate]])</f>
        <v>2017</v>
      </c>
      <c r="E712" s="1" t="str">
        <f>TEXT(AMAZON_FASHION_5__2[[#This Row],[reviewDate]], "mmmm")</f>
        <v>April</v>
      </c>
      <c r="F712" t="s">
        <v>906</v>
      </c>
      <c r="G712" t="s">
        <v>1445</v>
      </c>
      <c r="H712" t="s">
        <v>284</v>
      </c>
      <c r="I712" t="s">
        <v>411</v>
      </c>
      <c r="J712" t="s">
        <v>907</v>
      </c>
      <c r="K712" t="s">
        <v>908</v>
      </c>
      <c r="L712" t="s">
        <v>909</v>
      </c>
      <c r="M712">
        <v>1491782400</v>
      </c>
      <c r="N712" t="s">
        <v>1628</v>
      </c>
      <c r="O712" t="s">
        <v>1628</v>
      </c>
      <c r="P712" t="s">
        <v>1628</v>
      </c>
      <c r="Q712">
        <f>LEN(AMAZON_FASHION_5__2[[#This Row],[reviewText]])</f>
        <v>177</v>
      </c>
      <c r="R712" t="str">
        <f>IF(AMAZON_FASHION_5__2[[#This Row],[overall]]&gt;=4,"Positive",IF(AMAZON_FASHION_5__2[[#This Row],[overall]]&lt;=2,"Negative","Neutral"))</f>
        <v>Positive</v>
      </c>
      <c r="S7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13" spans="1:19" x14ac:dyDescent="0.25">
      <c r="A713">
        <v>5</v>
      </c>
      <c r="B713" t="b">
        <v>1</v>
      </c>
      <c r="C713" s="1">
        <v>42833</v>
      </c>
      <c r="D713">
        <f>YEAR(AMAZON_FASHION_5__2[[#This Row],[reviewDate]])</f>
        <v>2017</v>
      </c>
      <c r="E713" s="1" t="str">
        <f>TEXT(AMAZON_FASHION_5__2[[#This Row],[reviewDate]], "mmmm")</f>
        <v>April</v>
      </c>
      <c r="F713" t="s">
        <v>910</v>
      </c>
      <c r="G713" t="s">
        <v>1445</v>
      </c>
      <c r="H713" t="s">
        <v>230</v>
      </c>
      <c r="I713" t="s">
        <v>198</v>
      </c>
      <c r="J713" t="s">
        <v>63</v>
      </c>
      <c r="K713" t="s">
        <v>911</v>
      </c>
      <c r="L713" t="s">
        <v>912</v>
      </c>
      <c r="M713">
        <v>1491609600</v>
      </c>
      <c r="N713" t="s">
        <v>1628</v>
      </c>
      <c r="O713" t="s">
        <v>1628</v>
      </c>
      <c r="P713" t="s">
        <v>1628</v>
      </c>
      <c r="Q713">
        <f>LEN(AMAZON_FASHION_5__2[[#This Row],[reviewText]])</f>
        <v>163</v>
      </c>
      <c r="R713" t="str">
        <f>IF(AMAZON_FASHION_5__2[[#This Row],[overall]]&gt;=4,"Positive",IF(AMAZON_FASHION_5__2[[#This Row],[overall]]&lt;=2,"Negative","Neutral"))</f>
        <v>Positive</v>
      </c>
      <c r="S7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14" spans="1:19" x14ac:dyDescent="0.25">
      <c r="A714">
        <v>4</v>
      </c>
      <c r="B714" t="b">
        <v>1</v>
      </c>
      <c r="C714" s="1">
        <v>42830</v>
      </c>
      <c r="D714">
        <f>YEAR(AMAZON_FASHION_5__2[[#This Row],[reviewDate]])</f>
        <v>2017</v>
      </c>
      <c r="E714" s="1" t="str">
        <f>TEXT(AMAZON_FASHION_5__2[[#This Row],[reviewDate]], "mmmm")</f>
        <v>April</v>
      </c>
      <c r="F714" t="s">
        <v>913</v>
      </c>
      <c r="G714" t="s">
        <v>1445</v>
      </c>
      <c r="H714" t="s">
        <v>477</v>
      </c>
      <c r="I714" t="s">
        <v>198</v>
      </c>
      <c r="J714" t="s">
        <v>63</v>
      </c>
      <c r="K714" t="s">
        <v>914</v>
      </c>
      <c r="L714" t="s">
        <v>103</v>
      </c>
      <c r="M714">
        <v>1491350400</v>
      </c>
      <c r="N714" t="s">
        <v>1628</v>
      </c>
      <c r="O714" t="s">
        <v>1628</v>
      </c>
      <c r="P714" t="s">
        <v>1628</v>
      </c>
      <c r="Q714">
        <f>LEN(AMAZON_FASHION_5__2[[#This Row],[reviewText]])</f>
        <v>17</v>
      </c>
      <c r="R714" t="str">
        <f>IF(AMAZON_FASHION_5__2[[#This Row],[overall]]&gt;=4,"Positive",IF(AMAZON_FASHION_5__2[[#This Row],[overall]]&lt;=2,"Negative","Neutral"))</f>
        <v>Positive</v>
      </c>
      <c r="S7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15" spans="1:19" x14ac:dyDescent="0.25">
      <c r="A715">
        <v>5</v>
      </c>
      <c r="B715" t="b">
        <v>1</v>
      </c>
      <c r="C715" s="1">
        <v>42830</v>
      </c>
      <c r="D715">
        <f>YEAR(AMAZON_FASHION_5__2[[#This Row],[reviewDate]])</f>
        <v>2017</v>
      </c>
      <c r="E715" s="1" t="str">
        <f>TEXT(AMAZON_FASHION_5__2[[#This Row],[reviewDate]], "mmmm")</f>
        <v>April</v>
      </c>
      <c r="F715" t="s">
        <v>915</v>
      </c>
      <c r="G715" t="s">
        <v>1445</v>
      </c>
      <c r="H715" t="s">
        <v>210</v>
      </c>
      <c r="I715" t="s">
        <v>198</v>
      </c>
      <c r="J715" t="s">
        <v>916</v>
      </c>
      <c r="K715" t="s">
        <v>917</v>
      </c>
      <c r="L715" t="s">
        <v>17</v>
      </c>
      <c r="M715">
        <v>1491350400</v>
      </c>
      <c r="N715" t="s">
        <v>1628</v>
      </c>
      <c r="O715" t="s">
        <v>1628</v>
      </c>
      <c r="P715" t="s">
        <v>1628</v>
      </c>
      <c r="Q715">
        <f>LEN(AMAZON_FASHION_5__2[[#This Row],[reviewText]])</f>
        <v>30</v>
      </c>
      <c r="R715" t="str">
        <f>IF(AMAZON_FASHION_5__2[[#This Row],[overall]]&gt;=4,"Positive",IF(AMAZON_FASHION_5__2[[#This Row],[overall]]&lt;=2,"Negative","Neutral"))</f>
        <v>Positive</v>
      </c>
      <c r="S7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16" spans="1:19" x14ac:dyDescent="0.25">
      <c r="A716">
        <v>5</v>
      </c>
      <c r="B716" t="b">
        <v>1</v>
      </c>
      <c r="C716" s="1">
        <v>42829</v>
      </c>
      <c r="D716">
        <f>YEAR(AMAZON_FASHION_5__2[[#This Row],[reviewDate]])</f>
        <v>2017</v>
      </c>
      <c r="E716" s="1" t="str">
        <f>TEXT(AMAZON_FASHION_5__2[[#This Row],[reviewDate]], "mmmm")</f>
        <v>April</v>
      </c>
      <c r="F716" t="s">
        <v>918</v>
      </c>
      <c r="G716" t="s">
        <v>1445</v>
      </c>
      <c r="H716" t="s">
        <v>477</v>
      </c>
      <c r="I716" t="s">
        <v>827</v>
      </c>
      <c r="J716" t="s">
        <v>919</v>
      </c>
      <c r="K716" t="s">
        <v>920</v>
      </c>
      <c r="L716" t="s">
        <v>17</v>
      </c>
      <c r="M716">
        <v>1491264000</v>
      </c>
      <c r="N716" t="s">
        <v>1628</v>
      </c>
      <c r="O716" t="s">
        <v>1628</v>
      </c>
      <c r="P716" t="s">
        <v>1628</v>
      </c>
      <c r="Q716">
        <f>LEN(AMAZON_FASHION_5__2[[#This Row],[reviewText]])</f>
        <v>38</v>
      </c>
      <c r="R716" t="str">
        <f>IF(AMAZON_FASHION_5__2[[#This Row],[overall]]&gt;=4,"Positive",IF(AMAZON_FASHION_5__2[[#This Row],[overall]]&lt;=2,"Negative","Neutral"))</f>
        <v>Positive</v>
      </c>
      <c r="S7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17" spans="1:19" x14ac:dyDescent="0.25">
      <c r="A717">
        <v>5</v>
      </c>
      <c r="B717" t="b">
        <v>1</v>
      </c>
      <c r="C717" s="1">
        <v>42827</v>
      </c>
      <c r="D717">
        <f>YEAR(AMAZON_FASHION_5__2[[#This Row],[reviewDate]])</f>
        <v>2017</v>
      </c>
      <c r="E717" s="1" t="str">
        <f>TEXT(AMAZON_FASHION_5__2[[#This Row],[reviewDate]], "mmmm")</f>
        <v>April</v>
      </c>
      <c r="F717" t="s">
        <v>921</v>
      </c>
      <c r="G717" t="s">
        <v>1445</v>
      </c>
      <c r="H717" t="s">
        <v>205</v>
      </c>
      <c r="I717" t="s">
        <v>344</v>
      </c>
      <c r="J717" t="s">
        <v>922</v>
      </c>
      <c r="K717" t="s">
        <v>923</v>
      </c>
      <c r="L717" t="s">
        <v>17</v>
      </c>
      <c r="M717">
        <v>1491091200</v>
      </c>
      <c r="N717" t="s">
        <v>1628</v>
      </c>
      <c r="O717" t="s">
        <v>1628</v>
      </c>
      <c r="P717" t="s">
        <v>1628</v>
      </c>
      <c r="Q717">
        <f>LEN(AMAZON_FASHION_5__2[[#This Row],[reviewText]])</f>
        <v>39</v>
      </c>
      <c r="R717" t="str">
        <f>IF(AMAZON_FASHION_5__2[[#This Row],[overall]]&gt;=4,"Positive",IF(AMAZON_FASHION_5__2[[#This Row],[overall]]&lt;=2,"Negative","Neutral"))</f>
        <v>Positive</v>
      </c>
      <c r="S7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18" spans="1:19" x14ac:dyDescent="0.25">
      <c r="A718">
        <v>4</v>
      </c>
      <c r="B718" t="b">
        <v>1</v>
      </c>
      <c r="C718" s="1">
        <v>42824</v>
      </c>
      <c r="D718">
        <f>YEAR(AMAZON_FASHION_5__2[[#This Row],[reviewDate]])</f>
        <v>2017</v>
      </c>
      <c r="E718" s="1" t="str">
        <f>TEXT(AMAZON_FASHION_5__2[[#This Row],[reviewDate]], "mmmm")</f>
        <v>March</v>
      </c>
      <c r="F718" t="s">
        <v>924</v>
      </c>
      <c r="G718" t="s">
        <v>1445</v>
      </c>
      <c r="H718" t="s">
        <v>205</v>
      </c>
      <c r="I718" t="s">
        <v>198</v>
      </c>
      <c r="J718" t="s">
        <v>925</v>
      </c>
      <c r="K718" t="s">
        <v>926</v>
      </c>
      <c r="L718" t="s">
        <v>927</v>
      </c>
      <c r="M718">
        <v>1490832000</v>
      </c>
      <c r="N718" t="s">
        <v>1628</v>
      </c>
      <c r="O718" t="s">
        <v>1628</v>
      </c>
      <c r="P718" t="s">
        <v>1628</v>
      </c>
      <c r="Q718">
        <f>LEN(AMAZON_FASHION_5__2[[#This Row],[reviewText]])</f>
        <v>87</v>
      </c>
      <c r="R718" t="str">
        <f>IF(AMAZON_FASHION_5__2[[#This Row],[overall]]&gt;=4,"Positive",IF(AMAZON_FASHION_5__2[[#This Row],[overall]]&lt;=2,"Negative","Neutral"))</f>
        <v>Positive</v>
      </c>
      <c r="S7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19" spans="1:19" x14ac:dyDescent="0.25">
      <c r="A719">
        <v>5</v>
      </c>
      <c r="B719" t="b">
        <v>1</v>
      </c>
      <c r="C719" s="1">
        <v>42823</v>
      </c>
      <c r="D719">
        <f>YEAR(AMAZON_FASHION_5__2[[#This Row],[reviewDate]])</f>
        <v>2017</v>
      </c>
      <c r="E719" s="1" t="str">
        <f>TEXT(AMAZON_FASHION_5__2[[#This Row],[reviewDate]], "mmmm")</f>
        <v>March</v>
      </c>
      <c r="F719" t="s">
        <v>928</v>
      </c>
      <c r="G719" t="s">
        <v>1445</v>
      </c>
      <c r="H719" t="s">
        <v>235</v>
      </c>
      <c r="I719" t="s">
        <v>411</v>
      </c>
      <c r="J719" t="s">
        <v>929</v>
      </c>
      <c r="K719" t="s">
        <v>930</v>
      </c>
      <c r="L719" t="s">
        <v>931</v>
      </c>
      <c r="M719">
        <v>1490745600</v>
      </c>
      <c r="N719" t="s">
        <v>1628</v>
      </c>
      <c r="O719" t="s">
        <v>1628</v>
      </c>
      <c r="P719" t="s">
        <v>1628</v>
      </c>
      <c r="Q719">
        <f>LEN(AMAZON_FASHION_5__2[[#This Row],[reviewText]])</f>
        <v>120</v>
      </c>
      <c r="R719" t="str">
        <f>IF(AMAZON_FASHION_5__2[[#This Row],[overall]]&gt;=4,"Positive",IF(AMAZON_FASHION_5__2[[#This Row],[overall]]&lt;=2,"Negative","Neutral"))</f>
        <v>Positive</v>
      </c>
      <c r="S7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20" spans="1:19" x14ac:dyDescent="0.25">
      <c r="A720">
        <v>2</v>
      </c>
      <c r="B720" t="b">
        <v>1</v>
      </c>
      <c r="C720" s="1">
        <v>42820</v>
      </c>
      <c r="D720">
        <f>YEAR(AMAZON_FASHION_5__2[[#This Row],[reviewDate]])</f>
        <v>2017</v>
      </c>
      <c r="E720" s="1" t="str">
        <f>TEXT(AMAZON_FASHION_5__2[[#This Row],[reviewDate]], "mmmm")</f>
        <v>March</v>
      </c>
      <c r="F720" t="s">
        <v>932</v>
      </c>
      <c r="G720" t="s">
        <v>1445</v>
      </c>
      <c r="H720" t="s">
        <v>477</v>
      </c>
      <c r="I720" t="s">
        <v>211</v>
      </c>
      <c r="J720" t="s">
        <v>933</v>
      </c>
      <c r="K720" t="s">
        <v>934</v>
      </c>
      <c r="L720" t="s">
        <v>935</v>
      </c>
      <c r="M720">
        <v>1490486400</v>
      </c>
      <c r="N720" t="s">
        <v>1628</v>
      </c>
      <c r="O720" t="s">
        <v>1628</v>
      </c>
      <c r="P720" t="s">
        <v>1628</v>
      </c>
      <c r="Q720">
        <f>LEN(AMAZON_FASHION_5__2[[#This Row],[reviewText]])</f>
        <v>178</v>
      </c>
      <c r="R720" t="str">
        <f>IF(AMAZON_FASHION_5__2[[#This Row],[overall]]&gt;=4,"Positive",IF(AMAZON_FASHION_5__2[[#This Row],[overall]]&lt;=2,"Negative","Neutral"))</f>
        <v>Negative</v>
      </c>
      <c r="S7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21" spans="1:19" x14ac:dyDescent="0.25">
      <c r="A721">
        <v>1</v>
      </c>
      <c r="B721" t="b">
        <v>1</v>
      </c>
      <c r="C721" s="1">
        <v>42819</v>
      </c>
      <c r="D721">
        <f>YEAR(AMAZON_FASHION_5__2[[#This Row],[reviewDate]])</f>
        <v>2017</v>
      </c>
      <c r="E721" s="1" t="str">
        <f>TEXT(AMAZON_FASHION_5__2[[#This Row],[reviewDate]], "mmmm")</f>
        <v>March</v>
      </c>
      <c r="F721" t="s">
        <v>936</v>
      </c>
      <c r="G721" t="s">
        <v>1445</v>
      </c>
      <c r="H721" t="s">
        <v>415</v>
      </c>
      <c r="I721" t="s">
        <v>336</v>
      </c>
      <c r="J721" t="s">
        <v>937</v>
      </c>
      <c r="K721" t="s">
        <v>938</v>
      </c>
      <c r="L721" t="s">
        <v>65</v>
      </c>
      <c r="M721">
        <v>1490400000</v>
      </c>
      <c r="N721" t="s">
        <v>1628</v>
      </c>
      <c r="O721" t="s">
        <v>1628</v>
      </c>
      <c r="P721" t="s">
        <v>1628</v>
      </c>
      <c r="Q721">
        <f>LEN(AMAZON_FASHION_5__2[[#This Row],[reviewText]])</f>
        <v>84</v>
      </c>
      <c r="R721" t="str">
        <f>IF(AMAZON_FASHION_5__2[[#This Row],[overall]]&gt;=4,"Positive",IF(AMAZON_FASHION_5__2[[#This Row],[overall]]&lt;=2,"Negative","Neutral"))</f>
        <v>Negative</v>
      </c>
      <c r="S7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22" spans="1:19" x14ac:dyDescent="0.25">
      <c r="A722">
        <v>5</v>
      </c>
      <c r="B722" t="b">
        <v>1</v>
      </c>
      <c r="C722" s="1">
        <v>42818</v>
      </c>
      <c r="D722">
        <f>YEAR(AMAZON_FASHION_5__2[[#This Row],[reviewDate]])</f>
        <v>2017</v>
      </c>
      <c r="E722" s="1" t="str">
        <f>TEXT(AMAZON_FASHION_5__2[[#This Row],[reviewDate]], "mmmm")</f>
        <v>March</v>
      </c>
      <c r="F722" t="s">
        <v>939</v>
      </c>
      <c r="G722" t="s">
        <v>1445</v>
      </c>
      <c r="H722" t="s">
        <v>235</v>
      </c>
      <c r="I722" t="s">
        <v>198</v>
      </c>
      <c r="J722" t="s">
        <v>63</v>
      </c>
      <c r="K722" t="s">
        <v>940</v>
      </c>
      <c r="L722" t="s">
        <v>17</v>
      </c>
      <c r="M722">
        <v>1490313600</v>
      </c>
      <c r="N722" t="s">
        <v>1628</v>
      </c>
      <c r="O722" t="s">
        <v>1628</v>
      </c>
      <c r="P722" t="s">
        <v>1628</v>
      </c>
      <c r="Q722">
        <f>LEN(AMAZON_FASHION_5__2[[#This Row],[reviewText]])</f>
        <v>10</v>
      </c>
      <c r="R722" t="str">
        <f>IF(AMAZON_FASHION_5__2[[#This Row],[overall]]&gt;=4,"Positive",IF(AMAZON_FASHION_5__2[[#This Row],[overall]]&lt;=2,"Negative","Neutral"))</f>
        <v>Positive</v>
      </c>
      <c r="S7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23" spans="1:19" x14ac:dyDescent="0.25">
      <c r="A723">
        <v>5</v>
      </c>
      <c r="B723" t="b">
        <v>1</v>
      </c>
      <c r="C723" s="1">
        <v>42818</v>
      </c>
      <c r="D723">
        <f>YEAR(AMAZON_FASHION_5__2[[#This Row],[reviewDate]])</f>
        <v>2017</v>
      </c>
      <c r="E723" s="1" t="str">
        <f>TEXT(AMAZON_FASHION_5__2[[#This Row],[reviewDate]], "mmmm")</f>
        <v>March</v>
      </c>
      <c r="F723" t="s">
        <v>941</v>
      </c>
      <c r="G723" t="s">
        <v>1445</v>
      </c>
      <c r="H723" t="s">
        <v>210</v>
      </c>
      <c r="I723" t="s">
        <v>198</v>
      </c>
      <c r="J723" t="s">
        <v>942</v>
      </c>
      <c r="K723" t="s">
        <v>943</v>
      </c>
      <c r="L723" t="s">
        <v>944</v>
      </c>
      <c r="M723">
        <v>1490313600</v>
      </c>
      <c r="N723" t="s">
        <v>1628</v>
      </c>
      <c r="O723" t="s">
        <v>1628</v>
      </c>
      <c r="P723" t="s">
        <v>1628</v>
      </c>
      <c r="Q723">
        <f>LEN(AMAZON_FASHION_5__2[[#This Row],[reviewText]])</f>
        <v>225</v>
      </c>
      <c r="R723" t="str">
        <f>IF(AMAZON_FASHION_5__2[[#This Row],[overall]]&gt;=4,"Positive",IF(AMAZON_FASHION_5__2[[#This Row],[overall]]&lt;=2,"Negative","Neutral"))</f>
        <v>Positive</v>
      </c>
      <c r="S7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24" spans="1:19" x14ac:dyDescent="0.25">
      <c r="A724">
        <v>5</v>
      </c>
      <c r="B724" t="b">
        <v>1</v>
      </c>
      <c r="C724" s="1">
        <v>42817</v>
      </c>
      <c r="D724">
        <f>YEAR(AMAZON_FASHION_5__2[[#This Row],[reviewDate]])</f>
        <v>2017</v>
      </c>
      <c r="E724" s="1" t="str">
        <f>TEXT(AMAZON_FASHION_5__2[[#This Row],[reviewDate]], "mmmm")</f>
        <v>March</v>
      </c>
      <c r="F724" t="s">
        <v>945</v>
      </c>
      <c r="G724" t="s">
        <v>1445</v>
      </c>
      <c r="H724" t="s">
        <v>230</v>
      </c>
      <c r="I724" t="s">
        <v>574</v>
      </c>
      <c r="J724" t="s">
        <v>946</v>
      </c>
      <c r="K724" t="s">
        <v>947</v>
      </c>
      <c r="L724" t="s">
        <v>948</v>
      </c>
      <c r="M724">
        <v>1490227200</v>
      </c>
      <c r="N724" t="s">
        <v>1628</v>
      </c>
      <c r="O724" t="s">
        <v>1628</v>
      </c>
      <c r="P724">
        <v>3</v>
      </c>
      <c r="Q724">
        <f>LEN(AMAZON_FASHION_5__2[[#This Row],[reviewText]])</f>
        <v>401</v>
      </c>
      <c r="R724" t="str">
        <f>IF(AMAZON_FASHION_5__2[[#This Row],[overall]]&gt;=4,"Positive",IF(AMAZON_FASHION_5__2[[#This Row],[overall]]&lt;=2,"Negative","Neutral"))</f>
        <v>Positive</v>
      </c>
      <c r="S7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25" spans="1:19" x14ac:dyDescent="0.25">
      <c r="A725">
        <v>5</v>
      </c>
      <c r="B725" t="b">
        <v>1</v>
      </c>
      <c r="C725" s="1">
        <v>42815</v>
      </c>
      <c r="D725">
        <f>YEAR(AMAZON_FASHION_5__2[[#This Row],[reviewDate]])</f>
        <v>2017</v>
      </c>
      <c r="E725" s="1" t="str">
        <f>TEXT(AMAZON_FASHION_5__2[[#This Row],[reviewDate]], "mmmm")</f>
        <v>March</v>
      </c>
      <c r="F725" t="s">
        <v>949</v>
      </c>
      <c r="G725" t="s">
        <v>1445</v>
      </c>
      <c r="H725" t="s">
        <v>210</v>
      </c>
      <c r="I725" t="s">
        <v>419</v>
      </c>
      <c r="J725" t="s">
        <v>950</v>
      </c>
      <c r="K725" t="s">
        <v>951</v>
      </c>
      <c r="L725" t="s">
        <v>543</v>
      </c>
      <c r="M725">
        <v>1490054400</v>
      </c>
      <c r="N725" t="s">
        <v>1628</v>
      </c>
      <c r="O725" t="s">
        <v>1628</v>
      </c>
      <c r="P725" t="s">
        <v>1628</v>
      </c>
      <c r="Q725">
        <f>LEN(AMAZON_FASHION_5__2[[#This Row],[reviewText]])</f>
        <v>110</v>
      </c>
      <c r="R725" t="str">
        <f>IF(AMAZON_FASHION_5__2[[#This Row],[overall]]&gt;=4,"Positive",IF(AMAZON_FASHION_5__2[[#This Row],[overall]]&lt;=2,"Negative","Neutral"))</f>
        <v>Positive</v>
      </c>
      <c r="S7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26" spans="1:19" x14ac:dyDescent="0.25">
      <c r="A726">
        <v>4</v>
      </c>
      <c r="B726" t="b">
        <v>1</v>
      </c>
      <c r="C726" s="1">
        <v>42814</v>
      </c>
      <c r="D726">
        <f>YEAR(AMAZON_FASHION_5__2[[#This Row],[reviewDate]])</f>
        <v>2017</v>
      </c>
      <c r="E726" s="1" t="str">
        <f>TEXT(AMAZON_FASHION_5__2[[#This Row],[reviewDate]], "mmmm")</f>
        <v>March</v>
      </c>
      <c r="F726" t="s">
        <v>952</v>
      </c>
      <c r="G726" t="s">
        <v>1445</v>
      </c>
      <c r="H726" t="s">
        <v>477</v>
      </c>
      <c r="I726" t="s">
        <v>344</v>
      </c>
      <c r="J726" t="s">
        <v>953</v>
      </c>
      <c r="K726" t="s">
        <v>954</v>
      </c>
      <c r="L726" t="s">
        <v>955</v>
      </c>
      <c r="M726">
        <v>1489968000</v>
      </c>
      <c r="N726" t="s">
        <v>1628</v>
      </c>
      <c r="O726" t="s">
        <v>1628</v>
      </c>
      <c r="P726" t="s">
        <v>1628</v>
      </c>
      <c r="Q726">
        <f>LEN(AMAZON_FASHION_5__2[[#This Row],[reviewText]])</f>
        <v>23</v>
      </c>
      <c r="R726" t="str">
        <f>IF(AMAZON_FASHION_5__2[[#This Row],[overall]]&gt;=4,"Positive",IF(AMAZON_FASHION_5__2[[#This Row],[overall]]&lt;=2,"Negative","Neutral"))</f>
        <v>Positive</v>
      </c>
      <c r="S7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27" spans="1:19" x14ac:dyDescent="0.25">
      <c r="A727">
        <v>5</v>
      </c>
      <c r="B727" t="b">
        <v>1</v>
      </c>
      <c r="C727" s="1">
        <v>42812</v>
      </c>
      <c r="D727">
        <f>YEAR(AMAZON_FASHION_5__2[[#This Row],[reviewDate]])</f>
        <v>2017</v>
      </c>
      <c r="E727" s="1" t="str">
        <f>TEXT(AMAZON_FASHION_5__2[[#This Row],[reviewDate]], "mmmm")</f>
        <v>March</v>
      </c>
      <c r="F727" t="s">
        <v>956</v>
      </c>
      <c r="G727" t="s">
        <v>1445</v>
      </c>
      <c r="H727" t="s">
        <v>201</v>
      </c>
      <c r="I727" t="s">
        <v>198</v>
      </c>
      <c r="J727" t="s">
        <v>957</v>
      </c>
      <c r="K727" t="s">
        <v>958</v>
      </c>
      <c r="L727" t="s">
        <v>17</v>
      </c>
      <c r="M727">
        <v>1489795200</v>
      </c>
      <c r="N727" t="s">
        <v>1628</v>
      </c>
      <c r="O727" t="s">
        <v>1628</v>
      </c>
      <c r="P727" t="s">
        <v>1628</v>
      </c>
      <c r="Q727">
        <f>LEN(AMAZON_FASHION_5__2[[#This Row],[reviewText]])</f>
        <v>40</v>
      </c>
      <c r="R727" t="str">
        <f>IF(AMAZON_FASHION_5__2[[#This Row],[overall]]&gt;=4,"Positive",IF(AMAZON_FASHION_5__2[[#This Row],[overall]]&lt;=2,"Negative","Neutral"))</f>
        <v>Positive</v>
      </c>
      <c r="S7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28" spans="1:19" x14ac:dyDescent="0.25">
      <c r="A728">
        <v>5</v>
      </c>
      <c r="B728" t="b">
        <v>1</v>
      </c>
      <c r="C728" s="1">
        <v>42812</v>
      </c>
      <c r="D728">
        <f>YEAR(AMAZON_FASHION_5__2[[#This Row],[reviewDate]])</f>
        <v>2017</v>
      </c>
      <c r="E728" s="1" t="str">
        <f>TEXT(AMAZON_FASHION_5__2[[#This Row],[reviewDate]], "mmmm")</f>
        <v>March</v>
      </c>
      <c r="F728" t="s">
        <v>959</v>
      </c>
      <c r="G728" t="s">
        <v>1445</v>
      </c>
      <c r="H728" t="s">
        <v>201</v>
      </c>
      <c r="I728" t="s">
        <v>419</v>
      </c>
      <c r="J728" t="s">
        <v>960</v>
      </c>
      <c r="K728" t="s">
        <v>961</v>
      </c>
      <c r="L728" t="s">
        <v>962</v>
      </c>
      <c r="M728">
        <v>1489795200</v>
      </c>
      <c r="N728" t="s">
        <v>1628</v>
      </c>
      <c r="O728" t="s">
        <v>1628</v>
      </c>
      <c r="P728">
        <v>8</v>
      </c>
      <c r="Q728">
        <f>LEN(AMAZON_FASHION_5__2[[#This Row],[reviewText]])</f>
        <v>267</v>
      </c>
      <c r="R728" t="str">
        <f>IF(AMAZON_FASHION_5__2[[#This Row],[overall]]&gt;=4,"Positive",IF(AMAZON_FASHION_5__2[[#This Row],[overall]]&lt;=2,"Negative","Neutral"))</f>
        <v>Positive</v>
      </c>
      <c r="S7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29" spans="1:19" x14ac:dyDescent="0.25">
      <c r="A729">
        <v>3</v>
      </c>
      <c r="B729" t="b">
        <v>1</v>
      </c>
      <c r="C729" s="1">
        <v>42811</v>
      </c>
      <c r="D729">
        <f>YEAR(AMAZON_FASHION_5__2[[#This Row],[reviewDate]])</f>
        <v>2017</v>
      </c>
      <c r="E729" s="1" t="str">
        <f>TEXT(AMAZON_FASHION_5__2[[#This Row],[reviewDate]], "mmmm")</f>
        <v>March</v>
      </c>
      <c r="F729" t="s">
        <v>963</v>
      </c>
      <c r="G729" t="s">
        <v>1445</v>
      </c>
      <c r="H729" t="s">
        <v>477</v>
      </c>
      <c r="I729" t="s">
        <v>344</v>
      </c>
      <c r="J729" t="s">
        <v>964</v>
      </c>
      <c r="K729" t="s">
        <v>965</v>
      </c>
      <c r="L729" t="s">
        <v>966</v>
      </c>
      <c r="M729">
        <v>1489708800</v>
      </c>
      <c r="N729" t="s">
        <v>1628</v>
      </c>
      <c r="O729" t="s">
        <v>1628</v>
      </c>
      <c r="P729" t="s">
        <v>1628</v>
      </c>
      <c r="Q729">
        <f>LEN(AMAZON_FASHION_5__2[[#This Row],[reviewText]])</f>
        <v>143</v>
      </c>
      <c r="R729" t="str">
        <f>IF(AMAZON_FASHION_5__2[[#This Row],[overall]]&gt;=4,"Positive",IF(AMAZON_FASHION_5__2[[#This Row],[overall]]&lt;=2,"Negative","Neutral"))</f>
        <v>Neutral</v>
      </c>
      <c r="S7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30" spans="1:19" x14ac:dyDescent="0.25">
      <c r="A730">
        <v>4</v>
      </c>
      <c r="B730" t="b">
        <v>1</v>
      </c>
      <c r="C730" s="1">
        <v>42809</v>
      </c>
      <c r="D730">
        <f>YEAR(AMAZON_FASHION_5__2[[#This Row],[reviewDate]])</f>
        <v>2017</v>
      </c>
      <c r="E730" s="1" t="str">
        <f>TEXT(AMAZON_FASHION_5__2[[#This Row],[reviewDate]], "mmmm")</f>
        <v>March</v>
      </c>
      <c r="F730" t="s">
        <v>967</v>
      </c>
      <c r="G730" t="s">
        <v>1445</v>
      </c>
      <c r="H730" t="s">
        <v>201</v>
      </c>
      <c r="I730" t="s">
        <v>524</v>
      </c>
      <c r="J730" t="s">
        <v>968</v>
      </c>
      <c r="K730" t="s">
        <v>969</v>
      </c>
      <c r="L730" t="s">
        <v>970</v>
      </c>
      <c r="M730">
        <v>1489536000</v>
      </c>
      <c r="N730" t="s">
        <v>1628</v>
      </c>
      <c r="O730" t="s">
        <v>1628</v>
      </c>
      <c r="P730" t="s">
        <v>1628</v>
      </c>
      <c r="Q730">
        <f>LEN(AMAZON_FASHION_5__2[[#This Row],[reviewText]])</f>
        <v>118</v>
      </c>
      <c r="R730" t="str">
        <f>IF(AMAZON_FASHION_5__2[[#This Row],[overall]]&gt;=4,"Positive",IF(AMAZON_FASHION_5__2[[#This Row],[overall]]&lt;=2,"Negative","Neutral"))</f>
        <v>Positive</v>
      </c>
      <c r="S7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31" spans="1:19" x14ac:dyDescent="0.25">
      <c r="A731">
        <v>3</v>
      </c>
      <c r="B731" t="b">
        <v>1</v>
      </c>
      <c r="C731" s="1">
        <v>42809</v>
      </c>
      <c r="D731">
        <f>YEAR(AMAZON_FASHION_5__2[[#This Row],[reviewDate]])</f>
        <v>2017</v>
      </c>
      <c r="E731" s="1" t="str">
        <f>TEXT(AMAZON_FASHION_5__2[[#This Row],[reviewDate]], "mmmm")</f>
        <v>March</v>
      </c>
      <c r="F731" t="s">
        <v>971</v>
      </c>
      <c r="G731" t="s">
        <v>1445</v>
      </c>
      <c r="H731" t="s">
        <v>235</v>
      </c>
      <c r="I731" t="s">
        <v>411</v>
      </c>
      <c r="J731" t="s">
        <v>972</v>
      </c>
      <c r="K731" t="s">
        <v>973</v>
      </c>
      <c r="L731" t="s">
        <v>974</v>
      </c>
      <c r="M731">
        <v>1489536000</v>
      </c>
      <c r="N731" t="s">
        <v>1628</v>
      </c>
      <c r="O731" t="s">
        <v>1628</v>
      </c>
      <c r="P731">
        <v>2</v>
      </c>
      <c r="Q731">
        <f>LEN(AMAZON_FASHION_5__2[[#This Row],[reviewText]])</f>
        <v>150</v>
      </c>
      <c r="R731" t="str">
        <f>IF(AMAZON_FASHION_5__2[[#This Row],[overall]]&gt;=4,"Positive",IF(AMAZON_FASHION_5__2[[#This Row],[overall]]&lt;=2,"Negative","Neutral"))</f>
        <v>Neutral</v>
      </c>
      <c r="S7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32" spans="1:19" x14ac:dyDescent="0.25">
      <c r="A732">
        <v>5</v>
      </c>
      <c r="B732" t="b">
        <v>1</v>
      </c>
      <c r="C732" s="1">
        <v>42809</v>
      </c>
      <c r="D732">
        <f>YEAR(AMAZON_FASHION_5__2[[#This Row],[reviewDate]])</f>
        <v>2017</v>
      </c>
      <c r="E732" s="1" t="str">
        <f>TEXT(AMAZON_FASHION_5__2[[#This Row],[reviewDate]], "mmmm")</f>
        <v>March</v>
      </c>
      <c r="F732" t="s">
        <v>975</v>
      </c>
      <c r="G732" t="s">
        <v>1445</v>
      </c>
      <c r="H732" t="s">
        <v>201</v>
      </c>
      <c r="I732" t="s">
        <v>524</v>
      </c>
      <c r="J732" t="s">
        <v>976</v>
      </c>
      <c r="K732" t="s">
        <v>977</v>
      </c>
      <c r="L732" t="s">
        <v>17</v>
      </c>
      <c r="M732">
        <v>1489536000</v>
      </c>
      <c r="N732" t="s">
        <v>1628</v>
      </c>
      <c r="O732" t="s">
        <v>1628</v>
      </c>
      <c r="P732" t="s">
        <v>1628</v>
      </c>
      <c r="Q732">
        <f>LEN(AMAZON_FASHION_5__2[[#This Row],[reviewText]])</f>
        <v>40</v>
      </c>
      <c r="R732" t="str">
        <f>IF(AMAZON_FASHION_5__2[[#This Row],[overall]]&gt;=4,"Positive",IF(AMAZON_FASHION_5__2[[#This Row],[overall]]&lt;=2,"Negative","Neutral"))</f>
        <v>Positive</v>
      </c>
      <c r="S7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33" spans="1:19" x14ac:dyDescent="0.25">
      <c r="A733">
        <v>5</v>
      </c>
      <c r="B733" t="b">
        <v>1</v>
      </c>
      <c r="C733" s="1">
        <v>42808</v>
      </c>
      <c r="D733">
        <f>YEAR(AMAZON_FASHION_5__2[[#This Row],[reviewDate]])</f>
        <v>2017</v>
      </c>
      <c r="E733" s="1" t="str">
        <f>TEXT(AMAZON_FASHION_5__2[[#This Row],[reviewDate]], "mmmm")</f>
        <v>March</v>
      </c>
      <c r="F733" t="s">
        <v>978</v>
      </c>
      <c r="G733" t="s">
        <v>1445</v>
      </c>
      <c r="H733" t="s">
        <v>205</v>
      </c>
      <c r="I733" t="s">
        <v>827</v>
      </c>
      <c r="J733" t="s">
        <v>979</v>
      </c>
      <c r="K733" t="s">
        <v>980</v>
      </c>
      <c r="L733" t="s">
        <v>17</v>
      </c>
      <c r="M733">
        <v>1489449600</v>
      </c>
      <c r="N733" t="s">
        <v>1628</v>
      </c>
      <c r="O733" t="s">
        <v>1628</v>
      </c>
      <c r="P733" t="s">
        <v>1628</v>
      </c>
      <c r="Q733">
        <f>LEN(AMAZON_FASHION_5__2[[#This Row],[reviewText]])</f>
        <v>33</v>
      </c>
      <c r="R733" t="str">
        <f>IF(AMAZON_FASHION_5__2[[#This Row],[overall]]&gt;=4,"Positive",IF(AMAZON_FASHION_5__2[[#This Row],[overall]]&lt;=2,"Negative","Neutral"))</f>
        <v>Positive</v>
      </c>
      <c r="S7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34" spans="1:19" x14ac:dyDescent="0.25">
      <c r="A734">
        <v>5</v>
      </c>
      <c r="B734" t="b">
        <v>1</v>
      </c>
      <c r="C734" s="1">
        <v>42807</v>
      </c>
      <c r="D734">
        <f>YEAR(AMAZON_FASHION_5__2[[#This Row],[reviewDate]])</f>
        <v>2017</v>
      </c>
      <c r="E734" s="1" t="str">
        <f>TEXT(AMAZON_FASHION_5__2[[#This Row],[reviewDate]], "mmmm")</f>
        <v>March</v>
      </c>
      <c r="F734" t="s">
        <v>981</v>
      </c>
      <c r="G734" t="s">
        <v>1445</v>
      </c>
      <c r="H734" t="s">
        <v>210</v>
      </c>
      <c r="I734" t="s">
        <v>524</v>
      </c>
      <c r="J734" t="s">
        <v>982</v>
      </c>
      <c r="K734" t="s">
        <v>983</v>
      </c>
      <c r="L734" t="s">
        <v>984</v>
      </c>
      <c r="M734">
        <v>1489363200</v>
      </c>
      <c r="N734" t="s">
        <v>1628</v>
      </c>
      <c r="O734" t="s">
        <v>1628</v>
      </c>
      <c r="P734" t="s">
        <v>1628</v>
      </c>
      <c r="Q734">
        <f>LEN(AMAZON_FASHION_5__2[[#This Row],[reviewText]])</f>
        <v>297</v>
      </c>
      <c r="R734" t="str">
        <f>IF(AMAZON_FASHION_5__2[[#This Row],[overall]]&gt;=4,"Positive",IF(AMAZON_FASHION_5__2[[#This Row],[overall]]&lt;=2,"Negative","Neutral"))</f>
        <v>Positive</v>
      </c>
      <c r="S7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35" spans="1:19" x14ac:dyDescent="0.25">
      <c r="A735">
        <v>5</v>
      </c>
      <c r="B735" t="b">
        <v>1</v>
      </c>
      <c r="C735" s="1">
        <v>42806</v>
      </c>
      <c r="D735">
        <f>YEAR(AMAZON_FASHION_5__2[[#This Row],[reviewDate]])</f>
        <v>2017</v>
      </c>
      <c r="E735" s="1" t="str">
        <f>TEXT(AMAZON_FASHION_5__2[[#This Row],[reviewDate]], "mmmm")</f>
        <v>March</v>
      </c>
      <c r="F735" t="s">
        <v>985</v>
      </c>
      <c r="G735" t="s">
        <v>1445</v>
      </c>
      <c r="H735" t="s">
        <v>235</v>
      </c>
      <c r="I735" t="s">
        <v>198</v>
      </c>
      <c r="J735" t="s">
        <v>986</v>
      </c>
      <c r="K735" t="s">
        <v>987</v>
      </c>
      <c r="L735" t="s">
        <v>988</v>
      </c>
      <c r="M735">
        <v>1489276800</v>
      </c>
      <c r="N735" t="s">
        <v>1628</v>
      </c>
      <c r="O735" t="s">
        <v>1628</v>
      </c>
      <c r="P735" t="s">
        <v>1628</v>
      </c>
      <c r="Q735">
        <f>LEN(AMAZON_FASHION_5__2[[#This Row],[reviewText]])</f>
        <v>81</v>
      </c>
      <c r="R735" t="str">
        <f>IF(AMAZON_FASHION_5__2[[#This Row],[overall]]&gt;=4,"Positive",IF(AMAZON_FASHION_5__2[[#This Row],[overall]]&lt;=2,"Negative","Neutral"))</f>
        <v>Positive</v>
      </c>
      <c r="S7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36" spans="1:19" x14ac:dyDescent="0.25">
      <c r="A736">
        <v>5</v>
      </c>
      <c r="B736" t="b">
        <v>1</v>
      </c>
      <c r="C736" s="1">
        <v>42802</v>
      </c>
      <c r="D736">
        <f>YEAR(AMAZON_FASHION_5__2[[#This Row],[reviewDate]])</f>
        <v>2017</v>
      </c>
      <c r="E736" s="1" t="str">
        <f>TEXT(AMAZON_FASHION_5__2[[#This Row],[reviewDate]], "mmmm")</f>
        <v>March</v>
      </c>
      <c r="F736" t="s">
        <v>989</v>
      </c>
      <c r="G736" t="s">
        <v>1445</v>
      </c>
      <c r="H736" t="s">
        <v>477</v>
      </c>
      <c r="I736" t="s">
        <v>198</v>
      </c>
      <c r="J736" t="s">
        <v>990</v>
      </c>
      <c r="K736" t="s">
        <v>991</v>
      </c>
      <c r="L736" t="s">
        <v>17</v>
      </c>
      <c r="M736">
        <v>1488931200</v>
      </c>
      <c r="N736" t="s">
        <v>1628</v>
      </c>
      <c r="O736" t="s">
        <v>1628</v>
      </c>
      <c r="P736" t="s">
        <v>1628</v>
      </c>
      <c r="Q736">
        <f>LEN(AMAZON_FASHION_5__2[[#This Row],[reviewText]])</f>
        <v>13</v>
      </c>
      <c r="R736" t="str">
        <f>IF(AMAZON_FASHION_5__2[[#This Row],[overall]]&gt;=4,"Positive",IF(AMAZON_FASHION_5__2[[#This Row],[overall]]&lt;=2,"Negative","Neutral"))</f>
        <v>Positive</v>
      </c>
      <c r="S7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37" spans="1:19" x14ac:dyDescent="0.25">
      <c r="A737">
        <v>4</v>
      </c>
      <c r="B737" t="b">
        <v>1</v>
      </c>
      <c r="C737" s="1">
        <v>42802</v>
      </c>
      <c r="D737">
        <f>YEAR(AMAZON_FASHION_5__2[[#This Row],[reviewDate]])</f>
        <v>2017</v>
      </c>
      <c r="E737" s="1" t="str">
        <f>TEXT(AMAZON_FASHION_5__2[[#This Row],[reviewDate]], "mmmm")</f>
        <v>March</v>
      </c>
      <c r="F737" t="s">
        <v>992</v>
      </c>
      <c r="G737" t="s">
        <v>1445</v>
      </c>
      <c r="H737" t="s">
        <v>205</v>
      </c>
      <c r="I737" t="s">
        <v>827</v>
      </c>
      <c r="J737" t="s">
        <v>63</v>
      </c>
      <c r="K737" t="s">
        <v>993</v>
      </c>
      <c r="L737" t="s">
        <v>994</v>
      </c>
      <c r="M737">
        <v>1488931200</v>
      </c>
      <c r="N737" t="s">
        <v>1628</v>
      </c>
      <c r="O737" t="s">
        <v>1628</v>
      </c>
      <c r="P737" t="s">
        <v>1628</v>
      </c>
      <c r="Q737">
        <f>LEN(AMAZON_FASHION_5__2[[#This Row],[reviewText]])</f>
        <v>182</v>
      </c>
      <c r="R737" t="str">
        <f>IF(AMAZON_FASHION_5__2[[#This Row],[overall]]&gt;=4,"Positive",IF(AMAZON_FASHION_5__2[[#This Row],[overall]]&lt;=2,"Negative","Neutral"))</f>
        <v>Positive</v>
      </c>
      <c r="S7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38" spans="1:19" x14ac:dyDescent="0.25">
      <c r="A738">
        <v>4</v>
      </c>
      <c r="B738" t="b">
        <v>1</v>
      </c>
      <c r="C738" s="1">
        <v>42802</v>
      </c>
      <c r="D738">
        <f>YEAR(AMAZON_FASHION_5__2[[#This Row],[reviewDate]])</f>
        <v>2017</v>
      </c>
      <c r="E738" s="1" t="str">
        <f>TEXT(AMAZON_FASHION_5__2[[#This Row],[reviewDate]], "mmmm")</f>
        <v>March</v>
      </c>
      <c r="F738" t="s">
        <v>992</v>
      </c>
      <c r="G738" t="s">
        <v>1445</v>
      </c>
      <c r="H738" t="s">
        <v>205</v>
      </c>
      <c r="I738" t="s">
        <v>344</v>
      </c>
      <c r="J738" t="s">
        <v>63</v>
      </c>
      <c r="K738" t="s">
        <v>993</v>
      </c>
      <c r="L738" t="s">
        <v>994</v>
      </c>
      <c r="M738">
        <v>1488931200</v>
      </c>
      <c r="N738" t="s">
        <v>1628</v>
      </c>
      <c r="O738" t="s">
        <v>1628</v>
      </c>
      <c r="P738" t="s">
        <v>1628</v>
      </c>
      <c r="Q738">
        <f>LEN(AMAZON_FASHION_5__2[[#This Row],[reviewText]])</f>
        <v>182</v>
      </c>
      <c r="R738" t="str">
        <f>IF(AMAZON_FASHION_5__2[[#This Row],[overall]]&gt;=4,"Positive",IF(AMAZON_FASHION_5__2[[#This Row],[overall]]&lt;=2,"Negative","Neutral"))</f>
        <v>Positive</v>
      </c>
      <c r="S7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39" spans="1:19" x14ac:dyDescent="0.25">
      <c r="A739">
        <v>5</v>
      </c>
      <c r="B739" t="b">
        <v>1</v>
      </c>
      <c r="C739" s="1">
        <v>42800</v>
      </c>
      <c r="D739">
        <f>YEAR(AMAZON_FASHION_5__2[[#This Row],[reviewDate]])</f>
        <v>2017</v>
      </c>
      <c r="E739" s="1" t="str">
        <f>TEXT(AMAZON_FASHION_5__2[[#This Row],[reviewDate]], "mmmm")</f>
        <v>March</v>
      </c>
      <c r="F739" t="s">
        <v>995</v>
      </c>
      <c r="G739" t="s">
        <v>1445</v>
      </c>
      <c r="H739" t="s">
        <v>230</v>
      </c>
      <c r="I739" t="s">
        <v>198</v>
      </c>
      <c r="J739" t="s">
        <v>996</v>
      </c>
      <c r="K739" t="s">
        <v>997</v>
      </c>
      <c r="L739" t="s">
        <v>17</v>
      </c>
      <c r="M739">
        <v>1488758400</v>
      </c>
      <c r="N739" t="s">
        <v>1628</v>
      </c>
      <c r="O739" t="s">
        <v>1628</v>
      </c>
      <c r="P739" t="s">
        <v>1628</v>
      </c>
      <c r="Q739">
        <f>LEN(AMAZON_FASHION_5__2[[#This Row],[reviewText]])</f>
        <v>10</v>
      </c>
      <c r="R739" t="str">
        <f>IF(AMAZON_FASHION_5__2[[#This Row],[overall]]&gt;=4,"Positive",IF(AMAZON_FASHION_5__2[[#This Row],[overall]]&lt;=2,"Negative","Neutral"))</f>
        <v>Positive</v>
      </c>
      <c r="S7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40" spans="1:19" x14ac:dyDescent="0.25">
      <c r="A740">
        <v>5</v>
      </c>
      <c r="B740" t="b">
        <v>0</v>
      </c>
      <c r="C740" s="1">
        <v>42792</v>
      </c>
      <c r="D740">
        <f>YEAR(AMAZON_FASHION_5__2[[#This Row],[reviewDate]])</f>
        <v>2017</v>
      </c>
      <c r="E740" s="1" t="str">
        <f>TEXT(AMAZON_FASHION_5__2[[#This Row],[reviewDate]], "mmmm")</f>
        <v>February</v>
      </c>
      <c r="F740" t="s">
        <v>998</v>
      </c>
      <c r="G740" t="s">
        <v>1445</v>
      </c>
      <c r="H740" t="s">
        <v>261</v>
      </c>
      <c r="I740" t="s">
        <v>1455</v>
      </c>
      <c r="J740" t="s">
        <v>999</v>
      </c>
      <c r="K740" t="s">
        <v>1000</v>
      </c>
      <c r="L740" t="s">
        <v>1001</v>
      </c>
      <c r="M740">
        <v>1488067200</v>
      </c>
      <c r="N740" t="s">
        <v>1628</v>
      </c>
      <c r="O740" t="s">
        <v>1628</v>
      </c>
      <c r="P740" t="s">
        <v>1628</v>
      </c>
      <c r="Q740">
        <f>LEN(AMAZON_FASHION_5__2[[#This Row],[reviewText]])</f>
        <v>206</v>
      </c>
      <c r="R740" t="str">
        <f>IF(AMAZON_FASHION_5__2[[#This Row],[overall]]&gt;=4,"Positive",IF(AMAZON_FASHION_5__2[[#This Row],[overall]]&lt;=2,"Negative","Neutral"))</f>
        <v>Positive</v>
      </c>
      <c r="S7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41" spans="1:19" x14ac:dyDescent="0.25">
      <c r="A741">
        <v>4</v>
      </c>
      <c r="B741" t="b">
        <v>1</v>
      </c>
      <c r="C741" s="1">
        <v>42790</v>
      </c>
      <c r="D741">
        <f>YEAR(AMAZON_FASHION_5__2[[#This Row],[reviewDate]])</f>
        <v>2017</v>
      </c>
      <c r="E741" s="1" t="str">
        <f>TEXT(AMAZON_FASHION_5__2[[#This Row],[reviewDate]], "mmmm")</f>
        <v>February</v>
      </c>
      <c r="F741" t="s">
        <v>1002</v>
      </c>
      <c r="G741" t="s">
        <v>1445</v>
      </c>
      <c r="H741" t="s">
        <v>197</v>
      </c>
      <c r="I741" t="s">
        <v>198</v>
      </c>
      <c r="J741" t="s">
        <v>1003</v>
      </c>
      <c r="K741" t="s">
        <v>1004</v>
      </c>
      <c r="L741" t="s">
        <v>1005</v>
      </c>
      <c r="M741">
        <v>1487894400</v>
      </c>
      <c r="N741" t="s">
        <v>1628</v>
      </c>
      <c r="O741" t="s">
        <v>1628</v>
      </c>
      <c r="P741" t="s">
        <v>1628</v>
      </c>
      <c r="Q741">
        <f>LEN(AMAZON_FASHION_5__2[[#This Row],[reviewText]])</f>
        <v>171</v>
      </c>
      <c r="R741" t="str">
        <f>IF(AMAZON_FASHION_5__2[[#This Row],[overall]]&gt;=4,"Positive",IF(AMAZON_FASHION_5__2[[#This Row],[overall]]&lt;=2,"Negative","Neutral"))</f>
        <v>Positive</v>
      </c>
      <c r="S7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42" spans="1:19" x14ac:dyDescent="0.25">
      <c r="A742">
        <v>5</v>
      </c>
      <c r="B742" t="b">
        <v>1</v>
      </c>
      <c r="C742" s="1">
        <v>42790</v>
      </c>
      <c r="D742">
        <f>YEAR(AMAZON_FASHION_5__2[[#This Row],[reviewDate]])</f>
        <v>2017</v>
      </c>
      <c r="E742" s="1" t="str">
        <f>TEXT(AMAZON_FASHION_5__2[[#This Row],[reviewDate]], "mmmm")</f>
        <v>February</v>
      </c>
      <c r="F742" t="s">
        <v>1006</v>
      </c>
      <c r="G742" t="s">
        <v>1445</v>
      </c>
      <c r="H742" t="s">
        <v>197</v>
      </c>
      <c r="I742" t="s">
        <v>198</v>
      </c>
      <c r="J742" t="s">
        <v>1007</v>
      </c>
      <c r="K742" t="s">
        <v>1008</v>
      </c>
      <c r="L742" t="s">
        <v>17</v>
      </c>
      <c r="M742">
        <v>1487894400</v>
      </c>
      <c r="N742" t="s">
        <v>1628</v>
      </c>
      <c r="O742" t="s">
        <v>1628</v>
      </c>
      <c r="P742" t="s">
        <v>1628</v>
      </c>
      <c r="Q742">
        <f>LEN(AMAZON_FASHION_5__2[[#This Row],[reviewText]])</f>
        <v>12</v>
      </c>
      <c r="R742" t="str">
        <f>IF(AMAZON_FASHION_5__2[[#This Row],[overall]]&gt;=4,"Positive",IF(AMAZON_FASHION_5__2[[#This Row],[overall]]&lt;=2,"Negative","Neutral"))</f>
        <v>Positive</v>
      </c>
      <c r="S7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43" spans="1:19" x14ac:dyDescent="0.25">
      <c r="A743">
        <v>4</v>
      </c>
      <c r="B743" t="b">
        <v>1</v>
      </c>
      <c r="C743" s="1">
        <v>42787</v>
      </c>
      <c r="D743">
        <f>YEAR(AMAZON_FASHION_5__2[[#This Row],[reviewDate]])</f>
        <v>2017</v>
      </c>
      <c r="E743" s="1" t="str">
        <f>TEXT(AMAZON_FASHION_5__2[[#This Row],[reviewDate]], "mmmm")</f>
        <v>February</v>
      </c>
      <c r="F743" t="s">
        <v>1009</v>
      </c>
      <c r="G743" t="s">
        <v>1445</v>
      </c>
      <c r="H743" t="s">
        <v>201</v>
      </c>
      <c r="I743" t="s">
        <v>642</v>
      </c>
      <c r="J743" t="s">
        <v>1010</v>
      </c>
      <c r="K743" t="s">
        <v>1011</v>
      </c>
      <c r="L743" t="s">
        <v>1012</v>
      </c>
      <c r="M743">
        <v>1487635200</v>
      </c>
      <c r="N743" t="s">
        <v>1628</v>
      </c>
      <c r="O743" t="s">
        <v>1628</v>
      </c>
      <c r="P743" t="s">
        <v>1628</v>
      </c>
      <c r="Q743">
        <f>LEN(AMAZON_FASHION_5__2[[#This Row],[reviewText]])</f>
        <v>126</v>
      </c>
      <c r="R743" t="str">
        <f>IF(AMAZON_FASHION_5__2[[#This Row],[overall]]&gt;=4,"Positive",IF(AMAZON_FASHION_5__2[[#This Row],[overall]]&lt;=2,"Negative","Neutral"))</f>
        <v>Positive</v>
      </c>
      <c r="S7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44" spans="1:19" x14ac:dyDescent="0.25">
      <c r="A744">
        <v>5</v>
      </c>
      <c r="B744" t="b">
        <v>1</v>
      </c>
      <c r="C744" s="1">
        <v>42787</v>
      </c>
      <c r="D744">
        <f>YEAR(AMAZON_FASHION_5__2[[#This Row],[reviewDate]])</f>
        <v>2017</v>
      </c>
      <c r="E744" s="1" t="str">
        <f>TEXT(AMAZON_FASHION_5__2[[#This Row],[reviewDate]], "mmmm")</f>
        <v>February</v>
      </c>
      <c r="F744" t="s">
        <v>1013</v>
      </c>
      <c r="G744" t="s">
        <v>1445</v>
      </c>
      <c r="H744" t="s">
        <v>210</v>
      </c>
      <c r="I744" t="s">
        <v>198</v>
      </c>
      <c r="J744" t="s">
        <v>1014</v>
      </c>
      <c r="K744" t="s">
        <v>1015</v>
      </c>
      <c r="L744" t="s">
        <v>17</v>
      </c>
      <c r="M744">
        <v>1487635200</v>
      </c>
      <c r="N744" t="s">
        <v>1628</v>
      </c>
      <c r="O744" t="s">
        <v>1628</v>
      </c>
      <c r="P744" t="s">
        <v>1628</v>
      </c>
      <c r="Q744">
        <f>LEN(AMAZON_FASHION_5__2[[#This Row],[reviewText]])</f>
        <v>56</v>
      </c>
      <c r="R744" t="str">
        <f>IF(AMAZON_FASHION_5__2[[#This Row],[overall]]&gt;=4,"Positive",IF(AMAZON_FASHION_5__2[[#This Row],[overall]]&lt;=2,"Negative","Neutral"))</f>
        <v>Positive</v>
      </c>
      <c r="S7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45" spans="1:19" x14ac:dyDescent="0.25">
      <c r="A745">
        <v>3</v>
      </c>
      <c r="B745" t="b">
        <v>1</v>
      </c>
      <c r="C745" s="1">
        <v>42782</v>
      </c>
      <c r="D745">
        <f>YEAR(AMAZON_FASHION_5__2[[#This Row],[reviewDate]])</f>
        <v>2017</v>
      </c>
      <c r="E745" s="1" t="str">
        <f>TEXT(AMAZON_FASHION_5__2[[#This Row],[reviewDate]], "mmmm")</f>
        <v>February</v>
      </c>
      <c r="F745" t="s">
        <v>1016</v>
      </c>
      <c r="G745" t="s">
        <v>1445</v>
      </c>
      <c r="H745" t="s">
        <v>197</v>
      </c>
      <c r="I745" t="s">
        <v>524</v>
      </c>
      <c r="J745" t="s">
        <v>63</v>
      </c>
      <c r="K745" t="s">
        <v>1017</v>
      </c>
      <c r="L745" t="s">
        <v>1018</v>
      </c>
      <c r="M745">
        <v>1487203200</v>
      </c>
      <c r="N745" t="s">
        <v>1628</v>
      </c>
      <c r="O745" t="s">
        <v>1628</v>
      </c>
      <c r="P745" t="s">
        <v>1628</v>
      </c>
      <c r="Q745">
        <f>LEN(AMAZON_FASHION_5__2[[#This Row],[reviewText]])</f>
        <v>198</v>
      </c>
      <c r="R745" t="str">
        <f>IF(AMAZON_FASHION_5__2[[#This Row],[overall]]&gt;=4,"Positive",IF(AMAZON_FASHION_5__2[[#This Row],[overall]]&lt;=2,"Negative","Neutral"))</f>
        <v>Neutral</v>
      </c>
      <c r="S7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46" spans="1:19" x14ac:dyDescent="0.25">
      <c r="A746">
        <v>5</v>
      </c>
      <c r="B746" t="b">
        <v>1</v>
      </c>
      <c r="C746" s="1">
        <v>42781</v>
      </c>
      <c r="D746">
        <f>YEAR(AMAZON_FASHION_5__2[[#This Row],[reviewDate]])</f>
        <v>2017</v>
      </c>
      <c r="E746" s="1" t="str">
        <f>TEXT(AMAZON_FASHION_5__2[[#This Row],[reviewDate]], "mmmm")</f>
        <v>February</v>
      </c>
      <c r="F746" t="s">
        <v>1019</v>
      </c>
      <c r="G746" t="s">
        <v>1445</v>
      </c>
      <c r="H746" t="s">
        <v>235</v>
      </c>
      <c r="I746" t="s">
        <v>827</v>
      </c>
      <c r="J746" t="s">
        <v>1020</v>
      </c>
      <c r="K746" t="s">
        <v>1021</v>
      </c>
      <c r="L746" t="s">
        <v>1022</v>
      </c>
      <c r="M746">
        <v>1487116800</v>
      </c>
      <c r="N746" t="s">
        <v>1628</v>
      </c>
      <c r="O746" t="s">
        <v>1628</v>
      </c>
      <c r="P746">
        <v>5</v>
      </c>
      <c r="Q746">
        <f>LEN(AMAZON_FASHION_5__2[[#This Row],[reviewText]])</f>
        <v>388</v>
      </c>
      <c r="R746" t="str">
        <f>IF(AMAZON_FASHION_5__2[[#This Row],[overall]]&gt;=4,"Positive",IF(AMAZON_FASHION_5__2[[#This Row],[overall]]&lt;=2,"Negative","Neutral"))</f>
        <v>Positive</v>
      </c>
      <c r="S7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47" spans="1:19" x14ac:dyDescent="0.25">
      <c r="A747">
        <v>5</v>
      </c>
      <c r="B747" t="b">
        <v>1</v>
      </c>
      <c r="C747" s="1">
        <v>42779</v>
      </c>
      <c r="D747">
        <f>YEAR(AMAZON_FASHION_5__2[[#This Row],[reviewDate]])</f>
        <v>2017</v>
      </c>
      <c r="E747" s="1" t="str">
        <f>TEXT(AMAZON_FASHION_5__2[[#This Row],[reviewDate]], "mmmm")</f>
        <v>February</v>
      </c>
      <c r="F747" t="s">
        <v>1023</v>
      </c>
      <c r="G747" t="s">
        <v>1445</v>
      </c>
      <c r="H747" t="s">
        <v>205</v>
      </c>
      <c r="I747" t="s">
        <v>198</v>
      </c>
      <c r="J747" t="s">
        <v>1024</v>
      </c>
      <c r="K747" t="s">
        <v>1025</v>
      </c>
      <c r="L747" t="s">
        <v>1026</v>
      </c>
      <c r="M747">
        <v>1486944000</v>
      </c>
      <c r="N747" t="s">
        <v>1628</v>
      </c>
      <c r="O747" t="s">
        <v>1628</v>
      </c>
      <c r="P747" t="s">
        <v>1628</v>
      </c>
      <c r="Q747">
        <f>LEN(AMAZON_FASHION_5__2[[#This Row],[reviewText]])</f>
        <v>87</v>
      </c>
      <c r="R747" t="str">
        <f>IF(AMAZON_FASHION_5__2[[#This Row],[overall]]&gt;=4,"Positive",IF(AMAZON_FASHION_5__2[[#This Row],[overall]]&lt;=2,"Negative","Neutral"))</f>
        <v>Positive</v>
      </c>
      <c r="S7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48" spans="1:19" x14ac:dyDescent="0.25">
      <c r="A748">
        <v>5</v>
      </c>
      <c r="B748" t="b">
        <v>1</v>
      </c>
      <c r="C748" s="1">
        <v>42778</v>
      </c>
      <c r="D748">
        <f>YEAR(AMAZON_FASHION_5__2[[#This Row],[reviewDate]])</f>
        <v>2017</v>
      </c>
      <c r="E748" s="1" t="str">
        <f>TEXT(AMAZON_FASHION_5__2[[#This Row],[reviewDate]], "mmmm")</f>
        <v>February</v>
      </c>
      <c r="F748" t="s">
        <v>1027</v>
      </c>
      <c r="G748" t="s">
        <v>1445</v>
      </c>
      <c r="H748" t="s">
        <v>201</v>
      </c>
      <c r="I748" t="s">
        <v>198</v>
      </c>
      <c r="J748" t="s">
        <v>1028</v>
      </c>
      <c r="K748" t="s">
        <v>1029</v>
      </c>
      <c r="L748" t="s">
        <v>1030</v>
      </c>
      <c r="M748">
        <v>1486857600</v>
      </c>
      <c r="N748" t="s">
        <v>1628</v>
      </c>
      <c r="O748" t="s">
        <v>1628</v>
      </c>
      <c r="P748" t="s">
        <v>1628</v>
      </c>
      <c r="Q748">
        <f>LEN(AMAZON_FASHION_5__2[[#This Row],[reviewText]])</f>
        <v>140</v>
      </c>
      <c r="R748" t="str">
        <f>IF(AMAZON_FASHION_5__2[[#This Row],[overall]]&gt;=4,"Positive",IF(AMAZON_FASHION_5__2[[#This Row],[overall]]&lt;=2,"Negative","Neutral"))</f>
        <v>Positive</v>
      </c>
      <c r="S7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49" spans="1:19" x14ac:dyDescent="0.25">
      <c r="A749">
        <v>5</v>
      </c>
      <c r="B749" t="b">
        <v>1</v>
      </c>
      <c r="C749" s="1">
        <v>42777</v>
      </c>
      <c r="D749">
        <f>YEAR(AMAZON_FASHION_5__2[[#This Row],[reviewDate]])</f>
        <v>2017</v>
      </c>
      <c r="E749" s="1" t="str">
        <f>TEXT(AMAZON_FASHION_5__2[[#This Row],[reviewDate]], "mmmm")</f>
        <v>February</v>
      </c>
      <c r="F749" t="s">
        <v>1031</v>
      </c>
      <c r="G749" t="s">
        <v>1445</v>
      </c>
      <c r="H749" t="s">
        <v>320</v>
      </c>
      <c r="I749" t="s">
        <v>198</v>
      </c>
      <c r="J749" t="s">
        <v>1032</v>
      </c>
      <c r="K749" t="s">
        <v>1033</v>
      </c>
      <c r="L749" t="s">
        <v>17</v>
      </c>
      <c r="M749">
        <v>1486771200</v>
      </c>
      <c r="N749" t="s">
        <v>1628</v>
      </c>
      <c r="O749" t="s">
        <v>1628</v>
      </c>
      <c r="P749" t="s">
        <v>1628</v>
      </c>
      <c r="Q749">
        <f>LEN(AMAZON_FASHION_5__2[[#This Row],[reviewText]])</f>
        <v>28</v>
      </c>
      <c r="R749" t="str">
        <f>IF(AMAZON_FASHION_5__2[[#This Row],[overall]]&gt;=4,"Positive",IF(AMAZON_FASHION_5__2[[#This Row],[overall]]&lt;=2,"Negative","Neutral"))</f>
        <v>Positive</v>
      </c>
      <c r="S7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50" spans="1:19" x14ac:dyDescent="0.25">
      <c r="A750">
        <v>4</v>
      </c>
      <c r="B750" t="b">
        <v>1</v>
      </c>
      <c r="C750" s="1">
        <v>42774</v>
      </c>
      <c r="D750">
        <f>YEAR(AMAZON_FASHION_5__2[[#This Row],[reviewDate]])</f>
        <v>2017</v>
      </c>
      <c r="E750" s="1" t="str">
        <f>TEXT(AMAZON_FASHION_5__2[[#This Row],[reviewDate]], "mmmm")</f>
        <v>February</v>
      </c>
      <c r="F750" t="s">
        <v>1034</v>
      </c>
      <c r="G750" t="s">
        <v>1445</v>
      </c>
      <c r="H750" t="s">
        <v>201</v>
      </c>
      <c r="I750" t="s">
        <v>827</v>
      </c>
      <c r="J750" t="s">
        <v>1035</v>
      </c>
      <c r="K750" t="s">
        <v>1036</v>
      </c>
      <c r="L750" t="s">
        <v>1037</v>
      </c>
      <c r="M750">
        <v>1486512000</v>
      </c>
      <c r="N750" t="s">
        <v>1628</v>
      </c>
      <c r="O750" t="s">
        <v>1628</v>
      </c>
      <c r="P750">
        <v>4</v>
      </c>
      <c r="Q750">
        <f>LEN(AMAZON_FASHION_5__2[[#This Row],[reviewText]])</f>
        <v>570</v>
      </c>
      <c r="R750" t="str">
        <f>IF(AMAZON_FASHION_5__2[[#This Row],[overall]]&gt;=4,"Positive",IF(AMAZON_FASHION_5__2[[#This Row],[overall]]&lt;=2,"Negative","Neutral"))</f>
        <v>Positive</v>
      </c>
      <c r="S7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51" spans="1:19" x14ac:dyDescent="0.25">
      <c r="A751">
        <v>4</v>
      </c>
      <c r="B751" t="b">
        <v>1</v>
      </c>
      <c r="C751" s="1">
        <v>42772</v>
      </c>
      <c r="D751">
        <f>YEAR(AMAZON_FASHION_5__2[[#This Row],[reviewDate]])</f>
        <v>2017</v>
      </c>
      <c r="E751" s="1" t="str">
        <f>TEXT(AMAZON_FASHION_5__2[[#This Row],[reviewDate]], "mmmm")</f>
        <v>February</v>
      </c>
      <c r="F751" t="s">
        <v>1038</v>
      </c>
      <c r="G751" t="s">
        <v>1445</v>
      </c>
      <c r="H751" t="s">
        <v>201</v>
      </c>
      <c r="I751" t="s">
        <v>236</v>
      </c>
      <c r="J751" t="s">
        <v>1039</v>
      </c>
      <c r="K751" t="s">
        <v>1040</v>
      </c>
      <c r="L751" t="s">
        <v>1041</v>
      </c>
      <c r="M751">
        <v>1486339200</v>
      </c>
      <c r="N751" t="s">
        <v>1628</v>
      </c>
      <c r="O751" t="s">
        <v>1628</v>
      </c>
      <c r="P751" t="s">
        <v>1628</v>
      </c>
      <c r="Q751">
        <f>LEN(AMAZON_FASHION_5__2[[#This Row],[reviewText]])</f>
        <v>316</v>
      </c>
      <c r="R751" t="str">
        <f>IF(AMAZON_FASHION_5__2[[#This Row],[overall]]&gt;=4,"Positive",IF(AMAZON_FASHION_5__2[[#This Row],[overall]]&lt;=2,"Negative","Neutral"))</f>
        <v>Positive</v>
      </c>
      <c r="S7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52" spans="1:19" x14ac:dyDescent="0.25">
      <c r="A752">
        <v>2</v>
      </c>
      <c r="B752" t="b">
        <v>1</v>
      </c>
      <c r="C752" s="1">
        <v>42768</v>
      </c>
      <c r="D752">
        <f>YEAR(AMAZON_FASHION_5__2[[#This Row],[reviewDate]])</f>
        <v>2017</v>
      </c>
      <c r="E752" s="1" t="str">
        <f>TEXT(AMAZON_FASHION_5__2[[#This Row],[reviewDate]], "mmmm")</f>
        <v>February</v>
      </c>
      <c r="F752" t="s">
        <v>1042</v>
      </c>
      <c r="G752" t="s">
        <v>1445</v>
      </c>
      <c r="H752" t="s">
        <v>205</v>
      </c>
      <c r="I752" t="s">
        <v>344</v>
      </c>
      <c r="J752" t="s">
        <v>63</v>
      </c>
      <c r="K752" t="s">
        <v>1043</v>
      </c>
      <c r="L752" t="s">
        <v>1044</v>
      </c>
      <c r="M752">
        <v>1485993600</v>
      </c>
      <c r="N752" t="s">
        <v>1628</v>
      </c>
      <c r="O752" t="s">
        <v>1628</v>
      </c>
      <c r="P752" t="s">
        <v>1628</v>
      </c>
      <c r="Q752">
        <f>LEN(AMAZON_FASHION_5__2[[#This Row],[reviewText]])</f>
        <v>107</v>
      </c>
      <c r="R752" t="str">
        <f>IF(AMAZON_FASHION_5__2[[#This Row],[overall]]&gt;=4,"Positive",IF(AMAZON_FASHION_5__2[[#This Row],[overall]]&lt;=2,"Negative","Neutral"))</f>
        <v>Negative</v>
      </c>
      <c r="S7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53" spans="1:19" x14ac:dyDescent="0.25">
      <c r="A753">
        <v>5</v>
      </c>
      <c r="B753" t="b">
        <v>1</v>
      </c>
      <c r="C753" s="1">
        <v>42767</v>
      </c>
      <c r="D753">
        <f>YEAR(AMAZON_FASHION_5__2[[#This Row],[reviewDate]])</f>
        <v>2017</v>
      </c>
      <c r="E753" s="1" t="str">
        <f>TEXT(AMAZON_FASHION_5__2[[#This Row],[reviewDate]], "mmmm")</f>
        <v>February</v>
      </c>
      <c r="F753" t="s">
        <v>158</v>
      </c>
      <c r="G753" t="s">
        <v>1445</v>
      </c>
      <c r="H753" t="s">
        <v>320</v>
      </c>
      <c r="I753" t="s">
        <v>198</v>
      </c>
      <c r="J753" t="s">
        <v>160</v>
      </c>
      <c r="K753" t="s">
        <v>1045</v>
      </c>
      <c r="L753" t="s">
        <v>1046</v>
      </c>
      <c r="M753">
        <v>1485907200</v>
      </c>
      <c r="N753" t="s">
        <v>1628</v>
      </c>
      <c r="O753" t="s">
        <v>1628</v>
      </c>
      <c r="P753" t="s">
        <v>1628</v>
      </c>
      <c r="Q753">
        <f>LEN(AMAZON_FASHION_5__2[[#This Row],[reviewText]])</f>
        <v>122</v>
      </c>
      <c r="R753" t="str">
        <f>IF(AMAZON_FASHION_5__2[[#This Row],[overall]]&gt;=4,"Positive",IF(AMAZON_FASHION_5__2[[#This Row],[overall]]&lt;=2,"Negative","Neutral"))</f>
        <v>Positive</v>
      </c>
      <c r="S7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54" spans="1:19" x14ac:dyDescent="0.25">
      <c r="A754">
        <v>3</v>
      </c>
      <c r="B754" t="b">
        <v>1</v>
      </c>
      <c r="C754" s="1">
        <v>42766</v>
      </c>
      <c r="D754">
        <f>YEAR(AMAZON_FASHION_5__2[[#This Row],[reviewDate]])</f>
        <v>2017</v>
      </c>
      <c r="E754" s="1" t="str">
        <f>TEXT(AMAZON_FASHION_5__2[[#This Row],[reviewDate]], "mmmm")</f>
        <v>January</v>
      </c>
      <c r="F754" t="s">
        <v>1047</v>
      </c>
      <c r="G754" t="s">
        <v>1445</v>
      </c>
      <c r="H754" t="s">
        <v>235</v>
      </c>
      <c r="I754" t="s">
        <v>419</v>
      </c>
      <c r="J754" t="s">
        <v>1048</v>
      </c>
      <c r="K754" t="s">
        <v>1049</v>
      </c>
      <c r="L754" t="s">
        <v>101</v>
      </c>
      <c r="M754">
        <v>1485820800</v>
      </c>
      <c r="N754" t="s">
        <v>1628</v>
      </c>
      <c r="O754" t="s">
        <v>1628</v>
      </c>
      <c r="P754">
        <v>3</v>
      </c>
      <c r="Q754">
        <f>LEN(AMAZON_FASHION_5__2[[#This Row],[reviewText]])</f>
        <v>7</v>
      </c>
      <c r="R754" t="str">
        <f>IF(AMAZON_FASHION_5__2[[#This Row],[overall]]&gt;=4,"Positive",IF(AMAZON_FASHION_5__2[[#This Row],[overall]]&lt;=2,"Negative","Neutral"))</f>
        <v>Neutral</v>
      </c>
      <c r="S7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55" spans="1:19" x14ac:dyDescent="0.25">
      <c r="A755">
        <v>5</v>
      </c>
      <c r="B755" t="b">
        <v>1</v>
      </c>
      <c r="C755" s="1">
        <v>42760</v>
      </c>
      <c r="D755">
        <f>YEAR(AMAZON_FASHION_5__2[[#This Row],[reviewDate]])</f>
        <v>2017</v>
      </c>
      <c r="E755" s="1" t="str">
        <f>TEXT(AMAZON_FASHION_5__2[[#This Row],[reviewDate]], "mmmm")</f>
        <v>January</v>
      </c>
      <c r="F755" t="s">
        <v>1050</v>
      </c>
      <c r="G755" t="s">
        <v>1445</v>
      </c>
      <c r="H755" t="s">
        <v>197</v>
      </c>
      <c r="I755" t="s">
        <v>524</v>
      </c>
      <c r="J755" t="s">
        <v>63</v>
      </c>
      <c r="K755" t="s">
        <v>1051</v>
      </c>
      <c r="L755" t="s">
        <v>1052</v>
      </c>
      <c r="M755">
        <v>1485302400</v>
      </c>
      <c r="N755" t="s">
        <v>1628</v>
      </c>
      <c r="O755" t="s">
        <v>1628</v>
      </c>
      <c r="P755" t="s">
        <v>1628</v>
      </c>
      <c r="Q755">
        <f>LEN(AMAZON_FASHION_5__2[[#This Row],[reviewText]])</f>
        <v>521</v>
      </c>
      <c r="R755" t="str">
        <f>IF(AMAZON_FASHION_5__2[[#This Row],[overall]]&gt;=4,"Positive",IF(AMAZON_FASHION_5__2[[#This Row],[overall]]&lt;=2,"Negative","Neutral"))</f>
        <v>Positive</v>
      </c>
      <c r="S7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56" spans="1:19" x14ac:dyDescent="0.25">
      <c r="A756">
        <v>5</v>
      </c>
      <c r="B756" t="b">
        <v>1</v>
      </c>
      <c r="C756" s="1">
        <v>42757</v>
      </c>
      <c r="D756">
        <f>YEAR(AMAZON_FASHION_5__2[[#This Row],[reviewDate]])</f>
        <v>2017</v>
      </c>
      <c r="E756" s="1" t="str">
        <f>TEXT(AMAZON_FASHION_5__2[[#This Row],[reviewDate]], "mmmm")</f>
        <v>January</v>
      </c>
      <c r="F756" t="s">
        <v>1053</v>
      </c>
      <c r="G756" t="s">
        <v>1445</v>
      </c>
      <c r="H756" t="s">
        <v>205</v>
      </c>
      <c r="I756" t="s">
        <v>827</v>
      </c>
      <c r="J756" t="s">
        <v>1054</v>
      </c>
      <c r="K756" t="s">
        <v>1055</v>
      </c>
      <c r="L756" t="s">
        <v>1056</v>
      </c>
      <c r="M756">
        <v>1485043200</v>
      </c>
      <c r="N756" t="s">
        <v>1628</v>
      </c>
      <c r="O756" t="s">
        <v>1628</v>
      </c>
      <c r="P756" t="s">
        <v>1628</v>
      </c>
      <c r="Q756">
        <f>LEN(AMAZON_FASHION_5__2[[#This Row],[reviewText]])</f>
        <v>90</v>
      </c>
      <c r="R756" t="str">
        <f>IF(AMAZON_FASHION_5__2[[#This Row],[overall]]&gt;=4,"Positive",IF(AMAZON_FASHION_5__2[[#This Row],[overall]]&lt;=2,"Negative","Neutral"))</f>
        <v>Positive</v>
      </c>
      <c r="S7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57" spans="1:19" x14ac:dyDescent="0.25">
      <c r="A757">
        <v>5</v>
      </c>
      <c r="B757" t="b">
        <v>1</v>
      </c>
      <c r="C757" s="1">
        <v>42755</v>
      </c>
      <c r="D757">
        <f>YEAR(AMAZON_FASHION_5__2[[#This Row],[reviewDate]])</f>
        <v>2017</v>
      </c>
      <c r="E757" s="1" t="str">
        <f>TEXT(AMAZON_FASHION_5__2[[#This Row],[reviewDate]], "mmmm")</f>
        <v>January</v>
      </c>
      <c r="F757" t="s">
        <v>1057</v>
      </c>
      <c r="G757" t="s">
        <v>1445</v>
      </c>
      <c r="H757" t="s">
        <v>210</v>
      </c>
      <c r="I757" t="s">
        <v>524</v>
      </c>
      <c r="J757" t="s">
        <v>1058</v>
      </c>
      <c r="K757" t="s">
        <v>1059</v>
      </c>
      <c r="L757" t="s">
        <v>1060</v>
      </c>
      <c r="M757">
        <v>1484870400</v>
      </c>
      <c r="N757" t="s">
        <v>1628</v>
      </c>
      <c r="O757" t="s">
        <v>1628</v>
      </c>
      <c r="P757" t="s">
        <v>1628</v>
      </c>
      <c r="Q757">
        <f>LEN(AMAZON_FASHION_5__2[[#This Row],[reviewText]])</f>
        <v>40</v>
      </c>
      <c r="R757" t="str">
        <f>IF(AMAZON_FASHION_5__2[[#This Row],[overall]]&gt;=4,"Positive",IF(AMAZON_FASHION_5__2[[#This Row],[overall]]&lt;=2,"Negative","Neutral"))</f>
        <v>Positive</v>
      </c>
      <c r="S7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58" spans="1:19" x14ac:dyDescent="0.25">
      <c r="A758">
        <v>5</v>
      </c>
      <c r="B758" t="b">
        <v>1</v>
      </c>
      <c r="C758" s="1">
        <v>42753</v>
      </c>
      <c r="D758">
        <f>YEAR(AMAZON_FASHION_5__2[[#This Row],[reviewDate]])</f>
        <v>2017</v>
      </c>
      <c r="E758" s="1" t="str">
        <f>TEXT(AMAZON_FASHION_5__2[[#This Row],[reviewDate]], "mmmm")</f>
        <v>January</v>
      </c>
      <c r="F758" t="s">
        <v>1061</v>
      </c>
      <c r="G758" t="s">
        <v>1445</v>
      </c>
      <c r="H758" t="s">
        <v>230</v>
      </c>
      <c r="I758" t="s">
        <v>396</v>
      </c>
      <c r="J758" t="s">
        <v>1062</v>
      </c>
      <c r="K758" t="s">
        <v>1063</v>
      </c>
      <c r="L758" t="s">
        <v>1064</v>
      </c>
      <c r="M758">
        <v>1484697600</v>
      </c>
      <c r="N758" t="s">
        <v>1628</v>
      </c>
      <c r="O758" t="s">
        <v>1628</v>
      </c>
      <c r="P758" t="s">
        <v>1628</v>
      </c>
      <c r="Q758">
        <f>LEN(AMAZON_FASHION_5__2[[#This Row],[reviewText]])</f>
        <v>105</v>
      </c>
      <c r="R758" t="str">
        <f>IF(AMAZON_FASHION_5__2[[#This Row],[overall]]&gt;=4,"Positive",IF(AMAZON_FASHION_5__2[[#This Row],[overall]]&lt;=2,"Negative","Neutral"))</f>
        <v>Positive</v>
      </c>
      <c r="S7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59" spans="1:19" x14ac:dyDescent="0.25">
      <c r="A759">
        <v>2</v>
      </c>
      <c r="B759" t="b">
        <v>1</v>
      </c>
      <c r="C759" s="1">
        <v>42753</v>
      </c>
      <c r="D759">
        <f>YEAR(AMAZON_FASHION_5__2[[#This Row],[reviewDate]])</f>
        <v>2017</v>
      </c>
      <c r="E759" s="1" t="str">
        <f>TEXT(AMAZON_FASHION_5__2[[#This Row],[reviewDate]], "mmmm")</f>
        <v>January</v>
      </c>
      <c r="F759" t="s">
        <v>1065</v>
      </c>
      <c r="G759" t="s">
        <v>1445</v>
      </c>
      <c r="H759" t="s">
        <v>230</v>
      </c>
      <c r="I759" t="s">
        <v>198</v>
      </c>
      <c r="J759" t="s">
        <v>1066</v>
      </c>
      <c r="K759" t="s">
        <v>1067</v>
      </c>
      <c r="L759" t="s">
        <v>1068</v>
      </c>
      <c r="M759">
        <v>1484697600</v>
      </c>
      <c r="N759" t="s">
        <v>1628</v>
      </c>
      <c r="O759" t="s">
        <v>1628</v>
      </c>
      <c r="P759" t="s">
        <v>1628</v>
      </c>
      <c r="Q759">
        <f>LEN(AMAZON_FASHION_5__2[[#This Row],[reviewText]])</f>
        <v>118</v>
      </c>
      <c r="R759" t="str">
        <f>IF(AMAZON_FASHION_5__2[[#This Row],[overall]]&gt;=4,"Positive",IF(AMAZON_FASHION_5__2[[#This Row],[overall]]&lt;=2,"Negative","Neutral"))</f>
        <v>Negative</v>
      </c>
      <c r="S7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60" spans="1:19" x14ac:dyDescent="0.25">
      <c r="A760">
        <v>5</v>
      </c>
      <c r="B760" t="b">
        <v>1</v>
      </c>
      <c r="C760" s="1">
        <v>42753</v>
      </c>
      <c r="D760">
        <f>YEAR(AMAZON_FASHION_5__2[[#This Row],[reviewDate]])</f>
        <v>2017</v>
      </c>
      <c r="E760" s="1" t="str">
        <f>TEXT(AMAZON_FASHION_5__2[[#This Row],[reviewDate]], "mmmm")</f>
        <v>January</v>
      </c>
      <c r="F760" t="s">
        <v>1069</v>
      </c>
      <c r="G760" t="s">
        <v>1445</v>
      </c>
      <c r="H760" t="s">
        <v>197</v>
      </c>
      <c r="I760" t="s">
        <v>211</v>
      </c>
      <c r="J760" t="s">
        <v>1070</v>
      </c>
      <c r="K760" t="s">
        <v>1071</v>
      </c>
      <c r="L760" t="s">
        <v>1072</v>
      </c>
      <c r="M760">
        <v>1484697600</v>
      </c>
      <c r="N760" t="s">
        <v>1628</v>
      </c>
      <c r="O760" t="s">
        <v>1628</v>
      </c>
      <c r="P760" t="s">
        <v>1628</v>
      </c>
      <c r="Q760">
        <f>LEN(AMAZON_FASHION_5__2[[#This Row],[reviewText]])</f>
        <v>88</v>
      </c>
      <c r="R760" t="str">
        <f>IF(AMAZON_FASHION_5__2[[#This Row],[overall]]&gt;=4,"Positive",IF(AMAZON_FASHION_5__2[[#This Row],[overall]]&lt;=2,"Negative","Neutral"))</f>
        <v>Positive</v>
      </c>
      <c r="S7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61" spans="1:19" x14ac:dyDescent="0.25">
      <c r="A761">
        <v>5</v>
      </c>
      <c r="B761" t="b">
        <v>1</v>
      </c>
      <c r="C761" s="1">
        <v>42753</v>
      </c>
      <c r="D761">
        <f>YEAR(AMAZON_FASHION_5__2[[#This Row],[reviewDate]])</f>
        <v>2017</v>
      </c>
      <c r="E761" s="1" t="str">
        <f>TEXT(AMAZON_FASHION_5__2[[#This Row],[reviewDate]], "mmmm")</f>
        <v>January</v>
      </c>
      <c r="F761" t="s">
        <v>1073</v>
      </c>
      <c r="G761" t="s">
        <v>1445</v>
      </c>
      <c r="H761" t="s">
        <v>235</v>
      </c>
      <c r="I761" t="s">
        <v>99</v>
      </c>
      <c r="J761" t="s">
        <v>63</v>
      </c>
      <c r="K761" t="s">
        <v>1074</v>
      </c>
      <c r="L761" t="s">
        <v>17</v>
      </c>
      <c r="M761">
        <v>1484697600</v>
      </c>
      <c r="N761" t="s">
        <v>1628</v>
      </c>
      <c r="O761" t="s">
        <v>1628</v>
      </c>
      <c r="P761" t="s">
        <v>1628</v>
      </c>
      <c r="Q761">
        <f>LEN(AMAZON_FASHION_5__2[[#This Row],[reviewText]])</f>
        <v>11</v>
      </c>
      <c r="R761" t="str">
        <f>IF(AMAZON_FASHION_5__2[[#This Row],[overall]]&gt;=4,"Positive",IF(AMAZON_FASHION_5__2[[#This Row],[overall]]&lt;=2,"Negative","Neutral"))</f>
        <v>Positive</v>
      </c>
      <c r="S7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62" spans="1:19" x14ac:dyDescent="0.25">
      <c r="A762">
        <v>4</v>
      </c>
      <c r="B762" t="b">
        <v>1</v>
      </c>
      <c r="C762" s="1">
        <v>42753</v>
      </c>
      <c r="D762">
        <f>YEAR(AMAZON_FASHION_5__2[[#This Row],[reviewDate]])</f>
        <v>2017</v>
      </c>
      <c r="E762" s="1" t="str">
        <f>TEXT(AMAZON_FASHION_5__2[[#This Row],[reviewDate]], "mmmm")</f>
        <v>January</v>
      </c>
      <c r="F762" t="s">
        <v>1075</v>
      </c>
      <c r="G762" t="s">
        <v>1445</v>
      </c>
      <c r="H762" t="s">
        <v>201</v>
      </c>
      <c r="I762" t="s">
        <v>198</v>
      </c>
      <c r="J762" t="s">
        <v>1076</v>
      </c>
      <c r="K762" t="s">
        <v>1077</v>
      </c>
      <c r="L762" t="s">
        <v>1078</v>
      </c>
      <c r="M762">
        <v>1484697600</v>
      </c>
      <c r="N762" t="s">
        <v>1628</v>
      </c>
      <c r="O762" t="s">
        <v>1628</v>
      </c>
      <c r="P762" t="s">
        <v>1628</v>
      </c>
      <c r="Q762">
        <f>LEN(AMAZON_FASHION_5__2[[#This Row],[reviewText]])</f>
        <v>316</v>
      </c>
      <c r="R762" t="str">
        <f>IF(AMAZON_FASHION_5__2[[#This Row],[overall]]&gt;=4,"Positive",IF(AMAZON_FASHION_5__2[[#This Row],[overall]]&lt;=2,"Negative","Neutral"))</f>
        <v>Positive</v>
      </c>
      <c r="S7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63" spans="1:19" x14ac:dyDescent="0.25">
      <c r="A763">
        <v>1</v>
      </c>
      <c r="B763" t="b">
        <v>1</v>
      </c>
      <c r="C763" s="1">
        <v>42750</v>
      </c>
      <c r="D763">
        <f>YEAR(AMAZON_FASHION_5__2[[#This Row],[reviewDate]])</f>
        <v>2017</v>
      </c>
      <c r="E763" s="1" t="str">
        <f>TEXT(AMAZON_FASHION_5__2[[#This Row],[reviewDate]], "mmmm")</f>
        <v>January</v>
      </c>
      <c r="F763" t="s">
        <v>1079</v>
      </c>
      <c r="G763" t="s">
        <v>1445</v>
      </c>
      <c r="H763" t="s">
        <v>235</v>
      </c>
      <c r="I763" t="s">
        <v>411</v>
      </c>
      <c r="J763" t="s">
        <v>1080</v>
      </c>
      <c r="K763" t="s">
        <v>1081</v>
      </c>
      <c r="L763" t="s">
        <v>1082</v>
      </c>
      <c r="M763">
        <v>1484438400</v>
      </c>
      <c r="N763" t="s">
        <v>1628</v>
      </c>
      <c r="O763" t="s">
        <v>1628</v>
      </c>
      <c r="P763">
        <v>19</v>
      </c>
      <c r="Q763">
        <f>LEN(AMAZON_FASHION_5__2[[#This Row],[reviewText]])</f>
        <v>69</v>
      </c>
      <c r="R763" t="str">
        <f>IF(AMAZON_FASHION_5__2[[#This Row],[overall]]&gt;=4,"Positive",IF(AMAZON_FASHION_5__2[[#This Row],[overall]]&lt;=2,"Negative","Neutral"))</f>
        <v>Negative</v>
      </c>
      <c r="S7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64" spans="1:19" x14ac:dyDescent="0.25">
      <c r="A764">
        <v>4</v>
      </c>
      <c r="B764" t="b">
        <v>1</v>
      </c>
      <c r="C764" s="1">
        <v>42748</v>
      </c>
      <c r="D764">
        <f>YEAR(AMAZON_FASHION_5__2[[#This Row],[reviewDate]])</f>
        <v>2017</v>
      </c>
      <c r="E764" s="1" t="str">
        <f>TEXT(AMAZON_FASHION_5__2[[#This Row],[reviewDate]], "mmmm")</f>
        <v>January</v>
      </c>
      <c r="F764" t="s">
        <v>1083</v>
      </c>
      <c r="G764" t="s">
        <v>1445</v>
      </c>
      <c r="H764" t="s">
        <v>205</v>
      </c>
      <c r="I764" t="s">
        <v>1084</v>
      </c>
      <c r="J764" t="s">
        <v>63</v>
      </c>
      <c r="K764" t="s">
        <v>1085</v>
      </c>
      <c r="L764" t="s">
        <v>1086</v>
      </c>
      <c r="M764">
        <v>1484265600</v>
      </c>
      <c r="N764" t="s">
        <v>1628</v>
      </c>
      <c r="O764" t="s">
        <v>1628</v>
      </c>
      <c r="P764" t="s">
        <v>1628</v>
      </c>
      <c r="Q764">
        <f>LEN(AMAZON_FASHION_5__2[[#This Row],[reviewText]])</f>
        <v>187</v>
      </c>
      <c r="R764" t="str">
        <f>IF(AMAZON_FASHION_5__2[[#This Row],[overall]]&gt;=4,"Positive",IF(AMAZON_FASHION_5__2[[#This Row],[overall]]&lt;=2,"Negative","Neutral"))</f>
        <v>Positive</v>
      </c>
      <c r="S7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65" spans="1:19" x14ac:dyDescent="0.25">
      <c r="A765">
        <v>5</v>
      </c>
      <c r="B765" t="b">
        <v>1</v>
      </c>
      <c r="C765" s="1">
        <v>42747</v>
      </c>
      <c r="D765">
        <f>YEAR(AMAZON_FASHION_5__2[[#This Row],[reviewDate]])</f>
        <v>2017</v>
      </c>
      <c r="E765" s="1" t="str">
        <f>TEXT(AMAZON_FASHION_5__2[[#This Row],[reviewDate]], "mmmm")</f>
        <v>January</v>
      </c>
      <c r="F765" t="s">
        <v>1087</v>
      </c>
      <c r="G765" t="s">
        <v>1445</v>
      </c>
      <c r="H765" t="s">
        <v>230</v>
      </c>
      <c r="I765" t="s">
        <v>507</v>
      </c>
      <c r="J765" t="s">
        <v>1088</v>
      </c>
      <c r="K765" t="s">
        <v>1089</v>
      </c>
      <c r="L765" t="s">
        <v>1090</v>
      </c>
      <c r="M765">
        <v>1484179200</v>
      </c>
      <c r="N765" t="s">
        <v>1628</v>
      </c>
      <c r="O765" t="s">
        <v>1628</v>
      </c>
      <c r="P765" t="s">
        <v>1628</v>
      </c>
      <c r="Q765">
        <f>LEN(AMAZON_FASHION_5__2[[#This Row],[reviewText]])</f>
        <v>216</v>
      </c>
      <c r="R765" t="str">
        <f>IF(AMAZON_FASHION_5__2[[#This Row],[overall]]&gt;=4,"Positive",IF(AMAZON_FASHION_5__2[[#This Row],[overall]]&lt;=2,"Negative","Neutral"))</f>
        <v>Positive</v>
      </c>
      <c r="S7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66" spans="1:19" x14ac:dyDescent="0.25">
      <c r="A766">
        <v>5</v>
      </c>
      <c r="B766" t="b">
        <v>1</v>
      </c>
      <c r="C766" s="1">
        <v>42747</v>
      </c>
      <c r="D766">
        <f>YEAR(AMAZON_FASHION_5__2[[#This Row],[reviewDate]])</f>
        <v>2017</v>
      </c>
      <c r="E766" s="1" t="str">
        <f>TEXT(AMAZON_FASHION_5__2[[#This Row],[reviewDate]], "mmmm")</f>
        <v>January</v>
      </c>
      <c r="F766" t="s">
        <v>1091</v>
      </c>
      <c r="G766" t="s">
        <v>1445</v>
      </c>
      <c r="H766" t="s">
        <v>201</v>
      </c>
      <c r="I766" t="s">
        <v>198</v>
      </c>
      <c r="J766" t="s">
        <v>1092</v>
      </c>
      <c r="K766" t="s">
        <v>1093</v>
      </c>
      <c r="L766" t="s">
        <v>17</v>
      </c>
      <c r="M766">
        <v>1484179200</v>
      </c>
      <c r="N766" t="s">
        <v>1628</v>
      </c>
      <c r="O766" t="s">
        <v>1628</v>
      </c>
      <c r="P766" t="s">
        <v>1628</v>
      </c>
      <c r="Q766">
        <f>LEN(AMAZON_FASHION_5__2[[#This Row],[reviewText]])</f>
        <v>20</v>
      </c>
      <c r="R766" t="str">
        <f>IF(AMAZON_FASHION_5__2[[#This Row],[overall]]&gt;=4,"Positive",IF(AMAZON_FASHION_5__2[[#This Row],[overall]]&lt;=2,"Negative","Neutral"))</f>
        <v>Positive</v>
      </c>
      <c r="S7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67" spans="1:19" x14ac:dyDescent="0.25">
      <c r="A767">
        <v>5</v>
      </c>
      <c r="B767" t="b">
        <v>1</v>
      </c>
      <c r="C767" s="1">
        <v>42745</v>
      </c>
      <c r="D767">
        <f>YEAR(AMAZON_FASHION_5__2[[#This Row],[reviewDate]])</f>
        <v>2017</v>
      </c>
      <c r="E767" s="1" t="str">
        <f>TEXT(AMAZON_FASHION_5__2[[#This Row],[reviewDate]], "mmmm")</f>
        <v>January</v>
      </c>
      <c r="F767" t="s">
        <v>1094</v>
      </c>
      <c r="G767" t="s">
        <v>1445</v>
      </c>
      <c r="H767" t="s">
        <v>235</v>
      </c>
      <c r="I767" t="s">
        <v>574</v>
      </c>
      <c r="J767" t="s">
        <v>63</v>
      </c>
      <c r="K767" t="s">
        <v>914</v>
      </c>
      <c r="L767" t="s">
        <v>17</v>
      </c>
      <c r="M767">
        <v>1484006400</v>
      </c>
      <c r="N767" t="s">
        <v>1628</v>
      </c>
      <c r="O767" t="s">
        <v>1628</v>
      </c>
      <c r="P767" t="s">
        <v>1628</v>
      </c>
      <c r="Q767">
        <f>LEN(AMAZON_FASHION_5__2[[#This Row],[reviewText]])</f>
        <v>17</v>
      </c>
      <c r="R767" t="str">
        <f>IF(AMAZON_FASHION_5__2[[#This Row],[overall]]&gt;=4,"Positive",IF(AMAZON_FASHION_5__2[[#This Row],[overall]]&lt;=2,"Negative","Neutral"))</f>
        <v>Positive</v>
      </c>
      <c r="S7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68" spans="1:19" x14ac:dyDescent="0.25">
      <c r="A768">
        <v>5</v>
      </c>
      <c r="B768" t="b">
        <v>1</v>
      </c>
      <c r="C768" s="1">
        <v>42742</v>
      </c>
      <c r="D768">
        <f>YEAR(AMAZON_FASHION_5__2[[#This Row],[reviewDate]])</f>
        <v>2017</v>
      </c>
      <c r="E768" s="1" t="str">
        <f>TEXT(AMAZON_FASHION_5__2[[#This Row],[reviewDate]], "mmmm")</f>
        <v>January</v>
      </c>
      <c r="F768" t="s">
        <v>1095</v>
      </c>
      <c r="G768" t="s">
        <v>1445</v>
      </c>
      <c r="H768" t="s">
        <v>235</v>
      </c>
      <c r="I768" t="s">
        <v>1084</v>
      </c>
      <c r="J768" t="s">
        <v>63</v>
      </c>
      <c r="K768" t="s">
        <v>1096</v>
      </c>
      <c r="L768" t="s">
        <v>1097</v>
      </c>
      <c r="M768">
        <v>1483747200</v>
      </c>
      <c r="N768" t="s">
        <v>1628</v>
      </c>
      <c r="O768" t="s">
        <v>1628</v>
      </c>
      <c r="P768" t="s">
        <v>1628</v>
      </c>
      <c r="Q768">
        <f>LEN(AMAZON_FASHION_5__2[[#This Row],[reviewText]])</f>
        <v>92</v>
      </c>
      <c r="R768" t="str">
        <f>IF(AMAZON_FASHION_5__2[[#This Row],[overall]]&gt;=4,"Positive",IF(AMAZON_FASHION_5__2[[#This Row],[overall]]&lt;=2,"Negative","Neutral"))</f>
        <v>Positive</v>
      </c>
      <c r="S7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69" spans="1:19" x14ac:dyDescent="0.25">
      <c r="A769">
        <v>5</v>
      </c>
      <c r="B769" t="b">
        <v>1</v>
      </c>
      <c r="C769" s="1">
        <v>42742</v>
      </c>
      <c r="D769">
        <f>YEAR(AMAZON_FASHION_5__2[[#This Row],[reviewDate]])</f>
        <v>2017</v>
      </c>
      <c r="E769" s="1" t="str">
        <f>TEXT(AMAZON_FASHION_5__2[[#This Row],[reviewDate]], "mmmm")</f>
        <v>January</v>
      </c>
      <c r="F769" t="s">
        <v>1098</v>
      </c>
      <c r="G769" t="s">
        <v>1445</v>
      </c>
      <c r="H769" t="s">
        <v>320</v>
      </c>
      <c r="I769" t="s">
        <v>1084</v>
      </c>
      <c r="J769" t="s">
        <v>1099</v>
      </c>
      <c r="K769" t="s">
        <v>1100</v>
      </c>
      <c r="L769" t="s">
        <v>970</v>
      </c>
      <c r="M769">
        <v>1483747200</v>
      </c>
      <c r="N769" t="s">
        <v>1628</v>
      </c>
      <c r="O769" t="s">
        <v>1628</v>
      </c>
      <c r="P769" t="s">
        <v>1628</v>
      </c>
      <c r="Q769">
        <f>LEN(AMAZON_FASHION_5__2[[#This Row],[reviewText]])</f>
        <v>182</v>
      </c>
      <c r="R769" t="str">
        <f>IF(AMAZON_FASHION_5__2[[#This Row],[overall]]&gt;=4,"Positive",IF(AMAZON_FASHION_5__2[[#This Row],[overall]]&lt;=2,"Negative","Neutral"))</f>
        <v>Positive</v>
      </c>
      <c r="S7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70" spans="1:19" x14ac:dyDescent="0.25">
      <c r="A770">
        <v>4</v>
      </c>
      <c r="B770" t="b">
        <v>1</v>
      </c>
      <c r="C770" s="1">
        <v>42741</v>
      </c>
      <c r="D770">
        <f>YEAR(AMAZON_FASHION_5__2[[#This Row],[reviewDate]])</f>
        <v>2017</v>
      </c>
      <c r="E770" s="1" t="str">
        <f>TEXT(AMAZON_FASHION_5__2[[#This Row],[reviewDate]], "mmmm")</f>
        <v>January</v>
      </c>
      <c r="F770" t="s">
        <v>1101</v>
      </c>
      <c r="G770" t="s">
        <v>1445</v>
      </c>
      <c r="H770" t="s">
        <v>197</v>
      </c>
      <c r="I770" t="s">
        <v>1084</v>
      </c>
      <c r="J770" t="s">
        <v>63</v>
      </c>
      <c r="K770" t="s">
        <v>1102</v>
      </c>
      <c r="L770" t="s">
        <v>1103</v>
      </c>
      <c r="M770">
        <v>1483660800</v>
      </c>
      <c r="N770" t="s">
        <v>1628</v>
      </c>
      <c r="O770" t="s">
        <v>1628</v>
      </c>
      <c r="P770" t="s">
        <v>1628</v>
      </c>
      <c r="Q770">
        <f>LEN(AMAZON_FASHION_5__2[[#This Row],[reviewText]])</f>
        <v>219</v>
      </c>
      <c r="R770" t="str">
        <f>IF(AMAZON_FASHION_5__2[[#This Row],[overall]]&gt;=4,"Positive",IF(AMAZON_FASHION_5__2[[#This Row],[overall]]&lt;=2,"Negative","Neutral"))</f>
        <v>Positive</v>
      </c>
      <c r="S7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71" spans="1:19" x14ac:dyDescent="0.25">
      <c r="A771">
        <v>1</v>
      </c>
      <c r="B771" t="b">
        <v>1</v>
      </c>
      <c r="C771" s="1">
        <v>42739</v>
      </c>
      <c r="D771">
        <f>YEAR(AMAZON_FASHION_5__2[[#This Row],[reviewDate]])</f>
        <v>2017</v>
      </c>
      <c r="E771" s="1" t="str">
        <f>TEXT(AMAZON_FASHION_5__2[[#This Row],[reviewDate]], "mmmm")</f>
        <v>January</v>
      </c>
      <c r="F771" t="s">
        <v>1104</v>
      </c>
      <c r="G771" t="s">
        <v>1445</v>
      </c>
      <c r="H771" t="s">
        <v>205</v>
      </c>
      <c r="I771" t="s">
        <v>211</v>
      </c>
      <c r="J771" t="s">
        <v>1105</v>
      </c>
      <c r="K771" t="s">
        <v>1106</v>
      </c>
      <c r="L771" t="s">
        <v>1107</v>
      </c>
      <c r="M771">
        <v>1483488000</v>
      </c>
      <c r="N771" t="s">
        <v>1628</v>
      </c>
      <c r="O771" t="s">
        <v>1628</v>
      </c>
      <c r="P771" t="s">
        <v>1628</v>
      </c>
      <c r="Q771">
        <f>LEN(AMAZON_FASHION_5__2[[#This Row],[reviewText]])</f>
        <v>258</v>
      </c>
      <c r="R771" t="str">
        <f>IF(AMAZON_FASHION_5__2[[#This Row],[overall]]&gt;=4,"Positive",IF(AMAZON_FASHION_5__2[[#This Row],[overall]]&lt;=2,"Negative","Neutral"))</f>
        <v>Negative</v>
      </c>
      <c r="S7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72" spans="1:19" x14ac:dyDescent="0.25">
      <c r="A772">
        <v>5</v>
      </c>
      <c r="B772" t="b">
        <v>1</v>
      </c>
      <c r="C772" s="1">
        <v>42739</v>
      </c>
      <c r="D772">
        <f>YEAR(AMAZON_FASHION_5__2[[#This Row],[reviewDate]])</f>
        <v>2017</v>
      </c>
      <c r="E772" s="1" t="str">
        <f>TEXT(AMAZON_FASHION_5__2[[#This Row],[reviewDate]], "mmmm")</f>
        <v>January</v>
      </c>
      <c r="F772" t="s">
        <v>1108</v>
      </c>
      <c r="G772" t="s">
        <v>1445</v>
      </c>
      <c r="H772" t="s">
        <v>235</v>
      </c>
      <c r="I772" t="s">
        <v>99</v>
      </c>
      <c r="J772" t="s">
        <v>1109</v>
      </c>
      <c r="K772" t="s">
        <v>1110</v>
      </c>
      <c r="L772" t="s">
        <v>1111</v>
      </c>
      <c r="M772">
        <v>1483488000</v>
      </c>
      <c r="N772" t="s">
        <v>1628</v>
      </c>
      <c r="O772" t="s">
        <v>1628</v>
      </c>
      <c r="P772" t="s">
        <v>1628</v>
      </c>
      <c r="Q772">
        <f>LEN(AMAZON_FASHION_5__2[[#This Row],[reviewText]])</f>
        <v>69</v>
      </c>
      <c r="R772" t="str">
        <f>IF(AMAZON_FASHION_5__2[[#This Row],[overall]]&gt;=4,"Positive",IF(AMAZON_FASHION_5__2[[#This Row],[overall]]&lt;=2,"Negative","Neutral"))</f>
        <v>Positive</v>
      </c>
      <c r="S7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73" spans="1:19" x14ac:dyDescent="0.25">
      <c r="A773">
        <v>5</v>
      </c>
      <c r="B773" t="b">
        <v>1</v>
      </c>
      <c r="C773" s="1">
        <v>42736</v>
      </c>
      <c r="D773">
        <f>YEAR(AMAZON_FASHION_5__2[[#This Row],[reviewDate]])</f>
        <v>2017</v>
      </c>
      <c r="E773" s="1" t="str">
        <f>TEXT(AMAZON_FASHION_5__2[[#This Row],[reviewDate]], "mmmm")</f>
        <v>January</v>
      </c>
      <c r="F773" t="s">
        <v>1112</v>
      </c>
      <c r="G773" t="s">
        <v>1445</v>
      </c>
      <c r="H773" t="s">
        <v>197</v>
      </c>
      <c r="I773" t="s">
        <v>1084</v>
      </c>
      <c r="J773" t="s">
        <v>1113</v>
      </c>
      <c r="K773" t="s">
        <v>1114</v>
      </c>
      <c r="L773" t="s">
        <v>17</v>
      </c>
      <c r="M773">
        <v>1483228800</v>
      </c>
      <c r="N773" t="s">
        <v>1628</v>
      </c>
      <c r="O773" t="s">
        <v>1628</v>
      </c>
      <c r="P773" t="s">
        <v>1628</v>
      </c>
      <c r="Q773">
        <f>LEN(AMAZON_FASHION_5__2[[#This Row],[reviewText]])</f>
        <v>32</v>
      </c>
      <c r="R773" t="str">
        <f>IF(AMAZON_FASHION_5__2[[#This Row],[overall]]&gt;=4,"Positive",IF(AMAZON_FASHION_5__2[[#This Row],[overall]]&lt;=2,"Negative","Neutral"))</f>
        <v>Positive</v>
      </c>
      <c r="S7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74" spans="1:19" x14ac:dyDescent="0.25">
      <c r="A774">
        <v>5</v>
      </c>
      <c r="B774" t="b">
        <v>1</v>
      </c>
      <c r="C774" s="1">
        <v>42736</v>
      </c>
      <c r="D774">
        <f>YEAR(AMAZON_FASHION_5__2[[#This Row],[reviewDate]])</f>
        <v>2017</v>
      </c>
      <c r="E774" s="1" t="str">
        <f>TEXT(AMAZON_FASHION_5__2[[#This Row],[reviewDate]], "mmmm")</f>
        <v>January</v>
      </c>
      <c r="F774" t="s">
        <v>1115</v>
      </c>
      <c r="G774" t="s">
        <v>1445</v>
      </c>
      <c r="H774" t="s">
        <v>205</v>
      </c>
      <c r="I774" t="s">
        <v>198</v>
      </c>
      <c r="J774" t="s">
        <v>1116</v>
      </c>
      <c r="K774" t="s">
        <v>1117</v>
      </c>
      <c r="L774" t="s">
        <v>17</v>
      </c>
      <c r="M774">
        <v>1483228800</v>
      </c>
      <c r="N774" t="s">
        <v>1628</v>
      </c>
      <c r="O774" t="s">
        <v>1628</v>
      </c>
      <c r="P774" t="s">
        <v>1628</v>
      </c>
      <c r="Q774">
        <f>LEN(AMAZON_FASHION_5__2[[#This Row],[reviewText]])</f>
        <v>36</v>
      </c>
      <c r="R774" t="str">
        <f>IF(AMAZON_FASHION_5__2[[#This Row],[overall]]&gt;=4,"Positive",IF(AMAZON_FASHION_5__2[[#This Row],[overall]]&lt;=2,"Negative","Neutral"))</f>
        <v>Positive</v>
      </c>
      <c r="S7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75" spans="1:19" x14ac:dyDescent="0.25">
      <c r="A775">
        <v>5</v>
      </c>
      <c r="B775" t="b">
        <v>1</v>
      </c>
      <c r="C775" s="1">
        <v>42735</v>
      </c>
      <c r="D775">
        <f>YEAR(AMAZON_FASHION_5__2[[#This Row],[reviewDate]])</f>
        <v>2016</v>
      </c>
      <c r="E775" s="1" t="str">
        <f>TEXT(AMAZON_FASHION_5__2[[#This Row],[reviewDate]], "mmmm")</f>
        <v>December</v>
      </c>
      <c r="F775" t="s">
        <v>1118</v>
      </c>
      <c r="G775" t="s">
        <v>1445</v>
      </c>
      <c r="H775" t="s">
        <v>201</v>
      </c>
      <c r="I775" t="s">
        <v>198</v>
      </c>
      <c r="J775" t="s">
        <v>1119</v>
      </c>
      <c r="K775" t="s">
        <v>1120</v>
      </c>
      <c r="L775" t="s">
        <v>1121</v>
      </c>
      <c r="M775">
        <v>1483142400</v>
      </c>
      <c r="N775" t="s">
        <v>1628</v>
      </c>
      <c r="O775" t="s">
        <v>1628</v>
      </c>
      <c r="P775" t="s">
        <v>1628</v>
      </c>
      <c r="Q775">
        <f>LEN(AMAZON_FASHION_5__2[[#This Row],[reviewText]])</f>
        <v>169</v>
      </c>
      <c r="R775" t="str">
        <f>IF(AMAZON_FASHION_5__2[[#This Row],[overall]]&gt;=4,"Positive",IF(AMAZON_FASHION_5__2[[#This Row],[overall]]&lt;=2,"Negative","Neutral"))</f>
        <v>Positive</v>
      </c>
      <c r="S7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76" spans="1:19" x14ac:dyDescent="0.25">
      <c r="A776">
        <v>5</v>
      </c>
      <c r="B776" t="b">
        <v>1</v>
      </c>
      <c r="C776" s="1">
        <v>42733</v>
      </c>
      <c r="D776">
        <f>YEAR(AMAZON_FASHION_5__2[[#This Row],[reviewDate]])</f>
        <v>2016</v>
      </c>
      <c r="E776" s="1" t="str">
        <f>TEXT(AMAZON_FASHION_5__2[[#This Row],[reviewDate]], "mmmm")</f>
        <v>December</v>
      </c>
      <c r="F776" t="s">
        <v>1122</v>
      </c>
      <c r="G776" t="s">
        <v>1445</v>
      </c>
      <c r="H776" t="s">
        <v>201</v>
      </c>
      <c r="I776" t="s">
        <v>198</v>
      </c>
      <c r="J776" t="s">
        <v>1123</v>
      </c>
      <c r="K776" t="s">
        <v>1124</v>
      </c>
      <c r="L776" t="s">
        <v>17</v>
      </c>
      <c r="M776">
        <v>1482969600</v>
      </c>
      <c r="N776" t="s">
        <v>1628</v>
      </c>
      <c r="O776" t="s">
        <v>1628</v>
      </c>
      <c r="P776" t="s">
        <v>1628</v>
      </c>
      <c r="Q776">
        <f>LEN(AMAZON_FASHION_5__2[[#This Row],[reviewText]])</f>
        <v>37</v>
      </c>
      <c r="R776" t="str">
        <f>IF(AMAZON_FASHION_5__2[[#This Row],[overall]]&gt;=4,"Positive",IF(AMAZON_FASHION_5__2[[#This Row],[overall]]&lt;=2,"Negative","Neutral"))</f>
        <v>Positive</v>
      </c>
      <c r="S7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77" spans="1:19" x14ac:dyDescent="0.25">
      <c r="A777">
        <v>5</v>
      </c>
      <c r="B777" t="b">
        <v>1</v>
      </c>
      <c r="C777" s="1">
        <v>42733</v>
      </c>
      <c r="D777">
        <f>YEAR(AMAZON_FASHION_5__2[[#This Row],[reviewDate]])</f>
        <v>2016</v>
      </c>
      <c r="E777" s="1" t="str">
        <f>TEXT(AMAZON_FASHION_5__2[[#This Row],[reviewDate]], "mmmm")</f>
        <v>December</v>
      </c>
      <c r="F777" t="s">
        <v>1125</v>
      </c>
      <c r="G777" t="s">
        <v>1445</v>
      </c>
      <c r="H777" t="s">
        <v>210</v>
      </c>
      <c r="I777" t="s">
        <v>1084</v>
      </c>
      <c r="J777" t="s">
        <v>63</v>
      </c>
      <c r="K777" t="s">
        <v>1126</v>
      </c>
      <c r="L777" t="s">
        <v>17</v>
      </c>
      <c r="M777">
        <v>1482969600</v>
      </c>
      <c r="N777" t="s">
        <v>1628</v>
      </c>
      <c r="O777" t="s">
        <v>1628</v>
      </c>
      <c r="P777" t="s">
        <v>1628</v>
      </c>
      <c r="Q777">
        <f>LEN(AMAZON_FASHION_5__2[[#This Row],[reviewText]])</f>
        <v>45</v>
      </c>
      <c r="R777" t="str">
        <f>IF(AMAZON_FASHION_5__2[[#This Row],[overall]]&gt;=4,"Positive",IF(AMAZON_FASHION_5__2[[#This Row],[overall]]&lt;=2,"Negative","Neutral"))</f>
        <v>Positive</v>
      </c>
      <c r="S7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78" spans="1:19" x14ac:dyDescent="0.25">
      <c r="A778">
        <v>5</v>
      </c>
      <c r="B778" t="b">
        <v>1</v>
      </c>
      <c r="C778" s="1">
        <v>42732</v>
      </c>
      <c r="D778">
        <f>YEAR(AMAZON_FASHION_5__2[[#This Row],[reviewDate]])</f>
        <v>2016</v>
      </c>
      <c r="E778" s="1" t="str">
        <f>TEXT(AMAZON_FASHION_5__2[[#This Row],[reviewDate]], "mmmm")</f>
        <v>December</v>
      </c>
      <c r="F778" t="s">
        <v>1127</v>
      </c>
      <c r="G778" t="s">
        <v>1445</v>
      </c>
      <c r="H778" t="s">
        <v>201</v>
      </c>
      <c r="I778" t="s">
        <v>198</v>
      </c>
      <c r="J778" t="s">
        <v>63</v>
      </c>
      <c r="K778" t="s">
        <v>483</v>
      </c>
      <c r="L778" t="s">
        <v>1128</v>
      </c>
      <c r="M778">
        <v>1482883200</v>
      </c>
      <c r="N778" t="s">
        <v>1628</v>
      </c>
      <c r="O778" t="s">
        <v>1628</v>
      </c>
      <c r="P778" t="s">
        <v>1628</v>
      </c>
      <c r="Q778">
        <f>LEN(AMAZON_FASHION_5__2[[#This Row],[reviewText]])</f>
        <v>8</v>
      </c>
      <c r="R778" t="str">
        <f>IF(AMAZON_FASHION_5__2[[#This Row],[overall]]&gt;=4,"Positive",IF(AMAZON_FASHION_5__2[[#This Row],[overall]]&lt;=2,"Negative","Neutral"))</f>
        <v>Positive</v>
      </c>
      <c r="S7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79" spans="1:19" x14ac:dyDescent="0.25">
      <c r="A779">
        <v>5</v>
      </c>
      <c r="B779" t="b">
        <v>1</v>
      </c>
      <c r="C779" s="1">
        <v>42732</v>
      </c>
      <c r="D779">
        <f>YEAR(AMAZON_FASHION_5__2[[#This Row],[reviewDate]])</f>
        <v>2016</v>
      </c>
      <c r="E779" s="1" t="str">
        <f>TEXT(AMAZON_FASHION_5__2[[#This Row],[reviewDate]], "mmmm")</f>
        <v>December</v>
      </c>
      <c r="F779" t="s">
        <v>1129</v>
      </c>
      <c r="G779" t="s">
        <v>1445</v>
      </c>
      <c r="H779" t="s">
        <v>230</v>
      </c>
      <c r="I779" t="s">
        <v>211</v>
      </c>
      <c r="J779" t="s">
        <v>1130</v>
      </c>
      <c r="K779" t="s">
        <v>1131</v>
      </c>
      <c r="L779" t="s">
        <v>1132</v>
      </c>
      <c r="M779">
        <v>1482883200</v>
      </c>
      <c r="N779" t="s">
        <v>1628</v>
      </c>
      <c r="O779" t="s">
        <v>1628</v>
      </c>
      <c r="P779" t="s">
        <v>1628</v>
      </c>
      <c r="Q779">
        <f>LEN(AMAZON_FASHION_5__2[[#This Row],[reviewText]])</f>
        <v>134</v>
      </c>
      <c r="R779" t="str">
        <f>IF(AMAZON_FASHION_5__2[[#This Row],[overall]]&gt;=4,"Positive",IF(AMAZON_FASHION_5__2[[#This Row],[overall]]&lt;=2,"Negative","Neutral"))</f>
        <v>Positive</v>
      </c>
      <c r="S7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80" spans="1:19" x14ac:dyDescent="0.25">
      <c r="A780">
        <v>5</v>
      </c>
      <c r="B780" t="b">
        <v>1</v>
      </c>
      <c r="C780" s="1">
        <v>42731</v>
      </c>
      <c r="D780">
        <f>YEAR(AMAZON_FASHION_5__2[[#This Row],[reviewDate]])</f>
        <v>2016</v>
      </c>
      <c r="E780" s="1" t="str">
        <f>TEXT(AMAZON_FASHION_5__2[[#This Row],[reviewDate]], "mmmm")</f>
        <v>December</v>
      </c>
      <c r="F780" t="s">
        <v>1133</v>
      </c>
      <c r="G780" t="s">
        <v>1445</v>
      </c>
      <c r="H780" t="s">
        <v>205</v>
      </c>
      <c r="I780" t="s">
        <v>198</v>
      </c>
      <c r="J780" t="s">
        <v>1134</v>
      </c>
      <c r="K780" t="s">
        <v>1135</v>
      </c>
      <c r="L780" t="s">
        <v>17</v>
      </c>
      <c r="M780">
        <v>1482796800</v>
      </c>
      <c r="N780" t="s">
        <v>1628</v>
      </c>
      <c r="O780" t="s">
        <v>1628</v>
      </c>
      <c r="P780" t="s">
        <v>1628</v>
      </c>
      <c r="Q780">
        <f>LEN(AMAZON_FASHION_5__2[[#This Row],[reviewText]])</f>
        <v>32</v>
      </c>
      <c r="R780" t="str">
        <f>IF(AMAZON_FASHION_5__2[[#This Row],[overall]]&gt;=4,"Positive",IF(AMAZON_FASHION_5__2[[#This Row],[overall]]&lt;=2,"Negative","Neutral"))</f>
        <v>Positive</v>
      </c>
      <c r="S7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81" spans="1:19" x14ac:dyDescent="0.25">
      <c r="A781">
        <v>2</v>
      </c>
      <c r="B781" t="b">
        <v>1</v>
      </c>
      <c r="C781" s="1">
        <v>42729</v>
      </c>
      <c r="D781">
        <f>YEAR(AMAZON_FASHION_5__2[[#This Row],[reviewDate]])</f>
        <v>2016</v>
      </c>
      <c r="E781" s="1" t="str">
        <f>TEXT(AMAZON_FASHION_5__2[[#This Row],[reviewDate]], "mmmm")</f>
        <v>December</v>
      </c>
      <c r="F781" t="s">
        <v>1136</v>
      </c>
      <c r="G781" t="s">
        <v>1445</v>
      </c>
      <c r="H781" t="s">
        <v>477</v>
      </c>
      <c r="I781" t="s">
        <v>396</v>
      </c>
      <c r="J781" t="s">
        <v>1137</v>
      </c>
      <c r="K781" t="s">
        <v>1138</v>
      </c>
      <c r="L781" t="s">
        <v>1139</v>
      </c>
      <c r="M781">
        <v>1482624000</v>
      </c>
      <c r="N781" t="s">
        <v>1628</v>
      </c>
      <c r="O781" t="s">
        <v>1628</v>
      </c>
      <c r="P781">
        <v>2</v>
      </c>
      <c r="Q781">
        <f>LEN(AMAZON_FASHION_5__2[[#This Row],[reviewText]])</f>
        <v>108</v>
      </c>
      <c r="R781" t="str">
        <f>IF(AMAZON_FASHION_5__2[[#This Row],[overall]]&gt;=4,"Positive",IF(AMAZON_FASHION_5__2[[#This Row],[overall]]&lt;=2,"Negative","Neutral"))</f>
        <v>Negative</v>
      </c>
      <c r="S7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82" spans="1:19" x14ac:dyDescent="0.25">
      <c r="A782">
        <v>5</v>
      </c>
      <c r="B782" t="b">
        <v>1</v>
      </c>
      <c r="C782" s="1">
        <v>42727</v>
      </c>
      <c r="D782">
        <f>YEAR(AMAZON_FASHION_5__2[[#This Row],[reviewDate]])</f>
        <v>2016</v>
      </c>
      <c r="E782" s="1" t="str">
        <f>TEXT(AMAZON_FASHION_5__2[[#This Row],[reviewDate]], "mmmm")</f>
        <v>December</v>
      </c>
      <c r="F782" t="s">
        <v>1140</v>
      </c>
      <c r="G782" t="s">
        <v>1445</v>
      </c>
      <c r="H782" t="s">
        <v>477</v>
      </c>
      <c r="I782" t="s">
        <v>574</v>
      </c>
      <c r="J782" t="s">
        <v>1141</v>
      </c>
      <c r="K782" t="s">
        <v>1142</v>
      </c>
      <c r="L782" t="s">
        <v>1143</v>
      </c>
      <c r="M782">
        <v>1482451200</v>
      </c>
      <c r="N782" t="s">
        <v>1628</v>
      </c>
      <c r="O782" t="s">
        <v>1628</v>
      </c>
      <c r="P782" t="s">
        <v>1628</v>
      </c>
      <c r="Q782">
        <f>LEN(AMAZON_FASHION_5__2[[#This Row],[reviewText]])</f>
        <v>198</v>
      </c>
      <c r="R782" t="str">
        <f>IF(AMAZON_FASHION_5__2[[#This Row],[overall]]&gt;=4,"Positive",IF(AMAZON_FASHION_5__2[[#This Row],[overall]]&lt;=2,"Negative","Neutral"))</f>
        <v>Positive</v>
      </c>
      <c r="S7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83" spans="1:19" x14ac:dyDescent="0.25">
      <c r="A783">
        <v>5</v>
      </c>
      <c r="B783" t="b">
        <v>1</v>
      </c>
      <c r="C783" s="1">
        <v>42726</v>
      </c>
      <c r="D783">
        <f>YEAR(AMAZON_FASHION_5__2[[#This Row],[reviewDate]])</f>
        <v>2016</v>
      </c>
      <c r="E783" s="1" t="str">
        <f>TEXT(AMAZON_FASHION_5__2[[#This Row],[reviewDate]], "mmmm")</f>
        <v>December</v>
      </c>
      <c r="F783" t="s">
        <v>1144</v>
      </c>
      <c r="G783" t="s">
        <v>1445</v>
      </c>
      <c r="H783" t="s">
        <v>1145</v>
      </c>
      <c r="I783" t="s">
        <v>411</v>
      </c>
      <c r="J783" t="s">
        <v>63</v>
      </c>
      <c r="K783" t="s">
        <v>1146</v>
      </c>
      <c r="L783" t="s">
        <v>17</v>
      </c>
      <c r="M783">
        <v>1482364800</v>
      </c>
      <c r="N783" t="s">
        <v>1628</v>
      </c>
      <c r="O783" t="s">
        <v>1628</v>
      </c>
      <c r="P783" t="s">
        <v>1628</v>
      </c>
      <c r="Q783">
        <f>LEN(AMAZON_FASHION_5__2[[#This Row],[reviewText]])</f>
        <v>105</v>
      </c>
      <c r="R783" t="str">
        <f>IF(AMAZON_FASHION_5__2[[#This Row],[overall]]&gt;=4,"Positive",IF(AMAZON_FASHION_5__2[[#This Row],[overall]]&lt;=2,"Negative","Neutral"))</f>
        <v>Positive</v>
      </c>
      <c r="S7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84" spans="1:19" x14ac:dyDescent="0.25">
      <c r="A784">
        <v>2</v>
      </c>
      <c r="B784" t="b">
        <v>1</v>
      </c>
      <c r="C784" s="1">
        <v>42720</v>
      </c>
      <c r="D784">
        <f>YEAR(AMAZON_FASHION_5__2[[#This Row],[reviewDate]])</f>
        <v>2016</v>
      </c>
      <c r="E784" s="1" t="str">
        <f>TEXT(AMAZON_FASHION_5__2[[#This Row],[reviewDate]], "mmmm")</f>
        <v>December</v>
      </c>
      <c r="F784" t="s">
        <v>1147</v>
      </c>
      <c r="G784" t="s">
        <v>1445</v>
      </c>
      <c r="H784" t="s">
        <v>201</v>
      </c>
      <c r="I784" t="s">
        <v>524</v>
      </c>
      <c r="J784" t="s">
        <v>1148</v>
      </c>
      <c r="K784" t="s">
        <v>1149</v>
      </c>
      <c r="L784" t="s">
        <v>1150</v>
      </c>
      <c r="M784">
        <v>1481846400</v>
      </c>
      <c r="N784" t="s">
        <v>1628</v>
      </c>
      <c r="O784" t="s">
        <v>1628</v>
      </c>
      <c r="P784" t="s">
        <v>1628</v>
      </c>
      <c r="Q784">
        <f>LEN(AMAZON_FASHION_5__2[[#This Row],[reviewText]])</f>
        <v>63</v>
      </c>
      <c r="R784" t="str">
        <f>IF(AMAZON_FASHION_5__2[[#This Row],[overall]]&gt;=4,"Positive",IF(AMAZON_FASHION_5__2[[#This Row],[overall]]&lt;=2,"Negative","Neutral"))</f>
        <v>Negative</v>
      </c>
      <c r="S7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85" spans="1:19" x14ac:dyDescent="0.25">
      <c r="A785">
        <v>1</v>
      </c>
      <c r="B785" t="b">
        <v>1</v>
      </c>
      <c r="C785" s="1">
        <v>42719</v>
      </c>
      <c r="D785">
        <f>YEAR(AMAZON_FASHION_5__2[[#This Row],[reviewDate]])</f>
        <v>2016</v>
      </c>
      <c r="E785" s="1" t="str">
        <f>TEXT(AMAZON_FASHION_5__2[[#This Row],[reviewDate]], "mmmm")</f>
        <v>December</v>
      </c>
      <c r="F785" t="s">
        <v>1151</v>
      </c>
      <c r="G785" t="s">
        <v>1445</v>
      </c>
      <c r="H785" t="s">
        <v>197</v>
      </c>
      <c r="I785" t="s">
        <v>1084</v>
      </c>
      <c r="J785" t="s">
        <v>63</v>
      </c>
      <c r="K785" t="s">
        <v>1152</v>
      </c>
      <c r="L785" t="s">
        <v>65</v>
      </c>
      <c r="M785">
        <v>1481760000</v>
      </c>
      <c r="N785" t="s">
        <v>1628</v>
      </c>
      <c r="O785" t="s">
        <v>1628</v>
      </c>
      <c r="P785" t="s">
        <v>1628</v>
      </c>
      <c r="Q785">
        <f>LEN(AMAZON_FASHION_5__2[[#This Row],[reviewText]])</f>
        <v>11</v>
      </c>
      <c r="R785" t="str">
        <f>IF(AMAZON_FASHION_5__2[[#This Row],[overall]]&gt;=4,"Positive",IF(AMAZON_FASHION_5__2[[#This Row],[overall]]&lt;=2,"Negative","Neutral"))</f>
        <v>Negative</v>
      </c>
      <c r="S7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86" spans="1:19" x14ac:dyDescent="0.25">
      <c r="A786">
        <v>5</v>
      </c>
      <c r="B786" t="b">
        <v>1</v>
      </c>
      <c r="C786" s="1">
        <v>42716</v>
      </c>
      <c r="D786">
        <f>YEAR(AMAZON_FASHION_5__2[[#This Row],[reviewDate]])</f>
        <v>2016</v>
      </c>
      <c r="E786" s="1" t="str">
        <f>TEXT(AMAZON_FASHION_5__2[[#This Row],[reviewDate]], "mmmm")</f>
        <v>December</v>
      </c>
      <c r="F786" t="s">
        <v>1153</v>
      </c>
      <c r="G786" t="s">
        <v>1445</v>
      </c>
      <c r="H786" t="s">
        <v>443</v>
      </c>
      <c r="I786" t="s">
        <v>336</v>
      </c>
      <c r="J786" t="s">
        <v>1154</v>
      </c>
      <c r="K786" t="s">
        <v>1155</v>
      </c>
      <c r="L786" t="s">
        <v>276</v>
      </c>
      <c r="M786">
        <v>1481500800</v>
      </c>
      <c r="N786" t="s">
        <v>1628</v>
      </c>
      <c r="O786" t="s">
        <v>1628</v>
      </c>
      <c r="P786" t="s">
        <v>1628</v>
      </c>
      <c r="Q786">
        <f>LEN(AMAZON_FASHION_5__2[[#This Row],[reviewText]])</f>
        <v>15</v>
      </c>
      <c r="R786" t="str">
        <f>IF(AMAZON_FASHION_5__2[[#This Row],[overall]]&gt;=4,"Positive",IF(AMAZON_FASHION_5__2[[#This Row],[overall]]&lt;=2,"Negative","Neutral"))</f>
        <v>Positive</v>
      </c>
      <c r="S7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87" spans="1:19" x14ac:dyDescent="0.25">
      <c r="A787">
        <v>5</v>
      </c>
      <c r="B787" t="b">
        <v>1</v>
      </c>
      <c r="C787" s="1">
        <v>42716</v>
      </c>
      <c r="D787">
        <f>YEAR(AMAZON_FASHION_5__2[[#This Row],[reviewDate]])</f>
        <v>2016</v>
      </c>
      <c r="E787" s="1" t="str">
        <f>TEXT(AMAZON_FASHION_5__2[[#This Row],[reviewDate]], "mmmm")</f>
        <v>December</v>
      </c>
      <c r="F787" t="s">
        <v>1156</v>
      </c>
      <c r="G787" t="s">
        <v>1445</v>
      </c>
      <c r="H787" t="s">
        <v>235</v>
      </c>
      <c r="I787" t="s">
        <v>198</v>
      </c>
      <c r="J787" t="s">
        <v>1157</v>
      </c>
      <c r="K787" t="s">
        <v>1158</v>
      </c>
      <c r="L787" t="s">
        <v>30</v>
      </c>
      <c r="M787">
        <v>1481500800</v>
      </c>
      <c r="N787" t="s">
        <v>1628</v>
      </c>
      <c r="O787" t="s">
        <v>1628</v>
      </c>
      <c r="P787">
        <v>3</v>
      </c>
      <c r="Q787">
        <f>LEN(AMAZON_FASHION_5__2[[#This Row],[reviewText]])</f>
        <v>362</v>
      </c>
      <c r="R787" t="str">
        <f>IF(AMAZON_FASHION_5__2[[#This Row],[overall]]&gt;=4,"Positive",IF(AMAZON_FASHION_5__2[[#This Row],[overall]]&lt;=2,"Negative","Neutral"))</f>
        <v>Positive</v>
      </c>
      <c r="S7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88" spans="1:19" x14ac:dyDescent="0.25">
      <c r="A788">
        <v>4</v>
      </c>
      <c r="B788" t="b">
        <v>1</v>
      </c>
      <c r="C788" s="1">
        <v>42712</v>
      </c>
      <c r="D788">
        <f>YEAR(AMAZON_FASHION_5__2[[#This Row],[reviewDate]])</f>
        <v>2016</v>
      </c>
      <c r="E788" s="1" t="str">
        <f>TEXT(AMAZON_FASHION_5__2[[#This Row],[reviewDate]], "mmmm")</f>
        <v>December</v>
      </c>
      <c r="F788" t="s">
        <v>1159</v>
      </c>
      <c r="G788" t="s">
        <v>1445</v>
      </c>
      <c r="H788" t="s">
        <v>197</v>
      </c>
      <c r="I788" t="s">
        <v>1084</v>
      </c>
      <c r="J788" t="s">
        <v>1160</v>
      </c>
      <c r="K788" t="s">
        <v>1161</v>
      </c>
      <c r="L788" t="s">
        <v>103</v>
      </c>
      <c r="M788">
        <v>1481155200</v>
      </c>
      <c r="N788" t="s">
        <v>1628</v>
      </c>
      <c r="O788" t="s">
        <v>1628</v>
      </c>
      <c r="P788" t="s">
        <v>1628</v>
      </c>
      <c r="Q788">
        <f>LEN(AMAZON_FASHION_5__2[[#This Row],[reviewText]])</f>
        <v>36</v>
      </c>
      <c r="R788" t="str">
        <f>IF(AMAZON_FASHION_5__2[[#This Row],[overall]]&gt;=4,"Positive",IF(AMAZON_FASHION_5__2[[#This Row],[overall]]&lt;=2,"Negative","Neutral"))</f>
        <v>Positive</v>
      </c>
      <c r="S7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89" spans="1:19" x14ac:dyDescent="0.25">
      <c r="A789">
        <v>4</v>
      </c>
      <c r="B789" t="b">
        <v>1</v>
      </c>
      <c r="C789" s="1">
        <v>42708</v>
      </c>
      <c r="D789">
        <f>YEAR(AMAZON_FASHION_5__2[[#This Row],[reviewDate]])</f>
        <v>2016</v>
      </c>
      <c r="E789" s="1" t="str">
        <f>TEXT(AMAZON_FASHION_5__2[[#This Row],[reviewDate]], "mmmm")</f>
        <v>December</v>
      </c>
      <c r="F789" t="s">
        <v>1162</v>
      </c>
      <c r="G789" t="s">
        <v>1445</v>
      </c>
      <c r="H789" t="s">
        <v>320</v>
      </c>
      <c r="I789" t="s">
        <v>827</v>
      </c>
      <c r="J789" t="s">
        <v>1163</v>
      </c>
      <c r="K789" t="s">
        <v>1164</v>
      </c>
      <c r="L789" t="s">
        <v>103</v>
      </c>
      <c r="M789">
        <v>1480809600</v>
      </c>
      <c r="N789" t="s">
        <v>1628</v>
      </c>
      <c r="O789" t="s">
        <v>1628</v>
      </c>
      <c r="P789" t="s">
        <v>1628</v>
      </c>
      <c r="Q789">
        <f>LEN(AMAZON_FASHION_5__2[[#This Row],[reviewText]])</f>
        <v>36</v>
      </c>
      <c r="R789" t="str">
        <f>IF(AMAZON_FASHION_5__2[[#This Row],[overall]]&gt;=4,"Positive",IF(AMAZON_FASHION_5__2[[#This Row],[overall]]&lt;=2,"Negative","Neutral"))</f>
        <v>Positive</v>
      </c>
      <c r="S7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90" spans="1:19" x14ac:dyDescent="0.25">
      <c r="A790">
        <v>4</v>
      </c>
      <c r="B790" t="b">
        <v>1</v>
      </c>
      <c r="C790" s="1">
        <v>42706</v>
      </c>
      <c r="D790">
        <f>YEAR(AMAZON_FASHION_5__2[[#This Row],[reviewDate]])</f>
        <v>2016</v>
      </c>
      <c r="E790" s="1" t="str">
        <f>TEXT(AMAZON_FASHION_5__2[[#This Row],[reviewDate]], "mmmm")</f>
        <v>December</v>
      </c>
      <c r="F790" t="s">
        <v>1165</v>
      </c>
      <c r="G790" t="s">
        <v>1445</v>
      </c>
      <c r="H790" t="s">
        <v>717</v>
      </c>
      <c r="I790" t="s">
        <v>336</v>
      </c>
      <c r="J790" t="s">
        <v>63</v>
      </c>
      <c r="K790" t="s">
        <v>1166</v>
      </c>
      <c r="L790" t="s">
        <v>103</v>
      </c>
      <c r="M790">
        <v>1480636800</v>
      </c>
      <c r="N790" t="s">
        <v>1628</v>
      </c>
      <c r="O790" t="s">
        <v>1628</v>
      </c>
      <c r="P790">
        <v>2</v>
      </c>
      <c r="Q790">
        <f>LEN(AMAZON_FASHION_5__2[[#This Row],[reviewText]])</f>
        <v>29</v>
      </c>
      <c r="R790" t="str">
        <f>IF(AMAZON_FASHION_5__2[[#This Row],[overall]]&gt;=4,"Positive",IF(AMAZON_FASHION_5__2[[#This Row],[overall]]&lt;=2,"Negative","Neutral"))</f>
        <v>Positive</v>
      </c>
      <c r="S7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91" spans="1:19" x14ac:dyDescent="0.25">
      <c r="A791">
        <v>5</v>
      </c>
      <c r="B791" t="b">
        <v>1</v>
      </c>
      <c r="C791" s="1">
        <v>42706</v>
      </c>
      <c r="D791">
        <f>YEAR(AMAZON_FASHION_5__2[[#This Row],[reviewDate]])</f>
        <v>2016</v>
      </c>
      <c r="E791" s="1" t="str">
        <f>TEXT(AMAZON_FASHION_5__2[[#This Row],[reviewDate]], "mmmm")</f>
        <v>December</v>
      </c>
      <c r="F791" t="s">
        <v>1167</v>
      </c>
      <c r="G791" t="s">
        <v>1445</v>
      </c>
      <c r="H791" t="s">
        <v>210</v>
      </c>
      <c r="I791" t="s">
        <v>198</v>
      </c>
      <c r="J791" t="s">
        <v>1168</v>
      </c>
      <c r="K791" t="s">
        <v>1169</v>
      </c>
      <c r="L791" t="s">
        <v>17</v>
      </c>
      <c r="M791">
        <v>1480636800</v>
      </c>
      <c r="N791" t="s">
        <v>1628</v>
      </c>
      <c r="O791" t="s">
        <v>1628</v>
      </c>
      <c r="P791" t="s">
        <v>1628</v>
      </c>
      <c r="Q791">
        <f>LEN(AMAZON_FASHION_5__2[[#This Row],[reviewText]])</f>
        <v>43</v>
      </c>
      <c r="R791" t="str">
        <f>IF(AMAZON_FASHION_5__2[[#This Row],[overall]]&gt;=4,"Positive",IF(AMAZON_FASHION_5__2[[#This Row],[overall]]&lt;=2,"Negative","Neutral"))</f>
        <v>Positive</v>
      </c>
      <c r="S7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92" spans="1:19" x14ac:dyDescent="0.25">
      <c r="A792">
        <v>5</v>
      </c>
      <c r="B792" t="b">
        <v>1</v>
      </c>
      <c r="C792" s="1">
        <v>42705</v>
      </c>
      <c r="D792">
        <f>YEAR(AMAZON_FASHION_5__2[[#This Row],[reviewDate]])</f>
        <v>2016</v>
      </c>
      <c r="E792" s="1" t="str">
        <f>TEXT(AMAZON_FASHION_5__2[[#This Row],[reviewDate]], "mmmm")</f>
        <v>December</v>
      </c>
      <c r="F792" t="s">
        <v>1170</v>
      </c>
      <c r="G792" t="s">
        <v>1445</v>
      </c>
      <c r="H792" t="s">
        <v>230</v>
      </c>
      <c r="I792" t="s">
        <v>396</v>
      </c>
      <c r="J792" t="s">
        <v>451</v>
      </c>
      <c r="K792" t="s">
        <v>1171</v>
      </c>
      <c r="L792" t="s">
        <v>17</v>
      </c>
      <c r="M792">
        <v>1480550400</v>
      </c>
      <c r="N792" t="s">
        <v>1628</v>
      </c>
      <c r="O792" t="s">
        <v>1628</v>
      </c>
      <c r="P792" t="s">
        <v>1628</v>
      </c>
      <c r="Q792">
        <f>LEN(AMAZON_FASHION_5__2[[#This Row],[reviewText]])</f>
        <v>93</v>
      </c>
      <c r="R792" t="str">
        <f>IF(AMAZON_FASHION_5__2[[#This Row],[overall]]&gt;=4,"Positive",IF(AMAZON_FASHION_5__2[[#This Row],[overall]]&lt;=2,"Negative","Neutral"))</f>
        <v>Positive</v>
      </c>
      <c r="S7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93" spans="1:19" x14ac:dyDescent="0.25">
      <c r="A793">
        <v>5</v>
      </c>
      <c r="B793" t="b">
        <v>1</v>
      </c>
      <c r="C793" s="1">
        <v>42702</v>
      </c>
      <c r="D793">
        <f>YEAR(AMAZON_FASHION_5__2[[#This Row],[reviewDate]])</f>
        <v>2016</v>
      </c>
      <c r="E793" s="1" t="str">
        <f>TEXT(AMAZON_FASHION_5__2[[#This Row],[reviewDate]], "mmmm")</f>
        <v>November</v>
      </c>
      <c r="F793" t="s">
        <v>1172</v>
      </c>
      <c r="G793" t="s">
        <v>1445</v>
      </c>
      <c r="H793" t="s">
        <v>230</v>
      </c>
      <c r="I793" t="s">
        <v>198</v>
      </c>
      <c r="J793" t="s">
        <v>1076</v>
      </c>
      <c r="K793" t="s">
        <v>1173</v>
      </c>
      <c r="L793" t="s">
        <v>17</v>
      </c>
      <c r="M793">
        <v>1480291200</v>
      </c>
      <c r="N793" t="s">
        <v>1628</v>
      </c>
      <c r="O793" t="s">
        <v>1628</v>
      </c>
      <c r="P793" t="s">
        <v>1628</v>
      </c>
      <c r="Q793">
        <f>LEN(AMAZON_FASHION_5__2[[#This Row],[reviewText]])</f>
        <v>90</v>
      </c>
      <c r="R793" t="str">
        <f>IF(AMAZON_FASHION_5__2[[#This Row],[overall]]&gt;=4,"Positive",IF(AMAZON_FASHION_5__2[[#This Row],[overall]]&lt;=2,"Negative","Neutral"))</f>
        <v>Positive</v>
      </c>
      <c r="S7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94" spans="1:19" x14ac:dyDescent="0.25">
      <c r="A794">
        <v>5</v>
      </c>
      <c r="B794" t="b">
        <v>1</v>
      </c>
      <c r="C794" s="1">
        <v>42701</v>
      </c>
      <c r="D794">
        <f>YEAR(AMAZON_FASHION_5__2[[#This Row],[reviewDate]])</f>
        <v>2016</v>
      </c>
      <c r="E794" s="1" t="str">
        <f>TEXT(AMAZON_FASHION_5__2[[#This Row],[reviewDate]], "mmmm")</f>
        <v>November</v>
      </c>
      <c r="F794" t="s">
        <v>1174</v>
      </c>
      <c r="G794" t="s">
        <v>1445</v>
      </c>
      <c r="H794" t="s">
        <v>477</v>
      </c>
      <c r="I794" t="s">
        <v>849</v>
      </c>
      <c r="J794" t="s">
        <v>1175</v>
      </c>
      <c r="K794" t="s">
        <v>1176</v>
      </c>
      <c r="L794" t="s">
        <v>877</v>
      </c>
      <c r="M794">
        <v>1480204800</v>
      </c>
      <c r="N794" t="s">
        <v>1628</v>
      </c>
      <c r="O794" t="s">
        <v>1628</v>
      </c>
      <c r="P794" t="s">
        <v>1628</v>
      </c>
      <c r="Q794">
        <f>LEN(AMAZON_FASHION_5__2[[#This Row],[reviewText]])</f>
        <v>338</v>
      </c>
      <c r="R794" t="str">
        <f>IF(AMAZON_FASHION_5__2[[#This Row],[overall]]&gt;=4,"Positive",IF(AMAZON_FASHION_5__2[[#This Row],[overall]]&lt;=2,"Negative","Neutral"))</f>
        <v>Positive</v>
      </c>
      <c r="S7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95" spans="1:19" x14ac:dyDescent="0.25">
      <c r="A795">
        <v>5</v>
      </c>
      <c r="B795" t="b">
        <v>1</v>
      </c>
      <c r="C795" s="1">
        <v>42697</v>
      </c>
      <c r="D795">
        <f>YEAR(AMAZON_FASHION_5__2[[#This Row],[reviewDate]])</f>
        <v>2016</v>
      </c>
      <c r="E795" s="1" t="str">
        <f>TEXT(AMAZON_FASHION_5__2[[#This Row],[reviewDate]], "mmmm")</f>
        <v>November</v>
      </c>
      <c r="F795" t="s">
        <v>1177</v>
      </c>
      <c r="G795" t="s">
        <v>1445</v>
      </c>
      <c r="H795" t="s">
        <v>201</v>
      </c>
      <c r="I795" t="s">
        <v>198</v>
      </c>
      <c r="J795" t="s">
        <v>1178</v>
      </c>
      <c r="K795" t="s">
        <v>1179</v>
      </c>
      <c r="L795" t="s">
        <v>1180</v>
      </c>
      <c r="M795">
        <v>1479859200</v>
      </c>
      <c r="N795" t="s">
        <v>1628</v>
      </c>
      <c r="O795" t="s">
        <v>1628</v>
      </c>
      <c r="P795" t="s">
        <v>1628</v>
      </c>
      <c r="Q795">
        <f>LEN(AMAZON_FASHION_5__2[[#This Row],[reviewText]])</f>
        <v>76</v>
      </c>
      <c r="R795" t="str">
        <f>IF(AMAZON_FASHION_5__2[[#This Row],[overall]]&gt;=4,"Positive",IF(AMAZON_FASHION_5__2[[#This Row],[overall]]&lt;=2,"Negative","Neutral"))</f>
        <v>Positive</v>
      </c>
      <c r="S7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96" spans="1:19" x14ac:dyDescent="0.25">
      <c r="A796">
        <v>4</v>
      </c>
      <c r="B796" t="b">
        <v>0</v>
      </c>
      <c r="C796" s="1">
        <v>42695</v>
      </c>
      <c r="D796">
        <f>YEAR(AMAZON_FASHION_5__2[[#This Row],[reviewDate]])</f>
        <v>2016</v>
      </c>
      <c r="E796" s="1" t="str">
        <f>TEXT(AMAZON_FASHION_5__2[[#This Row],[reviewDate]], "mmmm")</f>
        <v>November</v>
      </c>
      <c r="F796" t="s">
        <v>1181</v>
      </c>
      <c r="G796" t="s">
        <v>1445</v>
      </c>
      <c r="H796" t="s">
        <v>320</v>
      </c>
      <c r="I796" t="s">
        <v>574</v>
      </c>
      <c r="J796" t="s">
        <v>1182</v>
      </c>
      <c r="K796" t="s">
        <v>1183</v>
      </c>
      <c r="L796" t="s">
        <v>1184</v>
      </c>
      <c r="M796">
        <v>1479686400</v>
      </c>
      <c r="N796" t="s">
        <v>1628</v>
      </c>
      <c r="O796" t="s">
        <v>1628</v>
      </c>
      <c r="P796" t="s">
        <v>1628</v>
      </c>
      <c r="Q796">
        <f>LEN(AMAZON_FASHION_5__2[[#This Row],[reviewText]])</f>
        <v>767</v>
      </c>
      <c r="R796" t="str">
        <f>IF(AMAZON_FASHION_5__2[[#This Row],[overall]]&gt;=4,"Positive",IF(AMAZON_FASHION_5__2[[#This Row],[overall]]&lt;=2,"Negative","Neutral"))</f>
        <v>Positive</v>
      </c>
      <c r="S7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97" spans="1:19" x14ac:dyDescent="0.25">
      <c r="A797">
        <v>4</v>
      </c>
      <c r="B797" t="b">
        <v>1</v>
      </c>
      <c r="C797" s="1">
        <v>42690</v>
      </c>
      <c r="D797">
        <f>YEAR(AMAZON_FASHION_5__2[[#This Row],[reviewDate]])</f>
        <v>2016</v>
      </c>
      <c r="E797" s="1" t="str">
        <f>TEXT(AMAZON_FASHION_5__2[[#This Row],[reviewDate]], "mmmm")</f>
        <v>November</v>
      </c>
      <c r="F797" t="s">
        <v>1185</v>
      </c>
      <c r="G797" t="s">
        <v>1445</v>
      </c>
      <c r="H797" t="s">
        <v>230</v>
      </c>
      <c r="I797" t="s">
        <v>396</v>
      </c>
      <c r="J797" t="s">
        <v>1186</v>
      </c>
      <c r="K797" t="s">
        <v>1187</v>
      </c>
      <c r="L797" t="s">
        <v>103</v>
      </c>
      <c r="M797">
        <v>1479254400</v>
      </c>
      <c r="N797" t="s">
        <v>1628</v>
      </c>
      <c r="O797" t="s">
        <v>1628</v>
      </c>
      <c r="P797" t="s">
        <v>1628</v>
      </c>
      <c r="Q797">
        <f>LEN(AMAZON_FASHION_5__2[[#This Row],[reviewText]])</f>
        <v>49</v>
      </c>
      <c r="R797" t="str">
        <f>IF(AMAZON_FASHION_5__2[[#This Row],[overall]]&gt;=4,"Positive",IF(AMAZON_FASHION_5__2[[#This Row],[overall]]&lt;=2,"Negative","Neutral"))</f>
        <v>Positive</v>
      </c>
      <c r="S7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98" spans="1:19" x14ac:dyDescent="0.25">
      <c r="A798">
        <v>5</v>
      </c>
      <c r="B798" t="b">
        <v>1</v>
      </c>
      <c r="C798" s="1">
        <v>42690</v>
      </c>
      <c r="D798">
        <f>YEAR(AMAZON_FASHION_5__2[[#This Row],[reviewDate]])</f>
        <v>2016</v>
      </c>
      <c r="E798" s="1" t="str">
        <f>TEXT(AMAZON_FASHION_5__2[[#This Row],[reviewDate]], "mmmm")</f>
        <v>November</v>
      </c>
      <c r="F798" t="s">
        <v>1188</v>
      </c>
      <c r="G798" t="s">
        <v>1445</v>
      </c>
      <c r="H798" t="s">
        <v>230</v>
      </c>
      <c r="I798" t="s">
        <v>198</v>
      </c>
      <c r="J798" t="s">
        <v>63</v>
      </c>
      <c r="K798" t="s">
        <v>1189</v>
      </c>
      <c r="L798" t="s">
        <v>17</v>
      </c>
      <c r="M798">
        <v>1479254400</v>
      </c>
      <c r="N798" t="s">
        <v>1628</v>
      </c>
      <c r="O798" t="s">
        <v>1628</v>
      </c>
      <c r="P798" t="s">
        <v>1628</v>
      </c>
      <c r="Q798">
        <f>LEN(AMAZON_FASHION_5__2[[#This Row],[reviewText]])</f>
        <v>9</v>
      </c>
      <c r="R798" t="str">
        <f>IF(AMAZON_FASHION_5__2[[#This Row],[overall]]&gt;=4,"Positive",IF(AMAZON_FASHION_5__2[[#This Row],[overall]]&lt;=2,"Negative","Neutral"))</f>
        <v>Positive</v>
      </c>
      <c r="S7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799" spans="1:19" x14ac:dyDescent="0.25">
      <c r="A799">
        <v>3</v>
      </c>
      <c r="B799" t="b">
        <v>1</v>
      </c>
      <c r="C799" s="1">
        <v>42688</v>
      </c>
      <c r="D799">
        <f>YEAR(AMAZON_FASHION_5__2[[#This Row],[reviewDate]])</f>
        <v>2016</v>
      </c>
      <c r="E799" s="1" t="str">
        <f>TEXT(AMAZON_FASHION_5__2[[#This Row],[reviewDate]], "mmmm")</f>
        <v>November</v>
      </c>
      <c r="F799" t="s">
        <v>1190</v>
      </c>
      <c r="G799" t="s">
        <v>1445</v>
      </c>
      <c r="H799" t="s">
        <v>201</v>
      </c>
      <c r="I799" t="s">
        <v>524</v>
      </c>
      <c r="J799" t="s">
        <v>1191</v>
      </c>
      <c r="K799" t="s">
        <v>1192</v>
      </c>
      <c r="L799" t="s">
        <v>1193</v>
      </c>
      <c r="M799">
        <v>1479081600</v>
      </c>
      <c r="N799" t="s">
        <v>1628</v>
      </c>
      <c r="O799" t="s">
        <v>1628</v>
      </c>
      <c r="P799" t="s">
        <v>1628</v>
      </c>
      <c r="Q799">
        <f>LEN(AMAZON_FASHION_5__2[[#This Row],[reviewText]])</f>
        <v>92</v>
      </c>
      <c r="R799" t="str">
        <f>IF(AMAZON_FASHION_5__2[[#This Row],[overall]]&gt;=4,"Positive",IF(AMAZON_FASHION_5__2[[#This Row],[overall]]&lt;=2,"Negative","Neutral"))</f>
        <v>Neutral</v>
      </c>
      <c r="S7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00" spans="1:19" x14ac:dyDescent="0.25">
      <c r="A800">
        <v>5</v>
      </c>
      <c r="B800" t="b">
        <v>1</v>
      </c>
      <c r="C800" s="1">
        <v>42685</v>
      </c>
      <c r="D800">
        <f>YEAR(AMAZON_FASHION_5__2[[#This Row],[reviewDate]])</f>
        <v>2016</v>
      </c>
      <c r="E800" s="1" t="str">
        <f>TEXT(AMAZON_FASHION_5__2[[#This Row],[reviewDate]], "mmmm")</f>
        <v>November</v>
      </c>
      <c r="F800" t="s">
        <v>1194</v>
      </c>
      <c r="G800" t="s">
        <v>1445</v>
      </c>
      <c r="H800" t="s">
        <v>235</v>
      </c>
      <c r="I800" t="s">
        <v>303</v>
      </c>
      <c r="J800" t="s">
        <v>1195</v>
      </c>
      <c r="K800" t="s">
        <v>1196</v>
      </c>
      <c r="L800" t="s">
        <v>1197</v>
      </c>
      <c r="M800">
        <v>1478822400</v>
      </c>
      <c r="N800" t="s">
        <v>1628</v>
      </c>
      <c r="O800" t="s">
        <v>1628</v>
      </c>
      <c r="P800" t="s">
        <v>1628</v>
      </c>
      <c r="Q800">
        <f>LEN(AMAZON_FASHION_5__2[[#This Row],[reviewText]])</f>
        <v>133</v>
      </c>
      <c r="R800" t="str">
        <f>IF(AMAZON_FASHION_5__2[[#This Row],[overall]]&gt;=4,"Positive",IF(AMAZON_FASHION_5__2[[#This Row],[overall]]&lt;=2,"Negative","Neutral"))</f>
        <v>Positive</v>
      </c>
      <c r="S8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01" spans="1:19" x14ac:dyDescent="0.25">
      <c r="A801">
        <v>4</v>
      </c>
      <c r="B801" t="b">
        <v>1</v>
      </c>
      <c r="C801" s="1">
        <v>42685</v>
      </c>
      <c r="D801">
        <f>YEAR(AMAZON_FASHION_5__2[[#This Row],[reviewDate]])</f>
        <v>2016</v>
      </c>
      <c r="E801" s="1" t="str">
        <f>TEXT(AMAZON_FASHION_5__2[[#This Row],[reviewDate]], "mmmm")</f>
        <v>November</v>
      </c>
      <c r="F801" t="s">
        <v>1198</v>
      </c>
      <c r="G801" t="s">
        <v>1445</v>
      </c>
      <c r="H801" t="s">
        <v>205</v>
      </c>
      <c r="I801" t="s">
        <v>396</v>
      </c>
      <c r="J801" t="s">
        <v>1199</v>
      </c>
      <c r="K801" t="s">
        <v>1200</v>
      </c>
      <c r="L801" t="s">
        <v>103</v>
      </c>
      <c r="M801">
        <v>1478822400</v>
      </c>
      <c r="N801" t="s">
        <v>1628</v>
      </c>
      <c r="O801" t="s">
        <v>1628</v>
      </c>
      <c r="P801" t="s">
        <v>1628</v>
      </c>
      <c r="Q801">
        <f>LEN(AMAZON_FASHION_5__2[[#This Row],[reviewText]])</f>
        <v>25</v>
      </c>
      <c r="R801" t="str">
        <f>IF(AMAZON_FASHION_5__2[[#This Row],[overall]]&gt;=4,"Positive",IF(AMAZON_FASHION_5__2[[#This Row],[overall]]&lt;=2,"Negative","Neutral"))</f>
        <v>Positive</v>
      </c>
      <c r="S8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02" spans="1:19" x14ac:dyDescent="0.25">
      <c r="A802">
        <v>5</v>
      </c>
      <c r="B802" t="b">
        <v>1</v>
      </c>
      <c r="C802" s="1">
        <v>42683</v>
      </c>
      <c r="D802">
        <f>YEAR(AMAZON_FASHION_5__2[[#This Row],[reviewDate]])</f>
        <v>2016</v>
      </c>
      <c r="E802" s="1" t="str">
        <f>TEXT(AMAZON_FASHION_5__2[[#This Row],[reviewDate]], "mmmm")</f>
        <v>November</v>
      </c>
      <c r="F802" t="s">
        <v>1201</v>
      </c>
      <c r="G802" t="s">
        <v>1445</v>
      </c>
      <c r="H802" t="s">
        <v>197</v>
      </c>
      <c r="I802" t="s">
        <v>198</v>
      </c>
      <c r="J802" t="s">
        <v>63</v>
      </c>
      <c r="K802" t="s">
        <v>1202</v>
      </c>
      <c r="L802" t="s">
        <v>1203</v>
      </c>
      <c r="M802">
        <v>1478649600</v>
      </c>
      <c r="N802" t="s">
        <v>1628</v>
      </c>
      <c r="O802" t="s">
        <v>1628</v>
      </c>
      <c r="P802" t="s">
        <v>1628</v>
      </c>
      <c r="Q802">
        <f>LEN(AMAZON_FASHION_5__2[[#This Row],[reviewText]])</f>
        <v>64</v>
      </c>
      <c r="R802" t="str">
        <f>IF(AMAZON_FASHION_5__2[[#This Row],[overall]]&gt;=4,"Positive",IF(AMAZON_FASHION_5__2[[#This Row],[overall]]&lt;=2,"Negative","Neutral"))</f>
        <v>Positive</v>
      </c>
      <c r="S8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03" spans="1:19" x14ac:dyDescent="0.25">
      <c r="A803">
        <v>4</v>
      </c>
      <c r="B803" t="b">
        <v>1</v>
      </c>
      <c r="C803" s="1">
        <v>42682</v>
      </c>
      <c r="D803">
        <f>YEAR(AMAZON_FASHION_5__2[[#This Row],[reviewDate]])</f>
        <v>2016</v>
      </c>
      <c r="E803" s="1" t="str">
        <f>TEXT(AMAZON_FASHION_5__2[[#This Row],[reviewDate]], "mmmm")</f>
        <v>November</v>
      </c>
      <c r="F803" t="s">
        <v>1204</v>
      </c>
      <c r="G803" t="s">
        <v>1445</v>
      </c>
      <c r="H803" t="s">
        <v>320</v>
      </c>
      <c r="I803" t="s">
        <v>827</v>
      </c>
      <c r="J803" t="s">
        <v>1205</v>
      </c>
      <c r="K803" t="s">
        <v>1206</v>
      </c>
      <c r="L803" t="s">
        <v>1207</v>
      </c>
      <c r="M803">
        <v>1478563200</v>
      </c>
      <c r="N803" t="s">
        <v>1628</v>
      </c>
      <c r="O803" t="s">
        <v>1628</v>
      </c>
      <c r="P803" t="s">
        <v>1628</v>
      </c>
      <c r="Q803">
        <f>LEN(AMAZON_FASHION_5__2[[#This Row],[reviewText]])</f>
        <v>83</v>
      </c>
      <c r="R803" t="str">
        <f>IF(AMAZON_FASHION_5__2[[#This Row],[overall]]&gt;=4,"Positive",IF(AMAZON_FASHION_5__2[[#This Row],[overall]]&lt;=2,"Negative","Neutral"))</f>
        <v>Positive</v>
      </c>
      <c r="S8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04" spans="1:19" x14ac:dyDescent="0.25">
      <c r="A804">
        <v>5</v>
      </c>
      <c r="B804" t="b">
        <v>1</v>
      </c>
      <c r="C804" s="1">
        <v>42681</v>
      </c>
      <c r="D804">
        <f>YEAR(AMAZON_FASHION_5__2[[#This Row],[reviewDate]])</f>
        <v>2016</v>
      </c>
      <c r="E804" s="1" t="str">
        <f>TEXT(AMAZON_FASHION_5__2[[#This Row],[reviewDate]], "mmmm")</f>
        <v>November</v>
      </c>
      <c r="F804" t="s">
        <v>1208</v>
      </c>
      <c r="G804" t="s">
        <v>1445</v>
      </c>
      <c r="H804" t="s">
        <v>477</v>
      </c>
      <c r="I804" t="s">
        <v>198</v>
      </c>
      <c r="J804" t="s">
        <v>1209</v>
      </c>
      <c r="K804" t="s">
        <v>1210</v>
      </c>
      <c r="L804" t="s">
        <v>1211</v>
      </c>
      <c r="M804">
        <v>1478476800</v>
      </c>
      <c r="N804" t="s">
        <v>1628</v>
      </c>
      <c r="O804" t="s">
        <v>1628</v>
      </c>
      <c r="P804">
        <v>3</v>
      </c>
      <c r="Q804">
        <f>LEN(AMAZON_FASHION_5__2[[#This Row],[reviewText]])</f>
        <v>235</v>
      </c>
      <c r="R804" t="str">
        <f>IF(AMAZON_FASHION_5__2[[#This Row],[overall]]&gt;=4,"Positive",IF(AMAZON_FASHION_5__2[[#This Row],[overall]]&lt;=2,"Negative","Neutral"))</f>
        <v>Positive</v>
      </c>
      <c r="S8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05" spans="1:19" x14ac:dyDescent="0.25">
      <c r="A805">
        <v>3</v>
      </c>
      <c r="B805" t="b">
        <v>1</v>
      </c>
      <c r="C805" s="1">
        <v>42680</v>
      </c>
      <c r="D805">
        <f>YEAR(AMAZON_FASHION_5__2[[#This Row],[reviewDate]])</f>
        <v>2016</v>
      </c>
      <c r="E805" s="1" t="str">
        <f>TEXT(AMAZON_FASHION_5__2[[#This Row],[reviewDate]], "mmmm")</f>
        <v>November</v>
      </c>
      <c r="F805" t="s">
        <v>1212</v>
      </c>
      <c r="G805" t="s">
        <v>1445</v>
      </c>
      <c r="H805" t="s">
        <v>230</v>
      </c>
      <c r="I805" t="s">
        <v>827</v>
      </c>
      <c r="J805" t="s">
        <v>1213</v>
      </c>
      <c r="K805" t="s">
        <v>1214</v>
      </c>
      <c r="L805" t="s">
        <v>1215</v>
      </c>
      <c r="M805">
        <v>1478390400</v>
      </c>
      <c r="N805" t="s">
        <v>1628</v>
      </c>
      <c r="O805" t="s">
        <v>1628</v>
      </c>
      <c r="P805" t="s">
        <v>1628</v>
      </c>
      <c r="Q805">
        <f>LEN(AMAZON_FASHION_5__2[[#This Row],[reviewText]])</f>
        <v>115</v>
      </c>
      <c r="R805" t="str">
        <f>IF(AMAZON_FASHION_5__2[[#This Row],[overall]]&gt;=4,"Positive",IF(AMAZON_FASHION_5__2[[#This Row],[overall]]&lt;=2,"Negative","Neutral"))</f>
        <v>Neutral</v>
      </c>
      <c r="S8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06" spans="1:19" x14ac:dyDescent="0.25">
      <c r="A806">
        <v>3</v>
      </c>
      <c r="B806" t="b">
        <v>1</v>
      </c>
      <c r="C806" s="1">
        <v>42673</v>
      </c>
      <c r="D806">
        <f>YEAR(AMAZON_FASHION_5__2[[#This Row],[reviewDate]])</f>
        <v>2016</v>
      </c>
      <c r="E806" s="1" t="str">
        <f>TEXT(AMAZON_FASHION_5__2[[#This Row],[reviewDate]], "mmmm")</f>
        <v>October</v>
      </c>
      <c r="F806" t="s">
        <v>1216</v>
      </c>
      <c r="G806" t="s">
        <v>1445</v>
      </c>
      <c r="H806" t="s">
        <v>477</v>
      </c>
      <c r="I806" t="s">
        <v>396</v>
      </c>
      <c r="J806" t="s">
        <v>1217</v>
      </c>
      <c r="K806" t="s">
        <v>1218</v>
      </c>
      <c r="L806" t="s">
        <v>1219</v>
      </c>
      <c r="M806">
        <v>1477785600</v>
      </c>
      <c r="N806" t="s">
        <v>1628</v>
      </c>
      <c r="O806" t="s">
        <v>1628</v>
      </c>
      <c r="P806" t="s">
        <v>1628</v>
      </c>
      <c r="Q806">
        <f>LEN(AMAZON_FASHION_5__2[[#This Row],[reviewText]])</f>
        <v>228</v>
      </c>
      <c r="R806" t="str">
        <f>IF(AMAZON_FASHION_5__2[[#This Row],[overall]]&gt;=4,"Positive",IF(AMAZON_FASHION_5__2[[#This Row],[overall]]&lt;=2,"Negative","Neutral"))</f>
        <v>Neutral</v>
      </c>
      <c r="S8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07" spans="1:19" x14ac:dyDescent="0.25">
      <c r="A807">
        <v>5</v>
      </c>
      <c r="B807" t="b">
        <v>1</v>
      </c>
      <c r="C807" s="1">
        <v>42672</v>
      </c>
      <c r="D807">
        <f>YEAR(AMAZON_FASHION_5__2[[#This Row],[reviewDate]])</f>
        <v>2016</v>
      </c>
      <c r="E807" s="1" t="str">
        <f>TEXT(AMAZON_FASHION_5__2[[#This Row],[reviewDate]], "mmmm")</f>
        <v>October</v>
      </c>
      <c r="F807" t="s">
        <v>1220</v>
      </c>
      <c r="G807" t="s">
        <v>1445</v>
      </c>
      <c r="H807" t="s">
        <v>210</v>
      </c>
      <c r="I807" t="s">
        <v>274</v>
      </c>
      <c r="J807" t="s">
        <v>1221</v>
      </c>
      <c r="K807" t="s">
        <v>1222</v>
      </c>
      <c r="L807" t="s">
        <v>1223</v>
      </c>
      <c r="M807">
        <v>1477699200</v>
      </c>
      <c r="N807" t="s">
        <v>1628</v>
      </c>
      <c r="O807" t="s">
        <v>1628</v>
      </c>
      <c r="P807" t="s">
        <v>1628</v>
      </c>
      <c r="Q807">
        <f>LEN(AMAZON_FASHION_5__2[[#This Row],[reviewText]])</f>
        <v>59</v>
      </c>
      <c r="R807" t="str">
        <f>IF(AMAZON_FASHION_5__2[[#This Row],[overall]]&gt;=4,"Positive",IF(AMAZON_FASHION_5__2[[#This Row],[overall]]&lt;=2,"Negative","Neutral"))</f>
        <v>Positive</v>
      </c>
      <c r="S8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08" spans="1:19" x14ac:dyDescent="0.25">
      <c r="A808">
        <v>3</v>
      </c>
      <c r="B808" t="b">
        <v>1</v>
      </c>
      <c r="C808" s="1">
        <v>42669</v>
      </c>
      <c r="D808">
        <f>YEAR(AMAZON_FASHION_5__2[[#This Row],[reviewDate]])</f>
        <v>2016</v>
      </c>
      <c r="E808" s="1" t="str">
        <f>TEXT(AMAZON_FASHION_5__2[[#This Row],[reviewDate]], "mmmm")</f>
        <v>October</v>
      </c>
      <c r="F808" t="s">
        <v>1224</v>
      </c>
      <c r="G808" t="s">
        <v>1445</v>
      </c>
      <c r="H808" t="s">
        <v>230</v>
      </c>
      <c r="I808" t="s">
        <v>198</v>
      </c>
      <c r="J808" t="s">
        <v>1225</v>
      </c>
      <c r="K808" t="s">
        <v>1226</v>
      </c>
      <c r="L808" t="s">
        <v>1227</v>
      </c>
      <c r="M808">
        <v>1477440000</v>
      </c>
      <c r="N808" t="s">
        <v>1628</v>
      </c>
      <c r="O808" t="s">
        <v>1628</v>
      </c>
      <c r="P808" t="s">
        <v>1628</v>
      </c>
      <c r="Q808">
        <f>LEN(AMAZON_FASHION_5__2[[#This Row],[reviewText]])</f>
        <v>333</v>
      </c>
      <c r="R808" t="str">
        <f>IF(AMAZON_FASHION_5__2[[#This Row],[overall]]&gt;=4,"Positive",IF(AMAZON_FASHION_5__2[[#This Row],[overall]]&lt;=2,"Negative","Neutral"))</f>
        <v>Neutral</v>
      </c>
      <c r="S8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09" spans="1:19" x14ac:dyDescent="0.25">
      <c r="A809">
        <v>5</v>
      </c>
      <c r="B809" t="b">
        <v>1</v>
      </c>
      <c r="C809" s="1">
        <v>42668</v>
      </c>
      <c r="D809">
        <f>YEAR(AMAZON_FASHION_5__2[[#This Row],[reviewDate]])</f>
        <v>2016</v>
      </c>
      <c r="E809" s="1" t="str">
        <f>TEXT(AMAZON_FASHION_5__2[[#This Row],[reviewDate]], "mmmm")</f>
        <v>October</v>
      </c>
      <c r="F809" t="s">
        <v>1228</v>
      </c>
      <c r="G809" t="s">
        <v>1445</v>
      </c>
      <c r="H809" t="s">
        <v>261</v>
      </c>
      <c r="I809" t="s">
        <v>1455</v>
      </c>
      <c r="J809" t="s">
        <v>1229</v>
      </c>
      <c r="K809" t="s">
        <v>1230</v>
      </c>
      <c r="L809" t="s">
        <v>17</v>
      </c>
      <c r="M809">
        <v>1477353600</v>
      </c>
      <c r="N809" t="s">
        <v>1628</v>
      </c>
      <c r="O809" t="s">
        <v>1628</v>
      </c>
      <c r="P809" t="s">
        <v>1628</v>
      </c>
      <c r="Q809">
        <f>LEN(AMAZON_FASHION_5__2[[#This Row],[reviewText]])</f>
        <v>33</v>
      </c>
      <c r="R809" t="str">
        <f>IF(AMAZON_FASHION_5__2[[#This Row],[overall]]&gt;=4,"Positive",IF(AMAZON_FASHION_5__2[[#This Row],[overall]]&lt;=2,"Negative","Neutral"))</f>
        <v>Positive</v>
      </c>
      <c r="S8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10" spans="1:19" x14ac:dyDescent="0.25">
      <c r="A810">
        <v>5</v>
      </c>
      <c r="B810" t="b">
        <v>0</v>
      </c>
      <c r="C810" s="1">
        <v>42667</v>
      </c>
      <c r="D810">
        <f>YEAR(AMAZON_FASHION_5__2[[#This Row],[reviewDate]])</f>
        <v>2016</v>
      </c>
      <c r="E810" s="1" t="str">
        <f>TEXT(AMAZON_FASHION_5__2[[#This Row],[reviewDate]], "mmmm")</f>
        <v>October</v>
      </c>
      <c r="F810" t="s">
        <v>1231</v>
      </c>
      <c r="G810" t="s">
        <v>1445</v>
      </c>
      <c r="H810" t="s">
        <v>197</v>
      </c>
      <c r="I810" t="s">
        <v>419</v>
      </c>
      <c r="J810" t="s">
        <v>63</v>
      </c>
      <c r="K810" t="s">
        <v>1232</v>
      </c>
      <c r="L810" t="s">
        <v>1233</v>
      </c>
      <c r="M810">
        <v>1477267200</v>
      </c>
      <c r="N810" t="s">
        <v>1628</v>
      </c>
      <c r="O810" t="s">
        <v>1628</v>
      </c>
      <c r="P810" t="s">
        <v>1628</v>
      </c>
      <c r="Q810">
        <f>LEN(AMAZON_FASHION_5__2[[#This Row],[reviewText]])</f>
        <v>86</v>
      </c>
      <c r="R810" t="str">
        <f>IF(AMAZON_FASHION_5__2[[#This Row],[overall]]&gt;=4,"Positive",IF(AMAZON_FASHION_5__2[[#This Row],[overall]]&lt;=2,"Negative","Neutral"))</f>
        <v>Positive</v>
      </c>
      <c r="S8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11" spans="1:19" x14ac:dyDescent="0.25">
      <c r="A811">
        <v>5</v>
      </c>
      <c r="B811" t="b">
        <v>1</v>
      </c>
      <c r="C811" s="1">
        <v>42667</v>
      </c>
      <c r="D811">
        <f>YEAR(AMAZON_FASHION_5__2[[#This Row],[reviewDate]])</f>
        <v>2016</v>
      </c>
      <c r="E811" s="1" t="str">
        <f>TEXT(AMAZON_FASHION_5__2[[#This Row],[reviewDate]], "mmmm")</f>
        <v>October</v>
      </c>
      <c r="F811" t="s">
        <v>1234</v>
      </c>
      <c r="G811" t="s">
        <v>1445</v>
      </c>
      <c r="H811" t="s">
        <v>197</v>
      </c>
      <c r="I811" t="s">
        <v>493</v>
      </c>
      <c r="J811" t="s">
        <v>1235</v>
      </c>
      <c r="K811" t="s">
        <v>1236</v>
      </c>
      <c r="L811" t="s">
        <v>17</v>
      </c>
      <c r="M811">
        <v>1477267200</v>
      </c>
      <c r="N811" t="s">
        <v>1628</v>
      </c>
      <c r="O811" t="s">
        <v>1628</v>
      </c>
      <c r="P811" t="s">
        <v>1628</v>
      </c>
      <c r="Q811">
        <f>LEN(AMAZON_FASHION_5__2[[#This Row],[reviewText]])</f>
        <v>24</v>
      </c>
      <c r="R811" t="str">
        <f>IF(AMAZON_FASHION_5__2[[#This Row],[overall]]&gt;=4,"Positive",IF(AMAZON_FASHION_5__2[[#This Row],[overall]]&lt;=2,"Negative","Neutral"))</f>
        <v>Positive</v>
      </c>
      <c r="S8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12" spans="1:19" x14ac:dyDescent="0.25">
      <c r="A812">
        <v>5</v>
      </c>
      <c r="B812" t="b">
        <v>1</v>
      </c>
      <c r="C812" s="1">
        <v>42662</v>
      </c>
      <c r="D812">
        <f>YEAR(AMAZON_FASHION_5__2[[#This Row],[reviewDate]])</f>
        <v>2016</v>
      </c>
      <c r="E812" s="1" t="str">
        <f>TEXT(AMAZON_FASHION_5__2[[#This Row],[reviewDate]], "mmmm")</f>
        <v>October</v>
      </c>
      <c r="F812" t="s">
        <v>1237</v>
      </c>
      <c r="G812" t="s">
        <v>1445</v>
      </c>
      <c r="H812" t="s">
        <v>320</v>
      </c>
      <c r="I812" t="s">
        <v>198</v>
      </c>
      <c r="J812" t="s">
        <v>63</v>
      </c>
      <c r="K812" t="s">
        <v>1238</v>
      </c>
      <c r="L812" t="s">
        <v>1239</v>
      </c>
      <c r="M812">
        <v>1476835200</v>
      </c>
      <c r="N812" t="s">
        <v>1628</v>
      </c>
      <c r="O812" t="s">
        <v>1628</v>
      </c>
      <c r="P812" t="s">
        <v>1628</v>
      </c>
      <c r="Q812">
        <f>LEN(AMAZON_FASHION_5__2[[#This Row],[reviewText]])</f>
        <v>35</v>
      </c>
      <c r="R812" t="str">
        <f>IF(AMAZON_FASHION_5__2[[#This Row],[overall]]&gt;=4,"Positive",IF(AMAZON_FASHION_5__2[[#This Row],[overall]]&lt;=2,"Negative","Neutral"))</f>
        <v>Positive</v>
      </c>
      <c r="S8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13" spans="1:19" x14ac:dyDescent="0.25">
      <c r="A813">
        <v>5</v>
      </c>
      <c r="B813" t="b">
        <v>1</v>
      </c>
      <c r="C813" s="1">
        <v>42660</v>
      </c>
      <c r="D813">
        <f>YEAR(AMAZON_FASHION_5__2[[#This Row],[reviewDate]])</f>
        <v>2016</v>
      </c>
      <c r="E813" s="1" t="str">
        <f>TEXT(AMAZON_FASHION_5__2[[#This Row],[reviewDate]], "mmmm")</f>
        <v>October</v>
      </c>
      <c r="F813" t="s">
        <v>1240</v>
      </c>
      <c r="G813" t="s">
        <v>1445</v>
      </c>
      <c r="H813" t="s">
        <v>205</v>
      </c>
      <c r="I813" t="s">
        <v>396</v>
      </c>
      <c r="J813" t="s">
        <v>1241</v>
      </c>
      <c r="K813" t="s">
        <v>1242</v>
      </c>
      <c r="L813" t="s">
        <v>1243</v>
      </c>
      <c r="M813">
        <v>1476662400</v>
      </c>
      <c r="N813" t="s">
        <v>1628</v>
      </c>
      <c r="O813" t="s">
        <v>1628</v>
      </c>
      <c r="P813">
        <v>5</v>
      </c>
      <c r="Q813">
        <f>LEN(AMAZON_FASHION_5__2[[#This Row],[reviewText]])</f>
        <v>106</v>
      </c>
      <c r="R813" t="str">
        <f>IF(AMAZON_FASHION_5__2[[#This Row],[overall]]&gt;=4,"Positive",IF(AMAZON_FASHION_5__2[[#This Row],[overall]]&lt;=2,"Negative","Neutral"))</f>
        <v>Positive</v>
      </c>
      <c r="S8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14" spans="1:19" x14ac:dyDescent="0.25">
      <c r="A814">
        <v>5</v>
      </c>
      <c r="B814" t="b">
        <v>1</v>
      </c>
      <c r="C814" s="1">
        <v>42658</v>
      </c>
      <c r="D814">
        <f>YEAR(AMAZON_FASHION_5__2[[#This Row],[reviewDate]])</f>
        <v>2016</v>
      </c>
      <c r="E814" s="1" t="str">
        <f>TEXT(AMAZON_FASHION_5__2[[#This Row],[reviewDate]], "mmmm")</f>
        <v>October</v>
      </c>
      <c r="F814" t="s">
        <v>1244</v>
      </c>
      <c r="G814" t="s">
        <v>1445</v>
      </c>
      <c r="H814" t="s">
        <v>205</v>
      </c>
      <c r="I814" t="s">
        <v>198</v>
      </c>
      <c r="J814" t="s">
        <v>1245</v>
      </c>
      <c r="K814" t="s">
        <v>1246</v>
      </c>
      <c r="L814" t="s">
        <v>1247</v>
      </c>
      <c r="M814">
        <v>1476489600</v>
      </c>
      <c r="N814" t="s">
        <v>1628</v>
      </c>
      <c r="O814" t="s">
        <v>1628</v>
      </c>
      <c r="P814" t="s">
        <v>1628</v>
      </c>
      <c r="Q814">
        <f>LEN(AMAZON_FASHION_5__2[[#This Row],[reviewText]])</f>
        <v>57</v>
      </c>
      <c r="R814" t="str">
        <f>IF(AMAZON_FASHION_5__2[[#This Row],[overall]]&gt;=4,"Positive",IF(AMAZON_FASHION_5__2[[#This Row],[overall]]&lt;=2,"Negative","Neutral"))</f>
        <v>Positive</v>
      </c>
      <c r="S8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15" spans="1:19" x14ac:dyDescent="0.25">
      <c r="A815">
        <v>4</v>
      </c>
      <c r="B815" t="b">
        <v>1</v>
      </c>
      <c r="C815" s="1">
        <v>42654</v>
      </c>
      <c r="D815">
        <f>YEAR(AMAZON_FASHION_5__2[[#This Row],[reviewDate]])</f>
        <v>2016</v>
      </c>
      <c r="E815" s="1" t="str">
        <f>TEXT(AMAZON_FASHION_5__2[[#This Row],[reviewDate]], "mmmm")</f>
        <v>October</v>
      </c>
      <c r="F815" t="s">
        <v>1248</v>
      </c>
      <c r="G815" t="s">
        <v>1445</v>
      </c>
      <c r="H815" t="s">
        <v>201</v>
      </c>
      <c r="I815" t="s">
        <v>827</v>
      </c>
      <c r="J815" t="s">
        <v>1249</v>
      </c>
      <c r="K815" t="s">
        <v>1250</v>
      </c>
      <c r="L815" t="s">
        <v>1251</v>
      </c>
      <c r="M815">
        <v>1476144000</v>
      </c>
      <c r="N815" t="s">
        <v>1628</v>
      </c>
      <c r="O815" t="s">
        <v>1628</v>
      </c>
      <c r="P815" t="s">
        <v>1628</v>
      </c>
      <c r="Q815">
        <f>LEN(AMAZON_FASHION_5__2[[#This Row],[reviewText]])</f>
        <v>181</v>
      </c>
      <c r="R815" t="str">
        <f>IF(AMAZON_FASHION_5__2[[#This Row],[overall]]&gt;=4,"Positive",IF(AMAZON_FASHION_5__2[[#This Row],[overall]]&lt;=2,"Negative","Neutral"))</f>
        <v>Positive</v>
      </c>
      <c r="S8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16" spans="1:19" x14ac:dyDescent="0.25">
      <c r="A816">
        <v>3</v>
      </c>
      <c r="B816" t="b">
        <v>1</v>
      </c>
      <c r="C816" s="1">
        <v>42652</v>
      </c>
      <c r="D816">
        <f>YEAR(AMAZON_FASHION_5__2[[#This Row],[reviewDate]])</f>
        <v>2016</v>
      </c>
      <c r="E816" s="1" t="str">
        <f>TEXT(AMAZON_FASHION_5__2[[#This Row],[reviewDate]], "mmmm")</f>
        <v>October</v>
      </c>
      <c r="F816" t="s">
        <v>1252</v>
      </c>
      <c r="G816" t="s">
        <v>1445</v>
      </c>
      <c r="H816" t="s">
        <v>477</v>
      </c>
      <c r="I816" t="s">
        <v>236</v>
      </c>
      <c r="J816" t="s">
        <v>1253</v>
      </c>
      <c r="K816" t="s">
        <v>1254</v>
      </c>
      <c r="L816" t="s">
        <v>1255</v>
      </c>
      <c r="M816">
        <v>1475971200</v>
      </c>
      <c r="N816" t="s">
        <v>1628</v>
      </c>
      <c r="O816" t="s">
        <v>1628</v>
      </c>
      <c r="P816" t="s">
        <v>1628</v>
      </c>
      <c r="Q816">
        <f>LEN(AMAZON_FASHION_5__2[[#This Row],[reviewText]])</f>
        <v>68</v>
      </c>
      <c r="R816" t="str">
        <f>IF(AMAZON_FASHION_5__2[[#This Row],[overall]]&gt;=4,"Positive",IF(AMAZON_FASHION_5__2[[#This Row],[overall]]&lt;=2,"Negative","Neutral"))</f>
        <v>Neutral</v>
      </c>
      <c r="S8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17" spans="1:19" x14ac:dyDescent="0.25">
      <c r="A817">
        <v>4</v>
      </c>
      <c r="B817" t="b">
        <v>1</v>
      </c>
      <c r="C817" s="1">
        <v>42648</v>
      </c>
      <c r="D817">
        <f>YEAR(AMAZON_FASHION_5__2[[#This Row],[reviewDate]])</f>
        <v>2016</v>
      </c>
      <c r="E817" s="1" t="str">
        <f>TEXT(AMAZON_FASHION_5__2[[#This Row],[reviewDate]], "mmmm")</f>
        <v>October</v>
      </c>
      <c r="F817" t="s">
        <v>1256</v>
      </c>
      <c r="G817" t="s">
        <v>1445</v>
      </c>
      <c r="H817" t="s">
        <v>197</v>
      </c>
      <c r="I817" t="s">
        <v>198</v>
      </c>
      <c r="J817" t="s">
        <v>1257</v>
      </c>
      <c r="K817" t="s">
        <v>1258</v>
      </c>
      <c r="L817" t="s">
        <v>1259</v>
      </c>
      <c r="M817">
        <v>1475625600</v>
      </c>
      <c r="N817" t="s">
        <v>1628</v>
      </c>
      <c r="O817" t="s">
        <v>1628</v>
      </c>
      <c r="P817" t="s">
        <v>1628</v>
      </c>
      <c r="Q817">
        <f>LEN(AMAZON_FASHION_5__2[[#This Row],[reviewText]])</f>
        <v>100</v>
      </c>
      <c r="R817" t="str">
        <f>IF(AMAZON_FASHION_5__2[[#This Row],[overall]]&gt;=4,"Positive",IF(AMAZON_FASHION_5__2[[#This Row],[overall]]&lt;=2,"Negative","Neutral"))</f>
        <v>Positive</v>
      </c>
      <c r="S8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18" spans="1:19" x14ac:dyDescent="0.25">
      <c r="A818">
        <v>3</v>
      </c>
      <c r="B818" t="b">
        <v>1</v>
      </c>
      <c r="C818" s="1">
        <v>42644</v>
      </c>
      <c r="D818">
        <f>YEAR(AMAZON_FASHION_5__2[[#This Row],[reviewDate]])</f>
        <v>2016</v>
      </c>
      <c r="E818" s="1" t="str">
        <f>TEXT(AMAZON_FASHION_5__2[[#This Row],[reviewDate]], "mmmm")</f>
        <v>October</v>
      </c>
      <c r="F818" t="s">
        <v>1260</v>
      </c>
      <c r="G818" t="s">
        <v>1445</v>
      </c>
      <c r="H818" t="s">
        <v>205</v>
      </c>
      <c r="I818" t="s">
        <v>236</v>
      </c>
      <c r="J818" t="s">
        <v>1261</v>
      </c>
      <c r="K818" t="s">
        <v>1262</v>
      </c>
      <c r="L818" t="s">
        <v>1263</v>
      </c>
      <c r="M818">
        <v>1475280000</v>
      </c>
      <c r="N818" t="s">
        <v>1628</v>
      </c>
      <c r="O818" t="s">
        <v>1628</v>
      </c>
      <c r="P818" t="s">
        <v>1628</v>
      </c>
      <c r="Q818">
        <f>LEN(AMAZON_FASHION_5__2[[#This Row],[reviewText]])</f>
        <v>59</v>
      </c>
      <c r="R818" t="str">
        <f>IF(AMAZON_FASHION_5__2[[#This Row],[overall]]&gt;=4,"Positive",IF(AMAZON_FASHION_5__2[[#This Row],[overall]]&lt;=2,"Negative","Neutral"))</f>
        <v>Neutral</v>
      </c>
      <c r="S8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19" spans="1:19" x14ac:dyDescent="0.25">
      <c r="A819">
        <v>5</v>
      </c>
      <c r="B819" t="b">
        <v>1</v>
      </c>
      <c r="C819" s="1">
        <v>42639</v>
      </c>
      <c r="D819">
        <f>YEAR(AMAZON_FASHION_5__2[[#This Row],[reviewDate]])</f>
        <v>2016</v>
      </c>
      <c r="E819" s="1" t="str">
        <f>TEXT(AMAZON_FASHION_5__2[[#This Row],[reviewDate]], "mmmm")</f>
        <v>September</v>
      </c>
      <c r="F819" t="s">
        <v>1264</v>
      </c>
      <c r="G819" t="s">
        <v>1445</v>
      </c>
      <c r="H819" t="s">
        <v>477</v>
      </c>
      <c r="I819" t="s">
        <v>211</v>
      </c>
      <c r="J819" t="s">
        <v>1265</v>
      </c>
      <c r="K819" t="s">
        <v>1266</v>
      </c>
      <c r="L819" t="s">
        <v>704</v>
      </c>
      <c r="M819">
        <v>1474848000</v>
      </c>
      <c r="N819" t="s">
        <v>1628</v>
      </c>
      <c r="O819" t="s">
        <v>1628</v>
      </c>
      <c r="P819" t="s">
        <v>1628</v>
      </c>
      <c r="Q819">
        <f>LEN(AMAZON_FASHION_5__2[[#This Row],[reviewText]])</f>
        <v>107</v>
      </c>
      <c r="R819" t="str">
        <f>IF(AMAZON_FASHION_5__2[[#This Row],[overall]]&gt;=4,"Positive",IF(AMAZON_FASHION_5__2[[#This Row],[overall]]&lt;=2,"Negative","Neutral"))</f>
        <v>Positive</v>
      </c>
      <c r="S8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20" spans="1:19" x14ac:dyDescent="0.25">
      <c r="A820">
        <v>5</v>
      </c>
      <c r="B820" t="b">
        <v>1</v>
      </c>
      <c r="C820" s="1">
        <v>42636</v>
      </c>
      <c r="D820">
        <f>YEAR(AMAZON_FASHION_5__2[[#This Row],[reviewDate]])</f>
        <v>2016</v>
      </c>
      <c r="E820" s="1" t="str">
        <f>TEXT(AMAZON_FASHION_5__2[[#This Row],[reviewDate]], "mmmm")</f>
        <v>September</v>
      </c>
      <c r="F820" t="s">
        <v>1267</v>
      </c>
      <c r="G820" t="s">
        <v>1445</v>
      </c>
      <c r="H820" t="s">
        <v>197</v>
      </c>
      <c r="I820" t="s">
        <v>524</v>
      </c>
      <c r="J820" t="s">
        <v>1268</v>
      </c>
      <c r="K820" t="s">
        <v>1269</v>
      </c>
      <c r="L820" t="s">
        <v>17</v>
      </c>
      <c r="M820">
        <v>1474588800</v>
      </c>
      <c r="N820" t="s">
        <v>1628</v>
      </c>
      <c r="O820" t="s">
        <v>1628</v>
      </c>
      <c r="P820" t="s">
        <v>1628</v>
      </c>
      <c r="Q820">
        <f>LEN(AMAZON_FASHION_5__2[[#This Row],[reviewText]])</f>
        <v>12</v>
      </c>
      <c r="R820" t="str">
        <f>IF(AMAZON_FASHION_5__2[[#This Row],[overall]]&gt;=4,"Positive",IF(AMAZON_FASHION_5__2[[#This Row],[overall]]&lt;=2,"Negative","Neutral"))</f>
        <v>Positive</v>
      </c>
      <c r="S8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21" spans="1:19" x14ac:dyDescent="0.25">
      <c r="A821">
        <v>5</v>
      </c>
      <c r="B821" t="b">
        <v>1</v>
      </c>
      <c r="C821" s="1">
        <v>42631</v>
      </c>
      <c r="D821">
        <f>YEAR(AMAZON_FASHION_5__2[[#This Row],[reviewDate]])</f>
        <v>2016</v>
      </c>
      <c r="E821" s="1" t="str">
        <f>TEXT(AMAZON_FASHION_5__2[[#This Row],[reviewDate]], "mmmm")</f>
        <v>September</v>
      </c>
      <c r="F821" t="s">
        <v>1270</v>
      </c>
      <c r="G821" t="s">
        <v>1445</v>
      </c>
      <c r="H821" t="s">
        <v>443</v>
      </c>
      <c r="I821" t="s">
        <v>336</v>
      </c>
      <c r="J821" t="s">
        <v>63</v>
      </c>
      <c r="K821" t="s">
        <v>1271</v>
      </c>
      <c r="L821" t="s">
        <v>1272</v>
      </c>
      <c r="M821">
        <v>1474156800</v>
      </c>
      <c r="N821" t="s">
        <v>1628</v>
      </c>
      <c r="O821" t="s">
        <v>1628</v>
      </c>
      <c r="P821">
        <v>3</v>
      </c>
      <c r="Q821">
        <f>LEN(AMAZON_FASHION_5__2[[#This Row],[reviewText]])</f>
        <v>140</v>
      </c>
      <c r="R821" t="str">
        <f>IF(AMAZON_FASHION_5__2[[#This Row],[overall]]&gt;=4,"Positive",IF(AMAZON_FASHION_5__2[[#This Row],[overall]]&lt;=2,"Negative","Neutral"))</f>
        <v>Positive</v>
      </c>
      <c r="S8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22" spans="1:19" x14ac:dyDescent="0.25">
      <c r="A822">
        <v>1</v>
      </c>
      <c r="B822" t="b">
        <v>1</v>
      </c>
      <c r="C822" s="1">
        <v>42625</v>
      </c>
      <c r="D822">
        <f>YEAR(AMAZON_FASHION_5__2[[#This Row],[reviewDate]])</f>
        <v>2016</v>
      </c>
      <c r="E822" s="1" t="str">
        <f>TEXT(AMAZON_FASHION_5__2[[#This Row],[reviewDate]], "mmmm")</f>
        <v>September</v>
      </c>
      <c r="F822" t="s">
        <v>1273</v>
      </c>
      <c r="G822" t="s">
        <v>1445</v>
      </c>
      <c r="H822" t="s">
        <v>230</v>
      </c>
      <c r="I822" t="s">
        <v>274</v>
      </c>
      <c r="J822" t="s">
        <v>1274</v>
      </c>
      <c r="K822" t="s">
        <v>1275</v>
      </c>
      <c r="L822" t="s">
        <v>1276</v>
      </c>
      <c r="M822">
        <v>1473638400</v>
      </c>
      <c r="N822" t="s">
        <v>1628</v>
      </c>
      <c r="O822" t="s">
        <v>1628</v>
      </c>
      <c r="P822" t="s">
        <v>1628</v>
      </c>
      <c r="Q822">
        <f>LEN(AMAZON_FASHION_5__2[[#This Row],[reviewText]])</f>
        <v>148</v>
      </c>
      <c r="R822" t="str">
        <f>IF(AMAZON_FASHION_5__2[[#This Row],[overall]]&gt;=4,"Positive",IF(AMAZON_FASHION_5__2[[#This Row],[overall]]&lt;=2,"Negative","Neutral"))</f>
        <v>Negative</v>
      </c>
      <c r="S8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23" spans="1:19" x14ac:dyDescent="0.25">
      <c r="A823">
        <v>1</v>
      </c>
      <c r="B823" t="b">
        <v>1</v>
      </c>
      <c r="C823" s="1">
        <v>42624</v>
      </c>
      <c r="D823">
        <f>YEAR(AMAZON_FASHION_5__2[[#This Row],[reviewDate]])</f>
        <v>2016</v>
      </c>
      <c r="E823" s="1" t="str">
        <f>TEXT(AMAZON_FASHION_5__2[[#This Row],[reviewDate]], "mmmm")</f>
        <v>September</v>
      </c>
      <c r="F823" t="s">
        <v>1277</v>
      </c>
      <c r="G823" t="s">
        <v>1445</v>
      </c>
      <c r="H823" t="s">
        <v>235</v>
      </c>
      <c r="I823" t="s">
        <v>198</v>
      </c>
      <c r="J823" t="s">
        <v>1278</v>
      </c>
      <c r="K823" t="s">
        <v>1279</v>
      </c>
      <c r="L823" t="s">
        <v>1280</v>
      </c>
      <c r="M823">
        <v>1473552000</v>
      </c>
      <c r="N823" t="s">
        <v>1628</v>
      </c>
      <c r="O823" t="s">
        <v>1628</v>
      </c>
      <c r="P823">
        <v>14</v>
      </c>
      <c r="Q823">
        <f>LEN(AMAZON_FASHION_5__2[[#This Row],[reviewText]])</f>
        <v>258</v>
      </c>
      <c r="R823" t="str">
        <f>IF(AMAZON_FASHION_5__2[[#This Row],[overall]]&gt;=4,"Positive",IF(AMAZON_FASHION_5__2[[#This Row],[overall]]&lt;=2,"Negative","Neutral"))</f>
        <v>Negative</v>
      </c>
      <c r="S8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24" spans="1:19" x14ac:dyDescent="0.25">
      <c r="A824">
        <v>5</v>
      </c>
      <c r="B824" t="b">
        <v>1</v>
      </c>
      <c r="C824" s="1">
        <v>42622</v>
      </c>
      <c r="D824">
        <f>YEAR(AMAZON_FASHION_5__2[[#This Row],[reviewDate]])</f>
        <v>2016</v>
      </c>
      <c r="E824" s="1" t="str">
        <f>TEXT(AMAZON_FASHION_5__2[[#This Row],[reviewDate]], "mmmm")</f>
        <v>September</v>
      </c>
      <c r="F824" t="s">
        <v>1281</v>
      </c>
      <c r="G824" t="s">
        <v>1445</v>
      </c>
      <c r="H824" t="s">
        <v>230</v>
      </c>
      <c r="I824" t="s">
        <v>198</v>
      </c>
      <c r="J824" t="s">
        <v>1282</v>
      </c>
      <c r="K824" t="s">
        <v>1283</v>
      </c>
      <c r="L824" t="s">
        <v>17</v>
      </c>
      <c r="M824">
        <v>1473379200</v>
      </c>
      <c r="N824" t="s">
        <v>1628</v>
      </c>
      <c r="O824" t="s">
        <v>1628</v>
      </c>
      <c r="P824" t="s">
        <v>1628</v>
      </c>
      <c r="Q824">
        <f>LEN(AMAZON_FASHION_5__2[[#This Row],[reviewText]])</f>
        <v>49</v>
      </c>
      <c r="R824" t="str">
        <f>IF(AMAZON_FASHION_5__2[[#This Row],[overall]]&gt;=4,"Positive",IF(AMAZON_FASHION_5__2[[#This Row],[overall]]&lt;=2,"Negative","Neutral"))</f>
        <v>Positive</v>
      </c>
      <c r="S8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25" spans="1:19" x14ac:dyDescent="0.25">
      <c r="A825">
        <v>4</v>
      </c>
      <c r="B825" t="b">
        <v>1</v>
      </c>
      <c r="C825" s="1">
        <v>42619</v>
      </c>
      <c r="D825">
        <f>YEAR(AMAZON_FASHION_5__2[[#This Row],[reviewDate]])</f>
        <v>2016</v>
      </c>
      <c r="E825" s="1" t="str">
        <f>TEXT(AMAZON_FASHION_5__2[[#This Row],[reviewDate]], "mmmm")</f>
        <v>September</v>
      </c>
      <c r="F825" t="s">
        <v>1284</v>
      </c>
      <c r="G825" t="s">
        <v>1445</v>
      </c>
      <c r="H825" t="s">
        <v>210</v>
      </c>
      <c r="I825" t="s">
        <v>198</v>
      </c>
      <c r="J825" t="s">
        <v>1285</v>
      </c>
      <c r="K825" t="s">
        <v>1286</v>
      </c>
      <c r="L825" t="s">
        <v>1287</v>
      </c>
      <c r="M825">
        <v>1473120000</v>
      </c>
      <c r="N825" t="s">
        <v>1628</v>
      </c>
      <c r="O825" t="s">
        <v>1628</v>
      </c>
      <c r="P825">
        <v>2</v>
      </c>
      <c r="Q825">
        <f>LEN(AMAZON_FASHION_5__2[[#This Row],[reviewText]])</f>
        <v>248</v>
      </c>
      <c r="R825" t="str">
        <f>IF(AMAZON_FASHION_5__2[[#This Row],[overall]]&gt;=4,"Positive",IF(AMAZON_FASHION_5__2[[#This Row],[overall]]&lt;=2,"Negative","Neutral"))</f>
        <v>Positive</v>
      </c>
      <c r="S8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26" spans="1:19" x14ac:dyDescent="0.25">
      <c r="A826">
        <v>4</v>
      </c>
      <c r="B826" t="b">
        <v>1</v>
      </c>
      <c r="C826" s="1">
        <v>42615</v>
      </c>
      <c r="D826">
        <f>YEAR(AMAZON_FASHION_5__2[[#This Row],[reviewDate]])</f>
        <v>2016</v>
      </c>
      <c r="E826" s="1" t="str">
        <f>TEXT(AMAZON_FASHION_5__2[[#This Row],[reviewDate]], "mmmm")</f>
        <v>September</v>
      </c>
      <c r="F826" t="s">
        <v>1288</v>
      </c>
      <c r="G826" t="s">
        <v>1445</v>
      </c>
      <c r="H826" t="s">
        <v>235</v>
      </c>
      <c r="I826" t="s">
        <v>493</v>
      </c>
      <c r="J826" t="s">
        <v>63</v>
      </c>
      <c r="K826" t="s">
        <v>1289</v>
      </c>
      <c r="L826" t="s">
        <v>1290</v>
      </c>
      <c r="M826">
        <v>1472774400</v>
      </c>
      <c r="N826" t="s">
        <v>1628</v>
      </c>
      <c r="O826" t="s">
        <v>1628</v>
      </c>
      <c r="P826" t="s">
        <v>1628</v>
      </c>
      <c r="Q826">
        <f>LEN(AMAZON_FASHION_5__2[[#This Row],[reviewText]])</f>
        <v>177</v>
      </c>
      <c r="R826" t="str">
        <f>IF(AMAZON_FASHION_5__2[[#This Row],[overall]]&gt;=4,"Positive",IF(AMAZON_FASHION_5__2[[#This Row],[overall]]&lt;=2,"Negative","Neutral"))</f>
        <v>Positive</v>
      </c>
      <c r="S8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27" spans="1:19" x14ac:dyDescent="0.25">
      <c r="A827">
        <v>5</v>
      </c>
      <c r="B827" t="b">
        <v>1</v>
      </c>
      <c r="C827" s="1">
        <v>42611</v>
      </c>
      <c r="D827">
        <f>YEAR(AMAZON_FASHION_5__2[[#This Row],[reviewDate]])</f>
        <v>2016</v>
      </c>
      <c r="E827" s="1" t="str">
        <f>TEXT(AMAZON_FASHION_5__2[[#This Row],[reviewDate]], "mmmm")</f>
        <v>August</v>
      </c>
      <c r="F827" t="s">
        <v>1291</v>
      </c>
      <c r="G827" t="s">
        <v>1445</v>
      </c>
      <c r="H827" t="s">
        <v>205</v>
      </c>
      <c r="I827" t="s">
        <v>198</v>
      </c>
      <c r="J827" t="s">
        <v>63</v>
      </c>
      <c r="K827" t="s">
        <v>1292</v>
      </c>
      <c r="L827" t="s">
        <v>17</v>
      </c>
      <c r="M827">
        <v>1472428800</v>
      </c>
      <c r="N827" t="s">
        <v>1628</v>
      </c>
      <c r="O827" t="s">
        <v>1628</v>
      </c>
      <c r="P827" t="s">
        <v>1628</v>
      </c>
      <c r="Q827">
        <f>LEN(AMAZON_FASHION_5__2[[#This Row],[reviewText]])</f>
        <v>13</v>
      </c>
      <c r="R827" t="str">
        <f>IF(AMAZON_FASHION_5__2[[#This Row],[overall]]&gt;=4,"Positive",IF(AMAZON_FASHION_5__2[[#This Row],[overall]]&lt;=2,"Negative","Neutral"))</f>
        <v>Positive</v>
      </c>
      <c r="S8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28" spans="1:19" x14ac:dyDescent="0.25">
      <c r="A828">
        <v>5</v>
      </c>
      <c r="B828" t="b">
        <v>1</v>
      </c>
      <c r="C828" s="1">
        <v>42609</v>
      </c>
      <c r="D828">
        <f>YEAR(AMAZON_FASHION_5__2[[#This Row],[reviewDate]])</f>
        <v>2016</v>
      </c>
      <c r="E828" s="1" t="str">
        <f>TEXT(AMAZON_FASHION_5__2[[#This Row],[reviewDate]], "mmmm")</f>
        <v>August</v>
      </c>
      <c r="F828" t="s">
        <v>1293</v>
      </c>
      <c r="G828" t="s">
        <v>1445</v>
      </c>
      <c r="H828" t="s">
        <v>230</v>
      </c>
      <c r="I828" t="s">
        <v>419</v>
      </c>
      <c r="J828" t="s">
        <v>63</v>
      </c>
      <c r="K828" t="s">
        <v>1294</v>
      </c>
      <c r="L828" t="s">
        <v>17</v>
      </c>
      <c r="M828">
        <v>1472256000</v>
      </c>
      <c r="N828" t="s">
        <v>1628</v>
      </c>
      <c r="O828" t="s">
        <v>1628</v>
      </c>
      <c r="P828" t="s">
        <v>1628</v>
      </c>
      <c r="Q828">
        <f>LEN(AMAZON_FASHION_5__2[[#This Row],[reviewText]])</f>
        <v>62</v>
      </c>
      <c r="R828" t="str">
        <f>IF(AMAZON_FASHION_5__2[[#This Row],[overall]]&gt;=4,"Positive",IF(AMAZON_FASHION_5__2[[#This Row],[overall]]&lt;=2,"Negative","Neutral"))</f>
        <v>Positive</v>
      </c>
      <c r="S8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29" spans="1:19" x14ac:dyDescent="0.25">
      <c r="A829">
        <v>5</v>
      </c>
      <c r="B829" t="b">
        <v>1</v>
      </c>
      <c r="C829" s="1">
        <v>42609</v>
      </c>
      <c r="D829">
        <f>YEAR(AMAZON_FASHION_5__2[[#This Row],[reviewDate]])</f>
        <v>2016</v>
      </c>
      <c r="E829" s="1" t="str">
        <f>TEXT(AMAZON_FASHION_5__2[[#This Row],[reviewDate]], "mmmm")</f>
        <v>August</v>
      </c>
      <c r="F829" t="s">
        <v>1295</v>
      </c>
      <c r="G829" t="s">
        <v>1445</v>
      </c>
      <c r="H829" t="s">
        <v>477</v>
      </c>
      <c r="I829" t="s">
        <v>198</v>
      </c>
      <c r="J829" t="s">
        <v>63</v>
      </c>
      <c r="K829" t="s">
        <v>1296</v>
      </c>
      <c r="L829" t="s">
        <v>1297</v>
      </c>
      <c r="M829">
        <v>1472256000</v>
      </c>
      <c r="N829" t="s">
        <v>1628</v>
      </c>
      <c r="O829" t="s">
        <v>1628</v>
      </c>
      <c r="P829">
        <v>5</v>
      </c>
      <c r="Q829">
        <f>LEN(AMAZON_FASHION_5__2[[#This Row],[reviewText]])</f>
        <v>112</v>
      </c>
      <c r="R829" t="str">
        <f>IF(AMAZON_FASHION_5__2[[#This Row],[overall]]&gt;=4,"Positive",IF(AMAZON_FASHION_5__2[[#This Row],[overall]]&lt;=2,"Negative","Neutral"))</f>
        <v>Positive</v>
      </c>
      <c r="S8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30" spans="1:19" x14ac:dyDescent="0.25">
      <c r="A830">
        <v>3</v>
      </c>
      <c r="B830" t="b">
        <v>1</v>
      </c>
      <c r="C830" s="1">
        <v>42608</v>
      </c>
      <c r="D830">
        <f>YEAR(AMAZON_FASHION_5__2[[#This Row],[reviewDate]])</f>
        <v>2016</v>
      </c>
      <c r="E830" s="1" t="str">
        <f>TEXT(AMAZON_FASHION_5__2[[#This Row],[reviewDate]], "mmmm")</f>
        <v>August</v>
      </c>
      <c r="F830" t="s">
        <v>1298</v>
      </c>
      <c r="G830" t="s">
        <v>1445</v>
      </c>
      <c r="H830" t="s">
        <v>230</v>
      </c>
      <c r="I830" t="s">
        <v>198</v>
      </c>
      <c r="J830" t="s">
        <v>63</v>
      </c>
      <c r="K830" t="s">
        <v>1299</v>
      </c>
      <c r="L830" t="s">
        <v>1300</v>
      </c>
      <c r="M830">
        <v>1472169600</v>
      </c>
      <c r="N830" t="s">
        <v>1628</v>
      </c>
      <c r="O830" t="s">
        <v>1628</v>
      </c>
      <c r="P830">
        <v>2</v>
      </c>
      <c r="Q830">
        <f>LEN(AMAZON_FASHION_5__2[[#This Row],[reviewText]])</f>
        <v>256</v>
      </c>
      <c r="R830" t="str">
        <f>IF(AMAZON_FASHION_5__2[[#This Row],[overall]]&gt;=4,"Positive",IF(AMAZON_FASHION_5__2[[#This Row],[overall]]&lt;=2,"Negative","Neutral"))</f>
        <v>Neutral</v>
      </c>
      <c r="S8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31" spans="1:19" x14ac:dyDescent="0.25">
      <c r="A831">
        <v>5</v>
      </c>
      <c r="B831" t="b">
        <v>1</v>
      </c>
      <c r="C831" s="1">
        <v>42605</v>
      </c>
      <c r="D831">
        <f>YEAR(AMAZON_FASHION_5__2[[#This Row],[reviewDate]])</f>
        <v>2016</v>
      </c>
      <c r="E831" s="1" t="str">
        <f>TEXT(AMAZON_FASHION_5__2[[#This Row],[reviewDate]], "mmmm")</f>
        <v>August</v>
      </c>
      <c r="F831" t="s">
        <v>1301</v>
      </c>
      <c r="G831" t="s">
        <v>1445</v>
      </c>
      <c r="H831" t="s">
        <v>230</v>
      </c>
      <c r="I831" t="s">
        <v>493</v>
      </c>
      <c r="J831" t="s">
        <v>1302</v>
      </c>
      <c r="K831" t="s">
        <v>1303</v>
      </c>
      <c r="L831" t="s">
        <v>1304</v>
      </c>
      <c r="M831">
        <v>1471910400</v>
      </c>
      <c r="N831" t="s">
        <v>1628</v>
      </c>
      <c r="O831" t="s">
        <v>1628</v>
      </c>
      <c r="P831" t="s">
        <v>1628</v>
      </c>
      <c r="Q831">
        <f>LEN(AMAZON_FASHION_5__2[[#This Row],[reviewText]])</f>
        <v>93</v>
      </c>
      <c r="R831" t="str">
        <f>IF(AMAZON_FASHION_5__2[[#This Row],[overall]]&gt;=4,"Positive",IF(AMAZON_FASHION_5__2[[#This Row],[overall]]&lt;=2,"Negative","Neutral"))</f>
        <v>Positive</v>
      </c>
      <c r="S8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32" spans="1:19" x14ac:dyDescent="0.25">
      <c r="A832">
        <v>5</v>
      </c>
      <c r="B832" t="b">
        <v>1</v>
      </c>
      <c r="C832" s="1">
        <v>42602</v>
      </c>
      <c r="D832">
        <f>YEAR(AMAZON_FASHION_5__2[[#This Row],[reviewDate]])</f>
        <v>2016</v>
      </c>
      <c r="E832" s="1" t="str">
        <f>TEXT(AMAZON_FASHION_5__2[[#This Row],[reviewDate]], "mmmm")</f>
        <v>August</v>
      </c>
      <c r="F832" t="s">
        <v>1305</v>
      </c>
      <c r="G832" t="s">
        <v>1445</v>
      </c>
      <c r="H832" t="s">
        <v>205</v>
      </c>
      <c r="I832" t="s">
        <v>198</v>
      </c>
      <c r="J832" t="s">
        <v>1306</v>
      </c>
      <c r="K832" t="s">
        <v>1307</v>
      </c>
      <c r="L832" t="s">
        <v>1308</v>
      </c>
      <c r="M832">
        <v>1471651200</v>
      </c>
      <c r="N832" t="s">
        <v>1628</v>
      </c>
      <c r="O832" t="s">
        <v>1628</v>
      </c>
      <c r="P832" t="s">
        <v>1628</v>
      </c>
      <c r="Q832">
        <f>LEN(AMAZON_FASHION_5__2[[#This Row],[reviewText]])</f>
        <v>1225</v>
      </c>
      <c r="R832" t="str">
        <f>IF(AMAZON_FASHION_5__2[[#This Row],[overall]]&gt;=4,"Positive",IF(AMAZON_FASHION_5__2[[#This Row],[overall]]&lt;=2,"Negative","Neutral"))</f>
        <v>Positive</v>
      </c>
      <c r="S8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33" spans="1:19" x14ac:dyDescent="0.25">
      <c r="A833">
        <v>5</v>
      </c>
      <c r="B833" t="b">
        <v>1</v>
      </c>
      <c r="C833" s="1">
        <v>42597</v>
      </c>
      <c r="D833">
        <f>YEAR(AMAZON_FASHION_5__2[[#This Row],[reviewDate]])</f>
        <v>2016</v>
      </c>
      <c r="E833" s="1" t="str">
        <f>TEXT(AMAZON_FASHION_5__2[[#This Row],[reviewDate]], "mmmm")</f>
        <v>August</v>
      </c>
      <c r="F833" t="s">
        <v>1309</v>
      </c>
      <c r="G833" t="s">
        <v>1445</v>
      </c>
      <c r="H833" t="s">
        <v>320</v>
      </c>
      <c r="I833" t="s">
        <v>198</v>
      </c>
      <c r="J833" t="s">
        <v>1310</v>
      </c>
      <c r="K833" t="s">
        <v>1311</v>
      </c>
      <c r="L833" t="s">
        <v>1312</v>
      </c>
      <c r="M833">
        <v>1471219200</v>
      </c>
      <c r="N833" t="s">
        <v>1628</v>
      </c>
      <c r="O833" t="s">
        <v>1628</v>
      </c>
      <c r="P833" t="s">
        <v>1628</v>
      </c>
      <c r="Q833">
        <f>LEN(AMAZON_FASHION_5__2[[#This Row],[reviewText]])</f>
        <v>246</v>
      </c>
      <c r="R833" t="str">
        <f>IF(AMAZON_FASHION_5__2[[#This Row],[overall]]&gt;=4,"Positive",IF(AMAZON_FASHION_5__2[[#This Row],[overall]]&lt;=2,"Negative","Neutral"))</f>
        <v>Positive</v>
      </c>
      <c r="S8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34" spans="1:19" x14ac:dyDescent="0.25">
      <c r="A834">
        <v>5</v>
      </c>
      <c r="B834" t="b">
        <v>1</v>
      </c>
      <c r="C834" s="1">
        <v>42597</v>
      </c>
      <c r="D834">
        <f>YEAR(AMAZON_FASHION_5__2[[#This Row],[reviewDate]])</f>
        <v>2016</v>
      </c>
      <c r="E834" s="1" t="str">
        <f>TEXT(AMAZON_FASHION_5__2[[#This Row],[reviewDate]], "mmmm")</f>
        <v>August</v>
      </c>
      <c r="F834" t="s">
        <v>1313</v>
      </c>
      <c r="G834" t="s">
        <v>1445</v>
      </c>
      <c r="H834" t="s">
        <v>261</v>
      </c>
      <c r="I834" t="s">
        <v>1455</v>
      </c>
      <c r="J834" t="s">
        <v>1314</v>
      </c>
      <c r="K834" t="s">
        <v>1315</v>
      </c>
      <c r="L834" t="s">
        <v>17</v>
      </c>
      <c r="M834">
        <v>1471219200</v>
      </c>
      <c r="N834" t="s">
        <v>1628</v>
      </c>
      <c r="O834" t="s">
        <v>1628</v>
      </c>
      <c r="P834" t="s">
        <v>1628</v>
      </c>
      <c r="Q834">
        <f>LEN(AMAZON_FASHION_5__2[[#This Row],[reviewText]])</f>
        <v>40</v>
      </c>
      <c r="R834" t="str">
        <f>IF(AMAZON_FASHION_5__2[[#This Row],[overall]]&gt;=4,"Positive",IF(AMAZON_FASHION_5__2[[#This Row],[overall]]&lt;=2,"Negative","Neutral"))</f>
        <v>Positive</v>
      </c>
      <c r="S8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35" spans="1:19" x14ac:dyDescent="0.25">
      <c r="A835">
        <v>5</v>
      </c>
      <c r="B835" t="b">
        <v>1</v>
      </c>
      <c r="C835" s="1">
        <v>42596</v>
      </c>
      <c r="D835">
        <f>YEAR(AMAZON_FASHION_5__2[[#This Row],[reviewDate]])</f>
        <v>2016</v>
      </c>
      <c r="E835" s="1" t="str">
        <f>TEXT(AMAZON_FASHION_5__2[[#This Row],[reviewDate]], "mmmm")</f>
        <v>August</v>
      </c>
      <c r="F835" t="s">
        <v>1316</v>
      </c>
      <c r="G835" t="s">
        <v>1445</v>
      </c>
      <c r="H835" t="s">
        <v>235</v>
      </c>
      <c r="I835" t="s">
        <v>849</v>
      </c>
      <c r="J835" t="s">
        <v>1317</v>
      </c>
      <c r="K835" t="s">
        <v>1318</v>
      </c>
      <c r="L835" t="s">
        <v>1319</v>
      </c>
      <c r="M835">
        <v>1471132800</v>
      </c>
      <c r="N835" t="s">
        <v>1628</v>
      </c>
      <c r="O835" t="s">
        <v>1628</v>
      </c>
      <c r="P835" t="s">
        <v>1628</v>
      </c>
      <c r="Q835">
        <f>LEN(AMAZON_FASHION_5__2[[#This Row],[reviewText]])</f>
        <v>224</v>
      </c>
      <c r="R835" t="str">
        <f>IF(AMAZON_FASHION_5__2[[#This Row],[overall]]&gt;=4,"Positive",IF(AMAZON_FASHION_5__2[[#This Row],[overall]]&lt;=2,"Negative","Neutral"))</f>
        <v>Positive</v>
      </c>
      <c r="S8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36" spans="1:19" x14ac:dyDescent="0.25">
      <c r="A836">
        <v>5</v>
      </c>
      <c r="B836" t="b">
        <v>1</v>
      </c>
      <c r="C836" s="1">
        <v>42590</v>
      </c>
      <c r="D836">
        <f>YEAR(AMAZON_FASHION_5__2[[#This Row],[reviewDate]])</f>
        <v>2016</v>
      </c>
      <c r="E836" s="1" t="str">
        <f>TEXT(AMAZON_FASHION_5__2[[#This Row],[reviewDate]], "mmmm")</f>
        <v>August</v>
      </c>
      <c r="F836" t="s">
        <v>1320</v>
      </c>
      <c r="G836" t="s">
        <v>1445</v>
      </c>
      <c r="H836" t="s">
        <v>235</v>
      </c>
      <c r="I836" t="s">
        <v>198</v>
      </c>
      <c r="J836" t="s">
        <v>1321</v>
      </c>
      <c r="K836" t="s">
        <v>1322</v>
      </c>
      <c r="L836" t="s">
        <v>1323</v>
      </c>
      <c r="M836">
        <v>1470614400</v>
      </c>
      <c r="N836" t="s">
        <v>1628</v>
      </c>
      <c r="O836" t="s">
        <v>1628</v>
      </c>
      <c r="P836" t="s">
        <v>1628</v>
      </c>
      <c r="Q836">
        <f>LEN(AMAZON_FASHION_5__2[[#This Row],[reviewText]])</f>
        <v>105</v>
      </c>
      <c r="R836" t="str">
        <f>IF(AMAZON_FASHION_5__2[[#This Row],[overall]]&gt;=4,"Positive",IF(AMAZON_FASHION_5__2[[#This Row],[overall]]&lt;=2,"Negative","Neutral"))</f>
        <v>Positive</v>
      </c>
      <c r="S8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37" spans="1:19" x14ac:dyDescent="0.25">
      <c r="A837">
        <v>3</v>
      </c>
      <c r="B837" t="b">
        <v>1</v>
      </c>
      <c r="C837" s="1">
        <v>42587</v>
      </c>
      <c r="D837">
        <f>YEAR(AMAZON_FASHION_5__2[[#This Row],[reviewDate]])</f>
        <v>2016</v>
      </c>
      <c r="E837" s="1" t="str">
        <f>TEXT(AMAZON_FASHION_5__2[[#This Row],[reviewDate]], "mmmm")</f>
        <v>August</v>
      </c>
      <c r="F837" t="s">
        <v>1324</v>
      </c>
      <c r="G837" t="s">
        <v>1445</v>
      </c>
      <c r="H837" t="s">
        <v>205</v>
      </c>
      <c r="I837" t="s">
        <v>198</v>
      </c>
      <c r="J837" t="s">
        <v>1325</v>
      </c>
      <c r="K837" t="s">
        <v>1326</v>
      </c>
      <c r="L837" t="s">
        <v>1327</v>
      </c>
      <c r="M837">
        <v>1470355200</v>
      </c>
      <c r="N837" t="s">
        <v>1628</v>
      </c>
      <c r="O837" t="s">
        <v>1628</v>
      </c>
      <c r="P837">
        <v>2</v>
      </c>
      <c r="Q837">
        <f>LEN(AMAZON_FASHION_5__2[[#This Row],[reviewText]])</f>
        <v>772</v>
      </c>
      <c r="R837" t="str">
        <f>IF(AMAZON_FASHION_5__2[[#This Row],[overall]]&gt;=4,"Positive",IF(AMAZON_FASHION_5__2[[#This Row],[overall]]&lt;=2,"Negative","Neutral"))</f>
        <v>Neutral</v>
      </c>
      <c r="S8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38" spans="1:19" x14ac:dyDescent="0.25">
      <c r="A838">
        <v>5</v>
      </c>
      <c r="B838" t="b">
        <v>1</v>
      </c>
      <c r="C838" s="1">
        <v>42578</v>
      </c>
      <c r="D838">
        <f>YEAR(AMAZON_FASHION_5__2[[#This Row],[reviewDate]])</f>
        <v>2016</v>
      </c>
      <c r="E838" s="1" t="str">
        <f>TEXT(AMAZON_FASHION_5__2[[#This Row],[reviewDate]], "mmmm")</f>
        <v>July</v>
      </c>
      <c r="F838" t="s">
        <v>1328</v>
      </c>
      <c r="G838" t="s">
        <v>1445</v>
      </c>
      <c r="H838" t="s">
        <v>677</v>
      </c>
      <c r="I838" t="s">
        <v>198</v>
      </c>
      <c r="J838" t="s">
        <v>1329</v>
      </c>
      <c r="K838" t="s">
        <v>1330</v>
      </c>
      <c r="L838" t="s">
        <v>1331</v>
      </c>
      <c r="M838">
        <v>1469577600</v>
      </c>
      <c r="N838" t="s">
        <v>1628</v>
      </c>
      <c r="O838" t="s">
        <v>1628</v>
      </c>
      <c r="P838" t="s">
        <v>1628</v>
      </c>
      <c r="Q838">
        <f>LEN(AMAZON_FASHION_5__2[[#This Row],[reviewText]])</f>
        <v>37</v>
      </c>
      <c r="R838" t="str">
        <f>IF(AMAZON_FASHION_5__2[[#This Row],[overall]]&gt;=4,"Positive",IF(AMAZON_FASHION_5__2[[#This Row],[overall]]&lt;=2,"Negative","Neutral"))</f>
        <v>Positive</v>
      </c>
      <c r="S8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39" spans="1:19" x14ac:dyDescent="0.25">
      <c r="A839">
        <v>5</v>
      </c>
      <c r="B839" t="b">
        <v>0</v>
      </c>
      <c r="C839" s="1">
        <v>42573</v>
      </c>
      <c r="D839">
        <f>YEAR(AMAZON_FASHION_5__2[[#This Row],[reviewDate]])</f>
        <v>2016</v>
      </c>
      <c r="E839" s="1" t="str">
        <f>TEXT(AMAZON_FASHION_5__2[[#This Row],[reviewDate]], "mmmm")</f>
        <v>July</v>
      </c>
      <c r="F839" t="s">
        <v>1332</v>
      </c>
      <c r="G839" t="s">
        <v>1445</v>
      </c>
      <c r="H839" t="s">
        <v>205</v>
      </c>
      <c r="I839" t="s">
        <v>344</v>
      </c>
      <c r="J839" t="s">
        <v>1333</v>
      </c>
      <c r="K839" t="s">
        <v>1334</v>
      </c>
      <c r="L839" t="s">
        <v>543</v>
      </c>
      <c r="M839">
        <v>1469145600</v>
      </c>
      <c r="N839" t="s">
        <v>1628</v>
      </c>
      <c r="O839" t="s">
        <v>1628</v>
      </c>
      <c r="P839" t="s">
        <v>1628</v>
      </c>
      <c r="Q839">
        <f>LEN(AMAZON_FASHION_5__2[[#This Row],[reviewText]])</f>
        <v>427</v>
      </c>
      <c r="R839" t="str">
        <f>IF(AMAZON_FASHION_5__2[[#This Row],[overall]]&gt;=4,"Positive",IF(AMAZON_FASHION_5__2[[#This Row],[overall]]&lt;=2,"Negative","Neutral"))</f>
        <v>Positive</v>
      </c>
      <c r="S8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40" spans="1:19" x14ac:dyDescent="0.25">
      <c r="A840">
        <v>3</v>
      </c>
      <c r="B840" t="b">
        <v>1</v>
      </c>
      <c r="C840" s="1">
        <v>42572</v>
      </c>
      <c r="D840">
        <f>YEAR(AMAZON_FASHION_5__2[[#This Row],[reviewDate]])</f>
        <v>2016</v>
      </c>
      <c r="E840" s="1" t="str">
        <f>TEXT(AMAZON_FASHION_5__2[[#This Row],[reviewDate]], "mmmm")</f>
        <v>July</v>
      </c>
      <c r="F840" t="s">
        <v>1335</v>
      </c>
      <c r="G840" t="s">
        <v>1445</v>
      </c>
      <c r="H840" t="s">
        <v>477</v>
      </c>
      <c r="I840" t="s">
        <v>198</v>
      </c>
      <c r="J840" t="s">
        <v>1336</v>
      </c>
      <c r="K840" t="s">
        <v>1337</v>
      </c>
      <c r="L840" t="s">
        <v>1338</v>
      </c>
      <c r="M840">
        <v>1469059200</v>
      </c>
      <c r="N840" t="s">
        <v>1628</v>
      </c>
      <c r="O840" t="s">
        <v>1628</v>
      </c>
      <c r="P840" t="s">
        <v>1628</v>
      </c>
      <c r="Q840">
        <f>LEN(AMAZON_FASHION_5__2[[#This Row],[reviewText]])</f>
        <v>50</v>
      </c>
      <c r="R840" t="str">
        <f>IF(AMAZON_FASHION_5__2[[#This Row],[overall]]&gt;=4,"Positive",IF(AMAZON_FASHION_5__2[[#This Row],[overall]]&lt;=2,"Negative","Neutral"))</f>
        <v>Neutral</v>
      </c>
      <c r="S8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41" spans="1:19" x14ac:dyDescent="0.25">
      <c r="A841">
        <v>5</v>
      </c>
      <c r="B841" t="b">
        <v>1</v>
      </c>
      <c r="C841" s="1">
        <v>42570</v>
      </c>
      <c r="D841">
        <f>YEAR(AMAZON_FASHION_5__2[[#This Row],[reviewDate]])</f>
        <v>2016</v>
      </c>
      <c r="E841" s="1" t="str">
        <f>TEXT(AMAZON_FASHION_5__2[[#This Row],[reviewDate]], "mmmm")</f>
        <v>July</v>
      </c>
      <c r="F841" t="s">
        <v>1339</v>
      </c>
      <c r="G841" t="s">
        <v>1445</v>
      </c>
      <c r="H841" t="s">
        <v>205</v>
      </c>
      <c r="I841" t="s">
        <v>198</v>
      </c>
      <c r="J841" t="s">
        <v>1340</v>
      </c>
      <c r="K841" t="s">
        <v>1341</v>
      </c>
      <c r="L841" t="s">
        <v>17</v>
      </c>
      <c r="M841">
        <v>1468886400</v>
      </c>
      <c r="N841" t="s">
        <v>1628</v>
      </c>
      <c r="O841" t="s">
        <v>1628</v>
      </c>
      <c r="P841" t="s">
        <v>1628</v>
      </c>
      <c r="Q841">
        <f>LEN(AMAZON_FASHION_5__2[[#This Row],[reviewText]])</f>
        <v>20</v>
      </c>
      <c r="R841" t="str">
        <f>IF(AMAZON_FASHION_5__2[[#This Row],[overall]]&gt;=4,"Positive",IF(AMAZON_FASHION_5__2[[#This Row],[overall]]&lt;=2,"Negative","Neutral"))</f>
        <v>Positive</v>
      </c>
      <c r="S8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42" spans="1:19" x14ac:dyDescent="0.25">
      <c r="A842">
        <v>5</v>
      </c>
      <c r="B842" t="b">
        <v>1</v>
      </c>
      <c r="C842" s="1">
        <v>42569</v>
      </c>
      <c r="D842">
        <f>YEAR(AMAZON_FASHION_5__2[[#This Row],[reviewDate]])</f>
        <v>2016</v>
      </c>
      <c r="E842" s="1" t="str">
        <f>TEXT(AMAZON_FASHION_5__2[[#This Row],[reviewDate]], "mmmm")</f>
        <v>July</v>
      </c>
      <c r="F842" t="s">
        <v>1342</v>
      </c>
      <c r="G842" t="s">
        <v>1445</v>
      </c>
      <c r="H842" t="s">
        <v>230</v>
      </c>
      <c r="I842" t="s">
        <v>211</v>
      </c>
      <c r="J842" t="s">
        <v>1343</v>
      </c>
      <c r="K842" t="s">
        <v>1344</v>
      </c>
      <c r="L842" t="s">
        <v>1345</v>
      </c>
      <c r="M842">
        <v>1468800000</v>
      </c>
      <c r="N842" t="s">
        <v>1628</v>
      </c>
      <c r="O842" t="s">
        <v>1628</v>
      </c>
      <c r="P842" t="s">
        <v>1628</v>
      </c>
      <c r="Q842">
        <f>LEN(AMAZON_FASHION_5__2[[#This Row],[reviewText]])</f>
        <v>306</v>
      </c>
      <c r="R842" t="str">
        <f>IF(AMAZON_FASHION_5__2[[#This Row],[overall]]&gt;=4,"Positive",IF(AMAZON_FASHION_5__2[[#This Row],[overall]]&lt;=2,"Negative","Neutral"))</f>
        <v>Positive</v>
      </c>
      <c r="S8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43" spans="1:19" x14ac:dyDescent="0.25">
      <c r="A843">
        <v>5</v>
      </c>
      <c r="B843" t="b">
        <v>1</v>
      </c>
      <c r="C843" s="1">
        <v>42564</v>
      </c>
      <c r="D843">
        <f>YEAR(AMAZON_FASHION_5__2[[#This Row],[reviewDate]])</f>
        <v>2016</v>
      </c>
      <c r="E843" s="1" t="str">
        <f>TEXT(AMAZON_FASHION_5__2[[#This Row],[reviewDate]], "mmmm")</f>
        <v>July</v>
      </c>
      <c r="F843" t="s">
        <v>1346</v>
      </c>
      <c r="G843" t="s">
        <v>1445</v>
      </c>
      <c r="H843" t="s">
        <v>210</v>
      </c>
      <c r="I843" t="s">
        <v>198</v>
      </c>
      <c r="J843" t="s">
        <v>1347</v>
      </c>
      <c r="K843" t="s">
        <v>1348</v>
      </c>
      <c r="L843" t="s">
        <v>1349</v>
      </c>
      <c r="M843">
        <v>1468368000</v>
      </c>
      <c r="N843" t="s">
        <v>1628</v>
      </c>
      <c r="O843" t="s">
        <v>1628</v>
      </c>
      <c r="P843" t="s">
        <v>1628</v>
      </c>
      <c r="Q843">
        <f>LEN(AMAZON_FASHION_5__2[[#This Row],[reviewText]])</f>
        <v>188</v>
      </c>
      <c r="R843" t="str">
        <f>IF(AMAZON_FASHION_5__2[[#This Row],[overall]]&gt;=4,"Positive",IF(AMAZON_FASHION_5__2[[#This Row],[overall]]&lt;=2,"Negative","Neutral"))</f>
        <v>Positive</v>
      </c>
      <c r="S8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44" spans="1:19" x14ac:dyDescent="0.25">
      <c r="A844">
        <v>5</v>
      </c>
      <c r="B844" t="b">
        <v>1</v>
      </c>
      <c r="C844" s="1">
        <v>42552</v>
      </c>
      <c r="D844">
        <f>YEAR(AMAZON_FASHION_5__2[[#This Row],[reviewDate]])</f>
        <v>2016</v>
      </c>
      <c r="E844" s="1" t="str">
        <f>TEXT(AMAZON_FASHION_5__2[[#This Row],[reviewDate]], "mmmm")</f>
        <v>July</v>
      </c>
      <c r="F844" t="s">
        <v>1350</v>
      </c>
      <c r="G844" t="s">
        <v>1445</v>
      </c>
      <c r="H844" t="s">
        <v>320</v>
      </c>
      <c r="I844" t="s">
        <v>198</v>
      </c>
      <c r="J844" t="s">
        <v>63</v>
      </c>
      <c r="K844" t="s">
        <v>1351</v>
      </c>
      <c r="L844" t="s">
        <v>1352</v>
      </c>
      <c r="M844">
        <v>1467331200</v>
      </c>
      <c r="N844" t="s">
        <v>1628</v>
      </c>
      <c r="O844" t="s">
        <v>1628</v>
      </c>
      <c r="P844" t="s">
        <v>1628</v>
      </c>
      <c r="Q844">
        <f>LEN(AMAZON_FASHION_5__2[[#This Row],[reviewText]])</f>
        <v>62</v>
      </c>
      <c r="R844" t="str">
        <f>IF(AMAZON_FASHION_5__2[[#This Row],[overall]]&gt;=4,"Positive",IF(AMAZON_FASHION_5__2[[#This Row],[overall]]&lt;=2,"Negative","Neutral"))</f>
        <v>Positive</v>
      </c>
      <c r="S8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45" spans="1:19" x14ac:dyDescent="0.25">
      <c r="A845">
        <v>5</v>
      </c>
      <c r="B845" t="b">
        <v>1</v>
      </c>
      <c r="C845" s="1">
        <v>42552</v>
      </c>
      <c r="D845">
        <f>YEAR(AMAZON_FASHION_5__2[[#This Row],[reviewDate]])</f>
        <v>2016</v>
      </c>
      <c r="E845" s="1" t="str">
        <f>TEXT(AMAZON_FASHION_5__2[[#This Row],[reviewDate]], "mmmm")</f>
        <v>July</v>
      </c>
      <c r="F845" t="s">
        <v>1353</v>
      </c>
      <c r="G845" t="s">
        <v>1445</v>
      </c>
      <c r="H845" t="s">
        <v>205</v>
      </c>
      <c r="I845" t="s">
        <v>493</v>
      </c>
      <c r="J845" t="s">
        <v>1354</v>
      </c>
      <c r="K845" t="s">
        <v>1355</v>
      </c>
      <c r="L845" t="s">
        <v>1356</v>
      </c>
      <c r="M845">
        <v>1467331200</v>
      </c>
      <c r="N845" t="s">
        <v>1628</v>
      </c>
      <c r="O845" t="s">
        <v>1628</v>
      </c>
      <c r="P845">
        <v>5</v>
      </c>
      <c r="Q845">
        <f>LEN(AMAZON_FASHION_5__2[[#This Row],[reviewText]])</f>
        <v>378</v>
      </c>
      <c r="R845" t="str">
        <f>IF(AMAZON_FASHION_5__2[[#This Row],[overall]]&gt;=4,"Positive",IF(AMAZON_FASHION_5__2[[#This Row],[overall]]&lt;=2,"Negative","Neutral"))</f>
        <v>Positive</v>
      </c>
      <c r="S8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46" spans="1:19" x14ac:dyDescent="0.25">
      <c r="A846">
        <v>5</v>
      </c>
      <c r="B846" t="b">
        <v>1</v>
      </c>
      <c r="C846" s="1">
        <v>42549</v>
      </c>
      <c r="D846">
        <f>YEAR(AMAZON_FASHION_5__2[[#This Row],[reviewDate]])</f>
        <v>2016</v>
      </c>
      <c r="E846" s="1" t="str">
        <f>TEXT(AMAZON_FASHION_5__2[[#This Row],[reviewDate]], "mmmm")</f>
        <v>June</v>
      </c>
      <c r="F846" t="s">
        <v>1357</v>
      </c>
      <c r="G846" t="s">
        <v>1445</v>
      </c>
      <c r="H846" t="s">
        <v>201</v>
      </c>
      <c r="I846" t="s">
        <v>198</v>
      </c>
      <c r="J846" t="s">
        <v>1358</v>
      </c>
      <c r="K846" t="s">
        <v>1359</v>
      </c>
      <c r="L846" t="s">
        <v>1360</v>
      </c>
      <c r="M846">
        <v>1467072000</v>
      </c>
      <c r="N846" t="s">
        <v>1628</v>
      </c>
      <c r="O846" t="s">
        <v>1628</v>
      </c>
      <c r="P846">
        <v>7</v>
      </c>
      <c r="Q846">
        <f>LEN(AMAZON_FASHION_5__2[[#This Row],[reviewText]])</f>
        <v>288</v>
      </c>
      <c r="R846" t="str">
        <f>IF(AMAZON_FASHION_5__2[[#This Row],[overall]]&gt;=4,"Positive",IF(AMAZON_FASHION_5__2[[#This Row],[overall]]&lt;=2,"Negative","Neutral"))</f>
        <v>Positive</v>
      </c>
      <c r="S8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47" spans="1:19" x14ac:dyDescent="0.25">
      <c r="A847">
        <v>5</v>
      </c>
      <c r="B847" t="b">
        <v>1</v>
      </c>
      <c r="C847" s="1">
        <v>42546</v>
      </c>
      <c r="D847">
        <f>YEAR(AMAZON_FASHION_5__2[[#This Row],[reviewDate]])</f>
        <v>2016</v>
      </c>
      <c r="E847" s="1" t="str">
        <f>TEXT(AMAZON_FASHION_5__2[[#This Row],[reviewDate]], "mmmm")</f>
        <v>June</v>
      </c>
      <c r="F847" t="s">
        <v>1361</v>
      </c>
      <c r="G847" t="s">
        <v>1445</v>
      </c>
      <c r="H847" t="s">
        <v>205</v>
      </c>
      <c r="I847" t="s">
        <v>849</v>
      </c>
      <c r="J847" t="s">
        <v>1362</v>
      </c>
      <c r="K847" t="s">
        <v>1363</v>
      </c>
      <c r="L847" t="s">
        <v>17</v>
      </c>
      <c r="M847">
        <v>1466812800</v>
      </c>
      <c r="N847" t="s">
        <v>1628</v>
      </c>
      <c r="O847" t="s">
        <v>1628</v>
      </c>
      <c r="P847" t="s">
        <v>1628</v>
      </c>
      <c r="Q847">
        <f>LEN(AMAZON_FASHION_5__2[[#This Row],[reviewText]])</f>
        <v>60</v>
      </c>
      <c r="R847" t="str">
        <f>IF(AMAZON_FASHION_5__2[[#This Row],[overall]]&gt;=4,"Positive",IF(AMAZON_FASHION_5__2[[#This Row],[overall]]&lt;=2,"Negative","Neutral"))</f>
        <v>Positive</v>
      </c>
      <c r="S8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48" spans="1:19" x14ac:dyDescent="0.25">
      <c r="A848">
        <v>3</v>
      </c>
      <c r="B848" t="b">
        <v>1</v>
      </c>
      <c r="C848" s="1">
        <v>42542</v>
      </c>
      <c r="D848">
        <f>YEAR(AMAZON_FASHION_5__2[[#This Row],[reviewDate]])</f>
        <v>2016</v>
      </c>
      <c r="E848" s="1" t="str">
        <f>TEXT(AMAZON_FASHION_5__2[[#This Row],[reviewDate]], "mmmm")</f>
        <v>June</v>
      </c>
      <c r="F848" t="s">
        <v>1364</v>
      </c>
      <c r="G848" t="s">
        <v>1445</v>
      </c>
      <c r="H848" t="s">
        <v>477</v>
      </c>
      <c r="I848" t="s">
        <v>211</v>
      </c>
      <c r="J848" t="s">
        <v>63</v>
      </c>
      <c r="K848" t="s">
        <v>1365</v>
      </c>
      <c r="L848" t="s">
        <v>1366</v>
      </c>
      <c r="M848">
        <v>1466467200</v>
      </c>
      <c r="N848" t="s">
        <v>1628</v>
      </c>
      <c r="O848" t="s">
        <v>1628</v>
      </c>
      <c r="P848">
        <v>2</v>
      </c>
      <c r="Q848">
        <f>LEN(AMAZON_FASHION_5__2[[#This Row],[reviewText]])</f>
        <v>236</v>
      </c>
      <c r="R848" t="str">
        <f>IF(AMAZON_FASHION_5__2[[#This Row],[overall]]&gt;=4,"Positive",IF(AMAZON_FASHION_5__2[[#This Row],[overall]]&lt;=2,"Negative","Neutral"))</f>
        <v>Neutral</v>
      </c>
      <c r="S8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49" spans="1:19" x14ac:dyDescent="0.25">
      <c r="A849">
        <v>5</v>
      </c>
      <c r="B849" t="b">
        <v>1</v>
      </c>
      <c r="C849" s="1">
        <v>42540</v>
      </c>
      <c r="D849">
        <f>YEAR(AMAZON_FASHION_5__2[[#This Row],[reviewDate]])</f>
        <v>2016</v>
      </c>
      <c r="E849" s="1" t="str">
        <f>TEXT(AMAZON_FASHION_5__2[[#This Row],[reviewDate]], "mmmm")</f>
        <v>June</v>
      </c>
      <c r="F849" t="s">
        <v>1367</v>
      </c>
      <c r="G849" t="s">
        <v>1445</v>
      </c>
      <c r="H849" t="s">
        <v>230</v>
      </c>
      <c r="I849" t="s">
        <v>198</v>
      </c>
      <c r="J849" t="s">
        <v>1368</v>
      </c>
      <c r="K849" t="s">
        <v>1369</v>
      </c>
      <c r="L849" t="s">
        <v>480</v>
      </c>
      <c r="M849">
        <v>1466294400</v>
      </c>
      <c r="N849" t="s">
        <v>1628</v>
      </c>
      <c r="O849" t="s">
        <v>1628</v>
      </c>
      <c r="P849">
        <v>3</v>
      </c>
      <c r="Q849">
        <f>LEN(AMAZON_FASHION_5__2[[#This Row],[reviewText]])</f>
        <v>308</v>
      </c>
      <c r="R849" t="str">
        <f>IF(AMAZON_FASHION_5__2[[#This Row],[overall]]&gt;=4,"Positive",IF(AMAZON_FASHION_5__2[[#This Row],[overall]]&lt;=2,"Negative","Neutral"))</f>
        <v>Positive</v>
      </c>
      <c r="S8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50" spans="1:19" x14ac:dyDescent="0.25">
      <c r="A850">
        <v>5</v>
      </c>
      <c r="B850" t="b">
        <v>0</v>
      </c>
      <c r="C850" s="1">
        <v>42537</v>
      </c>
      <c r="D850">
        <f>YEAR(AMAZON_FASHION_5__2[[#This Row],[reviewDate]])</f>
        <v>2016</v>
      </c>
      <c r="E850" s="1" t="str">
        <f>TEXT(AMAZON_FASHION_5__2[[#This Row],[reviewDate]], "mmmm")</f>
        <v>June</v>
      </c>
      <c r="F850" t="s">
        <v>1370</v>
      </c>
      <c r="G850" t="s">
        <v>1445</v>
      </c>
      <c r="H850" t="s">
        <v>230</v>
      </c>
      <c r="I850" t="s">
        <v>236</v>
      </c>
      <c r="J850" t="s">
        <v>63</v>
      </c>
      <c r="K850" t="s">
        <v>1371</v>
      </c>
      <c r="L850" t="s">
        <v>1372</v>
      </c>
      <c r="M850">
        <v>1466035200</v>
      </c>
      <c r="N850" t="s">
        <v>1628</v>
      </c>
      <c r="O850" t="s">
        <v>1628</v>
      </c>
      <c r="P850">
        <v>3</v>
      </c>
      <c r="Q850">
        <f>LEN(AMAZON_FASHION_5__2[[#This Row],[reviewText]])</f>
        <v>370</v>
      </c>
      <c r="R850" t="str">
        <f>IF(AMAZON_FASHION_5__2[[#This Row],[overall]]&gt;=4,"Positive",IF(AMAZON_FASHION_5__2[[#This Row],[overall]]&lt;=2,"Negative","Neutral"))</f>
        <v>Positive</v>
      </c>
      <c r="S8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51" spans="1:19" x14ac:dyDescent="0.25">
      <c r="A851">
        <v>5</v>
      </c>
      <c r="B851" t="b">
        <v>1</v>
      </c>
      <c r="C851" s="1">
        <v>42531</v>
      </c>
      <c r="D851">
        <f>YEAR(AMAZON_FASHION_5__2[[#This Row],[reviewDate]])</f>
        <v>2016</v>
      </c>
      <c r="E851" s="1" t="str">
        <f>TEXT(AMAZON_FASHION_5__2[[#This Row],[reviewDate]], "mmmm")</f>
        <v>June</v>
      </c>
      <c r="F851" t="s">
        <v>1373</v>
      </c>
      <c r="G851" t="s">
        <v>1445</v>
      </c>
      <c r="H851" t="s">
        <v>558</v>
      </c>
      <c r="I851" t="s">
        <v>198</v>
      </c>
      <c r="J851" t="s">
        <v>1374</v>
      </c>
      <c r="K851" t="s">
        <v>1375</v>
      </c>
      <c r="L851" t="s">
        <v>1376</v>
      </c>
      <c r="M851">
        <v>1465516800</v>
      </c>
      <c r="N851" t="s">
        <v>1628</v>
      </c>
      <c r="O851" t="s">
        <v>1628</v>
      </c>
      <c r="P851">
        <v>10</v>
      </c>
      <c r="Q851">
        <f>LEN(AMAZON_FASHION_5__2[[#This Row],[reviewText]])</f>
        <v>204</v>
      </c>
      <c r="R851" t="str">
        <f>IF(AMAZON_FASHION_5__2[[#This Row],[overall]]&gt;=4,"Positive",IF(AMAZON_FASHION_5__2[[#This Row],[overall]]&lt;=2,"Negative","Neutral"))</f>
        <v>Positive</v>
      </c>
      <c r="S8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52" spans="1:19" x14ac:dyDescent="0.25">
      <c r="A852">
        <v>5</v>
      </c>
      <c r="B852" t="b">
        <v>1</v>
      </c>
      <c r="C852" s="1">
        <v>42526</v>
      </c>
      <c r="D852">
        <f>YEAR(AMAZON_FASHION_5__2[[#This Row],[reviewDate]])</f>
        <v>2016</v>
      </c>
      <c r="E852" s="1" t="str">
        <f>TEXT(AMAZON_FASHION_5__2[[#This Row],[reviewDate]], "mmmm")</f>
        <v>June</v>
      </c>
      <c r="F852" t="s">
        <v>1377</v>
      </c>
      <c r="G852" t="s">
        <v>1445</v>
      </c>
      <c r="H852" t="s">
        <v>197</v>
      </c>
      <c r="I852" t="s">
        <v>198</v>
      </c>
      <c r="J852" t="s">
        <v>1378</v>
      </c>
      <c r="K852" t="s">
        <v>1379</v>
      </c>
      <c r="L852" t="s">
        <v>17</v>
      </c>
      <c r="M852">
        <v>1465084800</v>
      </c>
      <c r="N852" t="s">
        <v>1628</v>
      </c>
      <c r="O852" t="s">
        <v>1628</v>
      </c>
      <c r="P852" t="s">
        <v>1628</v>
      </c>
      <c r="Q852">
        <f>LEN(AMAZON_FASHION_5__2[[#This Row],[reviewText]])</f>
        <v>9</v>
      </c>
      <c r="R852" t="str">
        <f>IF(AMAZON_FASHION_5__2[[#This Row],[overall]]&gt;=4,"Positive",IF(AMAZON_FASHION_5__2[[#This Row],[overall]]&lt;=2,"Negative","Neutral"))</f>
        <v>Positive</v>
      </c>
      <c r="S8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53" spans="1:19" x14ac:dyDescent="0.25">
      <c r="A853">
        <v>5</v>
      </c>
      <c r="B853" t="b">
        <v>1</v>
      </c>
      <c r="C853" s="1">
        <v>42523</v>
      </c>
      <c r="D853">
        <f>YEAR(AMAZON_FASHION_5__2[[#This Row],[reviewDate]])</f>
        <v>2016</v>
      </c>
      <c r="E853" s="1" t="str">
        <f>TEXT(AMAZON_FASHION_5__2[[#This Row],[reviewDate]], "mmmm")</f>
        <v>June</v>
      </c>
      <c r="F853" t="s">
        <v>1380</v>
      </c>
      <c r="G853" t="s">
        <v>1445</v>
      </c>
      <c r="H853" t="s">
        <v>197</v>
      </c>
      <c r="I853" t="s">
        <v>493</v>
      </c>
      <c r="J853" t="s">
        <v>1381</v>
      </c>
      <c r="K853" t="s">
        <v>1382</v>
      </c>
      <c r="L853" t="s">
        <v>1383</v>
      </c>
      <c r="M853">
        <v>1464825600</v>
      </c>
      <c r="N853" t="s">
        <v>1628</v>
      </c>
      <c r="O853" t="s">
        <v>1628</v>
      </c>
      <c r="P853" t="s">
        <v>1628</v>
      </c>
      <c r="Q853">
        <f>LEN(AMAZON_FASHION_5__2[[#This Row],[reviewText]])</f>
        <v>237</v>
      </c>
      <c r="R853" t="str">
        <f>IF(AMAZON_FASHION_5__2[[#This Row],[overall]]&gt;=4,"Positive",IF(AMAZON_FASHION_5__2[[#This Row],[overall]]&lt;=2,"Negative","Neutral"))</f>
        <v>Positive</v>
      </c>
      <c r="S8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54" spans="1:19" x14ac:dyDescent="0.25">
      <c r="A854">
        <v>5</v>
      </c>
      <c r="B854" t="b">
        <v>1</v>
      </c>
      <c r="C854" s="1">
        <v>42519</v>
      </c>
      <c r="D854">
        <f>YEAR(AMAZON_FASHION_5__2[[#This Row],[reviewDate]])</f>
        <v>2016</v>
      </c>
      <c r="E854" s="1" t="str">
        <f>TEXT(AMAZON_FASHION_5__2[[#This Row],[reviewDate]], "mmmm")</f>
        <v>May</v>
      </c>
      <c r="F854" t="s">
        <v>1384</v>
      </c>
      <c r="G854" t="s">
        <v>1445</v>
      </c>
      <c r="H854" t="s">
        <v>210</v>
      </c>
      <c r="I854" t="s">
        <v>211</v>
      </c>
      <c r="J854" t="s">
        <v>1385</v>
      </c>
      <c r="K854" t="s">
        <v>1386</v>
      </c>
      <c r="L854" t="s">
        <v>17</v>
      </c>
      <c r="M854">
        <v>1464480000</v>
      </c>
      <c r="N854" t="s">
        <v>1628</v>
      </c>
      <c r="O854" t="s">
        <v>1628</v>
      </c>
      <c r="P854" t="s">
        <v>1628</v>
      </c>
      <c r="Q854">
        <f>LEN(AMAZON_FASHION_5__2[[#This Row],[reviewText]])</f>
        <v>11</v>
      </c>
      <c r="R854" t="str">
        <f>IF(AMAZON_FASHION_5__2[[#This Row],[overall]]&gt;=4,"Positive",IF(AMAZON_FASHION_5__2[[#This Row],[overall]]&lt;=2,"Negative","Neutral"))</f>
        <v>Positive</v>
      </c>
      <c r="S8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55" spans="1:19" x14ac:dyDescent="0.25">
      <c r="A855">
        <v>5</v>
      </c>
      <c r="B855" t="b">
        <v>1</v>
      </c>
      <c r="C855" s="1">
        <v>42518</v>
      </c>
      <c r="D855">
        <f>YEAR(AMAZON_FASHION_5__2[[#This Row],[reviewDate]])</f>
        <v>2016</v>
      </c>
      <c r="E855" s="1" t="str">
        <f>TEXT(AMAZON_FASHION_5__2[[#This Row],[reviewDate]], "mmmm")</f>
        <v>May</v>
      </c>
      <c r="F855" t="s">
        <v>1387</v>
      </c>
      <c r="G855" t="s">
        <v>1445</v>
      </c>
      <c r="H855" t="s">
        <v>1388</v>
      </c>
      <c r="I855" t="s">
        <v>217</v>
      </c>
      <c r="J855" t="s">
        <v>63</v>
      </c>
      <c r="K855" t="s">
        <v>638</v>
      </c>
      <c r="L855" t="s">
        <v>17</v>
      </c>
      <c r="M855">
        <v>1464393600</v>
      </c>
      <c r="N855" t="s">
        <v>1628</v>
      </c>
      <c r="O855" t="s">
        <v>1628</v>
      </c>
      <c r="P855" t="s">
        <v>1628</v>
      </c>
      <c r="Q855">
        <f>LEN(AMAZON_FASHION_5__2[[#This Row],[reviewText]])</f>
        <v>7</v>
      </c>
      <c r="R855" t="str">
        <f>IF(AMAZON_FASHION_5__2[[#This Row],[overall]]&gt;=4,"Positive",IF(AMAZON_FASHION_5__2[[#This Row],[overall]]&lt;=2,"Negative","Neutral"))</f>
        <v>Positive</v>
      </c>
      <c r="S8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56" spans="1:19" x14ac:dyDescent="0.25">
      <c r="A856">
        <v>5</v>
      </c>
      <c r="B856" t="b">
        <v>0</v>
      </c>
      <c r="C856" s="1">
        <v>42514</v>
      </c>
      <c r="D856">
        <f>YEAR(AMAZON_FASHION_5__2[[#This Row],[reviewDate]])</f>
        <v>2016</v>
      </c>
      <c r="E856" s="1" t="str">
        <f>TEXT(AMAZON_FASHION_5__2[[#This Row],[reviewDate]], "mmmm")</f>
        <v>May</v>
      </c>
      <c r="F856" t="s">
        <v>1389</v>
      </c>
      <c r="G856" t="s">
        <v>1445</v>
      </c>
      <c r="H856" t="s">
        <v>1628</v>
      </c>
      <c r="I856" t="s">
        <v>1628</v>
      </c>
      <c r="J856" t="s">
        <v>1390</v>
      </c>
      <c r="K856" t="s">
        <v>1391</v>
      </c>
      <c r="L856" t="s">
        <v>1392</v>
      </c>
      <c r="M856">
        <v>1464048000</v>
      </c>
      <c r="N856" t="s">
        <v>1628</v>
      </c>
      <c r="O856" t="s">
        <v>1628</v>
      </c>
      <c r="P856">
        <v>8</v>
      </c>
      <c r="Q856">
        <f>LEN(AMAZON_FASHION_5__2[[#This Row],[reviewText]])</f>
        <v>629</v>
      </c>
      <c r="R856" t="str">
        <f>IF(AMAZON_FASHION_5__2[[#This Row],[overall]]&gt;=4,"Positive",IF(AMAZON_FASHION_5__2[[#This Row],[overall]]&lt;=2,"Negative","Neutral"))</f>
        <v>Positive</v>
      </c>
      <c r="S8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57" spans="1:19" x14ac:dyDescent="0.25">
      <c r="A857">
        <v>4</v>
      </c>
      <c r="B857" t="b">
        <v>1</v>
      </c>
      <c r="C857" s="1">
        <v>42514</v>
      </c>
      <c r="D857">
        <f>YEAR(AMAZON_FASHION_5__2[[#This Row],[reviewDate]])</f>
        <v>2016</v>
      </c>
      <c r="E857" s="1" t="str">
        <f>TEXT(AMAZON_FASHION_5__2[[#This Row],[reviewDate]], "mmmm")</f>
        <v>May</v>
      </c>
      <c r="F857" t="s">
        <v>1393</v>
      </c>
      <c r="G857" t="s">
        <v>1445</v>
      </c>
      <c r="H857" t="s">
        <v>230</v>
      </c>
      <c r="I857" t="s">
        <v>211</v>
      </c>
      <c r="J857" t="s">
        <v>1394</v>
      </c>
      <c r="K857" t="s">
        <v>1395</v>
      </c>
      <c r="L857" t="s">
        <v>1396</v>
      </c>
      <c r="M857">
        <v>1464048000</v>
      </c>
      <c r="N857" t="s">
        <v>1628</v>
      </c>
      <c r="O857" t="s">
        <v>1628</v>
      </c>
      <c r="P857" t="s">
        <v>1628</v>
      </c>
      <c r="Q857">
        <f>LEN(AMAZON_FASHION_5__2[[#This Row],[reviewText]])</f>
        <v>148</v>
      </c>
      <c r="R857" t="str">
        <f>IF(AMAZON_FASHION_5__2[[#This Row],[overall]]&gt;=4,"Positive",IF(AMAZON_FASHION_5__2[[#This Row],[overall]]&lt;=2,"Negative","Neutral"))</f>
        <v>Positive</v>
      </c>
      <c r="S8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58" spans="1:19" x14ac:dyDescent="0.25">
      <c r="A858">
        <v>5</v>
      </c>
      <c r="B858" t="b">
        <v>1</v>
      </c>
      <c r="C858" s="1">
        <v>42510</v>
      </c>
      <c r="D858">
        <f>YEAR(AMAZON_FASHION_5__2[[#This Row],[reviewDate]])</f>
        <v>2016</v>
      </c>
      <c r="E858" s="1" t="str">
        <f>TEXT(AMAZON_FASHION_5__2[[#This Row],[reviewDate]], "mmmm")</f>
        <v>May</v>
      </c>
      <c r="F858" t="s">
        <v>1397</v>
      </c>
      <c r="G858" t="s">
        <v>1445</v>
      </c>
      <c r="H858" t="s">
        <v>320</v>
      </c>
      <c r="I858" t="s">
        <v>198</v>
      </c>
      <c r="J858" t="s">
        <v>1398</v>
      </c>
      <c r="K858" t="s">
        <v>940</v>
      </c>
      <c r="L858" t="s">
        <v>17</v>
      </c>
      <c r="M858">
        <v>1463702400</v>
      </c>
      <c r="N858" t="s">
        <v>1628</v>
      </c>
      <c r="O858" t="s">
        <v>1628</v>
      </c>
      <c r="P858" t="s">
        <v>1628</v>
      </c>
      <c r="Q858">
        <f>LEN(AMAZON_FASHION_5__2[[#This Row],[reviewText]])</f>
        <v>10</v>
      </c>
      <c r="R858" t="str">
        <f>IF(AMAZON_FASHION_5__2[[#This Row],[overall]]&gt;=4,"Positive",IF(AMAZON_FASHION_5__2[[#This Row],[overall]]&lt;=2,"Negative","Neutral"))</f>
        <v>Positive</v>
      </c>
      <c r="S8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59" spans="1:19" x14ac:dyDescent="0.25">
      <c r="A859">
        <v>5</v>
      </c>
      <c r="B859" t="b">
        <v>0</v>
      </c>
      <c r="C859" s="1">
        <v>42508</v>
      </c>
      <c r="D859">
        <f>YEAR(AMAZON_FASHION_5__2[[#This Row],[reviewDate]])</f>
        <v>2016</v>
      </c>
      <c r="E859" s="1" t="str">
        <f>TEXT(AMAZON_FASHION_5__2[[#This Row],[reviewDate]], "mmmm")</f>
        <v>May</v>
      </c>
      <c r="F859" t="s">
        <v>1399</v>
      </c>
      <c r="G859" t="s">
        <v>1445</v>
      </c>
      <c r="H859" t="s">
        <v>210</v>
      </c>
      <c r="I859" t="s">
        <v>524</v>
      </c>
      <c r="J859" t="s">
        <v>1400</v>
      </c>
      <c r="K859" t="s">
        <v>1401</v>
      </c>
      <c r="L859" t="s">
        <v>1402</v>
      </c>
      <c r="M859">
        <v>1463529600</v>
      </c>
      <c r="N859" t="s">
        <v>1628</v>
      </c>
      <c r="O859" t="s">
        <v>1628</v>
      </c>
      <c r="P859" t="s">
        <v>1628</v>
      </c>
      <c r="Q859">
        <f>LEN(AMAZON_FASHION_5__2[[#This Row],[reviewText]])</f>
        <v>247</v>
      </c>
      <c r="R859" t="str">
        <f>IF(AMAZON_FASHION_5__2[[#This Row],[overall]]&gt;=4,"Positive",IF(AMAZON_FASHION_5__2[[#This Row],[overall]]&lt;=2,"Negative","Neutral"))</f>
        <v>Positive</v>
      </c>
      <c r="S8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60" spans="1:19" x14ac:dyDescent="0.25">
      <c r="A860">
        <v>5</v>
      </c>
      <c r="B860" t="b">
        <v>1</v>
      </c>
      <c r="C860" s="1">
        <v>42506</v>
      </c>
      <c r="D860">
        <f>YEAR(AMAZON_FASHION_5__2[[#This Row],[reviewDate]])</f>
        <v>2016</v>
      </c>
      <c r="E860" s="1" t="str">
        <f>TEXT(AMAZON_FASHION_5__2[[#This Row],[reviewDate]], "mmmm")</f>
        <v>May</v>
      </c>
      <c r="F860" t="s">
        <v>1403</v>
      </c>
      <c r="G860" t="s">
        <v>1445</v>
      </c>
      <c r="H860" t="s">
        <v>235</v>
      </c>
      <c r="I860" t="s">
        <v>236</v>
      </c>
      <c r="J860" t="s">
        <v>63</v>
      </c>
      <c r="K860" t="s">
        <v>1404</v>
      </c>
      <c r="L860" t="s">
        <v>17</v>
      </c>
      <c r="M860">
        <v>1463356800</v>
      </c>
      <c r="N860" t="s">
        <v>1628</v>
      </c>
      <c r="O860" t="s">
        <v>1628</v>
      </c>
      <c r="P860" t="s">
        <v>1628</v>
      </c>
      <c r="Q860">
        <f>LEN(AMAZON_FASHION_5__2[[#This Row],[reviewText]])</f>
        <v>76</v>
      </c>
      <c r="R860" t="str">
        <f>IF(AMAZON_FASHION_5__2[[#This Row],[overall]]&gt;=4,"Positive",IF(AMAZON_FASHION_5__2[[#This Row],[overall]]&lt;=2,"Negative","Neutral"))</f>
        <v>Positive</v>
      </c>
      <c r="S8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61" spans="1:19" x14ac:dyDescent="0.25">
      <c r="A861">
        <v>5</v>
      </c>
      <c r="B861" t="b">
        <v>1</v>
      </c>
      <c r="C861" s="1">
        <v>42505</v>
      </c>
      <c r="D861">
        <f>YEAR(AMAZON_FASHION_5__2[[#This Row],[reviewDate]])</f>
        <v>2016</v>
      </c>
      <c r="E861" s="1" t="str">
        <f>TEXT(AMAZON_FASHION_5__2[[#This Row],[reviewDate]], "mmmm")</f>
        <v>May</v>
      </c>
      <c r="F861" t="s">
        <v>1405</v>
      </c>
      <c r="G861" t="s">
        <v>1445</v>
      </c>
      <c r="H861" t="s">
        <v>201</v>
      </c>
      <c r="I861" t="s">
        <v>493</v>
      </c>
      <c r="J861" t="s">
        <v>1406</v>
      </c>
      <c r="K861" t="s">
        <v>1407</v>
      </c>
      <c r="L861" t="s">
        <v>1408</v>
      </c>
      <c r="M861">
        <v>1463270400</v>
      </c>
      <c r="N861" t="s">
        <v>1628</v>
      </c>
      <c r="O861" t="s">
        <v>1628</v>
      </c>
      <c r="P861" t="s">
        <v>1628</v>
      </c>
      <c r="Q861">
        <f>LEN(AMAZON_FASHION_5__2[[#This Row],[reviewText]])</f>
        <v>27</v>
      </c>
      <c r="R861" t="str">
        <f>IF(AMAZON_FASHION_5__2[[#This Row],[overall]]&gt;=4,"Positive",IF(AMAZON_FASHION_5__2[[#This Row],[overall]]&lt;=2,"Negative","Neutral"))</f>
        <v>Positive</v>
      </c>
      <c r="S8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62" spans="1:19" x14ac:dyDescent="0.25">
      <c r="A862">
        <v>4</v>
      </c>
      <c r="B862" t="b">
        <v>1</v>
      </c>
      <c r="C862" s="1">
        <v>42501</v>
      </c>
      <c r="D862">
        <f>YEAR(AMAZON_FASHION_5__2[[#This Row],[reviewDate]])</f>
        <v>2016</v>
      </c>
      <c r="E862" s="1" t="str">
        <f>TEXT(AMAZON_FASHION_5__2[[#This Row],[reviewDate]], "mmmm")</f>
        <v>May</v>
      </c>
      <c r="F862" t="s">
        <v>1409</v>
      </c>
      <c r="G862" t="s">
        <v>1445</v>
      </c>
      <c r="H862" t="s">
        <v>1410</v>
      </c>
      <c r="I862" t="s">
        <v>1411</v>
      </c>
      <c r="J862" t="s">
        <v>1412</v>
      </c>
      <c r="K862" t="s">
        <v>1413</v>
      </c>
      <c r="L862" t="s">
        <v>1414</v>
      </c>
      <c r="M862">
        <v>1462924800</v>
      </c>
      <c r="N862" t="s">
        <v>1628</v>
      </c>
      <c r="O862" t="s">
        <v>1628</v>
      </c>
      <c r="P862" t="s">
        <v>1628</v>
      </c>
      <c r="Q862">
        <f>LEN(AMAZON_FASHION_5__2[[#This Row],[reviewText]])</f>
        <v>468</v>
      </c>
      <c r="R862" t="str">
        <f>IF(AMAZON_FASHION_5__2[[#This Row],[overall]]&gt;=4,"Positive",IF(AMAZON_FASHION_5__2[[#This Row],[overall]]&lt;=2,"Negative","Neutral"))</f>
        <v>Positive</v>
      </c>
      <c r="S8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63" spans="1:19" x14ac:dyDescent="0.25">
      <c r="A863">
        <v>5</v>
      </c>
      <c r="B863" t="b">
        <v>0</v>
      </c>
      <c r="C863" s="1">
        <v>42500</v>
      </c>
      <c r="D863">
        <f>YEAR(AMAZON_FASHION_5__2[[#This Row],[reviewDate]])</f>
        <v>2016</v>
      </c>
      <c r="E863" s="1" t="str">
        <f>TEXT(AMAZON_FASHION_5__2[[#This Row],[reviewDate]], "mmmm")</f>
        <v>May</v>
      </c>
      <c r="F863" t="s">
        <v>1415</v>
      </c>
      <c r="G863" t="s">
        <v>1445</v>
      </c>
      <c r="H863" t="s">
        <v>210</v>
      </c>
      <c r="I863" t="s">
        <v>211</v>
      </c>
      <c r="J863" t="s">
        <v>63</v>
      </c>
      <c r="K863" t="s">
        <v>1416</v>
      </c>
      <c r="L863" t="s">
        <v>735</v>
      </c>
      <c r="M863">
        <v>1462838400</v>
      </c>
      <c r="N863" t="s">
        <v>1628</v>
      </c>
      <c r="O863" t="s">
        <v>1628</v>
      </c>
      <c r="P863" t="s">
        <v>1628</v>
      </c>
      <c r="Q863">
        <f>LEN(AMAZON_FASHION_5__2[[#This Row],[reviewText]])</f>
        <v>166</v>
      </c>
      <c r="R863" t="str">
        <f>IF(AMAZON_FASHION_5__2[[#This Row],[overall]]&gt;=4,"Positive",IF(AMAZON_FASHION_5__2[[#This Row],[overall]]&lt;=2,"Negative","Neutral"))</f>
        <v>Positive</v>
      </c>
      <c r="S8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64" spans="1:19" x14ac:dyDescent="0.25">
      <c r="A864">
        <v>5</v>
      </c>
      <c r="B864" t="b">
        <v>1</v>
      </c>
      <c r="C864" s="1">
        <v>42499</v>
      </c>
      <c r="D864">
        <f>YEAR(AMAZON_FASHION_5__2[[#This Row],[reviewDate]])</f>
        <v>2016</v>
      </c>
      <c r="E864" s="1" t="str">
        <f>TEXT(AMAZON_FASHION_5__2[[#This Row],[reviewDate]], "mmmm")</f>
        <v>May</v>
      </c>
      <c r="F864" t="s">
        <v>1417</v>
      </c>
      <c r="G864" t="s">
        <v>1445</v>
      </c>
      <c r="H864" t="s">
        <v>230</v>
      </c>
      <c r="I864" t="s">
        <v>198</v>
      </c>
      <c r="J864" t="s">
        <v>1418</v>
      </c>
      <c r="K864" t="s">
        <v>1419</v>
      </c>
      <c r="L864" t="s">
        <v>17</v>
      </c>
      <c r="M864">
        <v>1462752000</v>
      </c>
      <c r="N864" t="s">
        <v>1628</v>
      </c>
      <c r="O864" t="s">
        <v>1628</v>
      </c>
      <c r="P864" t="s">
        <v>1628</v>
      </c>
      <c r="Q864">
        <f>LEN(AMAZON_FASHION_5__2[[#This Row],[reviewText]])</f>
        <v>33</v>
      </c>
      <c r="R864" t="str">
        <f>IF(AMAZON_FASHION_5__2[[#This Row],[overall]]&gt;=4,"Positive",IF(AMAZON_FASHION_5__2[[#This Row],[overall]]&lt;=2,"Negative","Neutral"))</f>
        <v>Positive</v>
      </c>
      <c r="S8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65" spans="1:19" x14ac:dyDescent="0.25">
      <c r="A865">
        <v>5</v>
      </c>
      <c r="B865" t="b">
        <v>1</v>
      </c>
      <c r="C865" s="1">
        <v>42498</v>
      </c>
      <c r="D865">
        <f>YEAR(AMAZON_FASHION_5__2[[#This Row],[reviewDate]])</f>
        <v>2016</v>
      </c>
      <c r="E865" s="1" t="str">
        <f>TEXT(AMAZON_FASHION_5__2[[#This Row],[reviewDate]], "mmmm")</f>
        <v>May</v>
      </c>
      <c r="F865" t="s">
        <v>1420</v>
      </c>
      <c r="G865" t="s">
        <v>1445</v>
      </c>
      <c r="H865" t="s">
        <v>320</v>
      </c>
      <c r="I865" t="s">
        <v>198</v>
      </c>
      <c r="J865" t="s">
        <v>1421</v>
      </c>
      <c r="K865" t="s">
        <v>1422</v>
      </c>
      <c r="L865" t="s">
        <v>1423</v>
      </c>
      <c r="M865">
        <v>1462665600</v>
      </c>
      <c r="N865" t="s">
        <v>1628</v>
      </c>
      <c r="O865" t="s">
        <v>1628</v>
      </c>
      <c r="P865" t="s">
        <v>1628</v>
      </c>
      <c r="Q865">
        <f>LEN(AMAZON_FASHION_5__2[[#This Row],[reviewText]])</f>
        <v>62</v>
      </c>
      <c r="R865" t="str">
        <f>IF(AMAZON_FASHION_5__2[[#This Row],[overall]]&gt;=4,"Positive",IF(AMAZON_FASHION_5__2[[#This Row],[overall]]&lt;=2,"Negative","Neutral"))</f>
        <v>Positive</v>
      </c>
      <c r="S8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66" spans="1:19" x14ac:dyDescent="0.25">
      <c r="A866">
        <v>4</v>
      </c>
      <c r="B866" t="b">
        <v>1</v>
      </c>
      <c r="C866" s="1">
        <v>42497</v>
      </c>
      <c r="D866">
        <f>YEAR(AMAZON_FASHION_5__2[[#This Row],[reviewDate]])</f>
        <v>2016</v>
      </c>
      <c r="E866" s="1" t="str">
        <f>TEXT(AMAZON_FASHION_5__2[[#This Row],[reviewDate]], "mmmm")</f>
        <v>May</v>
      </c>
      <c r="F866" t="s">
        <v>1424</v>
      </c>
      <c r="G866" t="s">
        <v>1445</v>
      </c>
      <c r="H866" t="s">
        <v>1425</v>
      </c>
      <c r="I866" t="s">
        <v>217</v>
      </c>
      <c r="J866" t="s">
        <v>1426</v>
      </c>
      <c r="K866" t="s">
        <v>1427</v>
      </c>
      <c r="L866" t="s">
        <v>103</v>
      </c>
      <c r="M866">
        <v>1462579200</v>
      </c>
      <c r="N866" t="s">
        <v>1628</v>
      </c>
      <c r="O866" t="s">
        <v>1628</v>
      </c>
      <c r="P866" t="s">
        <v>1628</v>
      </c>
      <c r="Q866">
        <f>LEN(AMAZON_FASHION_5__2[[#This Row],[reviewText]])</f>
        <v>25</v>
      </c>
      <c r="R866" t="str">
        <f>IF(AMAZON_FASHION_5__2[[#This Row],[overall]]&gt;=4,"Positive",IF(AMAZON_FASHION_5__2[[#This Row],[overall]]&lt;=2,"Negative","Neutral"))</f>
        <v>Positive</v>
      </c>
      <c r="S8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67" spans="1:19" x14ac:dyDescent="0.25">
      <c r="A867">
        <v>4</v>
      </c>
      <c r="B867" t="b">
        <v>1</v>
      </c>
      <c r="C867" s="1">
        <v>42494</v>
      </c>
      <c r="D867">
        <f>YEAR(AMAZON_FASHION_5__2[[#This Row],[reviewDate]])</f>
        <v>2016</v>
      </c>
      <c r="E867" s="1" t="str">
        <f>TEXT(AMAZON_FASHION_5__2[[#This Row],[reviewDate]], "mmmm")</f>
        <v>May</v>
      </c>
      <c r="F867" t="s">
        <v>1428</v>
      </c>
      <c r="G867" t="s">
        <v>1445</v>
      </c>
      <c r="H867" t="s">
        <v>230</v>
      </c>
      <c r="I867" t="s">
        <v>198</v>
      </c>
      <c r="J867" t="s">
        <v>1429</v>
      </c>
      <c r="K867" t="s">
        <v>1430</v>
      </c>
      <c r="L867" t="s">
        <v>1376</v>
      </c>
      <c r="M867">
        <v>1462320000</v>
      </c>
      <c r="N867" t="s">
        <v>1628</v>
      </c>
      <c r="O867" t="s">
        <v>1628</v>
      </c>
      <c r="P867">
        <v>20</v>
      </c>
      <c r="Q867">
        <f>LEN(AMAZON_FASHION_5__2[[#This Row],[reviewText]])</f>
        <v>1368</v>
      </c>
      <c r="R867" t="str">
        <f>IF(AMAZON_FASHION_5__2[[#This Row],[overall]]&gt;=4,"Positive",IF(AMAZON_FASHION_5__2[[#This Row],[overall]]&lt;=2,"Negative","Neutral"))</f>
        <v>Positive</v>
      </c>
      <c r="S8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68" spans="1:19" x14ac:dyDescent="0.25">
      <c r="A868">
        <v>5</v>
      </c>
      <c r="B868" t="b">
        <v>1</v>
      </c>
      <c r="C868" s="1">
        <v>42494</v>
      </c>
      <c r="D868">
        <f>YEAR(AMAZON_FASHION_5__2[[#This Row],[reviewDate]])</f>
        <v>2016</v>
      </c>
      <c r="E868" s="1" t="str">
        <f>TEXT(AMAZON_FASHION_5__2[[#This Row],[reviewDate]], "mmmm")</f>
        <v>May</v>
      </c>
      <c r="F868" t="s">
        <v>1431</v>
      </c>
      <c r="G868" t="s">
        <v>1445</v>
      </c>
      <c r="H868" t="s">
        <v>1425</v>
      </c>
      <c r="I868" t="s">
        <v>217</v>
      </c>
      <c r="J868" t="s">
        <v>1432</v>
      </c>
      <c r="K868" t="s">
        <v>1433</v>
      </c>
      <c r="L868" t="s">
        <v>1434</v>
      </c>
      <c r="M868">
        <v>1462320000</v>
      </c>
      <c r="N868" t="s">
        <v>1628</v>
      </c>
      <c r="O868" t="s">
        <v>1628</v>
      </c>
      <c r="P868" t="s">
        <v>1628</v>
      </c>
      <c r="Q868">
        <f>LEN(AMAZON_FASHION_5__2[[#This Row],[reviewText]])</f>
        <v>57</v>
      </c>
      <c r="R868" t="str">
        <f>IF(AMAZON_FASHION_5__2[[#This Row],[overall]]&gt;=4,"Positive",IF(AMAZON_FASHION_5__2[[#This Row],[overall]]&lt;=2,"Negative","Neutral"))</f>
        <v>Positive</v>
      </c>
      <c r="S8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69" spans="1:19" x14ac:dyDescent="0.25">
      <c r="A869">
        <v>5</v>
      </c>
      <c r="B869" t="b">
        <v>1</v>
      </c>
      <c r="C869" s="1">
        <v>42483</v>
      </c>
      <c r="D869">
        <f>YEAR(AMAZON_FASHION_5__2[[#This Row],[reviewDate]])</f>
        <v>2016</v>
      </c>
      <c r="E869" s="1" t="str">
        <f>TEXT(AMAZON_FASHION_5__2[[#This Row],[reviewDate]], "mmmm")</f>
        <v>April</v>
      </c>
      <c r="F869" t="s">
        <v>1435</v>
      </c>
      <c r="G869" t="s">
        <v>1445</v>
      </c>
      <c r="H869" t="s">
        <v>205</v>
      </c>
      <c r="I869" t="s">
        <v>198</v>
      </c>
      <c r="J869" t="s">
        <v>1436</v>
      </c>
      <c r="K869" t="s">
        <v>1437</v>
      </c>
      <c r="L869" t="s">
        <v>17</v>
      </c>
      <c r="M869">
        <v>1461369600</v>
      </c>
      <c r="N869" t="s">
        <v>1628</v>
      </c>
      <c r="O869" t="s">
        <v>1628</v>
      </c>
      <c r="P869" t="s">
        <v>1628</v>
      </c>
      <c r="Q869">
        <f>LEN(AMAZON_FASHION_5__2[[#This Row],[reviewText]])</f>
        <v>50</v>
      </c>
      <c r="R869" t="str">
        <f>IF(AMAZON_FASHION_5__2[[#This Row],[overall]]&gt;=4,"Positive",IF(AMAZON_FASHION_5__2[[#This Row],[overall]]&lt;=2,"Negative","Neutral"))</f>
        <v>Positive</v>
      </c>
      <c r="S8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70" spans="1:19" x14ac:dyDescent="0.25">
      <c r="A870">
        <v>5</v>
      </c>
      <c r="B870" t="b">
        <v>1</v>
      </c>
      <c r="C870" s="1">
        <v>42481</v>
      </c>
      <c r="D870">
        <f>YEAR(AMAZON_FASHION_5__2[[#This Row],[reviewDate]])</f>
        <v>2016</v>
      </c>
      <c r="E870" s="1" t="str">
        <f>TEXT(AMAZON_FASHION_5__2[[#This Row],[reviewDate]], "mmmm")</f>
        <v>April</v>
      </c>
      <c r="F870" t="s">
        <v>1438</v>
      </c>
      <c r="G870" t="s">
        <v>1445</v>
      </c>
      <c r="H870" t="s">
        <v>477</v>
      </c>
      <c r="I870" t="s">
        <v>198</v>
      </c>
      <c r="J870" t="s">
        <v>1439</v>
      </c>
      <c r="K870" t="s">
        <v>1440</v>
      </c>
      <c r="L870" t="s">
        <v>1441</v>
      </c>
      <c r="M870">
        <v>1461196800</v>
      </c>
      <c r="N870" t="s">
        <v>1628</v>
      </c>
      <c r="O870" t="s">
        <v>1628</v>
      </c>
      <c r="P870">
        <v>3</v>
      </c>
      <c r="Q870">
        <f>LEN(AMAZON_FASHION_5__2[[#This Row],[reviewText]])</f>
        <v>371</v>
      </c>
      <c r="R870" t="str">
        <f>IF(AMAZON_FASHION_5__2[[#This Row],[overall]]&gt;=4,"Positive",IF(AMAZON_FASHION_5__2[[#This Row],[overall]]&lt;=2,"Negative","Neutral"))</f>
        <v>Positive</v>
      </c>
      <c r="S8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71" spans="1:19" x14ac:dyDescent="0.25">
      <c r="A871">
        <v>5</v>
      </c>
      <c r="B871" t="b">
        <v>1</v>
      </c>
      <c r="C871" s="1">
        <v>42449</v>
      </c>
      <c r="D871">
        <f>YEAR(AMAZON_FASHION_5__2[[#This Row],[reviewDate]])</f>
        <v>2016</v>
      </c>
      <c r="E871" s="1" t="str">
        <f>TEXT(AMAZON_FASHION_5__2[[#This Row],[reviewDate]], "mmmm")</f>
        <v>March</v>
      </c>
      <c r="F871" t="s">
        <v>234</v>
      </c>
      <c r="G871" t="s">
        <v>1456</v>
      </c>
      <c r="H871" t="s">
        <v>235</v>
      </c>
      <c r="I871" t="s">
        <v>236</v>
      </c>
      <c r="J871" t="s">
        <v>237</v>
      </c>
      <c r="K871" t="s">
        <v>238</v>
      </c>
      <c r="L871" t="s">
        <v>239</v>
      </c>
      <c r="M871">
        <v>1458432000</v>
      </c>
      <c r="N871" t="s">
        <v>1628</v>
      </c>
      <c r="O871" t="s">
        <v>1628</v>
      </c>
      <c r="P871" t="s">
        <v>1628</v>
      </c>
      <c r="Q871">
        <f>LEN(AMAZON_FASHION_5__2[[#This Row],[reviewText]])</f>
        <v>75</v>
      </c>
      <c r="R871" t="str">
        <f>IF(AMAZON_FASHION_5__2[[#This Row],[overall]]&gt;=4,"Positive",IF(AMAZON_FASHION_5__2[[#This Row],[overall]]&lt;=2,"Negative","Neutral"))</f>
        <v>Positive</v>
      </c>
      <c r="S8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72" spans="1:19" x14ac:dyDescent="0.25">
      <c r="A872">
        <v>5</v>
      </c>
      <c r="B872" t="b">
        <v>1</v>
      </c>
      <c r="C872" s="1">
        <v>42447</v>
      </c>
      <c r="D872">
        <f>YEAR(AMAZON_FASHION_5__2[[#This Row],[reviewDate]])</f>
        <v>2016</v>
      </c>
      <c r="E872" s="1" t="str">
        <f>TEXT(AMAZON_FASHION_5__2[[#This Row],[reviewDate]], "mmmm")</f>
        <v>March</v>
      </c>
      <c r="F872" t="s">
        <v>240</v>
      </c>
      <c r="G872" t="s">
        <v>1456</v>
      </c>
      <c r="H872" t="s">
        <v>241</v>
      </c>
      <c r="I872" t="s">
        <v>217</v>
      </c>
      <c r="J872" t="s">
        <v>242</v>
      </c>
      <c r="K872" t="s">
        <v>243</v>
      </c>
      <c r="L872" t="s">
        <v>17</v>
      </c>
      <c r="M872">
        <v>1458259200</v>
      </c>
      <c r="N872" t="s">
        <v>1628</v>
      </c>
      <c r="O872" t="s">
        <v>1628</v>
      </c>
      <c r="P872" t="s">
        <v>1628</v>
      </c>
      <c r="Q872">
        <f>LEN(AMAZON_FASHION_5__2[[#This Row],[reviewText]])</f>
        <v>9</v>
      </c>
      <c r="R872" t="str">
        <f>IF(AMAZON_FASHION_5__2[[#This Row],[overall]]&gt;=4,"Positive",IF(AMAZON_FASHION_5__2[[#This Row],[overall]]&lt;=2,"Negative","Neutral"))</f>
        <v>Positive</v>
      </c>
      <c r="S8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73" spans="1:19" x14ac:dyDescent="0.25">
      <c r="A873">
        <v>4</v>
      </c>
      <c r="B873" t="b">
        <v>1</v>
      </c>
      <c r="C873" s="1">
        <v>42445</v>
      </c>
      <c r="D873">
        <f>YEAR(AMAZON_FASHION_5__2[[#This Row],[reviewDate]])</f>
        <v>2016</v>
      </c>
      <c r="E873" s="1" t="str">
        <f>TEXT(AMAZON_FASHION_5__2[[#This Row],[reviewDate]], "mmmm")</f>
        <v>March</v>
      </c>
      <c r="F873" t="s">
        <v>1457</v>
      </c>
      <c r="G873" t="s">
        <v>1456</v>
      </c>
      <c r="H873" t="s">
        <v>230</v>
      </c>
      <c r="I873" t="s">
        <v>198</v>
      </c>
      <c r="J873" t="s">
        <v>1458</v>
      </c>
      <c r="K873" t="s">
        <v>1459</v>
      </c>
      <c r="L873" t="s">
        <v>1460</v>
      </c>
      <c r="M873">
        <v>1458086400</v>
      </c>
      <c r="N873" t="s">
        <v>1628</v>
      </c>
      <c r="O873" t="s">
        <v>1628</v>
      </c>
      <c r="P873" t="s">
        <v>1628</v>
      </c>
      <c r="Q873">
        <f>LEN(AMAZON_FASHION_5__2[[#This Row],[reviewText]])</f>
        <v>213</v>
      </c>
      <c r="R873" t="str">
        <f>IF(AMAZON_FASHION_5__2[[#This Row],[overall]]&gt;=4,"Positive",IF(AMAZON_FASHION_5__2[[#This Row],[overall]]&lt;=2,"Negative","Neutral"))</f>
        <v>Positive</v>
      </c>
      <c r="S8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74" spans="1:19" x14ac:dyDescent="0.25">
      <c r="A874">
        <v>5</v>
      </c>
      <c r="B874" t="b">
        <v>1</v>
      </c>
      <c r="C874" s="1">
        <v>42442</v>
      </c>
      <c r="D874">
        <f>YEAR(AMAZON_FASHION_5__2[[#This Row],[reviewDate]])</f>
        <v>2016</v>
      </c>
      <c r="E874" s="1" t="str">
        <f>TEXT(AMAZON_FASHION_5__2[[#This Row],[reviewDate]], "mmmm")</f>
        <v>March</v>
      </c>
      <c r="F874" t="s">
        <v>1461</v>
      </c>
      <c r="G874" t="s">
        <v>1456</v>
      </c>
      <c r="H874" t="s">
        <v>230</v>
      </c>
      <c r="I874" t="s">
        <v>198</v>
      </c>
      <c r="J874" t="s">
        <v>63</v>
      </c>
      <c r="K874" t="s">
        <v>1462</v>
      </c>
      <c r="L874" t="s">
        <v>1463</v>
      </c>
      <c r="M874">
        <v>1457827200</v>
      </c>
      <c r="N874" t="s">
        <v>1628</v>
      </c>
      <c r="O874" t="s">
        <v>1628</v>
      </c>
      <c r="P874">
        <v>22</v>
      </c>
      <c r="Q874">
        <f>LEN(AMAZON_FASHION_5__2[[#This Row],[reviewText]])</f>
        <v>412</v>
      </c>
      <c r="R874" t="str">
        <f>IF(AMAZON_FASHION_5__2[[#This Row],[overall]]&gt;=4,"Positive",IF(AMAZON_FASHION_5__2[[#This Row],[overall]]&lt;=2,"Negative","Neutral"))</f>
        <v>Positive</v>
      </c>
      <c r="S8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75" spans="1:19" x14ac:dyDescent="0.25">
      <c r="A875">
        <v>5</v>
      </c>
      <c r="B875" t="b">
        <v>1</v>
      </c>
      <c r="C875" s="1">
        <v>42435</v>
      </c>
      <c r="D875">
        <f>YEAR(AMAZON_FASHION_5__2[[#This Row],[reviewDate]])</f>
        <v>2016</v>
      </c>
      <c r="E875" s="1" t="str">
        <f>TEXT(AMAZON_FASHION_5__2[[#This Row],[reviewDate]], "mmmm")</f>
        <v>March</v>
      </c>
      <c r="F875" t="s">
        <v>1464</v>
      </c>
      <c r="G875" t="s">
        <v>1456</v>
      </c>
      <c r="H875" t="s">
        <v>320</v>
      </c>
      <c r="I875" t="s">
        <v>198</v>
      </c>
      <c r="J875" t="s">
        <v>63</v>
      </c>
      <c r="K875" t="s">
        <v>1465</v>
      </c>
      <c r="L875" t="s">
        <v>17</v>
      </c>
      <c r="M875">
        <v>1457222400</v>
      </c>
      <c r="N875" t="s">
        <v>1628</v>
      </c>
      <c r="O875" t="s">
        <v>1628</v>
      </c>
      <c r="P875" t="s">
        <v>1628</v>
      </c>
      <c r="Q875">
        <f>LEN(AMAZON_FASHION_5__2[[#This Row],[reviewText]])</f>
        <v>17</v>
      </c>
      <c r="R875" t="str">
        <f>IF(AMAZON_FASHION_5__2[[#This Row],[overall]]&gt;=4,"Positive",IF(AMAZON_FASHION_5__2[[#This Row],[overall]]&lt;=2,"Negative","Neutral"))</f>
        <v>Positive</v>
      </c>
      <c r="S8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76" spans="1:19" x14ac:dyDescent="0.25">
      <c r="A876">
        <v>5</v>
      </c>
      <c r="B876" t="b">
        <v>1</v>
      </c>
      <c r="C876" s="1">
        <v>42431</v>
      </c>
      <c r="D876">
        <f>YEAR(AMAZON_FASHION_5__2[[#This Row],[reviewDate]])</f>
        <v>2016</v>
      </c>
      <c r="E876" s="1" t="str">
        <f>TEXT(AMAZON_FASHION_5__2[[#This Row],[reviewDate]], "mmmm")</f>
        <v>March</v>
      </c>
      <c r="F876" t="s">
        <v>1466</v>
      </c>
      <c r="G876" t="s">
        <v>1456</v>
      </c>
      <c r="H876" t="s">
        <v>221</v>
      </c>
      <c r="I876" t="s">
        <v>217</v>
      </c>
      <c r="J876" t="s">
        <v>1467</v>
      </c>
      <c r="K876" t="s">
        <v>1468</v>
      </c>
      <c r="L876" t="s">
        <v>1469</v>
      </c>
      <c r="M876">
        <v>1456876800</v>
      </c>
      <c r="N876" t="s">
        <v>1628</v>
      </c>
      <c r="O876" t="s">
        <v>1628</v>
      </c>
      <c r="P876" t="s">
        <v>1628</v>
      </c>
      <c r="Q876">
        <f>LEN(AMAZON_FASHION_5__2[[#This Row],[reviewText]])</f>
        <v>55</v>
      </c>
      <c r="R876" t="str">
        <f>IF(AMAZON_FASHION_5__2[[#This Row],[overall]]&gt;=4,"Positive",IF(AMAZON_FASHION_5__2[[#This Row],[overall]]&lt;=2,"Negative","Neutral"))</f>
        <v>Positive</v>
      </c>
      <c r="S8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77" spans="1:19" x14ac:dyDescent="0.25">
      <c r="A877">
        <v>5</v>
      </c>
      <c r="B877" t="b">
        <v>1</v>
      </c>
      <c r="C877" s="1">
        <v>43225</v>
      </c>
      <c r="D877">
        <f>YEAR(AMAZON_FASHION_5__2[[#This Row],[reviewDate]])</f>
        <v>2018</v>
      </c>
      <c r="E877" s="1" t="str">
        <f>TEXT(AMAZON_FASHION_5__2[[#This Row],[reviewDate]], "mmmm")</f>
        <v>May</v>
      </c>
      <c r="F877" t="s">
        <v>1470</v>
      </c>
      <c r="G877" t="s">
        <v>1456</v>
      </c>
      <c r="H877" t="s">
        <v>230</v>
      </c>
      <c r="I877" t="s">
        <v>548</v>
      </c>
      <c r="J877" t="s">
        <v>1471</v>
      </c>
      <c r="K877" t="s">
        <v>1472</v>
      </c>
      <c r="L877" t="s">
        <v>17</v>
      </c>
      <c r="M877">
        <v>1525478400</v>
      </c>
      <c r="N877" t="s">
        <v>1628</v>
      </c>
      <c r="O877" t="s">
        <v>1628</v>
      </c>
      <c r="P877" t="s">
        <v>1628</v>
      </c>
      <c r="Q877">
        <f>LEN(AMAZON_FASHION_5__2[[#This Row],[reviewText]])</f>
        <v>71</v>
      </c>
      <c r="R877" t="str">
        <f>IF(AMAZON_FASHION_5__2[[#This Row],[overall]]&gt;=4,"Positive",IF(AMAZON_FASHION_5__2[[#This Row],[overall]]&lt;=2,"Negative","Neutral"))</f>
        <v>Positive</v>
      </c>
      <c r="S8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78" spans="1:19" x14ac:dyDescent="0.25">
      <c r="A878">
        <v>5</v>
      </c>
      <c r="B878" t="b">
        <v>1</v>
      </c>
      <c r="C878" s="1">
        <v>43223</v>
      </c>
      <c r="D878">
        <f>YEAR(AMAZON_FASHION_5__2[[#This Row],[reviewDate]])</f>
        <v>2018</v>
      </c>
      <c r="E878" s="1" t="str">
        <f>TEXT(AMAZON_FASHION_5__2[[#This Row],[reviewDate]], "mmmm")</f>
        <v>May</v>
      </c>
      <c r="F878" t="s">
        <v>1473</v>
      </c>
      <c r="G878" t="s">
        <v>1456</v>
      </c>
      <c r="H878" t="s">
        <v>201</v>
      </c>
      <c r="I878" t="s">
        <v>524</v>
      </c>
      <c r="J878" t="s">
        <v>1474</v>
      </c>
      <c r="K878" t="s">
        <v>1475</v>
      </c>
      <c r="L878" t="s">
        <v>17</v>
      </c>
      <c r="M878">
        <v>1525305600</v>
      </c>
      <c r="N878" t="s">
        <v>1628</v>
      </c>
      <c r="O878" t="s">
        <v>1628</v>
      </c>
      <c r="P878" t="s">
        <v>1628</v>
      </c>
      <c r="Q878">
        <f>LEN(AMAZON_FASHION_5__2[[#This Row],[reviewText]])</f>
        <v>90</v>
      </c>
      <c r="R878" t="str">
        <f>IF(AMAZON_FASHION_5__2[[#This Row],[overall]]&gt;=4,"Positive",IF(AMAZON_FASHION_5__2[[#This Row],[overall]]&lt;=2,"Negative","Neutral"))</f>
        <v>Positive</v>
      </c>
      <c r="S8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79" spans="1:19" x14ac:dyDescent="0.25">
      <c r="A879">
        <v>3</v>
      </c>
      <c r="B879" t="b">
        <v>1</v>
      </c>
      <c r="C879" s="1">
        <v>43220</v>
      </c>
      <c r="D879">
        <f>YEAR(AMAZON_FASHION_5__2[[#This Row],[reviewDate]])</f>
        <v>2018</v>
      </c>
      <c r="E879" s="1" t="str">
        <f>TEXT(AMAZON_FASHION_5__2[[#This Row],[reviewDate]], "mmmm")</f>
        <v>April</v>
      </c>
      <c r="F879" t="s">
        <v>1446</v>
      </c>
      <c r="G879" t="s">
        <v>1456</v>
      </c>
      <c r="H879" t="s">
        <v>1145</v>
      </c>
      <c r="I879" t="s">
        <v>411</v>
      </c>
      <c r="J879" t="s">
        <v>63</v>
      </c>
      <c r="K879" t="s">
        <v>1447</v>
      </c>
      <c r="L879" t="s">
        <v>101</v>
      </c>
      <c r="M879">
        <v>1525046400</v>
      </c>
      <c r="N879" t="s">
        <v>1628</v>
      </c>
      <c r="O879" t="s">
        <v>1628</v>
      </c>
      <c r="P879" t="s">
        <v>1628</v>
      </c>
      <c r="Q879">
        <f>LEN(AMAZON_FASHION_5__2[[#This Row],[reviewText]])</f>
        <v>14</v>
      </c>
      <c r="R879" t="str">
        <f>IF(AMAZON_FASHION_5__2[[#This Row],[overall]]&gt;=4,"Positive",IF(AMAZON_FASHION_5__2[[#This Row],[overall]]&lt;=2,"Negative","Neutral"))</f>
        <v>Neutral</v>
      </c>
      <c r="S8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80" spans="1:19" x14ac:dyDescent="0.25">
      <c r="A880">
        <v>5</v>
      </c>
      <c r="B880" t="b">
        <v>1</v>
      </c>
      <c r="C880" s="1">
        <v>43216</v>
      </c>
      <c r="D880">
        <f>YEAR(AMAZON_FASHION_5__2[[#This Row],[reviewDate]])</f>
        <v>2018</v>
      </c>
      <c r="E880" s="1" t="str">
        <f>TEXT(AMAZON_FASHION_5__2[[#This Row],[reviewDate]], "mmmm")</f>
        <v>April</v>
      </c>
      <c r="F880" t="s">
        <v>1448</v>
      </c>
      <c r="G880" t="s">
        <v>1456</v>
      </c>
      <c r="H880" t="s">
        <v>205</v>
      </c>
      <c r="I880" t="s">
        <v>435</v>
      </c>
      <c r="J880" t="s">
        <v>1449</v>
      </c>
      <c r="K880" t="s">
        <v>1450</v>
      </c>
      <c r="L880" t="s">
        <v>17</v>
      </c>
      <c r="M880">
        <v>1524700800</v>
      </c>
      <c r="N880" t="s">
        <v>1628</v>
      </c>
      <c r="O880" t="s">
        <v>1628</v>
      </c>
      <c r="P880" t="s">
        <v>1628</v>
      </c>
      <c r="Q880">
        <f>LEN(AMAZON_FASHION_5__2[[#This Row],[reviewText]])</f>
        <v>43</v>
      </c>
      <c r="R880" t="str">
        <f>IF(AMAZON_FASHION_5__2[[#This Row],[overall]]&gt;=4,"Positive",IF(AMAZON_FASHION_5__2[[#This Row],[overall]]&lt;=2,"Negative","Neutral"))</f>
        <v>Positive</v>
      </c>
      <c r="S8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81" spans="1:19" x14ac:dyDescent="0.25">
      <c r="A881">
        <v>5</v>
      </c>
      <c r="B881" t="b">
        <v>1</v>
      </c>
      <c r="C881" s="1">
        <v>43214</v>
      </c>
      <c r="D881">
        <f>YEAR(AMAZON_FASHION_5__2[[#This Row],[reviewDate]])</f>
        <v>2018</v>
      </c>
      <c r="E881" s="1" t="str">
        <f>TEXT(AMAZON_FASHION_5__2[[#This Row],[reviewDate]], "mmmm")</f>
        <v>April</v>
      </c>
      <c r="F881" t="s">
        <v>1451</v>
      </c>
      <c r="G881" t="s">
        <v>1456</v>
      </c>
      <c r="H881" t="s">
        <v>205</v>
      </c>
      <c r="I881" t="s">
        <v>198</v>
      </c>
      <c r="J881" t="s">
        <v>1452</v>
      </c>
      <c r="K881" t="s">
        <v>1453</v>
      </c>
      <c r="L881" t="s">
        <v>1454</v>
      </c>
      <c r="M881">
        <v>1524528000</v>
      </c>
      <c r="N881" t="s">
        <v>1628</v>
      </c>
      <c r="O881" t="s">
        <v>1628</v>
      </c>
      <c r="P881" t="s">
        <v>1628</v>
      </c>
      <c r="Q881">
        <f>LEN(AMAZON_FASHION_5__2[[#This Row],[reviewText]])</f>
        <v>160</v>
      </c>
      <c r="R881" t="str">
        <f>IF(AMAZON_FASHION_5__2[[#This Row],[overall]]&gt;=4,"Positive",IF(AMAZON_FASHION_5__2[[#This Row],[overall]]&lt;=2,"Negative","Neutral"))</f>
        <v>Positive</v>
      </c>
      <c r="S8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82" spans="1:19" x14ac:dyDescent="0.25">
      <c r="A882">
        <v>5</v>
      </c>
      <c r="B882" t="b">
        <v>1</v>
      </c>
      <c r="C882" s="1">
        <v>43212</v>
      </c>
      <c r="D882">
        <f>YEAR(AMAZON_FASHION_5__2[[#This Row],[reviewDate]])</f>
        <v>2018</v>
      </c>
      <c r="E882" s="1" t="str">
        <f>TEXT(AMAZON_FASHION_5__2[[#This Row],[reviewDate]], "mmmm")</f>
        <v>April</v>
      </c>
      <c r="F882" t="s">
        <v>244</v>
      </c>
      <c r="G882" t="s">
        <v>1456</v>
      </c>
      <c r="H882" t="s">
        <v>197</v>
      </c>
      <c r="I882" t="s">
        <v>198</v>
      </c>
      <c r="J882" t="s">
        <v>245</v>
      </c>
      <c r="K882" t="s">
        <v>246</v>
      </c>
      <c r="L882" t="s">
        <v>247</v>
      </c>
      <c r="M882">
        <v>1524355200</v>
      </c>
      <c r="N882" t="s">
        <v>1628</v>
      </c>
      <c r="O882" t="s">
        <v>1628</v>
      </c>
      <c r="P882" t="s">
        <v>1628</v>
      </c>
      <c r="Q882">
        <f>LEN(AMAZON_FASHION_5__2[[#This Row],[reviewText]])</f>
        <v>148</v>
      </c>
      <c r="R882" t="str">
        <f>IF(AMAZON_FASHION_5__2[[#This Row],[overall]]&gt;=4,"Positive",IF(AMAZON_FASHION_5__2[[#This Row],[overall]]&lt;=2,"Negative","Neutral"))</f>
        <v>Positive</v>
      </c>
      <c r="S8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83" spans="1:19" x14ac:dyDescent="0.25">
      <c r="A883">
        <v>3</v>
      </c>
      <c r="B883" t="b">
        <v>1</v>
      </c>
      <c r="C883" s="1">
        <v>43209</v>
      </c>
      <c r="D883">
        <f>YEAR(AMAZON_FASHION_5__2[[#This Row],[reviewDate]])</f>
        <v>2018</v>
      </c>
      <c r="E883" s="1" t="str">
        <f>TEXT(AMAZON_FASHION_5__2[[#This Row],[reviewDate]], "mmmm")</f>
        <v>April</v>
      </c>
      <c r="F883" t="s">
        <v>248</v>
      </c>
      <c r="G883" t="s">
        <v>1456</v>
      </c>
      <c r="H883" t="s">
        <v>210</v>
      </c>
      <c r="I883" t="s">
        <v>249</v>
      </c>
      <c r="J883" t="s">
        <v>250</v>
      </c>
      <c r="K883" t="s">
        <v>251</v>
      </c>
      <c r="L883" t="s">
        <v>252</v>
      </c>
      <c r="M883">
        <v>1524096000</v>
      </c>
      <c r="N883" t="s">
        <v>1628</v>
      </c>
      <c r="O883" t="s">
        <v>1628</v>
      </c>
      <c r="P883" t="s">
        <v>1628</v>
      </c>
      <c r="Q883">
        <f>LEN(AMAZON_FASHION_5__2[[#This Row],[reviewText]])</f>
        <v>125</v>
      </c>
      <c r="R883" t="str">
        <f>IF(AMAZON_FASHION_5__2[[#This Row],[overall]]&gt;=4,"Positive",IF(AMAZON_FASHION_5__2[[#This Row],[overall]]&lt;=2,"Negative","Neutral"))</f>
        <v>Neutral</v>
      </c>
      <c r="S8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84" spans="1:19" x14ac:dyDescent="0.25">
      <c r="A884">
        <v>5</v>
      </c>
      <c r="B884" t="b">
        <v>1</v>
      </c>
      <c r="C884" s="1">
        <v>43208</v>
      </c>
      <c r="D884">
        <f>YEAR(AMAZON_FASHION_5__2[[#This Row],[reviewDate]])</f>
        <v>2018</v>
      </c>
      <c r="E884" s="1" t="str">
        <f>TEXT(AMAZON_FASHION_5__2[[#This Row],[reviewDate]], "mmmm")</f>
        <v>April</v>
      </c>
      <c r="F884" t="s">
        <v>253</v>
      </c>
      <c r="G884" t="s">
        <v>1456</v>
      </c>
      <c r="H884" t="s">
        <v>205</v>
      </c>
      <c r="I884" t="s">
        <v>198</v>
      </c>
      <c r="J884" t="s">
        <v>254</v>
      </c>
      <c r="K884" t="s">
        <v>255</v>
      </c>
      <c r="L884" t="s">
        <v>256</v>
      </c>
      <c r="M884">
        <v>1524009600</v>
      </c>
      <c r="N884" t="s">
        <v>1628</v>
      </c>
      <c r="O884" t="s">
        <v>1628</v>
      </c>
      <c r="P884" t="s">
        <v>1628</v>
      </c>
      <c r="Q884">
        <f>LEN(AMAZON_FASHION_5__2[[#This Row],[reviewText]])</f>
        <v>123</v>
      </c>
      <c r="R884" t="str">
        <f>IF(AMAZON_FASHION_5__2[[#This Row],[overall]]&gt;=4,"Positive",IF(AMAZON_FASHION_5__2[[#This Row],[overall]]&lt;=2,"Negative","Neutral"))</f>
        <v>Positive</v>
      </c>
      <c r="S8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85" spans="1:19" x14ac:dyDescent="0.25">
      <c r="A885">
        <v>5</v>
      </c>
      <c r="B885" t="b">
        <v>1</v>
      </c>
      <c r="C885" s="1">
        <v>43208</v>
      </c>
      <c r="D885">
        <f>YEAR(AMAZON_FASHION_5__2[[#This Row],[reviewDate]])</f>
        <v>2018</v>
      </c>
      <c r="E885" s="1" t="str">
        <f>TEXT(AMAZON_FASHION_5__2[[#This Row],[reviewDate]], "mmmm")</f>
        <v>April</v>
      </c>
      <c r="F885" t="s">
        <v>257</v>
      </c>
      <c r="G885" t="s">
        <v>1456</v>
      </c>
      <c r="H885" t="s">
        <v>197</v>
      </c>
      <c r="I885" t="s">
        <v>249</v>
      </c>
      <c r="J885" t="s">
        <v>63</v>
      </c>
      <c r="K885" t="s">
        <v>258</v>
      </c>
      <c r="L885" t="s">
        <v>259</v>
      </c>
      <c r="M885">
        <v>1524009600</v>
      </c>
      <c r="N885" t="s">
        <v>1628</v>
      </c>
      <c r="O885" t="s">
        <v>1628</v>
      </c>
      <c r="P885" t="s">
        <v>1628</v>
      </c>
      <c r="Q885">
        <f>LEN(AMAZON_FASHION_5__2[[#This Row],[reviewText]])</f>
        <v>155</v>
      </c>
      <c r="R885" t="str">
        <f>IF(AMAZON_FASHION_5__2[[#This Row],[overall]]&gt;=4,"Positive",IF(AMAZON_FASHION_5__2[[#This Row],[overall]]&lt;=2,"Negative","Neutral"))</f>
        <v>Positive</v>
      </c>
      <c r="S8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86" spans="1:19" x14ac:dyDescent="0.25">
      <c r="A886">
        <v>5</v>
      </c>
      <c r="B886" t="b">
        <v>1</v>
      </c>
      <c r="C886" s="1">
        <v>43206</v>
      </c>
      <c r="D886">
        <f>YEAR(AMAZON_FASHION_5__2[[#This Row],[reviewDate]])</f>
        <v>2018</v>
      </c>
      <c r="E886" s="1" t="str">
        <f>TEXT(AMAZON_FASHION_5__2[[#This Row],[reviewDate]], "mmmm")</f>
        <v>April</v>
      </c>
      <c r="F886" t="s">
        <v>260</v>
      </c>
      <c r="G886" t="s">
        <v>1456</v>
      </c>
      <c r="H886" t="s">
        <v>261</v>
      </c>
      <c r="I886" t="s">
        <v>1455</v>
      </c>
      <c r="J886" t="s">
        <v>263</v>
      </c>
      <c r="K886" t="s">
        <v>264</v>
      </c>
      <c r="L886" t="s">
        <v>265</v>
      </c>
      <c r="M886">
        <v>1523836800</v>
      </c>
      <c r="N886" t="s">
        <v>1628</v>
      </c>
      <c r="O886" t="s">
        <v>1628</v>
      </c>
      <c r="P886" t="s">
        <v>1628</v>
      </c>
      <c r="Q886">
        <f>LEN(AMAZON_FASHION_5__2[[#This Row],[reviewText]])</f>
        <v>158</v>
      </c>
      <c r="R886" t="str">
        <f>IF(AMAZON_FASHION_5__2[[#This Row],[overall]]&gt;=4,"Positive",IF(AMAZON_FASHION_5__2[[#This Row],[overall]]&lt;=2,"Negative","Neutral"))</f>
        <v>Positive</v>
      </c>
      <c r="S8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87" spans="1:19" x14ac:dyDescent="0.25">
      <c r="A887">
        <v>5</v>
      </c>
      <c r="B887" t="b">
        <v>1</v>
      </c>
      <c r="C887" s="1">
        <v>43205</v>
      </c>
      <c r="D887">
        <f>YEAR(AMAZON_FASHION_5__2[[#This Row],[reviewDate]])</f>
        <v>2018</v>
      </c>
      <c r="E887" s="1" t="str">
        <f>TEXT(AMAZON_FASHION_5__2[[#This Row],[reviewDate]], "mmmm")</f>
        <v>April</v>
      </c>
      <c r="F887" t="s">
        <v>266</v>
      </c>
      <c r="G887" t="s">
        <v>1456</v>
      </c>
      <c r="H887" t="s">
        <v>210</v>
      </c>
      <c r="I887" t="s">
        <v>198</v>
      </c>
      <c r="J887" t="s">
        <v>267</v>
      </c>
      <c r="K887" t="s">
        <v>268</v>
      </c>
      <c r="L887" t="s">
        <v>269</v>
      </c>
      <c r="M887">
        <v>1523750400</v>
      </c>
      <c r="N887" t="s">
        <v>1628</v>
      </c>
      <c r="O887" t="s">
        <v>1628</v>
      </c>
      <c r="P887" t="s">
        <v>1628</v>
      </c>
      <c r="Q887">
        <f>LEN(AMAZON_FASHION_5__2[[#This Row],[reviewText]])</f>
        <v>774</v>
      </c>
      <c r="R887" t="str">
        <f>IF(AMAZON_FASHION_5__2[[#This Row],[overall]]&gt;=4,"Positive",IF(AMAZON_FASHION_5__2[[#This Row],[overall]]&lt;=2,"Negative","Neutral"))</f>
        <v>Positive</v>
      </c>
      <c r="S8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88" spans="1:19" x14ac:dyDescent="0.25">
      <c r="A888">
        <v>3</v>
      </c>
      <c r="B888" t="b">
        <v>1</v>
      </c>
      <c r="C888" s="1">
        <v>43203</v>
      </c>
      <c r="D888">
        <f>YEAR(AMAZON_FASHION_5__2[[#This Row],[reviewDate]])</f>
        <v>2018</v>
      </c>
      <c r="E888" s="1" t="str">
        <f>TEXT(AMAZON_FASHION_5__2[[#This Row],[reviewDate]], "mmmm")</f>
        <v>April</v>
      </c>
      <c r="F888" t="s">
        <v>270</v>
      </c>
      <c r="G888" t="s">
        <v>1456</v>
      </c>
      <c r="H888" t="s">
        <v>201</v>
      </c>
      <c r="I888" t="s">
        <v>249</v>
      </c>
      <c r="J888" t="s">
        <v>271</v>
      </c>
      <c r="K888" t="s">
        <v>272</v>
      </c>
      <c r="L888" t="s">
        <v>101</v>
      </c>
      <c r="M888">
        <v>1523577600</v>
      </c>
      <c r="N888" t="s">
        <v>1628</v>
      </c>
      <c r="O888" t="s">
        <v>1628</v>
      </c>
      <c r="P888" t="s">
        <v>1628</v>
      </c>
      <c r="Q888">
        <f>LEN(AMAZON_FASHION_5__2[[#This Row],[reviewText]])</f>
        <v>85</v>
      </c>
      <c r="R888" t="str">
        <f>IF(AMAZON_FASHION_5__2[[#This Row],[overall]]&gt;=4,"Positive",IF(AMAZON_FASHION_5__2[[#This Row],[overall]]&lt;=2,"Negative","Neutral"))</f>
        <v>Neutral</v>
      </c>
      <c r="S8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89" spans="1:19" x14ac:dyDescent="0.25">
      <c r="A889">
        <v>3</v>
      </c>
      <c r="B889" t="b">
        <v>1</v>
      </c>
      <c r="C889" s="1">
        <v>43199</v>
      </c>
      <c r="D889">
        <f>YEAR(AMAZON_FASHION_5__2[[#This Row],[reviewDate]])</f>
        <v>2018</v>
      </c>
      <c r="E889" s="1" t="str">
        <f>TEXT(AMAZON_FASHION_5__2[[#This Row],[reviewDate]], "mmmm")</f>
        <v>April</v>
      </c>
      <c r="F889" t="s">
        <v>273</v>
      </c>
      <c r="G889" t="s">
        <v>1456</v>
      </c>
      <c r="H889" t="s">
        <v>197</v>
      </c>
      <c r="I889" t="s">
        <v>274</v>
      </c>
      <c r="J889" t="s">
        <v>275</v>
      </c>
      <c r="K889" t="s">
        <v>276</v>
      </c>
      <c r="L889" t="s">
        <v>101</v>
      </c>
      <c r="M889">
        <v>1523232000</v>
      </c>
      <c r="N889" t="s">
        <v>1628</v>
      </c>
      <c r="O889" t="s">
        <v>1628</v>
      </c>
      <c r="P889" t="s">
        <v>1628</v>
      </c>
      <c r="Q889">
        <f>LEN(AMAZON_FASHION_5__2[[#This Row],[reviewText]])</f>
        <v>4</v>
      </c>
      <c r="R889" t="str">
        <f>IF(AMAZON_FASHION_5__2[[#This Row],[overall]]&gt;=4,"Positive",IF(AMAZON_FASHION_5__2[[#This Row],[overall]]&lt;=2,"Negative","Neutral"))</f>
        <v>Neutral</v>
      </c>
      <c r="S8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90" spans="1:19" x14ac:dyDescent="0.25">
      <c r="A890">
        <v>5</v>
      </c>
      <c r="B890" t="b">
        <v>1</v>
      </c>
      <c r="C890" s="1">
        <v>43199</v>
      </c>
      <c r="D890">
        <f>YEAR(AMAZON_FASHION_5__2[[#This Row],[reviewDate]])</f>
        <v>2018</v>
      </c>
      <c r="E890" s="1" t="str">
        <f>TEXT(AMAZON_FASHION_5__2[[#This Row],[reviewDate]], "mmmm")</f>
        <v>April</v>
      </c>
      <c r="F890" t="s">
        <v>277</v>
      </c>
      <c r="G890" t="s">
        <v>1456</v>
      </c>
      <c r="H890" t="s">
        <v>197</v>
      </c>
      <c r="I890" t="s">
        <v>198</v>
      </c>
      <c r="J890" t="s">
        <v>278</v>
      </c>
      <c r="K890" t="s">
        <v>279</v>
      </c>
      <c r="L890" t="s">
        <v>17</v>
      </c>
      <c r="M890">
        <v>1523232000</v>
      </c>
      <c r="N890" t="s">
        <v>1628</v>
      </c>
      <c r="O890" t="s">
        <v>1628</v>
      </c>
      <c r="P890" t="s">
        <v>1628</v>
      </c>
      <c r="Q890">
        <f>LEN(AMAZON_FASHION_5__2[[#This Row],[reviewText]])</f>
        <v>7</v>
      </c>
      <c r="R890" t="str">
        <f>IF(AMAZON_FASHION_5__2[[#This Row],[overall]]&gt;=4,"Positive",IF(AMAZON_FASHION_5__2[[#This Row],[overall]]&lt;=2,"Negative","Neutral"))</f>
        <v>Positive</v>
      </c>
      <c r="S8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91" spans="1:19" x14ac:dyDescent="0.25">
      <c r="A891">
        <v>5</v>
      </c>
      <c r="B891" t="b">
        <v>1</v>
      </c>
      <c r="C891" s="1">
        <v>43198</v>
      </c>
      <c r="D891">
        <f>YEAR(AMAZON_FASHION_5__2[[#This Row],[reviewDate]])</f>
        <v>2018</v>
      </c>
      <c r="E891" s="1" t="str">
        <f>TEXT(AMAZON_FASHION_5__2[[#This Row],[reviewDate]], "mmmm")</f>
        <v>April</v>
      </c>
      <c r="F891" t="s">
        <v>280</v>
      </c>
      <c r="G891" t="s">
        <v>1456</v>
      </c>
      <c r="H891" t="s">
        <v>201</v>
      </c>
      <c r="I891" t="s">
        <v>198</v>
      </c>
      <c r="J891" t="s">
        <v>281</v>
      </c>
      <c r="K891" t="s">
        <v>282</v>
      </c>
      <c r="L891" t="s">
        <v>247</v>
      </c>
      <c r="M891">
        <v>1523145600</v>
      </c>
      <c r="N891" t="s">
        <v>1628</v>
      </c>
      <c r="O891" t="s">
        <v>1628</v>
      </c>
      <c r="P891" t="s">
        <v>1628</v>
      </c>
      <c r="Q891">
        <f>LEN(AMAZON_FASHION_5__2[[#This Row],[reviewText]])</f>
        <v>157</v>
      </c>
      <c r="R891" t="str">
        <f>IF(AMAZON_FASHION_5__2[[#This Row],[overall]]&gt;=4,"Positive",IF(AMAZON_FASHION_5__2[[#This Row],[overall]]&lt;=2,"Negative","Neutral"))</f>
        <v>Positive</v>
      </c>
      <c r="S8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92" spans="1:19" x14ac:dyDescent="0.25">
      <c r="A892">
        <v>5</v>
      </c>
      <c r="B892" t="b">
        <v>1</v>
      </c>
      <c r="C892" s="1">
        <v>43197</v>
      </c>
      <c r="D892">
        <f>YEAR(AMAZON_FASHION_5__2[[#This Row],[reviewDate]])</f>
        <v>2018</v>
      </c>
      <c r="E892" s="1" t="str">
        <f>TEXT(AMAZON_FASHION_5__2[[#This Row],[reviewDate]], "mmmm")</f>
        <v>April</v>
      </c>
      <c r="F892" t="s">
        <v>283</v>
      </c>
      <c r="G892" t="s">
        <v>1456</v>
      </c>
      <c r="H892" t="s">
        <v>284</v>
      </c>
      <c r="I892" t="s">
        <v>274</v>
      </c>
      <c r="J892" t="s">
        <v>285</v>
      </c>
      <c r="K892" t="s">
        <v>18</v>
      </c>
      <c r="L892" t="s">
        <v>17</v>
      </c>
      <c r="M892">
        <v>1523059200</v>
      </c>
      <c r="N892" t="s">
        <v>1628</v>
      </c>
      <c r="O892" t="s">
        <v>1628</v>
      </c>
      <c r="P892" t="s">
        <v>1628</v>
      </c>
      <c r="Q892">
        <f>LEN(AMAZON_FASHION_5__2[[#This Row],[reviewText]])</f>
        <v>0</v>
      </c>
      <c r="R892" t="str">
        <f>IF(AMAZON_FASHION_5__2[[#This Row],[overall]]&gt;=4,"Positive",IF(AMAZON_FASHION_5__2[[#This Row],[overall]]&lt;=2,"Negative","Neutral"))</f>
        <v>Positive</v>
      </c>
      <c r="S8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93" spans="1:19" x14ac:dyDescent="0.25">
      <c r="A893">
        <v>5</v>
      </c>
      <c r="B893" t="b">
        <v>1</v>
      </c>
      <c r="C893" s="1">
        <v>43194</v>
      </c>
      <c r="D893">
        <f>YEAR(AMAZON_FASHION_5__2[[#This Row],[reviewDate]])</f>
        <v>2018</v>
      </c>
      <c r="E893" s="1" t="str">
        <f>TEXT(AMAZON_FASHION_5__2[[#This Row],[reviewDate]], "mmmm")</f>
        <v>April</v>
      </c>
      <c r="F893" t="s">
        <v>286</v>
      </c>
      <c r="G893" t="s">
        <v>1456</v>
      </c>
      <c r="H893" t="s">
        <v>210</v>
      </c>
      <c r="I893" t="s">
        <v>198</v>
      </c>
      <c r="J893" t="s">
        <v>287</v>
      </c>
      <c r="K893" t="s">
        <v>288</v>
      </c>
      <c r="L893" t="s">
        <v>289</v>
      </c>
      <c r="M893">
        <v>1522800000</v>
      </c>
      <c r="N893" t="s">
        <v>1628</v>
      </c>
      <c r="O893" t="s">
        <v>1628</v>
      </c>
      <c r="P893" t="s">
        <v>1628</v>
      </c>
      <c r="Q893">
        <f>LEN(AMAZON_FASHION_5__2[[#This Row],[reviewText]])</f>
        <v>35</v>
      </c>
      <c r="R893" t="str">
        <f>IF(AMAZON_FASHION_5__2[[#This Row],[overall]]&gt;=4,"Positive",IF(AMAZON_FASHION_5__2[[#This Row],[overall]]&lt;=2,"Negative","Neutral"))</f>
        <v>Positive</v>
      </c>
      <c r="S8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94" spans="1:19" x14ac:dyDescent="0.25">
      <c r="A894">
        <v>4</v>
      </c>
      <c r="B894" t="b">
        <v>1</v>
      </c>
      <c r="C894" s="1">
        <v>43193</v>
      </c>
      <c r="D894">
        <f>YEAR(AMAZON_FASHION_5__2[[#This Row],[reviewDate]])</f>
        <v>2018</v>
      </c>
      <c r="E894" s="1" t="str">
        <f>TEXT(AMAZON_FASHION_5__2[[#This Row],[reviewDate]], "mmmm")</f>
        <v>April</v>
      </c>
      <c r="F894" t="s">
        <v>290</v>
      </c>
      <c r="G894" t="s">
        <v>1456</v>
      </c>
      <c r="H894" t="s">
        <v>230</v>
      </c>
      <c r="I894" t="s">
        <v>274</v>
      </c>
      <c r="J894" t="s">
        <v>291</v>
      </c>
      <c r="K894" t="s">
        <v>292</v>
      </c>
      <c r="L894" t="s">
        <v>293</v>
      </c>
      <c r="M894">
        <v>1522713600</v>
      </c>
      <c r="N894" t="s">
        <v>1628</v>
      </c>
      <c r="O894" t="s">
        <v>1628</v>
      </c>
      <c r="P894" t="s">
        <v>1628</v>
      </c>
      <c r="Q894">
        <f>LEN(AMAZON_FASHION_5__2[[#This Row],[reviewText]])</f>
        <v>213</v>
      </c>
      <c r="R894" t="str">
        <f>IF(AMAZON_FASHION_5__2[[#This Row],[overall]]&gt;=4,"Positive",IF(AMAZON_FASHION_5__2[[#This Row],[overall]]&lt;=2,"Negative","Neutral"))</f>
        <v>Positive</v>
      </c>
      <c r="S8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95" spans="1:19" x14ac:dyDescent="0.25">
      <c r="A895">
        <v>5</v>
      </c>
      <c r="B895" t="b">
        <v>1</v>
      </c>
      <c r="C895" s="1">
        <v>43193</v>
      </c>
      <c r="D895">
        <f>YEAR(AMAZON_FASHION_5__2[[#This Row],[reviewDate]])</f>
        <v>2018</v>
      </c>
      <c r="E895" s="1" t="str">
        <f>TEXT(AMAZON_FASHION_5__2[[#This Row],[reviewDate]], "mmmm")</f>
        <v>April</v>
      </c>
      <c r="F895" t="s">
        <v>294</v>
      </c>
      <c r="G895" t="s">
        <v>1456</v>
      </c>
      <c r="H895" t="s">
        <v>210</v>
      </c>
      <c r="I895" t="s">
        <v>198</v>
      </c>
      <c r="J895" t="s">
        <v>295</v>
      </c>
      <c r="K895" t="s">
        <v>296</v>
      </c>
      <c r="L895" t="s">
        <v>297</v>
      </c>
      <c r="M895">
        <v>1522713600</v>
      </c>
      <c r="N895" t="s">
        <v>1628</v>
      </c>
      <c r="O895" t="s">
        <v>1628</v>
      </c>
      <c r="P895" t="s">
        <v>1628</v>
      </c>
      <c r="Q895">
        <f>LEN(AMAZON_FASHION_5__2[[#This Row],[reviewText]])</f>
        <v>105</v>
      </c>
      <c r="R895" t="str">
        <f>IF(AMAZON_FASHION_5__2[[#This Row],[overall]]&gt;=4,"Positive",IF(AMAZON_FASHION_5__2[[#This Row],[overall]]&lt;=2,"Negative","Neutral"))</f>
        <v>Positive</v>
      </c>
      <c r="S8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96" spans="1:19" x14ac:dyDescent="0.25">
      <c r="A896">
        <v>5</v>
      </c>
      <c r="B896" t="b">
        <v>1</v>
      </c>
      <c r="C896" s="1">
        <v>43190</v>
      </c>
      <c r="D896">
        <f>YEAR(AMAZON_FASHION_5__2[[#This Row],[reviewDate]])</f>
        <v>2018</v>
      </c>
      <c r="E896" s="1" t="str">
        <f>TEXT(AMAZON_FASHION_5__2[[#This Row],[reviewDate]], "mmmm")</f>
        <v>March</v>
      </c>
      <c r="F896" t="s">
        <v>298</v>
      </c>
      <c r="G896" t="s">
        <v>1456</v>
      </c>
      <c r="H896" t="s">
        <v>230</v>
      </c>
      <c r="I896" t="s">
        <v>198</v>
      </c>
      <c r="J896" t="s">
        <v>299</v>
      </c>
      <c r="K896" t="s">
        <v>300</v>
      </c>
      <c r="L896" t="s">
        <v>301</v>
      </c>
      <c r="M896">
        <v>1522454400</v>
      </c>
      <c r="N896" t="s">
        <v>1628</v>
      </c>
      <c r="O896" t="s">
        <v>1628</v>
      </c>
      <c r="P896" t="s">
        <v>1628</v>
      </c>
      <c r="Q896">
        <f>LEN(AMAZON_FASHION_5__2[[#This Row],[reviewText]])</f>
        <v>48</v>
      </c>
      <c r="R896" t="str">
        <f>IF(AMAZON_FASHION_5__2[[#This Row],[overall]]&gt;=4,"Positive",IF(AMAZON_FASHION_5__2[[#This Row],[overall]]&lt;=2,"Negative","Neutral"))</f>
        <v>Positive</v>
      </c>
      <c r="S8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97" spans="1:19" x14ac:dyDescent="0.25">
      <c r="A897">
        <v>5</v>
      </c>
      <c r="B897" t="b">
        <v>1</v>
      </c>
      <c r="C897" s="1">
        <v>43187</v>
      </c>
      <c r="D897">
        <f>YEAR(AMAZON_FASHION_5__2[[#This Row],[reviewDate]])</f>
        <v>2018</v>
      </c>
      <c r="E897" s="1" t="str">
        <f>TEXT(AMAZON_FASHION_5__2[[#This Row],[reviewDate]], "mmmm")</f>
        <v>March</v>
      </c>
      <c r="F897" t="s">
        <v>302</v>
      </c>
      <c r="G897" t="s">
        <v>1456</v>
      </c>
      <c r="H897" t="s">
        <v>197</v>
      </c>
      <c r="I897" t="s">
        <v>303</v>
      </c>
      <c r="J897" t="s">
        <v>304</v>
      </c>
      <c r="K897" t="s">
        <v>305</v>
      </c>
      <c r="L897" t="s">
        <v>306</v>
      </c>
      <c r="M897">
        <v>1522195200</v>
      </c>
      <c r="N897" t="s">
        <v>1628</v>
      </c>
      <c r="O897" t="s">
        <v>1628</v>
      </c>
      <c r="P897" t="s">
        <v>1628</v>
      </c>
      <c r="Q897">
        <f>LEN(AMAZON_FASHION_5__2[[#This Row],[reviewText]])</f>
        <v>90</v>
      </c>
      <c r="R897" t="str">
        <f>IF(AMAZON_FASHION_5__2[[#This Row],[overall]]&gt;=4,"Positive",IF(AMAZON_FASHION_5__2[[#This Row],[overall]]&lt;=2,"Negative","Neutral"))</f>
        <v>Positive</v>
      </c>
      <c r="S8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98" spans="1:19" x14ac:dyDescent="0.25">
      <c r="A898">
        <v>3</v>
      </c>
      <c r="B898" t="b">
        <v>1</v>
      </c>
      <c r="C898" s="1">
        <v>43186</v>
      </c>
      <c r="D898">
        <f>YEAR(AMAZON_FASHION_5__2[[#This Row],[reviewDate]])</f>
        <v>2018</v>
      </c>
      <c r="E898" s="1" t="str">
        <f>TEXT(AMAZON_FASHION_5__2[[#This Row],[reviewDate]], "mmmm")</f>
        <v>March</v>
      </c>
      <c r="F898" t="s">
        <v>307</v>
      </c>
      <c r="G898" t="s">
        <v>1456</v>
      </c>
      <c r="H898" t="s">
        <v>230</v>
      </c>
      <c r="I898" t="s">
        <v>274</v>
      </c>
      <c r="J898" t="s">
        <v>308</v>
      </c>
      <c r="K898" t="s">
        <v>309</v>
      </c>
      <c r="L898" t="s">
        <v>310</v>
      </c>
      <c r="M898">
        <v>1522108800</v>
      </c>
      <c r="N898" t="s">
        <v>1628</v>
      </c>
      <c r="O898" t="s">
        <v>1628</v>
      </c>
      <c r="P898" t="s">
        <v>1628</v>
      </c>
      <c r="Q898">
        <f>LEN(AMAZON_FASHION_5__2[[#This Row],[reviewText]])</f>
        <v>121</v>
      </c>
      <c r="R898" t="str">
        <f>IF(AMAZON_FASHION_5__2[[#This Row],[overall]]&gt;=4,"Positive",IF(AMAZON_FASHION_5__2[[#This Row],[overall]]&lt;=2,"Negative","Neutral"))</f>
        <v>Neutral</v>
      </c>
      <c r="S8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899" spans="1:19" x14ac:dyDescent="0.25">
      <c r="A899">
        <v>5</v>
      </c>
      <c r="B899" t="b">
        <v>1</v>
      </c>
      <c r="C899" s="1">
        <v>43181</v>
      </c>
      <c r="D899">
        <f>YEAR(AMAZON_FASHION_5__2[[#This Row],[reviewDate]])</f>
        <v>2018</v>
      </c>
      <c r="E899" s="1" t="str">
        <f>TEXT(AMAZON_FASHION_5__2[[#This Row],[reviewDate]], "mmmm")</f>
        <v>March</v>
      </c>
      <c r="F899" t="s">
        <v>311</v>
      </c>
      <c r="G899" t="s">
        <v>1456</v>
      </c>
      <c r="H899" t="s">
        <v>210</v>
      </c>
      <c r="I899" t="s">
        <v>249</v>
      </c>
      <c r="J899" t="s">
        <v>312</v>
      </c>
      <c r="K899" t="s">
        <v>313</v>
      </c>
      <c r="L899" t="s">
        <v>314</v>
      </c>
      <c r="M899">
        <v>1521676800</v>
      </c>
      <c r="N899" t="s">
        <v>1628</v>
      </c>
      <c r="O899" t="s">
        <v>1628</v>
      </c>
      <c r="P899" t="s">
        <v>1628</v>
      </c>
      <c r="Q899">
        <f>LEN(AMAZON_FASHION_5__2[[#This Row],[reviewText]])</f>
        <v>277</v>
      </c>
      <c r="R899" t="str">
        <f>IF(AMAZON_FASHION_5__2[[#This Row],[overall]]&gt;=4,"Positive",IF(AMAZON_FASHION_5__2[[#This Row],[overall]]&lt;=2,"Negative","Neutral"))</f>
        <v>Positive</v>
      </c>
      <c r="S8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00" spans="1:19" x14ac:dyDescent="0.25">
      <c r="A900">
        <v>5</v>
      </c>
      <c r="B900" t="b">
        <v>1</v>
      </c>
      <c r="C900" s="1">
        <v>43181</v>
      </c>
      <c r="D900">
        <f>YEAR(AMAZON_FASHION_5__2[[#This Row],[reviewDate]])</f>
        <v>2018</v>
      </c>
      <c r="E900" s="1" t="str">
        <f>TEXT(AMAZON_FASHION_5__2[[#This Row],[reviewDate]], "mmmm")</f>
        <v>March</v>
      </c>
      <c r="F900" t="s">
        <v>315</v>
      </c>
      <c r="G900" t="s">
        <v>1456</v>
      </c>
      <c r="H900" t="s">
        <v>205</v>
      </c>
      <c r="I900" t="s">
        <v>198</v>
      </c>
      <c r="J900" t="s">
        <v>316</v>
      </c>
      <c r="K900" t="s">
        <v>317</v>
      </c>
      <c r="L900" t="s">
        <v>318</v>
      </c>
      <c r="M900">
        <v>1521676800</v>
      </c>
      <c r="N900" t="s">
        <v>1628</v>
      </c>
      <c r="O900" t="s">
        <v>1628</v>
      </c>
      <c r="P900" t="s">
        <v>1628</v>
      </c>
      <c r="Q900">
        <f>LEN(AMAZON_FASHION_5__2[[#This Row],[reviewText]])</f>
        <v>129</v>
      </c>
      <c r="R900" t="str">
        <f>IF(AMAZON_FASHION_5__2[[#This Row],[overall]]&gt;=4,"Positive",IF(AMAZON_FASHION_5__2[[#This Row],[overall]]&lt;=2,"Negative","Neutral"))</f>
        <v>Positive</v>
      </c>
      <c r="S9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01" spans="1:19" x14ac:dyDescent="0.25">
      <c r="A901">
        <v>5</v>
      </c>
      <c r="B901" t="b">
        <v>1</v>
      </c>
      <c r="C901" s="1">
        <v>43180</v>
      </c>
      <c r="D901">
        <f>YEAR(AMAZON_FASHION_5__2[[#This Row],[reviewDate]])</f>
        <v>2018</v>
      </c>
      <c r="E901" s="1" t="str">
        <f>TEXT(AMAZON_FASHION_5__2[[#This Row],[reviewDate]], "mmmm")</f>
        <v>March</v>
      </c>
      <c r="F901" t="s">
        <v>319</v>
      </c>
      <c r="G901" t="s">
        <v>1456</v>
      </c>
      <c r="H901" t="s">
        <v>320</v>
      </c>
      <c r="I901" t="s">
        <v>274</v>
      </c>
      <c r="J901" t="s">
        <v>321</v>
      </c>
      <c r="K901" t="s">
        <v>322</v>
      </c>
      <c r="L901" t="s">
        <v>17</v>
      </c>
      <c r="M901">
        <v>1521590400</v>
      </c>
      <c r="N901" t="s">
        <v>1628</v>
      </c>
      <c r="O901" t="s">
        <v>1628</v>
      </c>
      <c r="P901" t="s">
        <v>1628</v>
      </c>
      <c r="Q901">
        <f>LEN(AMAZON_FASHION_5__2[[#This Row],[reviewText]])</f>
        <v>56</v>
      </c>
      <c r="R901" t="str">
        <f>IF(AMAZON_FASHION_5__2[[#This Row],[overall]]&gt;=4,"Positive",IF(AMAZON_FASHION_5__2[[#This Row],[overall]]&lt;=2,"Negative","Neutral"))</f>
        <v>Positive</v>
      </c>
      <c r="S9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02" spans="1:19" x14ac:dyDescent="0.25">
      <c r="A902">
        <v>5</v>
      </c>
      <c r="B902" t="b">
        <v>1</v>
      </c>
      <c r="C902" s="1">
        <v>43179</v>
      </c>
      <c r="D902">
        <f>YEAR(AMAZON_FASHION_5__2[[#This Row],[reviewDate]])</f>
        <v>2018</v>
      </c>
      <c r="E902" s="1" t="str">
        <f>TEXT(AMAZON_FASHION_5__2[[#This Row],[reviewDate]], "mmmm")</f>
        <v>March</v>
      </c>
      <c r="F902" t="s">
        <v>323</v>
      </c>
      <c r="G902" t="s">
        <v>1456</v>
      </c>
      <c r="H902" t="s">
        <v>201</v>
      </c>
      <c r="I902" t="s">
        <v>198</v>
      </c>
      <c r="J902" t="s">
        <v>324</v>
      </c>
      <c r="K902" t="s">
        <v>325</v>
      </c>
      <c r="L902" t="s">
        <v>326</v>
      </c>
      <c r="M902">
        <v>1521504000</v>
      </c>
      <c r="N902" t="s">
        <v>1628</v>
      </c>
      <c r="O902" t="s">
        <v>1628</v>
      </c>
      <c r="P902" t="s">
        <v>1628</v>
      </c>
      <c r="Q902">
        <f>LEN(AMAZON_FASHION_5__2[[#This Row],[reviewText]])</f>
        <v>137</v>
      </c>
      <c r="R902" t="str">
        <f>IF(AMAZON_FASHION_5__2[[#This Row],[overall]]&gt;=4,"Positive",IF(AMAZON_FASHION_5__2[[#This Row],[overall]]&lt;=2,"Negative","Neutral"))</f>
        <v>Positive</v>
      </c>
      <c r="S9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03" spans="1:19" x14ac:dyDescent="0.25">
      <c r="A903">
        <v>5</v>
      </c>
      <c r="B903" t="b">
        <v>1</v>
      </c>
      <c r="C903" s="1">
        <v>43178</v>
      </c>
      <c r="D903">
        <f>YEAR(AMAZON_FASHION_5__2[[#This Row],[reviewDate]])</f>
        <v>2018</v>
      </c>
      <c r="E903" s="1" t="str">
        <f>TEXT(AMAZON_FASHION_5__2[[#This Row],[reviewDate]], "mmmm")</f>
        <v>March</v>
      </c>
      <c r="F903" t="s">
        <v>327</v>
      </c>
      <c r="G903" t="s">
        <v>1456</v>
      </c>
      <c r="H903" t="s">
        <v>230</v>
      </c>
      <c r="I903" t="s">
        <v>198</v>
      </c>
      <c r="J903" t="s">
        <v>328</v>
      </c>
      <c r="K903" t="s">
        <v>329</v>
      </c>
      <c r="L903" t="s">
        <v>330</v>
      </c>
      <c r="M903">
        <v>1521417600</v>
      </c>
      <c r="N903" t="s">
        <v>1628</v>
      </c>
      <c r="O903" t="s">
        <v>1628</v>
      </c>
      <c r="P903" t="s">
        <v>1628</v>
      </c>
      <c r="Q903">
        <f>LEN(AMAZON_FASHION_5__2[[#This Row],[reviewText]])</f>
        <v>211</v>
      </c>
      <c r="R903" t="str">
        <f>IF(AMAZON_FASHION_5__2[[#This Row],[overall]]&gt;=4,"Positive",IF(AMAZON_FASHION_5__2[[#This Row],[overall]]&lt;=2,"Negative","Neutral"))</f>
        <v>Positive</v>
      </c>
      <c r="S9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04" spans="1:19" x14ac:dyDescent="0.25">
      <c r="A904">
        <v>5</v>
      </c>
      <c r="B904" t="b">
        <v>1</v>
      </c>
      <c r="C904" s="1">
        <v>43178</v>
      </c>
      <c r="D904">
        <f>YEAR(AMAZON_FASHION_5__2[[#This Row],[reviewDate]])</f>
        <v>2018</v>
      </c>
      <c r="E904" s="1" t="str">
        <f>TEXT(AMAZON_FASHION_5__2[[#This Row],[reviewDate]], "mmmm")</f>
        <v>March</v>
      </c>
      <c r="F904" t="s">
        <v>331</v>
      </c>
      <c r="G904" t="s">
        <v>1456</v>
      </c>
      <c r="H904" t="s">
        <v>230</v>
      </c>
      <c r="I904" t="s">
        <v>303</v>
      </c>
      <c r="J904" t="s">
        <v>332</v>
      </c>
      <c r="K904" t="s">
        <v>333</v>
      </c>
      <c r="L904" t="s">
        <v>17</v>
      </c>
      <c r="M904">
        <v>1521417600</v>
      </c>
      <c r="N904" t="s">
        <v>1628</v>
      </c>
      <c r="O904" t="s">
        <v>1628</v>
      </c>
      <c r="P904" t="s">
        <v>1628</v>
      </c>
      <c r="Q904">
        <f>LEN(AMAZON_FASHION_5__2[[#This Row],[reviewText]])</f>
        <v>15</v>
      </c>
      <c r="R904" t="str">
        <f>IF(AMAZON_FASHION_5__2[[#This Row],[overall]]&gt;=4,"Positive",IF(AMAZON_FASHION_5__2[[#This Row],[overall]]&lt;=2,"Negative","Neutral"))</f>
        <v>Positive</v>
      </c>
      <c r="S9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05" spans="1:19" x14ac:dyDescent="0.25">
      <c r="A905">
        <v>4</v>
      </c>
      <c r="B905" t="b">
        <v>1</v>
      </c>
      <c r="C905" s="1">
        <v>43176</v>
      </c>
      <c r="D905">
        <f>YEAR(AMAZON_FASHION_5__2[[#This Row],[reviewDate]])</f>
        <v>2018</v>
      </c>
      <c r="E905" s="1" t="str">
        <f>TEXT(AMAZON_FASHION_5__2[[#This Row],[reviewDate]], "mmmm")</f>
        <v>March</v>
      </c>
      <c r="F905" t="s">
        <v>334</v>
      </c>
      <c r="G905" t="s">
        <v>1456</v>
      </c>
      <c r="H905" t="s">
        <v>335</v>
      </c>
      <c r="I905" t="s">
        <v>336</v>
      </c>
      <c r="J905" t="s">
        <v>337</v>
      </c>
      <c r="K905" t="s">
        <v>338</v>
      </c>
      <c r="L905" t="s">
        <v>339</v>
      </c>
      <c r="M905">
        <v>1521244800</v>
      </c>
      <c r="N905" t="s">
        <v>1628</v>
      </c>
      <c r="O905" t="s">
        <v>1628</v>
      </c>
      <c r="P905" t="s">
        <v>1628</v>
      </c>
      <c r="Q905">
        <f>LEN(AMAZON_FASHION_5__2[[#This Row],[reviewText]])</f>
        <v>127</v>
      </c>
      <c r="R905" t="str">
        <f>IF(AMAZON_FASHION_5__2[[#This Row],[overall]]&gt;=4,"Positive",IF(AMAZON_FASHION_5__2[[#This Row],[overall]]&lt;=2,"Negative","Neutral"))</f>
        <v>Positive</v>
      </c>
      <c r="S9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06" spans="1:19" x14ac:dyDescent="0.25">
      <c r="A906">
        <v>5</v>
      </c>
      <c r="B906" t="b">
        <v>1</v>
      </c>
      <c r="C906" s="1">
        <v>43172</v>
      </c>
      <c r="D906">
        <f>YEAR(AMAZON_FASHION_5__2[[#This Row],[reviewDate]])</f>
        <v>2018</v>
      </c>
      <c r="E906" s="1" t="str">
        <f>TEXT(AMAZON_FASHION_5__2[[#This Row],[reviewDate]], "mmmm")</f>
        <v>March</v>
      </c>
      <c r="F906" t="s">
        <v>340</v>
      </c>
      <c r="G906" t="s">
        <v>1456</v>
      </c>
      <c r="H906" t="s">
        <v>235</v>
      </c>
      <c r="I906" t="s">
        <v>198</v>
      </c>
      <c r="J906" t="s">
        <v>341</v>
      </c>
      <c r="K906" t="s">
        <v>342</v>
      </c>
      <c r="L906" t="s">
        <v>269</v>
      </c>
      <c r="M906">
        <v>1520899200</v>
      </c>
      <c r="N906" t="s">
        <v>1628</v>
      </c>
      <c r="O906" t="s">
        <v>1628</v>
      </c>
      <c r="P906" t="s">
        <v>1628</v>
      </c>
      <c r="Q906">
        <f>LEN(AMAZON_FASHION_5__2[[#This Row],[reviewText]])</f>
        <v>174</v>
      </c>
      <c r="R906" t="str">
        <f>IF(AMAZON_FASHION_5__2[[#This Row],[overall]]&gt;=4,"Positive",IF(AMAZON_FASHION_5__2[[#This Row],[overall]]&lt;=2,"Negative","Neutral"))</f>
        <v>Positive</v>
      </c>
      <c r="S9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07" spans="1:19" x14ac:dyDescent="0.25">
      <c r="A907">
        <v>1</v>
      </c>
      <c r="B907" t="b">
        <v>1</v>
      </c>
      <c r="C907" s="1">
        <v>43170</v>
      </c>
      <c r="D907">
        <f>YEAR(AMAZON_FASHION_5__2[[#This Row],[reviewDate]])</f>
        <v>2018</v>
      </c>
      <c r="E907" s="1" t="str">
        <f>TEXT(AMAZON_FASHION_5__2[[#This Row],[reviewDate]], "mmmm")</f>
        <v>March</v>
      </c>
      <c r="F907" t="s">
        <v>343</v>
      </c>
      <c r="G907" t="s">
        <v>1456</v>
      </c>
      <c r="H907" t="s">
        <v>205</v>
      </c>
      <c r="I907" t="s">
        <v>344</v>
      </c>
      <c r="J907" t="s">
        <v>345</v>
      </c>
      <c r="K907" t="s">
        <v>346</v>
      </c>
      <c r="L907" t="s">
        <v>347</v>
      </c>
      <c r="M907">
        <v>1520726400</v>
      </c>
      <c r="N907" t="s">
        <v>1628</v>
      </c>
      <c r="O907" t="s">
        <v>1628</v>
      </c>
      <c r="P907" t="s">
        <v>1628</v>
      </c>
      <c r="Q907">
        <f>LEN(AMAZON_FASHION_5__2[[#This Row],[reviewText]])</f>
        <v>22</v>
      </c>
      <c r="R907" t="str">
        <f>IF(AMAZON_FASHION_5__2[[#This Row],[overall]]&gt;=4,"Positive",IF(AMAZON_FASHION_5__2[[#This Row],[overall]]&lt;=2,"Negative","Neutral"))</f>
        <v>Negative</v>
      </c>
      <c r="S9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08" spans="1:19" x14ac:dyDescent="0.25">
      <c r="A908">
        <v>5</v>
      </c>
      <c r="B908" t="b">
        <v>1</v>
      </c>
      <c r="C908" s="1">
        <v>43164</v>
      </c>
      <c r="D908">
        <f>YEAR(AMAZON_FASHION_5__2[[#This Row],[reviewDate]])</f>
        <v>2018</v>
      </c>
      <c r="E908" s="1" t="str">
        <f>TEXT(AMAZON_FASHION_5__2[[#This Row],[reviewDate]], "mmmm")</f>
        <v>March</v>
      </c>
      <c r="F908" t="s">
        <v>348</v>
      </c>
      <c r="G908" t="s">
        <v>1456</v>
      </c>
      <c r="H908" t="s">
        <v>210</v>
      </c>
      <c r="I908" t="s">
        <v>198</v>
      </c>
      <c r="J908" t="s">
        <v>63</v>
      </c>
      <c r="K908" t="s">
        <v>349</v>
      </c>
      <c r="L908" t="s">
        <v>350</v>
      </c>
      <c r="M908">
        <v>1520208000</v>
      </c>
      <c r="N908" t="s">
        <v>1628</v>
      </c>
      <c r="O908" t="s">
        <v>1628</v>
      </c>
      <c r="P908" t="s">
        <v>1628</v>
      </c>
      <c r="Q908">
        <f>LEN(AMAZON_FASHION_5__2[[#This Row],[reviewText]])</f>
        <v>22</v>
      </c>
      <c r="R908" t="str">
        <f>IF(AMAZON_FASHION_5__2[[#This Row],[overall]]&gt;=4,"Positive",IF(AMAZON_FASHION_5__2[[#This Row],[overall]]&lt;=2,"Negative","Neutral"))</f>
        <v>Positive</v>
      </c>
      <c r="S9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09" spans="1:19" x14ac:dyDescent="0.25">
      <c r="A909">
        <v>5</v>
      </c>
      <c r="B909" t="b">
        <v>1</v>
      </c>
      <c r="C909" s="1">
        <v>43161</v>
      </c>
      <c r="D909">
        <f>YEAR(AMAZON_FASHION_5__2[[#This Row],[reviewDate]])</f>
        <v>2018</v>
      </c>
      <c r="E909" s="1" t="str">
        <f>TEXT(AMAZON_FASHION_5__2[[#This Row],[reviewDate]], "mmmm")</f>
        <v>March</v>
      </c>
      <c r="F909" t="s">
        <v>351</v>
      </c>
      <c r="G909" t="s">
        <v>1456</v>
      </c>
      <c r="H909" t="s">
        <v>284</v>
      </c>
      <c r="I909" t="s">
        <v>198</v>
      </c>
      <c r="J909" t="s">
        <v>352</v>
      </c>
      <c r="K909" t="s">
        <v>353</v>
      </c>
      <c r="L909" t="s">
        <v>354</v>
      </c>
      <c r="M909">
        <v>1519948800</v>
      </c>
      <c r="N909" t="s">
        <v>1628</v>
      </c>
      <c r="O909" t="s">
        <v>1628</v>
      </c>
      <c r="P909" t="s">
        <v>1628</v>
      </c>
      <c r="Q909">
        <f>LEN(AMAZON_FASHION_5__2[[#This Row],[reviewText]])</f>
        <v>100</v>
      </c>
      <c r="R909" t="str">
        <f>IF(AMAZON_FASHION_5__2[[#This Row],[overall]]&gt;=4,"Positive",IF(AMAZON_FASHION_5__2[[#This Row],[overall]]&lt;=2,"Negative","Neutral"))</f>
        <v>Positive</v>
      </c>
      <c r="S9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10" spans="1:19" x14ac:dyDescent="0.25">
      <c r="A910">
        <v>5</v>
      </c>
      <c r="B910" t="b">
        <v>1</v>
      </c>
      <c r="C910" s="1">
        <v>43159</v>
      </c>
      <c r="D910">
        <f>YEAR(AMAZON_FASHION_5__2[[#This Row],[reviewDate]])</f>
        <v>2018</v>
      </c>
      <c r="E910" s="1" t="str">
        <f>TEXT(AMAZON_FASHION_5__2[[#This Row],[reviewDate]], "mmmm")</f>
        <v>February</v>
      </c>
      <c r="F910" t="s">
        <v>355</v>
      </c>
      <c r="G910" t="s">
        <v>1456</v>
      </c>
      <c r="H910" t="s">
        <v>235</v>
      </c>
      <c r="I910" t="s">
        <v>198</v>
      </c>
      <c r="J910" t="s">
        <v>356</v>
      </c>
      <c r="K910" t="s">
        <v>357</v>
      </c>
      <c r="L910" t="s">
        <v>358</v>
      </c>
      <c r="M910">
        <v>1519776000</v>
      </c>
      <c r="N910" t="s">
        <v>1628</v>
      </c>
      <c r="O910" t="s">
        <v>1628</v>
      </c>
      <c r="P910" t="s">
        <v>1628</v>
      </c>
      <c r="Q910">
        <f>LEN(AMAZON_FASHION_5__2[[#This Row],[reviewText]])</f>
        <v>58</v>
      </c>
      <c r="R910" t="str">
        <f>IF(AMAZON_FASHION_5__2[[#This Row],[overall]]&gt;=4,"Positive",IF(AMAZON_FASHION_5__2[[#This Row],[overall]]&lt;=2,"Negative","Neutral"))</f>
        <v>Positive</v>
      </c>
      <c r="S9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11" spans="1:19" x14ac:dyDescent="0.25">
      <c r="A911">
        <v>5</v>
      </c>
      <c r="B911" t="b">
        <v>1</v>
      </c>
      <c r="C911" s="1">
        <v>43158</v>
      </c>
      <c r="D911">
        <f>YEAR(AMAZON_FASHION_5__2[[#This Row],[reviewDate]])</f>
        <v>2018</v>
      </c>
      <c r="E911" s="1" t="str">
        <f>TEXT(AMAZON_FASHION_5__2[[#This Row],[reviewDate]], "mmmm")</f>
        <v>February</v>
      </c>
      <c r="F911" t="s">
        <v>359</v>
      </c>
      <c r="G911" t="s">
        <v>1456</v>
      </c>
      <c r="H911" t="s">
        <v>230</v>
      </c>
      <c r="I911" t="s">
        <v>198</v>
      </c>
      <c r="J911" t="s">
        <v>63</v>
      </c>
      <c r="K911" t="s">
        <v>360</v>
      </c>
      <c r="L911" t="s">
        <v>361</v>
      </c>
      <c r="M911">
        <v>1519689600</v>
      </c>
      <c r="N911" t="s">
        <v>1628</v>
      </c>
      <c r="O911" t="s">
        <v>1628</v>
      </c>
      <c r="P911" t="s">
        <v>1628</v>
      </c>
      <c r="Q911">
        <f>LEN(AMAZON_FASHION_5__2[[#This Row],[reviewText]])</f>
        <v>269</v>
      </c>
      <c r="R911" t="str">
        <f>IF(AMAZON_FASHION_5__2[[#This Row],[overall]]&gt;=4,"Positive",IF(AMAZON_FASHION_5__2[[#This Row],[overall]]&lt;=2,"Negative","Neutral"))</f>
        <v>Positive</v>
      </c>
      <c r="S9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12" spans="1:19" x14ac:dyDescent="0.25">
      <c r="A912">
        <v>5</v>
      </c>
      <c r="B912" t="b">
        <v>1</v>
      </c>
      <c r="C912" s="1">
        <v>43158</v>
      </c>
      <c r="D912">
        <f>YEAR(AMAZON_FASHION_5__2[[#This Row],[reviewDate]])</f>
        <v>2018</v>
      </c>
      <c r="E912" s="1" t="str">
        <f>TEXT(AMAZON_FASHION_5__2[[#This Row],[reviewDate]], "mmmm")</f>
        <v>February</v>
      </c>
      <c r="F912" t="s">
        <v>362</v>
      </c>
      <c r="G912" t="s">
        <v>1456</v>
      </c>
      <c r="H912" t="s">
        <v>230</v>
      </c>
      <c r="I912" t="s">
        <v>249</v>
      </c>
      <c r="J912" t="s">
        <v>363</v>
      </c>
      <c r="K912" t="s">
        <v>364</v>
      </c>
      <c r="L912" t="s">
        <v>365</v>
      </c>
      <c r="M912">
        <v>1519689600</v>
      </c>
      <c r="N912" t="s">
        <v>1628</v>
      </c>
      <c r="O912" t="s">
        <v>1628</v>
      </c>
      <c r="P912" t="s">
        <v>1628</v>
      </c>
      <c r="Q912">
        <f>LEN(AMAZON_FASHION_5__2[[#This Row],[reviewText]])</f>
        <v>152</v>
      </c>
      <c r="R912" t="str">
        <f>IF(AMAZON_FASHION_5__2[[#This Row],[overall]]&gt;=4,"Positive",IF(AMAZON_FASHION_5__2[[#This Row],[overall]]&lt;=2,"Negative","Neutral"))</f>
        <v>Positive</v>
      </c>
      <c r="S9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13" spans="1:19" x14ac:dyDescent="0.25">
      <c r="A913">
        <v>5</v>
      </c>
      <c r="B913" t="b">
        <v>1</v>
      </c>
      <c r="C913" s="1">
        <v>43158</v>
      </c>
      <c r="D913">
        <f>YEAR(AMAZON_FASHION_5__2[[#This Row],[reviewDate]])</f>
        <v>2018</v>
      </c>
      <c r="E913" s="1" t="str">
        <f>TEXT(AMAZON_FASHION_5__2[[#This Row],[reviewDate]], "mmmm")</f>
        <v>February</v>
      </c>
      <c r="F913" t="s">
        <v>366</v>
      </c>
      <c r="G913" t="s">
        <v>1456</v>
      </c>
      <c r="H913" t="s">
        <v>205</v>
      </c>
      <c r="I913" t="s">
        <v>198</v>
      </c>
      <c r="J913" t="s">
        <v>367</v>
      </c>
      <c r="K913" t="s">
        <v>368</v>
      </c>
      <c r="L913" t="s">
        <v>369</v>
      </c>
      <c r="M913">
        <v>1519689600</v>
      </c>
      <c r="N913" t="s">
        <v>1628</v>
      </c>
      <c r="O913" t="s">
        <v>1628</v>
      </c>
      <c r="P913" t="s">
        <v>1628</v>
      </c>
      <c r="Q913">
        <f>LEN(AMAZON_FASHION_5__2[[#This Row],[reviewText]])</f>
        <v>46</v>
      </c>
      <c r="R913" t="str">
        <f>IF(AMAZON_FASHION_5__2[[#This Row],[overall]]&gt;=4,"Positive",IF(AMAZON_FASHION_5__2[[#This Row],[overall]]&lt;=2,"Negative","Neutral"))</f>
        <v>Positive</v>
      </c>
      <c r="S9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14" spans="1:19" x14ac:dyDescent="0.25">
      <c r="A914">
        <v>1</v>
      </c>
      <c r="B914" t="b">
        <v>1</v>
      </c>
      <c r="C914" s="1">
        <v>43156</v>
      </c>
      <c r="D914">
        <f>YEAR(AMAZON_FASHION_5__2[[#This Row],[reviewDate]])</f>
        <v>2018</v>
      </c>
      <c r="E914" s="1" t="str">
        <f>TEXT(AMAZON_FASHION_5__2[[#This Row],[reviewDate]], "mmmm")</f>
        <v>February</v>
      </c>
      <c r="F914" t="s">
        <v>370</v>
      </c>
      <c r="G914" t="s">
        <v>1456</v>
      </c>
      <c r="H914" t="s">
        <v>230</v>
      </c>
      <c r="I914" t="s">
        <v>198</v>
      </c>
      <c r="J914" t="s">
        <v>371</v>
      </c>
      <c r="K914" t="s">
        <v>372</v>
      </c>
      <c r="L914" t="s">
        <v>373</v>
      </c>
      <c r="M914">
        <v>1519516800</v>
      </c>
      <c r="N914" t="s">
        <v>1628</v>
      </c>
      <c r="O914" t="s">
        <v>1628</v>
      </c>
      <c r="P914" t="s">
        <v>1628</v>
      </c>
      <c r="Q914">
        <f>LEN(AMAZON_FASHION_5__2[[#This Row],[reviewText]])</f>
        <v>282</v>
      </c>
      <c r="R914" t="str">
        <f>IF(AMAZON_FASHION_5__2[[#This Row],[overall]]&gt;=4,"Positive",IF(AMAZON_FASHION_5__2[[#This Row],[overall]]&lt;=2,"Negative","Neutral"))</f>
        <v>Negative</v>
      </c>
      <c r="S9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15" spans="1:19" x14ac:dyDescent="0.25">
      <c r="A915">
        <v>2</v>
      </c>
      <c r="B915" t="b">
        <v>1</v>
      </c>
      <c r="C915" s="1">
        <v>43156</v>
      </c>
      <c r="D915">
        <f>YEAR(AMAZON_FASHION_5__2[[#This Row],[reviewDate]])</f>
        <v>2018</v>
      </c>
      <c r="E915" s="1" t="str">
        <f>TEXT(AMAZON_FASHION_5__2[[#This Row],[reviewDate]], "mmmm")</f>
        <v>February</v>
      </c>
      <c r="F915" t="s">
        <v>374</v>
      </c>
      <c r="G915" t="s">
        <v>1456</v>
      </c>
      <c r="H915" t="s">
        <v>210</v>
      </c>
      <c r="I915" t="s">
        <v>198</v>
      </c>
      <c r="J915" t="s">
        <v>63</v>
      </c>
      <c r="K915" t="s">
        <v>375</v>
      </c>
      <c r="L915" t="s">
        <v>376</v>
      </c>
      <c r="M915">
        <v>1519516800</v>
      </c>
      <c r="N915" t="s">
        <v>1628</v>
      </c>
      <c r="O915" t="s">
        <v>1628</v>
      </c>
      <c r="P915" t="s">
        <v>1628</v>
      </c>
      <c r="Q915">
        <f>LEN(AMAZON_FASHION_5__2[[#This Row],[reviewText]])</f>
        <v>89</v>
      </c>
      <c r="R915" t="str">
        <f>IF(AMAZON_FASHION_5__2[[#This Row],[overall]]&gt;=4,"Positive",IF(AMAZON_FASHION_5__2[[#This Row],[overall]]&lt;=2,"Negative","Neutral"))</f>
        <v>Negative</v>
      </c>
      <c r="S9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16" spans="1:19" x14ac:dyDescent="0.25">
      <c r="A916">
        <v>5</v>
      </c>
      <c r="B916" t="b">
        <v>1</v>
      </c>
      <c r="C916" s="1">
        <v>43152</v>
      </c>
      <c r="D916">
        <f>YEAR(AMAZON_FASHION_5__2[[#This Row],[reviewDate]])</f>
        <v>2018</v>
      </c>
      <c r="E916" s="1" t="str">
        <f>TEXT(AMAZON_FASHION_5__2[[#This Row],[reviewDate]], "mmmm")</f>
        <v>February</v>
      </c>
      <c r="F916" t="s">
        <v>377</v>
      </c>
      <c r="G916" t="s">
        <v>1456</v>
      </c>
      <c r="H916" t="s">
        <v>201</v>
      </c>
      <c r="I916" t="s">
        <v>198</v>
      </c>
      <c r="J916" t="s">
        <v>378</v>
      </c>
      <c r="K916" t="s">
        <v>379</v>
      </c>
      <c r="L916" t="s">
        <v>380</v>
      </c>
      <c r="M916">
        <v>1519171200</v>
      </c>
      <c r="N916" t="s">
        <v>1628</v>
      </c>
      <c r="O916" t="s">
        <v>1628</v>
      </c>
      <c r="P916" t="s">
        <v>1628</v>
      </c>
      <c r="Q916">
        <f>LEN(AMAZON_FASHION_5__2[[#This Row],[reviewText]])</f>
        <v>45</v>
      </c>
      <c r="R916" t="str">
        <f>IF(AMAZON_FASHION_5__2[[#This Row],[overall]]&gt;=4,"Positive",IF(AMAZON_FASHION_5__2[[#This Row],[overall]]&lt;=2,"Negative","Neutral"))</f>
        <v>Positive</v>
      </c>
      <c r="S9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17" spans="1:19" x14ac:dyDescent="0.25">
      <c r="A917">
        <v>5</v>
      </c>
      <c r="B917" t="b">
        <v>1</v>
      </c>
      <c r="C917" s="1">
        <v>43151</v>
      </c>
      <c r="D917">
        <f>YEAR(AMAZON_FASHION_5__2[[#This Row],[reviewDate]])</f>
        <v>2018</v>
      </c>
      <c r="E917" s="1" t="str">
        <f>TEXT(AMAZON_FASHION_5__2[[#This Row],[reviewDate]], "mmmm")</f>
        <v>February</v>
      </c>
      <c r="F917" t="s">
        <v>381</v>
      </c>
      <c r="G917" t="s">
        <v>1456</v>
      </c>
      <c r="H917" t="s">
        <v>235</v>
      </c>
      <c r="I917" t="s">
        <v>274</v>
      </c>
      <c r="J917" t="s">
        <v>382</v>
      </c>
      <c r="K917" t="s">
        <v>383</v>
      </c>
      <c r="L917" t="s">
        <v>384</v>
      </c>
      <c r="M917">
        <v>1519084800</v>
      </c>
      <c r="N917" t="s">
        <v>1628</v>
      </c>
      <c r="O917" t="s">
        <v>1628</v>
      </c>
      <c r="P917" t="s">
        <v>1628</v>
      </c>
      <c r="Q917">
        <f>LEN(AMAZON_FASHION_5__2[[#This Row],[reviewText]])</f>
        <v>47</v>
      </c>
      <c r="R917" t="str">
        <f>IF(AMAZON_FASHION_5__2[[#This Row],[overall]]&gt;=4,"Positive",IF(AMAZON_FASHION_5__2[[#This Row],[overall]]&lt;=2,"Negative","Neutral"))</f>
        <v>Positive</v>
      </c>
      <c r="S9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18" spans="1:19" x14ac:dyDescent="0.25">
      <c r="A918">
        <v>5</v>
      </c>
      <c r="B918" t="b">
        <v>1</v>
      </c>
      <c r="C918" s="1">
        <v>43145</v>
      </c>
      <c r="D918">
        <f>YEAR(AMAZON_FASHION_5__2[[#This Row],[reviewDate]])</f>
        <v>2018</v>
      </c>
      <c r="E918" s="1" t="str">
        <f>TEXT(AMAZON_FASHION_5__2[[#This Row],[reviewDate]], "mmmm")</f>
        <v>February</v>
      </c>
      <c r="F918" t="s">
        <v>385</v>
      </c>
      <c r="G918" t="s">
        <v>1456</v>
      </c>
      <c r="H918" t="s">
        <v>230</v>
      </c>
      <c r="I918" t="s">
        <v>249</v>
      </c>
      <c r="J918" t="s">
        <v>386</v>
      </c>
      <c r="K918" t="s">
        <v>387</v>
      </c>
      <c r="L918" t="s">
        <v>17</v>
      </c>
      <c r="M918">
        <v>1518566400</v>
      </c>
      <c r="N918" t="s">
        <v>1628</v>
      </c>
      <c r="O918" t="s">
        <v>1628</v>
      </c>
      <c r="P918" t="s">
        <v>1628</v>
      </c>
      <c r="Q918">
        <f>LEN(AMAZON_FASHION_5__2[[#This Row],[reviewText]])</f>
        <v>46</v>
      </c>
      <c r="R918" t="str">
        <f>IF(AMAZON_FASHION_5__2[[#This Row],[overall]]&gt;=4,"Positive",IF(AMAZON_FASHION_5__2[[#This Row],[overall]]&lt;=2,"Negative","Neutral"))</f>
        <v>Positive</v>
      </c>
      <c r="S9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19" spans="1:19" x14ac:dyDescent="0.25">
      <c r="A919">
        <v>5</v>
      </c>
      <c r="B919" t="b">
        <v>1</v>
      </c>
      <c r="C919" s="1">
        <v>43145</v>
      </c>
      <c r="D919">
        <f>YEAR(AMAZON_FASHION_5__2[[#This Row],[reviewDate]])</f>
        <v>2018</v>
      </c>
      <c r="E919" s="1" t="str">
        <f>TEXT(AMAZON_FASHION_5__2[[#This Row],[reviewDate]], "mmmm")</f>
        <v>February</v>
      </c>
      <c r="F919" t="s">
        <v>388</v>
      </c>
      <c r="G919" t="s">
        <v>1456</v>
      </c>
      <c r="H919" t="s">
        <v>197</v>
      </c>
      <c r="I919" t="s">
        <v>198</v>
      </c>
      <c r="J919" t="s">
        <v>63</v>
      </c>
      <c r="K919" t="s">
        <v>389</v>
      </c>
      <c r="L919" t="s">
        <v>390</v>
      </c>
      <c r="M919">
        <v>1518566400</v>
      </c>
      <c r="N919" t="s">
        <v>1628</v>
      </c>
      <c r="O919" t="s">
        <v>1628</v>
      </c>
      <c r="P919" t="s">
        <v>1628</v>
      </c>
      <c r="Q919">
        <f>LEN(AMAZON_FASHION_5__2[[#This Row],[reviewText]])</f>
        <v>17</v>
      </c>
      <c r="R919" t="str">
        <f>IF(AMAZON_FASHION_5__2[[#This Row],[overall]]&gt;=4,"Positive",IF(AMAZON_FASHION_5__2[[#This Row],[overall]]&lt;=2,"Negative","Neutral"))</f>
        <v>Positive</v>
      </c>
      <c r="S9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20" spans="1:19" x14ac:dyDescent="0.25">
      <c r="A920">
        <v>5</v>
      </c>
      <c r="B920" t="b">
        <v>1</v>
      </c>
      <c r="C920" s="1">
        <v>43143</v>
      </c>
      <c r="D920">
        <f>YEAR(AMAZON_FASHION_5__2[[#This Row],[reviewDate]])</f>
        <v>2018</v>
      </c>
      <c r="E920" s="1" t="str">
        <f>TEXT(AMAZON_FASHION_5__2[[#This Row],[reviewDate]], "mmmm")</f>
        <v>February</v>
      </c>
      <c r="F920" t="s">
        <v>391</v>
      </c>
      <c r="G920" t="s">
        <v>1456</v>
      </c>
      <c r="H920" t="s">
        <v>201</v>
      </c>
      <c r="I920" t="s">
        <v>392</v>
      </c>
      <c r="J920" t="s">
        <v>393</v>
      </c>
      <c r="K920" t="s">
        <v>394</v>
      </c>
      <c r="L920" t="s">
        <v>17</v>
      </c>
      <c r="M920">
        <v>1518393600</v>
      </c>
      <c r="N920" t="s">
        <v>1628</v>
      </c>
      <c r="O920" t="s">
        <v>1628</v>
      </c>
      <c r="P920" t="s">
        <v>1628</v>
      </c>
      <c r="Q920">
        <f>LEN(AMAZON_FASHION_5__2[[#This Row],[reviewText]])</f>
        <v>19</v>
      </c>
      <c r="R920" t="str">
        <f>IF(AMAZON_FASHION_5__2[[#This Row],[overall]]&gt;=4,"Positive",IF(AMAZON_FASHION_5__2[[#This Row],[overall]]&lt;=2,"Negative","Neutral"))</f>
        <v>Positive</v>
      </c>
      <c r="S9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21" spans="1:19" x14ac:dyDescent="0.25">
      <c r="A921">
        <v>5</v>
      </c>
      <c r="B921" t="b">
        <v>1</v>
      </c>
      <c r="C921" s="1">
        <v>43132</v>
      </c>
      <c r="D921">
        <f>YEAR(AMAZON_FASHION_5__2[[#This Row],[reviewDate]])</f>
        <v>2018</v>
      </c>
      <c r="E921" s="1" t="str">
        <f>TEXT(AMAZON_FASHION_5__2[[#This Row],[reviewDate]], "mmmm")</f>
        <v>February</v>
      </c>
      <c r="F921" t="s">
        <v>395</v>
      </c>
      <c r="G921" t="s">
        <v>1456</v>
      </c>
      <c r="H921" t="s">
        <v>230</v>
      </c>
      <c r="I921" t="s">
        <v>1476</v>
      </c>
      <c r="J921" t="s">
        <v>397</v>
      </c>
      <c r="K921" t="s">
        <v>398</v>
      </c>
      <c r="L921" t="s">
        <v>399</v>
      </c>
      <c r="M921">
        <v>1517443200</v>
      </c>
      <c r="N921" t="s">
        <v>1628</v>
      </c>
      <c r="O921" t="s">
        <v>1628</v>
      </c>
      <c r="P921" t="s">
        <v>1628</v>
      </c>
      <c r="Q921">
        <f>LEN(AMAZON_FASHION_5__2[[#This Row],[reviewText]])</f>
        <v>102</v>
      </c>
      <c r="R921" t="str">
        <f>IF(AMAZON_FASHION_5__2[[#This Row],[overall]]&gt;=4,"Positive",IF(AMAZON_FASHION_5__2[[#This Row],[overall]]&lt;=2,"Negative","Neutral"))</f>
        <v>Positive</v>
      </c>
      <c r="S9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22" spans="1:19" x14ac:dyDescent="0.25">
      <c r="A922">
        <v>5</v>
      </c>
      <c r="B922" t="b">
        <v>1</v>
      </c>
      <c r="C922" s="1">
        <v>43132</v>
      </c>
      <c r="D922">
        <f>YEAR(AMAZON_FASHION_5__2[[#This Row],[reviewDate]])</f>
        <v>2018</v>
      </c>
      <c r="E922" s="1" t="str">
        <f>TEXT(AMAZON_FASHION_5__2[[#This Row],[reviewDate]], "mmmm")</f>
        <v>February</v>
      </c>
      <c r="F922" t="s">
        <v>400</v>
      </c>
      <c r="G922" t="s">
        <v>1456</v>
      </c>
      <c r="H922" t="s">
        <v>197</v>
      </c>
      <c r="I922" t="s">
        <v>198</v>
      </c>
      <c r="J922" t="s">
        <v>401</v>
      </c>
      <c r="K922" t="s">
        <v>402</v>
      </c>
      <c r="L922" t="s">
        <v>17</v>
      </c>
      <c r="M922">
        <v>1517443200</v>
      </c>
      <c r="N922" t="s">
        <v>1628</v>
      </c>
      <c r="O922" t="s">
        <v>1628</v>
      </c>
      <c r="P922" t="s">
        <v>1628</v>
      </c>
      <c r="Q922">
        <f>LEN(AMAZON_FASHION_5__2[[#This Row],[reviewText]])</f>
        <v>19</v>
      </c>
      <c r="R922" t="str">
        <f>IF(AMAZON_FASHION_5__2[[#This Row],[overall]]&gt;=4,"Positive",IF(AMAZON_FASHION_5__2[[#This Row],[overall]]&lt;=2,"Negative","Neutral"))</f>
        <v>Positive</v>
      </c>
      <c r="S9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23" spans="1:19" x14ac:dyDescent="0.25">
      <c r="A923">
        <v>5</v>
      </c>
      <c r="B923" t="b">
        <v>1</v>
      </c>
      <c r="C923" s="1">
        <v>43129</v>
      </c>
      <c r="D923">
        <f>YEAR(AMAZON_FASHION_5__2[[#This Row],[reviewDate]])</f>
        <v>2018</v>
      </c>
      <c r="E923" s="1" t="str">
        <f>TEXT(AMAZON_FASHION_5__2[[#This Row],[reviewDate]], "mmmm")</f>
        <v>January</v>
      </c>
      <c r="F923" t="s">
        <v>403</v>
      </c>
      <c r="G923" t="s">
        <v>1456</v>
      </c>
      <c r="H923" t="s">
        <v>320</v>
      </c>
      <c r="I923" t="s">
        <v>396</v>
      </c>
      <c r="J923" t="s">
        <v>404</v>
      </c>
      <c r="K923" t="s">
        <v>405</v>
      </c>
      <c r="L923" t="s">
        <v>406</v>
      </c>
      <c r="M923">
        <v>1517184000</v>
      </c>
      <c r="N923" t="s">
        <v>1628</v>
      </c>
      <c r="O923" t="s">
        <v>1628</v>
      </c>
      <c r="P923" t="s">
        <v>1628</v>
      </c>
      <c r="Q923">
        <f>LEN(AMAZON_FASHION_5__2[[#This Row],[reviewText]])</f>
        <v>132</v>
      </c>
      <c r="R923" t="str">
        <f>IF(AMAZON_FASHION_5__2[[#This Row],[overall]]&gt;=4,"Positive",IF(AMAZON_FASHION_5__2[[#This Row],[overall]]&lt;=2,"Negative","Neutral"))</f>
        <v>Positive</v>
      </c>
      <c r="S9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24" spans="1:19" x14ac:dyDescent="0.25">
      <c r="A924">
        <v>4</v>
      </c>
      <c r="B924" t="b">
        <v>1</v>
      </c>
      <c r="C924" s="1">
        <v>43125</v>
      </c>
      <c r="D924">
        <f>YEAR(AMAZON_FASHION_5__2[[#This Row],[reviewDate]])</f>
        <v>2018</v>
      </c>
      <c r="E924" s="1" t="str">
        <f>TEXT(AMAZON_FASHION_5__2[[#This Row],[reviewDate]], "mmmm")</f>
        <v>January</v>
      </c>
      <c r="F924" t="s">
        <v>407</v>
      </c>
      <c r="G924" t="s">
        <v>1456</v>
      </c>
      <c r="H924" t="s">
        <v>205</v>
      </c>
      <c r="I924" t="s">
        <v>198</v>
      </c>
      <c r="J924" t="s">
        <v>408</v>
      </c>
      <c r="K924" t="s">
        <v>409</v>
      </c>
      <c r="L924" t="s">
        <v>406</v>
      </c>
      <c r="M924">
        <v>1516838400</v>
      </c>
      <c r="N924" t="s">
        <v>1628</v>
      </c>
      <c r="O924" t="s">
        <v>1628</v>
      </c>
      <c r="P924" t="s">
        <v>1628</v>
      </c>
      <c r="Q924">
        <f>LEN(AMAZON_FASHION_5__2[[#This Row],[reviewText]])</f>
        <v>860</v>
      </c>
      <c r="R924" t="str">
        <f>IF(AMAZON_FASHION_5__2[[#This Row],[overall]]&gt;=4,"Positive",IF(AMAZON_FASHION_5__2[[#This Row],[overall]]&lt;=2,"Negative","Neutral"))</f>
        <v>Positive</v>
      </c>
      <c r="S9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25" spans="1:19" x14ac:dyDescent="0.25">
      <c r="A925">
        <v>5</v>
      </c>
      <c r="B925" t="b">
        <v>1</v>
      </c>
      <c r="C925" s="1">
        <v>43118</v>
      </c>
      <c r="D925">
        <f>YEAR(AMAZON_FASHION_5__2[[#This Row],[reviewDate]])</f>
        <v>2018</v>
      </c>
      <c r="E925" s="1" t="str">
        <f>TEXT(AMAZON_FASHION_5__2[[#This Row],[reviewDate]], "mmmm")</f>
        <v>January</v>
      </c>
      <c r="F925" t="s">
        <v>410</v>
      </c>
      <c r="G925" t="s">
        <v>1456</v>
      </c>
      <c r="H925" t="s">
        <v>235</v>
      </c>
      <c r="I925" t="s">
        <v>411</v>
      </c>
      <c r="J925" t="s">
        <v>412</v>
      </c>
      <c r="K925" t="s">
        <v>413</v>
      </c>
      <c r="L925" t="s">
        <v>17</v>
      </c>
      <c r="M925">
        <v>1516233600</v>
      </c>
      <c r="N925" t="s">
        <v>1628</v>
      </c>
      <c r="O925" t="s">
        <v>1628</v>
      </c>
      <c r="P925" t="s">
        <v>1628</v>
      </c>
      <c r="Q925">
        <f>LEN(AMAZON_FASHION_5__2[[#This Row],[reviewText]])</f>
        <v>16</v>
      </c>
      <c r="R925" t="str">
        <f>IF(AMAZON_FASHION_5__2[[#This Row],[overall]]&gt;=4,"Positive",IF(AMAZON_FASHION_5__2[[#This Row],[overall]]&lt;=2,"Negative","Neutral"))</f>
        <v>Positive</v>
      </c>
      <c r="S9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26" spans="1:19" x14ac:dyDescent="0.25">
      <c r="A926">
        <v>5</v>
      </c>
      <c r="B926" t="b">
        <v>1</v>
      </c>
      <c r="C926" s="1">
        <v>43111</v>
      </c>
      <c r="D926">
        <f>YEAR(AMAZON_FASHION_5__2[[#This Row],[reviewDate]])</f>
        <v>2018</v>
      </c>
      <c r="E926" s="1" t="str">
        <f>TEXT(AMAZON_FASHION_5__2[[#This Row],[reviewDate]], "mmmm")</f>
        <v>January</v>
      </c>
      <c r="F926" t="s">
        <v>414</v>
      </c>
      <c r="G926" t="s">
        <v>1456</v>
      </c>
      <c r="H926" t="s">
        <v>415</v>
      </c>
      <c r="I926" t="s">
        <v>336</v>
      </c>
      <c r="J926" t="s">
        <v>416</v>
      </c>
      <c r="K926" t="s">
        <v>417</v>
      </c>
      <c r="L926" t="s">
        <v>17</v>
      </c>
      <c r="M926">
        <v>1515628800</v>
      </c>
      <c r="N926" t="s">
        <v>1628</v>
      </c>
      <c r="O926" t="s">
        <v>1628</v>
      </c>
      <c r="P926" t="s">
        <v>1628</v>
      </c>
      <c r="Q926">
        <f>LEN(AMAZON_FASHION_5__2[[#This Row],[reviewText]])</f>
        <v>81</v>
      </c>
      <c r="R926" t="str">
        <f>IF(AMAZON_FASHION_5__2[[#This Row],[overall]]&gt;=4,"Positive",IF(AMAZON_FASHION_5__2[[#This Row],[overall]]&lt;=2,"Negative","Neutral"))</f>
        <v>Positive</v>
      </c>
      <c r="S9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27" spans="1:19" x14ac:dyDescent="0.25">
      <c r="A927">
        <v>1</v>
      </c>
      <c r="B927" t="b">
        <v>1</v>
      </c>
      <c r="C927" s="1">
        <v>43110</v>
      </c>
      <c r="D927">
        <f>YEAR(AMAZON_FASHION_5__2[[#This Row],[reviewDate]])</f>
        <v>2018</v>
      </c>
      <c r="E927" s="1" t="str">
        <f>TEXT(AMAZON_FASHION_5__2[[#This Row],[reviewDate]], "mmmm")</f>
        <v>January</v>
      </c>
      <c r="F927" t="s">
        <v>418</v>
      </c>
      <c r="G927" t="s">
        <v>1456</v>
      </c>
      <c r="H927" t="s">
        <v>261</v>
      </c>
      <c r="I927" t="s">
        <v>419</v>
      </c>
      <c r="J927" t="s">
        <v>420</v>
      </c>
      <c r="K927" t="s">
        <v>421</v>
      </c>
      <c r="L927" t="s">
        <v>65</v>
      </c>
      <c r="M927">
        <v>1515542400</v>
      </c>
      <c r="N927" t="s">
        <v>1628</v>
      </c>
      <c r="O927" t="s">
        <v>1628</v>
      </c>
      <c r="P927" t="s">
        <v>1628</v>
      </c>
      <c r="Q927">
        <f>LEN(AMAZON_FASHION_5__2[[#This Row],[reviewText]])</f>
        <v>27</v>
      </c>
      <c r="R927" t="str">
        <f>IF(AMAZON_FASHION_5__2[[#This Row],[overall]]&gt;=4,"Positive",IF(AMAZON_FASHION_5__2[[#This Row],[overall]]&lt;=2,"Negative","Neutral"))</f>
        <v>Negative</v>
      </c>
      <c r="S9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28" spans="1:19" x14ac:dyDescent="0.25">
      <c r="A928">
        <v>5</v>
      </c>
      <c r="B928" t="b">
        <v>1</v>
      </c>
      <c r="C928" s="1">
        <v>43110</v>
      </c>
      <c r="D928">
        <f>YEAR(AMAZON_FASHION_5__2[[#This Row],[reviewDate]])</f>
        <v>2018</v>
      </c>
      <c r="E928" s="1" t="str">
        <f>TEXT(AMAZON_FASHION_5__2[[#This Row],[reviewDate]], "mmmm")</f>
        <v>January</v>
      </c>
      <c r="F928" t="s">
        <v>422</v>
      </c>
      <c r="G928" t="s">
        <v>1456</v>
      </c>
      <c r="H928" t="s">
        <v>205</v>
      </c>
      <c r="I928" t="s">
        <v>198</v>
      </c>
      <c r="J928" t="s">
        <v>423</v>
      </c>
      <c r="K928" t="s">
        <v>424</v>
      </c>
      <c r="L928" t="s">
        <v>425</v>
      </c>
      <c r="M928">
        <v>1515542400</v>
      </c>
      <c r="N928" t="s">
        <v>1628</v>
      </c>
      <c r="O928" t="s">
        <v>1628</v>
      </c>
      <c r="P928">
        <v>2</v>
      </c>
      <c r="Q928">
        <f>LEN(AMAZON_FASHION_5__2[[#This Row],[reviewText]])</f>
        <v>617</v>
      </c>
      <c r="R928" t="str">
        <f>IF(AMAZON_FASHION_5__2[[#This Row],[overall]]&gt;=4,"Positive",IF(AMAZON_FASHION_5__2[[#This Row],[overall]]&lt;=2,"Negative","Neutral"))</f>
        <v>Positive</v>
      </c>
      <c r="S9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29" spans="1:19" x14ac:dyDescent="0.25">
      <c r="A929">
        <v>3</v>
      </c>
      <c r="B929" t="b">
        <v>1</v>
      </c>
      <c r="C929" s="1">
        <v>43109</v>
      </c>
      <c r="D929">
        <f>YEAR(AMAZON_FASHION_5__2[[#This Row],[reviewDate]])</f>
        <v>2018</v>
      </c>
      <c r="E929" s="1" t="str">
        <f>TEXT(AMAZON_FASHION_5__2[[#This Row],[reviewDate]], "mmmm")</f>
        <v>January</v>
      </c>
      <c r="F929" t="s">
        <v>426</v>
      </c>
      <c r="G929" t="s">
        <v>1456</v>
      </c>
      <c r="H929" t="s">
        <v>205</v>
      </c>
      <c r="I929" t="s">
        <v>249</v>
      </c>
      <c r="J929" t="s">
        <v>427</v>
      </c>
      <c r="K929" t="s">
        <v>428</v>
      </c>
      <c r="L929" t="s">
        <v>429</v>
      </c>
      <c r="M929">
        <v>1515456000</v>
      </c>
      <c r="N929" t="s">
        <v>1628</v>
      </c>
      <c r="O929" t="s">
        <v>1628</v>
      </c>
      <c r="P929" t="s">
        <v>1628</v>
      </c>
      <c r="Q929">
        <f>LEN(AMAZON_FASHION_5__2[[#This Row],[reviewText]])</f>
        <v>54</v>
      </c>
      <c r="R929" t="str">
        <f>IF(AMAZON_FASHION_5__2[[#This Row],[overall]]&gt;=4,"Positive",IF(AMAZON_FASHION_5__2[[#This Row],[overall]]&lt;=2,"Negative","Neutral"))</f>
        <v>Neutral</v>
      </c>
      <c r="S9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30" spans="1:19" x14ac:dyDescent="0.25">
      <c r="A930">
        <v>5</v>
      </c>
      <c r="B930" t="b">
        <v>1</v>
      </c>
      <c r="C930" s="1">
        <v>43108</v>
      </c>
      <c r="D930">
        <f>YEAR(AMAZON_FASHION_5__2[[#This Row],[reviewDate]])</f>
        <v>2018</v>
      </c>
      <c r="E930" s="1" t="str">
        <f>TEXT(AMAZON_FASHION_5__2[[#This Row],[reviewDate]], "mmmm")</f>
        <v>January</v>
      </c>
      <c r="F930" t="s">
        <v>430</v>
      </c>
      <c r="G930" t="s">
        <v>1456</v>
      </c>
      <c r="H930" t="s">
        <v>210</v>
      </c>
      <c r="I930" t="s">
        <v>198</v>
      </c>
      <c r="J930" t="s">
        <v>431</v>
      </c>
      <c r="K930" t="s">
        <v>432</v>
      </c>
      <c r="L930" t="s">
        <v>433</v>
      </c>
      <c r="M930">
        <v>1515369600</v>
      </c>
      <c r="N930" t="s">
        <v>1628</v>
      </c>
      <c r="O930" t="s">
        <v>1628</v>
      </c>
      <c r="P930" t="s">
        <v>1628</v>
      </c>
      <c r="Q930">
        <f>LEN(AMAZON_FASHION_5__2[[#This Row],[reviewText]])</f>
        <v>715</v>
      </c>
      <c r="R930" t="str">
        <f>IF(AMAZON_FASHION_5__2[[#This Row],[overall]]&gt;=4,"Positive",IF(AMAZON_FASHION_5__2[[#This Row],[overall]]&lt;=2,"Negative","Neutral"))</f>
        <v>Positive</v>
      </c>
      <c r="S9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31" spans="1:19" x14ac:dyDescent="0.25">
      <c r="A931">
        <v>5</v>
      </c>
      <c r="B931" t="b">
        <v>1</v>
      </c>
      <c r="C931" s="1">
        <v>43108</v>
      </c>
      <c r="D931">
        <f>YEAR(AMAZON_FASHION_5__2[[#This Row],[reviewDate]])</f>
        <v>2018</v>
      </c>
      <c r="E931" s="1" t="str">
        <f>TEXT(AMAZON_FASHION_5__2[[#This Row],[reviewDate]], "mmmm")</f>
        <v>January</v>
      </c>
      <c r="F931" t="s">
        <v>434</v>
      </c>
      <c r="G931" t="s">
        <v>1456</v>
      </c>
      <c r="H931" t="s">
        <v>261</v>
      </c>
      <c r="I931" t="s">
        <v>435</v>
      </c>
      <c r="J931" t="s">
        <v>436</v>
      </c>
      <c r="K931" t="s">
        <v>437</v>
      </c>
      <c r="L931" t="s">
        <v>438</v>
      </c>
      <c r="M931">
        <v>1515369600</v>
      </c>
      <c r="N931" t="s">
        <v>1628</v>
      </c>
      <c r="O931" t="s">
        <v>1628</v>
      </c>
      <c r="P931" t="s">
        <v>1628</v>
      </c>
      <c r="Q931">
        <f>LEN(AMAZON_FASHION_5__2[[#This Row],[reviewText]])</f>
        <v>1003</v>
      </c>
      <c r="R931" t="str">
        <f>IF(AMAZON_FASHION_5__2[[#This Row],[overall]]&gt;=4,"Positive",IF(AMAZON_FASHION_5__2[[#This Row],[overall]]&lt;=2,"Negative","Neutral"))</f>
        <v>Positive</v>
      </c>
      <c r="S9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32" spans="1:19" x14ac:dyDescent="0.25">
      <c r="A932">
        <v>5</v>
      </c>
      <c r="B932" t="b">
        <v>1</v>
      </c>
      <c r="C932" s="1">
        <v>43107</v>
      </c>
      <c r="D932">
        <f>YEAR(AMAZON_FASHION_5__2[[#This Row],[reviewDate]])</f>
        <v>2018</v>
      </c>
      <c r="E932" s="1" t="str">
        <f>TEXT(AMAZON_FASHION_5__2[[#This Row],[reviewDate]], "mmmm")</f>
        <v>January</v>
      </c>
      <c r="F932" t="s">
        <v>439</v>
      </c>
      <c r="G932" t="s">
        <v>1456</v>
      </c>
      <c r="H932" t="s">
        <v>230</v>
      </c>
      <c r="I932" t="s">
        <v>274</v>
      </c>
      <c r="J932" t="s">
        <v>440</v>
      </c>
      <c r="K932" t="s">
        <v>441</v>
      </c>
      <c r="L932" t="s">
        <v>17</v>
      </c>
      <c r="M932">
        <v>1515283200</v>
      </c>
      <c r="N932" t="s">
        <v>1628</v>
      </c>
      <c r="O932" t="s">
        <v>1628</v>
      </c>
      <c r="P932" t="s">
        <v>1628</v>
      </c>
      <c r="Q932">
        <f>LEN(AMAZON_FASHION_5__2[[#This Row],[reviewText]])</f>
        <v>51</v>
      </c>
      <c r="R932" t="str">
        <f>IF(AMAZON_FASHION_5__2[[#This Row],[overall]]&gt;=4,"Positive",IF(AMAZON_FASHION_5__2[[#This Row],[overall]]&lt;=2,"Negative","Neutral"))</f>
        <v>Positive</v>
      </c>
      <c r="S9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33" spans="1:19" x14ac:dyDescent="0.25">
      <c r="A933">
        <v>5</v>
      </c>
      <c r="B933" t="b">
        <v>1</v>
      </c>
      <c r="C933" s="1">
        <v>43098</v>
      </c>
      <c r="D933">
        <f>YEAR(AMAZON_FASHION_5__2[[#This Row],[reviewDate]])</f>
        <v>2017</v>
      </c>
      <c r="E933" s="1" t="str">
        <f>TEXT(AMAZON_FASHION_5__2[[#This Row],[reviewDate]], "mmmm")</f>
        <v>December</v>
      </c>
      <c r="F933" t="s">
        <v>442</v>
      </c>
      <c r="G933" t="s">
        <v>1456</v>
      </c>
      <c r="H933" t="s">
        <v>1477</v>
      </c>
      <c r="I933" t="s">
        <v>336</v>
      </c>
      <c r="J933" t="s">
        <v>63</v>
      </c>
      <c r="K933" t="s">
        <v>444</v>
      </c>
      <c r="L933" t="s">
        <v>445</v>
      </c>
      <c r="M933">
        <v>1514505600</v>
      </c>
      <c r="N933" t="s">
        <v>1628</v>
      </c>
      <c r="O933" t="s">
        <v>1628</v>
      </c>
      <c r="P933" t="s">
        <v>1628</v>
      </c>
      <c r="Q933">
        <f>LEN(AMAZON_FASHION_5__2[[#This Row],[reviewText]])</f>
        <v>240</v>
      </c>
      <c r="R933" t="str">
        <f>IF(AMAZON_FASHION_5__2[[#This Row],[overall]]&gt;=4,"Positive",IF(AMAZON_FASHION_5__2[[#This Row],[overall]]&lt;=2,"Negative","Neutral"))</f>
        <v>Positive</v>
      </c>
      <c r="S9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34" spans="1:19" x14ac:dyDescent="0.25">
      <c r="A934">
        <v>5</v>
      </c>
      <c r="B934" t="b">
        <v>1</v>
      </c>
      <c r="C934" s="1">
        <v>43097</v>
      </c>
      <c r="D934">
        <f>YEAR(AMAZON_FASHION_5__2[[#This Row],[reviewDate]])</f>
        <v>2017</v>
      </c>
      <c r="E934" s="1" t="str">
        <f>TEXT(AMAZON_FASHION_5__2[[#This Row],[reviewDate]], "mmmm")</f>
        <v>December</v>
      </c>
      <c r="F934" t="s">
        <v>446</v>
      </c>
      <c r="G934" t="s">
        <v>1456</v>
      </c>
      <c r="H934" t="s">
        <v>201</v>
      </c>
      <c r="I934" t="s">
        <v>392</v>
      </c>
      <c r="J934" t="s">
        <v>447</v>
      </c>
      <c r="K934" t="s">
        <v>448</v>
      </c>
      <c r="L934" t="s">
        <v>449</v>
      </c>
      <c r="M934">
        <v>1514419200</v>
      </c>
      <c r="N934" t="s">
        <v>1628</v>
      </c>
      <c r="O934" t="s">
        <v>1628</v>
      </c>
      <c r="P934" t="s">
        <v>1628</v>
      </c>
      <c r="Q934">
        <f>LEN(AMAZON_FASHION_5__2[[#This Row],[reviewText]])</f>
        <v>68</v>
      </c>
      <c r="R934" t="str">
        <f>IF(AMAZON_FASHION_5__2[[#This Row],[overall]]&gt;=4,"Positive",IF(AMAZON_FASHION_5__2[[#This Row],[overall]]&lt;=2,"Negative","Neutral"))</f>
        <v>Positive</v>
      </c>
      <c r="S9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35" spans="1:19" x14ac:dyDescent="0.25">
      <c r="A935">
        <v>2</v>
      </c>
      <c r="B935" t="b">
        <v>1</v>
      </c>
      <c r="C935" s="1">
        <v>43086</v>
      </c>
      <c r="D935">
        <f>YEAR(AMAZON_FASHION_5__2[[#This Row],[reviewDate]])</f>
        <v>2017</v>
      </c>
      <c r="E935" s="1" t="str">
        <f>TEXT(AMAZON_FASHION_5__2[[#This Row],[reviewDate]], "mmmm")</f>
        <v>December</v>
      </c>
      <c r="F935" t="s">
        <v>450</v>
      </c>
      <c r="G935" t="s">
        <v>1456</v>
      </c>
      <c r="H935" t="s">
        <v>284</v>
      </c>
      <c r="I935" t="s">
        <v>411</v>
      </c>
      <c r="J935" t="s">
        <v>451</v>
      </c>
      <c r="K935" t="s">
        <v>452</v>
      </c>
      <c r="L935" t="s">
        <v>453</v>
      </c>
      <c r="M935">
        <v>1513468800</v>
      </c>
      <c r="N935" t="s">
        <v>1628</v>
      </c>
      <c r="O935" t="s">
        <v>1628</v>
      </c>
      <c r="P935" t="s">
        <v>1628</v>
      </c>
      <c r="Q935">
        <f>LEN(AMAZON_FASHION_5__2[[#This Row],[reviewText]])</f>
        <v>263</v>
      </c>
      <c r="R935" t="str">
        <f>IF(AMAZON_FASHION_5__2[[#This Row],[overall]]&gt;=4,"Positive",IF(AMAZON_FASHION_5__2[[#This Row],[overall]]&lt;=2,"Negative","Neutral"))</f>
        <v>Negative</v>
      </c>
      <c r="S9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36" spans="1:19" x14ac:dyDescent="0.25">
      <c r="A936">
        <v>5</v>
      </c>
      <c r="B936" t="b">
        <v>1</v>
      </c>
      <c r="C936" s="1">
        <v>43086</v>
      </c>
      <c r="D936">
        <f>YEAR(AMAZON_FASHION_5__2[[#This Row],[reviewDate]])</f>
        <v>2017</v>
      </c>
      <c r="E936" s="1" t="str">
        <f>TEXT(AMAZON_FASHION_5__2[[#This Row],[reviewDate]], "mmmm")</f>
        <v>December</v>
      </c>
      <c r="F936" t="s">
        <v>454</v>
      </c>
      <c r="G936" t="s">
        <v>1456</v>
      </c>
      <c r="H936" t="s">
        <v>230</v>
      </c>
      <c r="I936" t="s">
        <v>198</v>
      </c>
      <c r="J936" t="s">
        <v>455</v>
      </c>
      <c r="K936" t="s">
        <v>456</v>
      </c>
      <c r="L936" t="s">
        <v>17</v>
      </c>
      <c r="M936">
        <v>1513468800</v>
      </c>
      <c r="N936" t="s">
        <v>1628</v>
      </c>
      <c r="O936" t="s">
        <v>1628</v>
      </c>
      <c r="P936" t="s">
        <v>1628</v>
      </c>
      <c r="Q936">
        <f>LEN(AMAZON_FASHION_5__2[[#This Row],[reviewText]])</f>
        <v>14</v>
      </c>
      <c r="R936" t="str">
        <f>IF(AMAZON_FASHION_5__2[[#This Row],[overall]]&gt;=4,"Positive",IF(AMAZON_FASHION_5__2[[#This Row],[overall]]&lt;=2,"Negative","Neutral"))</f>
        <v>Positive</v>
      </c>
      <c r="S9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37" spans="1:19" x14ac:dyDescent="0.25">
      <c r="A937">
        <v>3</v>
      </c>
      <c r="B937" t="b">
        <v>1</v>
      </c>
      <c r="C937" s="1">
        <v>43074</v>
      </c>
      <c r="D937">
        <f>YEAR(AMAZON_FASHION_5__2[[#This Row],[reviewDate]])</f>
        <v>2017</v>
      </c>
      <c r="E937" s="1" t="str">
        <f>TEXT(AMAZON_FASHION_5__2[[#This Row],[reviewDate]], "mmmm")</f>
        <v>December</v>
      </c>
      <c r="F937" t="s">
        <v>457</v>
      </c>
      <c r="G937" t="s">
        <v>1456</v>
      </c>
      <c r="H937" t="s">
        <v>210</v>
      </c>
      <c r="I937" t="s">
        <v>274</v>
      </c>
      <c r="J937" t="s">
        <v>458</v>
      </c>
      <c r="K937" t="s">
        <v>459</v>
      </c>
      <c r="L937" t="s">
        <v>460</v>
      </c>
      <c r="M937">
        <v>1512432000</v>
      </c>
      <c r="N937" t="s">
        <v>1628</v>
      </c>
      <c r="O937" t="s">
        <v>1628</v>
      </c>
      <c r="P937" t="s">
        <v>1628</v>
      </c>
      <c r="Q937">
        <f>LEN(AMAZON_FASHION_5__2[[#This Row],[reviewText]])</f>
        <v>757</v>
      </c>
      <c r="R937" t="str">
        <f>IF(AMAZON_FASHION_5__2[[#This Row],[overall]]&gt;=4,"Positive",IF(AMAZON_FASHION_5__2[[#This Row],[overall]]&lt;=2,"Negative","Neutral"))</f>
        <v>Neutral</v>
      </c>
      <c r="S9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38" spans="1:19" x14ac:dyDescent="0.25">
      <c r="A938">
        <v>5</v>
      </c>
      <c r="B938" t="b">
        <v>1</v>
      </c>
      <c r="C938" s="1">
        <v>43074</v>
      </c>
      <c r="D938">
        <f>YEAR(AMAZON_FASHION_5__2[[#This Row],[reviewDate]])</f>
        <v>2017</v>
      </c>
      <c r="E938" s="1" t="str">
        <f>TEXT(AMAZON_FASHION_5__2[[#This Row],[reviewDate]], "mmmm")</f>
        <v>December</v>
      </c>
      <c r="F938" t="s">
        <v>461</v>
      </c>
      <c r="G938" t="s">
        <v>1456</v>
      </c>
      <c r="H938" t="s">
        <v>230</v>
      </c>
      <c r="I938" t="s">
        <v>303</v>
      </c>
      <c r="J938" t="s">
        <v>462</v>
      </c>
      <c r="K938" t="s">
        <v>463</v>
      </c>
      <c r="L938" t="s">
        <v>17</v>
      </c>
      <c r="M938">
        <v>1512432000</v>
      </c>
      <c r="N938" t="s">
        <v>1628</v>
      </c>
      <c r="O938" t="s">
        <v>1628</v>
      </c>
      <c r="P938" t="s">
        <v>1628</v>
      </c>
      <c r="Q938">
        <f>LEN(AMAZON_FASHION_5__2[[#This Row],[reviewText]])</f>
        <v>5</v>
      </c>
      <c r="R938" t="str">
        <f>IF(AMAZON_FASHION_5__2[[#This Row],[overall]]&gt;=4,"Positive",IF(AMAZON_FASHION_5__2[[#This Row],[overall]]&lt;=2,"Negative","Neutral"))</f>
        <v>Positive</v>
      </c>
      <c r="S9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39" spans="1:19" x14ac:dyDescent="0.25">
      <c r="A939">
        <v>5</v>
      </c>
      <c r="B939" t="b">
        <v>1</v>
      </c>
      <c r="C939" s="1">
        <v>43073</v>
      </c>
      <c r="D939">
        <f>YEAR(AMAZON_FASHION_5__2[[#This Row],[reviewDate]])</f>
        <v>2017</v>
      </c>
      <c r="E939" s="1" t="str">
        <f>TEXT(AMAZON_FASHION_5__2[[#This Row],[reviewDate]], "mmmm")</f>
        <v>December</v>
      </c>
      <c r="F939" t="s">
        <v>464</v>
      </c>
      <c r="G939" t="s">
        <v>1456</v>
      </c>
      <c r="H939" t="s">
        <v>320</v>
      </c>
      <c r="I939" t="s">
        <v>303</v>
      </c>
      <c r="J939" t="s">
        <v>63</v>
      </c>
      <c r="K939" t="s">
        <v>465</v>
      </c>
      <c r="L939" t="s">
        <v>17</v>
      </c>
      <c r="M939">
        <v>1512345600</v>
      </c>
      <c r="N939" t="s">
        <v>1628</v>
      </c>
      <c r="O939" t="s">
        <v>1628</v>
      </c>
      <c r="P939" t="s">
        <v>1628</v>
      </c>
      <c r="Q939">
        <f>LEN(AMAZON_FASHION_5__2[[#This Row],[reviewText]])</f>
        <v>1</v>
      </c>
      <c r="R939" t="str">
        <f>IF(AMAZON_FASHION_5__2[[#This Row],[overall]]&gt;=4,"Positive",IF(AMAZON_FASHION_5__2[[#This Row],[overall]]&lt;=2,"Negative","Neutral"))</f>
        <v>Positive</v>
      </c>
      <c r="S9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40" spans="1:19" x14ac:dyDescent="0.25">
      <c r="A940">
        <v>5</v>
      </c>
      <c r="B940" t="b">
        <v>1</v>
      </c>
      <c r="C940" s="1">
        <v>43069</v>
      </c>
      <c r="D940">
        <f>YEAR(AMAZON_FASHION_5__2[[#This Row],[reviewDate]])</f>
        <v>2017</v>
      </c>
      <c r="E940" s="1" t="str">
        <f>TEXT(AMAZON_FASHION_5__2[[#This Row],[reviewDate]], "mmmm")</f>
        <v>November</v>
      </c>
      <c r="F940" t="s">
        <v>466</v>
      </c>
      <c r="G940" t="s">
        <v>1456</v>
      </c>
      <c r="H940" t="s">
        <v>210</v>
      </c>
      <c r="I940" t="s">
        <v>274</v>
      </c>
      <c r="J940" t="s">
        <v>467</v>
      </c>
      <c r="K940" t="s">
        <v>468</v>
      </c>
      <c r="L940" t="s">
        <v>17</v>
      </c>
      <c r="M940">
        <v>1512000000</v>
      </c>
      <c r="N940" t="s">
        <v>1628</v>
      </c>
      <c r="O940" t="s">
        <v>1628</v>
      </c>
      <c r="P940" t="s">
        <v>1628</v>
      </c>
      <c r="Q940">
        <f>LEN(AMAZON_FASHION_5__2[[#This Row],[reviewText]])</f>
        <v>10</v>
      </c>
      <c r="R940" t="str">
        <f>IF(AMAZON_FASHION_5__2[[#This Row],[overall]]&gt;=4,"Positive",IF(AMAZON_FASHION_5__2[[#This Row],[overall]]&lt;=2,"Negative","Neutral"))</f>
        <v>Positive</v>
      </c>
      <c r="S9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41" spans="1:19" x14ac:dyDescent="0.25">
      <c r="A941">
        <v>3</v>
      </c>
      <c r="B941" t="b">
        <v>1</v>
      </c>
      <c r="C941" s="1">
        <v>43069</v>
      </c>
      <c r="D941">
        <f>YEAR(AMAZON_FASHION_5__2[[#This Row],[reviewDate]])</f>
        <v>2017</v>
      </c>
      <c r="E941" s="1" t="str">
        <f>TEXT(AMAZON_FASHION_5__2[[#This Row],[reviewDate]], "mmmm")</f>
        <v>November</v>
      </c>
      <c r="F941" t="s">
        <v>469</v>
      </c>
      <c r="G941" t="s">
        <v>1456</v>
      </c>
      <c r="H941" t="s">
        <v>210</v>
      </c>
      <c r="I941" t="s">
        <v>198</v>
      </c>
      <c r="J941" t="s">
        <v>63</v>
      </c>
      <c r="K941" t="s">
        <v>470</v>
      </c>
      <c r="L941" t="s">
        <v>471</v>
      </c>
      <c r="M941">
        <v>1512000000</v>
      </c>
      <c r="N941" t="s">
        <v>1628</v>
      </c>
      <c r="O941" t="s">
        <v>1628</v>
      </c>
      <c r="P941" t="s">
        <v>1628</v>
      </c>
      <c r="Q941">
        <f>LEN(AMAZON_FASHION_5__2[[#This Row],[reviewText]])</f>
        <v>192</v>
      </c>
      <c r="R941" t="str">
        <f>IF(AMAZON_FASHION_5__2[[#This Row],[overall]]&gt;=4,"Positive",IF(AMAZON_FASHION_5__2[[#This Row],[overall]]&lt;=2,"Negative","Neutral"))</f>
        <v>Neutral</v>
      </c>
      <c r="S9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42" spans="1:19" x14ac:dyDescent="0.25">
      <c r="A942">
        <v>3</v>
      </c>
      <c r="B942" t="b">
        <v>1</v>
      </c>
      <c r="C942" s="1">
        <v>43067</v>
      </c>
      <c r="D942">
        <f>YEAR(AMAZON_FASHION_5__2[[#This Row],[reviewDate]])</f>
        <v>2017</v>
      </c>
      <c r="E942" s="1" t="str">
        <f>TEXT(AMAZON_FASHION_5__2[[#This Row],[reviewDate]], "mmmm")</f>
        <v>November</v>
      </c>
      <c r="F942" t="s">
        <v>472</v>
      </c>
      <c r="G942" t="s">
        <v>1456</v>
      </c>
      <c r="H942" t="s">
        <v>261</v>
      </c>
      <c r="I942" t="s">
        <v>1455</v>
      </c>
      <c r="J942" t="s">
        <v>473</v>
      </c>
      <c r="K942" t="s">
        <v>474</v>
      </c>
      <c r="L942" t="s">
        <v>475</v>
      </c>
      <c r="M942">
        <v>1511827200</v>
      </c>
      <c r="N942" t="s">
        <v>1628</v>
      </c>
      <c r="O942" t="s">
        <v>1628</v>
      </c>
      <c r="P942" t="s">
        <v>1628</v>
      </c>
      <c r="Q942">
        <f>LEN(AMAZON_FASHION_5__2[[#This Row],[reviewText]])</f>
        <v>194</v>
      </c>
      <c r="R942" t="str">
        <f>IF(AMAZON_FASHION_5__2[[#This Row],[overall]]&gt;=4,"Positive",IF(AMAZON_FASHION_5__2[[#This Row],[overall]]&lt;=2,"Negative","Neutral"))</f>
        <v>Neutral</v>
      </c>
      <c r="S9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43" spans="1:19" x14ac:dyDescent="0.25">
      <c r="A943">
        <v>4</v>
      </c>
      <c r="B943" t="b">
        <v>1</v>
      </c>
      <c r="C943" s="1">
        <v>43067</v>
      </c>
      <c r="D943">
        <f>YEAR(AMAZON_FASHION_5__2[[#This Row],[reviewDate]])</f>
        <v>2017</v>
      </c>
      <c r="E943" s="1" t="str">
        <f>TEXT(AMAZON_FASHION_5__2[[#This Row],[reviewDate]], "mmmm")</f>
        <v>November</v>
      </c>
      <c r="F943" t="s">
        <v>476</v>
      </c>
      <c r="G943" t="s">
        <v>1456</v>
      </c>
      <c r="H943" t="s">
        <v>477</v>
      </c>
      <c r="I943" t="s">
        <v>396</v>
      </c>
      <c r="J943" t="s">
        <v>478</v>
      </c>
      <c r="K943" t="s">
        <v>479</v>
      </c>
      <c r="L943" t="s">
        <v>480</v>
      </c>
      <c r="M943">
        <v>1511827200</v>
      </c>
      <c r="N943" t="s">
        <v>1628</v>
      </c>
      <c r="O943" t="s">
        <v>1628</v>
      </c>
      <c r="P943" t="s">
        <v>1628</v>
      </c>
      <c r="Q943">
        <f>LEN(AMAZON_FASHION_5__2[[#This Row],[reviewText]])</f>
        <v>27</v>
      </c>
      <c r="R943" t="str">
        <f>IF(AMAZON_FASHION_5__2[[#This Row],[overall]]&gt;=4,"Positive",IF(AMAZON_FASHION_5__2[[#This Row],[overall]]&lt;=2,"Negative","Neutral"))</f>
        <v>Positive</v>
      </c>
      <c r="S9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44" spans="1:19" x14ac:dyDescent="0.25">
      <c r="A944">
        <v>5</v>
      </c>
      <c r="B944" t="b">
        <v>1</v>
      </c>
      <c r="C944" s="1">
        <v>43066</v>
      </c>
      <c r="D944">
        <f>YEAR(AMAZON_FASHION_5__2[[#This Row],[reviewDate]])</f>
        <v>2017</v>
      </c>
      <c r="E944" s="1" t="str">
        <f>TEXT(AMAZON_FASHION_5__2[[#This Row],[reviewDate]], "mmmm")</f>
        <v>November</v>
      </c>
      <c r="F944" t="s">
        <v>481</v>
      </c>
      <c r="G944" t="s">
        <v>1456</v>
      </c>
      <c r="H944" t="s">
        <v>210</v>
      </c>
      <c r="I944" t="s">
        <v>303</v>
      </c>
      <c r="J944" t="s">
        <v>482</v>
      </c>
      <c r="K944" t="s">
        <v>483</v>
      </c>
      <c r="L944" t="s">
        <v>17</v>
      </c>
      <c r="M944">
        <v>1511740800</v>
      </c>
      <c r="N944" t="s">
        <v>1628</v>
      </c>
      <c r="O944" t="s">
        <v>1628</v>
      </c>
      <c r="P944" t="s">
        <v>1628</v>
      </c>
      <c r="Q944">
        <f>LEN(AMAZON_FASHION_5__2[[#This Row],[reviewText]])</f>
        <v>8</v>
      </c>
      <c r="R944" t="str">
        <f>IF(AMAZON_FASHION_5__2[[#This Row],[overall]]&gt;=4,"Positive",IF(AMAZON_FASHION_5__2[[#This Row],[overall]]&lt;=2,"Negative","Neutral"))</f>
        <v>Positive</v>
      </c>
      <c r="S9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45" spans="1:19" x14ac:dyDescent="0.25">
      <c r="A945">
        <v>5</v>
      </c>
      <c r="B945" t="b">
        <v>1</v>
      </c>
      <c r="C945" s="1">
        <v>43066</v>
      </c>
      <c r="D945">
        <f>YEAR(AMAZON_FASHION_5__2[[#This Row],[reviewDate]])</f>
        <v>2017</v>
      </c>
      <c r="E945" s="1" t="str">
        <f>TEXT(AMAZON_FASHION_5__2[[#This Row],[reviewDate]], "mmmm")</f>
        <v>November</v>
      </c>
      <c r="F945" t="s">
        <v>481</v>
      </c>
      <c r="G945" t="s">
        <v>1456</v>
      </c>
      <c r="H945" t="s">
        <v>210</v>
      </c>
      <c r="I945" t="s">
        <v>392</v>
      </c>
      <c r="J945" t="s">
        <v>482</v>
      </c>
      <c r="K945" t="s">
        <v>483</v>
      </c>
      <c r="L945" t="s">
        <v>17</v>
      </c>
      <c r="M945">
        <v>1511740800</v>
      </c>
      <c r="N945" t="s">
        <v>1628</v>
      </c>
      <c r="O945" t="s">
        <v>1628</v>
      </c>
      <c r="P945" t="s">
        <v>1628</v>
      </c>
      <c r="Q945">
        <f>LEN(AMAZON_FASHION_5__2[[#This Row],[reviewText]])</f>
        <v>8</v>
      </c>
      <c r="R945" t="str">
        <f>IF(AMAZON_FASHION_5__2[[#This Row],[overall]]&gt;=4,"Positive",IF(AMAZON_FASHION_5__2[[#This Row],[overall]]&lt;=2,"Negative","Neutral"))</f>
        <v>Positive</v>
      </c>
      <c r="S9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46" spans="1:19" x14ac:dyDescent="0.25">
      <c r="A946">
        <v>1</v>
      </c>
      <c r="B946" t="b">
        <v>1</v>
      </c>
      <c r="C946" s="1">
        <v>43058</v>
      </c>
      <c r="D946">
        <f>YEAR(AMAZON_FASHION_5__2[[#This Row],[reviewDate]])</f>
        <v>2017</v>
      </c>
      <c r="E946" s="1" t="str">
        <f>TEXT(AMAZON_FASHION_5__2[[#This Row],[reviewDate]], "mmmm")</f>
        <v>November</v>
      </c>
      <c r="F946" t="s">
        <v>484</v>
      </c>
      <c r="G946" t="s">
        <v>1456</v>
      </c>
      <c r="H946" t="s">
        <v>201</v>
      </c>
      <c r="I946" t="s">
        <v>198</v>
      </c>
      <c r="J946" t="s">
        <v>485</v>
      </c>
      <c r="K946" t="s">
        <v>486</v>
      </c>
      <c r="L946" t="s">
        <v>487</v>
      </c>
      <c r="M946">
        <v>1511049600</v>
      </c>
      <c r="N946" t="s">
        <v>1628</v>
      </c>
      <c r="O946" t="s">
        <v>1628</v>
      </c>
      <c r="P946" t="s">
        <v>1628</v>
      </c>
      <c r="Q946">
        <f>LEN(AMAZON_FASHION_5__2[[#This Row],[reviewText]])</f>
        <v>133</v>
      </c>
      <c r="R946" t="str">
        <f>IF(AMAZON_FASHION_5__2[[#This Row],[overall]]&gt;=4,"Positive",IF(AMAZON_FASHION_5__2[[#This Row],[overall]]&lt;=2,"Negative","Neutral"))</f>
        <v>Negative</v>
      </c>
      <c r="S9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47" spans="1:19" x14ac:dyDescent="0.25">
      <c r="A947">
        <v>5</v>
      </c>
      <c r="B947" t="b">
        <v>1</v>
      </c>
      <c r="C947" s="1">
        <v>43053</v>
      </c>
      <c r="D947">
        <f>YEAR(AMAZON_FASHION_5__2[[#This Row],[reviewDate]])</f>
        <v>2017</v>
      </c>
      <c r="E947" s="1" t="str">
        <f>TEXT(AMAZON_FASHION_5__2[[#This Row],[reviewDate]], "mmmm")</f>
        <v>November</v>
      </c>
      <c r="F947" t="s">
        <v>488</v>
      </c>
      <c r="G947" t="s">
        <v>1456</v>
      </c>
      <c r="H947" t="s">
        <v>210</v>
      </c>
      <c r="I947" t="s">
        <v>303</v>
      </c>
      <c r="J947" t="s">
        <v>489</v>
      </c>
      <c r="K947" t="s">
        <v>490</v>
      </c>
      <c r="L947" t="s">
        <v>491</v>
      </c>
      <c r="M947">
        <v>1510617600</v>
      </c>
      <c r="N947" t="s">
        <v>1628</v>
      </c>
      <c r="O947" t="s">
        <v>1628</v>
      </c>
      <c r="P947" t="s">
        <v>1628</v>
      </c>
      <c r="Q947">
        <f>LEN(AMAZON_FASHION_5__2[[#This Row],[reviewText]])</f>
        <v>232</v>
      </c>
      <c r="R947" t="str">
        <f>IF(AMAZON_FASHION_5__2[[#This Row],[overall]]&gt;=4,"Positive",IF(AMAZON_FASHION_5__2[[#This Row],[overall]]&lt;=2,"Negative","Neutral"))</f>
        <v>Positive</v>
      </c>
      <c r="S9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48" spans="1:19" x14ac:dyDescent="0.25">
      <c r="A948">
        <v>4</v>
      </c>
      <c r="B948" t="b">
        <v>1</v>
      </c>
      <c r="C948" s="1">
        <v>43050</v>
      </c>
      <c r="D948">
        <f>YEAR(AMAZON_FASHION_5__2[[#This Row],[reviewDate]])</f>
        <v>2017</v>
      </c>
      <c r="E948" s="1" t="str">
        <f>TEXT(AMAZON_FASHION_5__2[[#This Row],[reviewDate]], "mmmm")</f>
        <v>November</v>
      </c>
      <c r="F948" t="s">
        <v>492</v>
      </c>
      <c r="G948" t="s">
        <v>1456</v>
      </c>
      <c r="H948" t="s">
        <v>230</v>
      </c>
      <c r="I948" t="s">
        <v>493</v>
      </c>
      <c r="J948" t="s">
        <v>494</v>
      </c>
      <c r="K948" t="s">
        <v>495</v>
      </c>
      <c r="L948" t="s">
        <v>496</v>
      </c>
      <c r="M948">
        <v>1510358400</v>
      </c>
      <c r="N948" t="s">
        <v>1628</v>
      </c>
      <c r="O948" t="s">
        <v>1628</v>
      </c>
      <c r="P948" t="s">
        <v>1628</v>
      </c>
      <c r="Q948">
        <f>LEN(AMAZON_FASHION_5__2[[#This Row],[reviewText]])</f>
        <v>104</v>
      </c>
      <c r="R948" t="str">
        <f>IF(AMAZON_FASHION_5__2[[#This Row],[overall]]&gt;=4,"Positive",IF(AMAZON_FASHION_5__2[[#This Row],[overall]]&lt;=2,"Negative","Neutral"))</f>
        <v>Positive</v>
      </c>
      <c r="S9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49" spans="1:19" x14ac:dyDescent="0.25">
      <c r="A949">
        <v>5</v>
      </c>
      <c r="B949" t="b">
        <v>1</v>
      </c>
      <c r="C949" s="1">
        <v>43049</v>
      </c>
      <c r="D949">
        <f>YEAR(AMAZON_FASHION_5__2[[#This Row],[reviewDate]])</f>
        <v>2017</v>
      </c>
      <c r="E949" s="1" t="str">
        <f>TEXT(AMAZON_FASHION_5__2[[#This Row],[reviewDate]], "mmmm")</f>
        <v>November</v>
      </c>
      <c r="F949" t="s">
        <v>497</v>
      </c>
      <c r="G949" t="s">
        <v>1456</v>
      </c>
      <c r="H949" t="s">
        <v>477</v>
      </c>
      <c r="I949" t="s">
        <v>396</v>
      </c>
      <c r="J949" t="s">
        <v>498</v>
      </c>
      <c r="K949" t="s">
        <v>499</v>
      </c>
      <c r="L949" t="s">
        <v>17</v>
      </c>
      <c r="M949">
        <v>1510272000</v>
      </c>
      <c r="N949" t="s">
        <v>1628</v>
      </c>
      <c r="O949" t="s">
        <v>1628</v>
      </c>
      <c r="P949" t="s">
        <v>1628</v>
      </c>
      <c r="Q949">
        <f>LEN(AMAZON_FASHION_5__2[[#This Row],[reviewText]])</f>
        <v>15</v>
      </c>
      <c r="R949" t="str">
        <f>IF(AMAZON_FASHION_5__2[[#This Row],[overall]]&gt;=4,"Positive",IF(AMAZON_FASHION_5__2[[#This Row],[overall]]&lt;=2,"Negative","Neutral"))</f>
        <v>Positive</v>
      </c>
      <c r="S9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50" spans="1:19" x14ac:dyDescent="0.25">
      <c r="A950">
        <v>5</v>
      </c>
      <c r="B950" t="b">
        <v>1</v>
      </c>
      <c r="C950" s="1">
        <v>43048</v>
      </c>
      <c r="D950">
        <f>YEAR(AMAZON_FASHION_5__2[[#This Row],[reviewDate]])</f>
        <v>2017</v>
      </c>
      <c r="E950" s="1" t="str">
        <f>TEXT(AMAZON_FASHION_5__2[[#This Row],[reviewDate]], "mmmm")</f>
        <v>November</v>
      </c>
      <c r="F950" t="s">
        <v>500</v>
      </c>
      <c r="G950" t="s">
        <v>1456</v>
      </c>
      <c r="H950" t="s">
        <v>197</v>
      </c>
      <c r="I950" t="s">
        <v>198</v>
      </c>
      <c r="J950" t="s">
        <v>63</v>
      </c>
      <c r="K950" t="s">
        <v>501</v>
      </c>
      <c r="L950" t="s">
        <v>502</v>
      </c>
      <c r="M950">
        <v>1510185600</v>
      </c>
      <c r="N950" t="s">
        <v>1628</v>
      </c>
      <c r="O950" t="s">
        <v>1628</v>
      </c>
      <c r="P950" t="s">
        <v>1628</v>
      </c>
      <c r="Q950">
        <f>LEN(AMAZON_FASHION_5__2[[#This Row],[reviewText]])</f>
        <v>278</v>
      </c>
      <c r="R950" t="str">
        <f>IF(AMAZON_FASHION_5__2[[#This Row],[overall]]&gt;=4,"Positive",IF(AMAZON_FASHION_5__2[[#This Row],[overall]]&lt;=2,"Negative","Neutral"))</f>
        <v>Positive</v>
      </c>
      <c r="S9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51" spans="1:19" x14ac:dyDescent="0.25">
      <c r="A951">
        <v>4</v>
      </c>
      <c r="B951" t="b">
        <v>1</v>
      </c>
      <c r="C951" s="1">
        <v>43046</v>
      </c>
      <c r="D951">
        <f>YEAR(AMAZON_FASHION_5__2[[#This Row],[reviewDate]])</f>
        <v>2017</v>
      </c>
      <c r="E951" s="1" t="str">
        <f>TEXT(AMAZON_FASHION_5__2[[#This Row],[reviewDate]], "mmmm")</f>
        <v>November</v>
      </c>
      <c r="F951" t="s">
        <v>503</v>
      </c>
      <c r="G951" t="s">
        <v>1456</v>
      </c>
      <c r="H951" t="s">
        <v>210</v>
      </c>
      <c r="I951" t="s">
        <v>274</v>
      </c>
      <c r="J951" t="s">
        <v>504</v>
      </c>
      <c r="K951" t="s">
        <v>505</v>
      </c>
      <c r="L951" t="s">
        <v>103</v>
      </c>
      <c r="M951">
        <v>1510012800</v>
      </c>
      <c r="N951" t="s">
        <v>1628</v>
      </c>
      <c r="O951" t="s">
        <v>1628</v>
      </c>
      <c r="P951" t="s">
        <v>1628</v>
      </c>
      <c r="Q951">
        <f>LEN(AMAZON_FASHION_5__2[[#This Row],[reviewText]])</f>
        <v>8</v>
      </c>
      <c r="R951" t="str">
        <f>IF(AMAZON_FASHION_5__2[[#This Row],[overall]]&gt;=4,"Positive",IF(AMAZON_FASHION_5__2[[#This Row],[overall]]&lt;=2,"Negative","Neutral"))</f>
        <v>Positive</v>
      </c>
      <c r="S9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52" spans="1:19" x14ac:dyDescent="0.25">
      <c r="A952">
        <v>2</v>
      </c>
      <c r="B952" t="b">
        <v>1</v>
      </c>
      <c r="C952" s="1">
        <v>43044</v>
      </c>
      <c r="D952">
        <f>YEAR(AMAZON_FASHION_5__2[[#This Row],[reviewDate]])</f>
        <v>2017</v>
      </c>
      <c r="E952" s="1" t="str">
        <f>TEXT(AMAZON_FASHION_5__2[[#This Row],[reviewDate]], "mmmm")</f>
        <v>November</v>
      </c>
      <c r="F952" t="s">
        <v>506</v>
      </c>
      <c r="G952" t="s">
        <v>1456</v>
      </c>
      <c r="H952" t="s">
        <v>197</v>
      </c>
      <c r="I952" t="s">
        <v>507</v>
      </c>
      <c r="J952" t="s">
        <v>63</v>
      </c>
      <c r="K952" t="s">
        <v>508</v>
      </c>
      <c r="L952" t="s">
        <v>509</v>
      </c>
      <c r="M952">
        <v>1509840000</v>
      </c>
      <c r="N952" t="s">
        <v>1628</v>
      </c>
      <c r="O952" t="s">
        <v>1628</v>
      </c>
      <c r="P952">
        <v>6</v>
      </c>
      <c r="Q952">
        <f>LEN(AMAZON_FASHION_5__2[[#This Row],[reviewText]])</f>
        <v>467</v>
      </c>
      <c r="R952" t="str">
        <f>IF(AMAZON_FASHION_5__2[[#This Row],[overall]]&gt;=4,"Positive",IF(AMAZON_FASHION_5__2[[#This Row],[overall]]&lt;=2,"Negative","Neutral"))</f>
        <v>Negative</v>
      </c>
      <c r="S9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53" spans="1:19" x14ac:dyDescent="0.25">
      <c r="A953">
        <v>5</v>
      </c>
      <c r="B953" t="b">
        <v>1</v>
      </c>
      <c r="C953" s="1">
        <v>43043</v>
      </c>
      <c r="D953">
        <f>YEAR(AMAZON_FASHION_5__2[[#This Row],[reviewDate]])</f>
        <v>2017</v>
      </c>
      <c r="E953" s="1" t="str">
        <f>TEXT(AMAZON_FASHION_5__2[[#This Row],[reviewDate]], "mmmm")</f>
        <v>November</v>
      </c>
      <c r="F953" t="s">
        <v>510</v>
      </c>
      <c r="G953" t="s">
        <v>1456</v>
      </c>
      <c r="H953" t="s">
        <v>235</v>
      </c>
      <c r="I953" t="s">
        <v>274</v>
      </c>
      <c r="J953" t="s">
        <v>511</v>
      </c>
      <c r="K953" t="s">
        <v>512</v>
      </c>
      <c r="L953" t="s">
        <v>17</v>
      </c>
      <c r="M953">
        <v>1509753600</v>
      </c>
      <c r="N953" t="s">
        <v>1628</v>
      </c>
      <c r="O953" t="s">
        <v>1628</v>
      </c>
      <c r="P953" t="s">
        <v>1628</v>
      </c>
      <c r="Q953">
        <f>LEN(AMAZON_FASHION_5__2[[#This Row],[reviewText]])</f>
        <v>39</v>
      </c>
      <c r="R953" t="str">
        <f>IF(AMAZON_FASHION_5__2[[#This Row],[overall]]&gt;=4,"Positive",IF(AMAZON_FASHION_5__2[[#This Row],[overall]]&lt;=2,"Negative","Neutral"))</f>
        <v>Positive</v>
      </c>
      <c r="S9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54" spans="1:19" x14ac:dyDescent="0.25">
      <c r="A954">
        <v>3</v>
      </c>
      <c r="B954" t="b">
        <v>1</v>
      </c>
      <c r="C954" s="1">
        <v>43043</v>
      </c>
      <c r="D954">
        <f>YEAR(AMAZON_FASHION_5__2[[#This Row],[reviewDate]])</f>
        <v>2017</v>
      </c>
      <c r="E954" s="1" t="str">
        <f>TEXT(AMAZON_FASHION_5__2[[#This Row],[reviewDate]], "mmmm")</f>
        <v>November</v>
      </c>
      <c r="F954" t="s">
        <v>513</v>
      </c>
      <c r="G954" t="s">
        <v>1456</v>
      </c>
      <c r="H954" t="s">
        <v>205</v>
      </c>
      <c r="I954" t="s">
        <v>507</v>
      </c>
      <c r="J954" t="s">
        <v>514</v>
      </c>
      <c r="K954" t="s">
        <v>515</v>
      </c>
      <c r="L954" t="s">
        <v>101</v>
      </c>
      <c r="M954">
        <v>1509753600</v>
      </c>
      <c r="N954" t="s">
        <v>1628</v>
      </c>
      <c r="O954" t="s">
        <v>1628</v>
      </c>
      <c r="P954" t="s">
        <v>1628</v>
      </c>
      <c r="Q954">
        <f>LEN(AMAZON_FASHION_5__2[[#This Row],[reviewText]])</f>
        <v>38</v>
      </c>
      <c r="R954" t="str">
        <f>IF(AMAZON_FASHION_5__2[[#This Row],[overall]]&gt;=4,"Positive",IF(AMAZON_FASHION_5__2[[#This Row],[overall]]&lt;=2,"Negative","Neutral"))</f>
        <v>Neutral</v>
      </c>
      <c r="S9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55" spans="1:19" x14ac:dyDescent="0.25">
      <c r="A955">
        <v>4</v>
      </c>
      <c r="B955" t="b">
        <v>1</v>
      </c>
      <c r="C955" s="1">
        <v>43042</v>
      </c>
      <c r="D955">
        <f>YEAR(AMAZON_FASHION_5__2[[#This Row],[reviewDate]])</f>
        <v>2017</v>
      </c>
      <c r="E955" s="1" t="str">
        <f>TEXT(AMAZON_FASHION_5__2[[#This Row],[reviewDate]], "mmmm")</f>
        <v>November</v>
      </c>
      <c r="F955" t="s">
        <v>516</v>
      </c>
      <c r="G955" t="s">
        <v>1456</v>
      </c>
      <c r="H955" t="s">
        <v>230</v>
      </c>
      <c r="I955" t="s">
        <v>274</v>
      </c>
      <c r="J955" t="s">
        <v>517</v>
      </c>
      <c r="K955" t="s">
        <v>518</v>
      </c>
      <c r="L955" t="s">
        <v>519</v>
      </c>
      <c r="M955">
        <v>1509667200</v>
      </c>
      <c r="N955" t="s">
        <v>1628</v>
      </c>
      <c r="O955" t="s">
        <v>1628</v>
      </c>
      <c r="P955" t="s">
        <v>1628</v>
      </c>
      <c r="Q955">
        <f>LEN(AMAZON_FASHION_5__2[[#This Row],[reviewText]])</f>
        <v>23</v>
      </c>
      <c r="R955" t="str">
        <f>IF(AMAZON_FASHION_5__2[[#This Row],[overall]]&gt;=4,"Positive",IF(AMAZON_FASHION_5__2[[#This Row],[overall]]&lt;=2,"Negative","Neutral"))</f>
        <v>Positive</v>
      </c>
      <c r="S9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56" spans="1:19" x14ac:dyDescent="0.25">
      <c r="A956">
        <v>5</v>
      </c>
      <c r="B956" t="b">
        <v>1</v>
      </c>
      <c r="C956" s="1">
        <v>43041</v>
      </c>
      <c r="D956">
        <f>YEAR(AMAZON_FASHION_5__2[[#This Row],[reviewDate]])</f>
        <v>2017</v>
      </c>
      <c r="E956" s="1" t="str">
        <f>TEXT(AMAZON_FASHION_5__2[[#This Row],[reviewDate]], "mmmm")</f>
        <v>November</v>
      </c>
      <c r="F956" t="s">
        <v>520</v>
      </c>
      <c r="G956" t="s">
        <v>1456</v>
      </c>
      <c r="H956" t="s">
        <v>230</v>
      </c>
      <c r="I956" t="s">
        <v>303</v>
      </c>
      <c r="J956" t="s">
        <v>521</v>
      </c>
      <c r="K956" t="s">
        <v>522</v>
      </c>
      <c r="L956" t="s">
        <v>17</v>
      </c>
      <c r="M956">
        <v>1509580800</v>
      </c>
      <c r="N956" t="s">
        <v>1628</v>
      </c>
      <c r="O956" t="s">
        <v>1628</v>
      </c>
      <c r="P956" t="s">
        <v>1628</v>
      </c>
      <c r="Q956">
        <f>LEN(AMAZON_FASHION_5__2[[#This Row],[reviewText]])</f>
        <v>10</v>
      </c>
      <c r="R956" t="str">
        <f>IF(AMAZON_FASHION_5__2[[#This Row],[overall]]&gt;=4,"Positive",IF(AMAZON_FASHION_5__2[[#This Row],[overall]]&lt;=2,"Negative","Neutral"))</f>
        <v>Positive</v>
      </c>
      <c r="S9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57" spans="1:19" x14ac:dyDescent="0.25">
      <c r="A957">
        <v>4</v>
      </c>
      <c r="B957" t="b">
        <v>1</v>
      </c>
      <c r="C957" s="1">
        <v>43039</v>
      </c>
      <c r="D957">
        <f>YEAR(AMAZON_FASHION_5__2[[#This Row],[reviewDate]])</f>
        <v>2017</v>
      </c>
      <c r="E957" s="1" t="str">
        <f>TEXT(AMAZON_FASHION_5__2[[#This Row],[reviewDate]], "mmmm")</f>
        <v>October</v>
      </c>
      <c r="F957" t="s">
        <v>523</v>
      </c>
      <c r="G957" t="s">
        <v>1456</v>
      </c>
      <c r="H957" t="s">
        <v>201</v>
      </c>
      <c r="I957" t="s">
        <v>524</v>
      </c>
      <c r="J957" t="s">
        <v>525</v>
      </c>
      <c r="K957" t="s">
        <v>526</v>
      </c>
      <c r="L957" t="s">
        <v>527</v>
      </c>
      <c r="M957">
        <v>1509408000</v>
      </c>
      <c r="N957" t="s">
        <v>1628</v>
      </c>
      <c r="O957" t="s">
        <v>1628</v>
      </c>
      <c r="P957" t="s">
        <v>1628</v>
      </c>
      <c r="Q957">
        <f>LEN(AMAZON_FASHION_5__2[[#This Row],[reviewText]])</f>
        <v>152</v>
      </c>
      <c r="R957" t="str">
        <f>IF(AMAZON_FASHION_5__2[[#This Row],[overall]]&gt;=4,"Positive",IF(AMAZON_FASHION_5__2[[#This Row],[overall]]&lt;=2,"Negative","Neutral"))</f>
        <v>Positive</v>
      </c>
      <c r="S9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58" spans="1:19" x14ac:dyDescent="0.25">
      <c r="A958">
        <v>5</v>
      </c>
      <c r="B958" t="b">
        <v>1</v>
      </c>
      <c r="C958" s="1">
        <v>43037</v>
      </c>
      <c r="D958">
        <f>YEAR(AMAZON_FASHION_5__2[[#This Row],[reviewDate]])</f>
        <v>2017</v>
      </c>
      <c r="E958" s="1" t="str">
        <f>TEXT(AMAZON_FASHION_5__2[[#This Row],[reviewDate]], "mmmm")</f>
        <v>October</v>
      </c>
      <c r="F958" t="s">
        <v>528</v>
      </c>
      <c r="G958" t="s">
        <v>1456</v>
      </c>
      <c r="H958" t="s">
        <v>235</v>
      </c>
      <c r="I958" t="s">
        <v>274</v>
      </c>
      <c r="J958" t="s">
        <v>529</v>
      </c>
      <c r="K958" t="s">
        <v>530</v>
      </c>
      <c r="L958" t="s">
        <v>531</v>
      </c>
      <c r="M958">
        <v>1509235200</v>
      </c>
      <c r="N958" t="s">
        <v>1628</v>
      </c>
      <c r="O958" t="s">
        <v>1628</v>
      </c>
      <c r="P958" t="s">
        <v>1628</v>
      </c>
      <c r="Q958">
        <f>LEN(AMAZON_FASHION_5__2[[#This Row],[reviewText]])</f>
        <v>21</v>
      </c>
      <c r="R958" t="str">
        <f>IF(AMAZON_FASHION_5__2[[#This Row],[overall]]&gt;=4,"Positive",IF(AMAZON_FASHION_5__2[[#This Row],[overall]]&lt;=2,"Negative","Neutral"))</f>
        <v>Positive</v>
      </c>
      <c r="S9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59" spans="1:19" x14ac:dyDescent="0.25">
      <c r="A959">
        <v>5</v>
      </c>
      <c r="B959" t="b">
        <v>1</v>
      </c>
      <c r="C959" s="1">
        <v>43034</v>
      </c>
      <c r="D959">
        <f>YEAR(AMAZON_FASHION_5__2[[#This Row],[reviewDate]])</f>
        <v>2017</v>
      </c>
      <c r="E959" s="1" t="str">
        <f>TEXT(AMAZON_FASHION_5__2[[#This Row],[reviewDate]], "mmmm")</f>
        <v>October</v>
      </c>
      <c r="F959" t="s">
        <v>532</v>
      </c>
      <c r="G959" t="s">
        <v>1456</v>
      </c>
      <c r="H959" t="s">
        <v>477</v>
      </c>
      <c r="I959" t="s">
        <v>198</v>
      </c>
      <c r="J959" t="s">
        <v>533</v>
      </c>
      <c r="K959" t="s">
        <v>534</v>
      </c>
      <c r="L959" t="s">
        <v>535</v>
      </c>
      <c r="M959">
        <v>1508976000</v>
      </c>
      <c r="N959" t="s">
        <v>1628</v>
      </c>
      <c r="O959" t="s">
        <v>1628</v>
      </c>
      <c r="P959" t="s">
        <v>1628</v>
      </c>
      <c r="Q959">
        <f>LEN(AMAZON_FASHION_5__2[[#This Row],[reviewText]])</f>
        <v>185</v>
      </c>
      <c r="R959" t="str">
        <f>IF(AMAZON_FASHION_5__2[[#This Row],[overall]]&gt;=4,"Positive",IF(AMAZON_FASHION_5__2[[#This Row],[overall]]&lt;=2,"Negative","Neutral"))</f>
        <v>Positive</v>
      </c>
      <c r="S9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60" spans="1:19" x14ac:dyDescent="0.25">
      <c r="A960">
        <v>5</v>
      </c>
      <c r="B960" t="b">
        <v>1</v>
      </c>
      <c r="C960" s="1">
        <v>43034</v>
      </c>
      <c r="D960">
        <f>YEAR(AMAZON_FASHION_5__2[[#This Row],[reviewDate]])</f>
        <v>2017</v>
      </c>
      <c r="E960" s="1" t="str">
        <f>TEXT(AMAZON_FASHION_5__2[[#This Row],[reviewDate]], "mmmm")</f>
        <v>October</v>
      </c>
      <c r="F960" t="s">
        <v>536</v>
      </c>
      <c r="G960" t="s">
        <v>1456</v>
      </c>
      <c r="H960" t="s">
        <v>197</v>
      </c>
      <c r="I960" t="s">
        <v>303</v>
      </c>
      <c r="J960" t="s">
        <v>537</v>
      </c>
      <c r="K960" t="s">
        <v>538</v>
      </c>
      <c r="L960" t="s">
        <v>539</v>
      </c>
      <c r="M960">
        <v>1508976000</v>
      </c>
      <c r="N960" t="s">
        <v>1628</v>
      </c>
      <c r="O960" t="s">
        <v>1628</v>
      </c>
      <c r="P960" t="s">
        <v>1628</v>
      </c>
      <c r="Q960">
        <f>LEN(AMAZON_FASHION_5__2[[#This Row],[reviewText]])</f>
        <v>351</v>
      </c>
      <c r="R960" t="str">
        <f>IF(AMAZON_FASHION_5__2[[#This Row],[overall]]&gt;=4,"Positive",IF(AMAZON_FASHION_5__2[[#This Row],[overall]]&lt;=2,"Negative","Neutral"))</f>
        <v>Positive</v>
      </c>
      <c r="S9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61" spans="1:19" x14ac:dyDescent="0.25">
      <c r="A961">
        <v>5</v>
      </c>
      <c r="B961" t="b">
        <v>1</v>
      </c>
      <c r="C961" s="1">
        <v>43033</v>
      </c>
      <c r="D961">
        <f>YEAR(AMAZON_FASHION_5__2[[#This Row],[reviewDate]])</f>
        <v>2017</v>
      </c>
      <c r="E961" s="1" t="str">
        <f>TEXT(AMAZON_FASHION_5__2[[#This Row],[reviewDate]], "mmmm")</f>
        <v>October</v>
      </c>
      <c r="F961" t="s">
        <v>540</v>
      </c>
      <c r="G961" t="s">
        <v>1456</v>
      </c>
      <c r="H961" t="s">
        <v>230</v>
      </c>
      <c r="I961" t="s">
        <v>541</v>
      </c>
      <c r="J961" t="s">
        <v>542</v>
      </c>
      <c r="K961" t="s">
        <v>543</v>
      </c>
      <c r="L961" t="s">
        <v>17</v>
      </c>
      <c r="M961">
        <v>1508889600</v>
      </c>
      <c r="N961" t="s">
        <v>1628</v>
      </c>
      <c r="O961" t="s">
        <v>1628</v>
      </c>
      <c r="P961" t="s">
        <v>1628</v>
      </c>
      <c r="Q961">
        <f>LEN(AMAZON_FASHION_5__2[[#This Row],[reviewText]])</f>
        <v>11</v>
      </c>
      <c r="R961" t="str">
        <f>IF(AMAZON_FASHION_5__2[[#This Row],[overall]]&gt;=4,"Positive",IF(AMAZON_FASHION_5__2[[#This Row],[overall]]&lt;=2,"Negative","Neutral"))</f>
        <v>Positive</v>
      </c>
      <c r="S9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62" spans="1:19" x14ac:dyDescent="0.25">
      <c r="A962">
        <v>5</v>
      </c>
      <c r="B962" t="b">
        <v>1</v>
      </c>
      <c r="C962" s="1">
        <v>43032</v>
      </c>
      <c r="D962">
        <f>YEAR(AMAZON_FASHION_5__2[[#This Row],[reviewDate]])</f>
        <v>2017</v>
      </c>
      <c r="E962" s="1" t="str">
        <f>TEXT(AMAZON_FASHION_5__2[[#This Row],[reviewDate]], "mmmm")</f>
        <v>October</v>
      </c>
      <c r="F962" t="s">
        <v>544</v>
      </c>
      <c r="G962" t="s">
        <v>1456</v>
      </c>
      <c r="H962" t="s">
        <v>201</v>
      </c>
      <c r="I962" t="s">
        <v>507</v>
      </c>
      <c r="J962" t="s">
        <v>545</v>
      </c>
      <c r="K962" t="s">
        <v>546</v>
      </c>
      <c r="L962" t="s">
        <v>17</v>
      </c>
      <c r="M962">
        <v>1508803200</v>
      </c>
      <c r="N962" t="s">
        <v>1628</v>
      </c>
      <c r="O962" t="s">
        <v>1628</v>
      </c>
      <c r="P962" t="s">
        <v>1628</v>
      </c>
      <c r="Q962">
        <f>LEN(AMAZON_FASHION_5__2[[#This Row],[reviewText]])</f>
        <v>35</v>
      </c>
      <c r="R962" t="str">
        <f>IF(AMAZON_FASHION_5__2[[#This Row],[overall]]&gt;=4,"Positive",IF(AMAZON_FASHION_5__2[[#This Row],[overall]]&lt;=2,"Negative","Neutral"))</f>
        <v>Positive</v>
      </c>
      <c r="S9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63" spans="1:19" x14ac:dyDescent="0.25">
      <c r="A963">
        <v>5</v>
      </c>
      <c r="B963" t="b">
        <v>1</v>
      </c>
      <c r="C963" s="1">
        <v>43030</v>
      </c>
      <c r="D963">
        <f>YEAR(AMAZON_FASHION_5__2[[#This Row],[reviewDate]])</f>
        <v>2017</v>
      </c>
      <c r="E963" s="1" t="str">
        <f>TEXT(AMAZON_FASHION_5__2[[#This Row],[reviewDate]], "mmmm")</f>
        <v>October</v>
      </c>
      <c r="F963" t="s">
        <v>547</v>
      </c>
      <c r="G963" t="s">
        <v>1456</v>
      </c>
      <c r="H963" t="s">
        <v>230</v>
      </c>
      <c r="I963" t="s">
        <v>548</v>
      </c>
      <c r="J963" t="s">
        <v>549</v>
      </c>
      <c r="K963" t="s">
        <v>550</v>
      </c>
      <c r="L963" t="s">
        <v>17</v>
      </c>
      <c r="M963">
        <v>1508630400</v>
      </c>
      <c r="N963" t="s">
        <v>1628</v>
      </c>
      <c r="O963" t="s">
        <v>1628</v>
      </c>
      <c r="P963" t="s">
        <v>1628</v>
      </c>
      <c r="Q963">
        <f>LEN(AMAZON_FASHION_5__2[[#This Row],[reviewText]])</f>
        <v>14</v>
      </c>
      <c r="R963" t="str">
        <f>IF(AMAZON_FASHION_5__2[[#This Row],[overall]]&gt;=4,"Positive",IF(AMAZON_FASHION_5__2[[#This Row],[overall]]&lt;=2,"Negative","Neutral"))</f>
        <v>Positive</v>
      </c>
      <c r="S9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64" spans="1:19" x14ac:dyDescent="0.25">
      <c r="A964">
        <v>3</v>
      </c>
      <c r="B964" t="b">
        <v>1</v>
      </c>
      <c r="C964" s="1">
        <v>43026</v>
      </c>
      <c r="D964">
        <f>YEAR(AMAZON_FASHION_5__2[[#This Row],[reviewDate]])</f>
        <v>2017</v>
      </c>
      <c r="E964" s="1" t="str">
        <f>TEXT(AMAZON_FASHION_5__2[[#This Row],[reviewDate]], "mmmm")</f>
        <v>October</v>
      </c>
      <c r="F964" t="s">
        <v>551</v>
      </c>
      <c r="G964" t="s">
        <v>1456</v>
      </c>
      <c r="H964" t="s">
        <v>210</v>
      </c>
      <c r="I964" t="s">
        <v>274</v>
      </c>
      <c r="J964" t="s">
        <v>552</v>
      </c>
      <c r="K964" t="s">
        <v>553</v>
      </c>
      <c r="L964" t="s">
        <v>554</v>
      </c>
      <c r="M964">
        <v>1508284800</v>
      </c>
      <c r="N964" t="s">
        <v>1628</v>
      </c>
      <c r="O964" t="s">
        <v>1628</v>
      </c>
      <c r="P964" t="s">
        <v>1628</v>
      </c>
      <c r="Q964">
        <f>LEN(AMAZON_FASHION_5__2[[#This Row],[reviewText]])</f>
        <v>201</v>
      </c>
      <c r="R964" t="str">
        <f>IF(AMAZON_FASHION_5__2[[#This Row],[overall]]&gt;=4,"Positive",IF(AMAZON_FASHION_5__2[[#This Row],[overall]]&lt;=2,"Negative","Neutral"))</f>
        <v>Neutral</v>
      </c>
      <c r="S9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65" spans="1:19" x14ac:dyDescent="0.25">
      <c r="A965">
        <v>5</v>
      </c>
      <c r="B965" t="b">
        <v>1</v>
      </c>
      <c r="C965" s="1">
        <v>43021</v>
      </c>
      <c r="D965">
        <f>YEAR(AMAZON_FASHION_5__2[[#This Row],[reviewDate]])</f>
        <v>2017</v>
      </c>
      <c r="E965" s="1" t="str">
        <f>TEXT(AMAZON_FASHION_5__2[[#This Row],[reviewDate]], "mmmm")</f>
        <v>October</v>
      </c>
      <c r="F965" t="s">
        <v>555</v>
      </c>
      <c r="G965" t="s">
        <v>1456</v>
      </c>
      <c r="H965" t="s">
        <v>201</v>
      </c>
      <c r="I965" t="s">
        <v>303</v>
      </c>
      <c r="J965" t="s">
        <v>63</v>
      </c>
      <c r="K965" t="s">
        <v>556</v>
      </c>
      <c r="L965" t="s">
        <v>17</v>
      </c>
      <c r="M965">
        <v>1507852800</v>
      </c>
      <c r="N965" t="s">
        <v>1628</v>
      </c>
      <c r="O965" t="s">
        <v>1628</v>
      </c>
      <c r="P965" t="s">
        <v>1628</v>
      </c>
      <c r="Q965">
        <f>LEN(AMAZON_FASHION_5__2[[#This Row],[reviewText]])</f>
        <v>25</v>
      </c>
      <c r="R965" t="str">
        <f>IF(AMAZON_FASHION_5__2[[#This Row],[overall]]&gt;=4,"Positive",IF(AMAZON_FASHION_5__2[[#This Row],[overall]]&lt;=2,"Negative","Neutral"))</f>
        <v>Positive</v>
      </c>
      <c r="S9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66" spans="1:19" x14ac:dyDescent="0.25">
      <c r="A966">
        <v>3</v>
      </c>
      <c r="B966" t="b">
        <v>1</v>
      </c>
      <c r="C966" s="1">
        <v>43018</v>
      </c>
      <c r="D966">
        <f>YEAR(AMAZON_FASHION_5__2[[#This Row],[reviewDate]])</f>
        <v>2017</v>
      </c>
      <c r="E966" s="1" t="str">
        <f>TEXT(AMAZON_FASHION_5__2[[#This Row],[reviewDate]], "mmmm")</f>
        <v>October</v>
      </c>
      <c r="F966" t="s">
        <v>557</v>
      </c>
      <c r="G966" t="s">
        <v>1456</v>
      </c>
      <c r="H966" t="s">
        <v>558</v>
      </c>
      <c r="I966" t="s">
        <v>198</v>
      </c>
      <c r="J966" t="s">
        <v>559</v>
      </c>
      <c r="K966" t="s">
        <v>560</v>
      </c>
      <c r="L966" t="s">
        <v>561</v>
      </c>
      <c r="M966">
        <v>1507593600</v>
      </c>
      <c r="N966" t="s">
        <v>1628</v>
      </c>
      <c r="O966" t="s">
        <v>1628</v>
      </c>
      <c r="P966" t="s">
        <v>1628</v>
      </c>
      <c r="Q966">
        <f>LEN(AMAZON_FASHION_5__2[[#This Row],[reviewText]])</f>
        <v>192</v>
      </c>
      <c r="R966" t="str">
        <f>IF(AMAZON_FASHION_5__2[[#This Row],[overall]]&gt;=4,"Positive",IF(AMAZON_FASHION_5__2[[#This Row],[overall]]&lt;=2,"Negative","Neutral"))</f>
        <v>Neutral</v>
      </c>
      <c r="S9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67" spans="1:19" x14ac:dyDescent="0.25">
      <c r="A967">
        <v>5</v>
      </c>
      <c r="B967" t="b">
        <v>1</v>
      </c>
      <c r="C967" s="1">
        <v>43011</v>
      </c>
      <c r="D967">
        <f>YEAR(AMAZON_FASHION_5__2[[#This Row],[reviewDate]])</f>
        <v>2017</v>
      </c>
      <c r="E967" s="1" t="str">
        <f>TEXT(AMAZON_FASHION_5__2[[#This Row],[reviewDate]], "mmmm")</f>
        <v>October</v>
      </c>
      <c r="F967" t="s">
        <v>562</v>
      </c>
      <c r="G967" t="s">
        <v>1456</v>
      </c>
      <c r="H967" t="s">
        <v>261</v>
      </c>
      <c r="I967" t="s">
        <v>99</v>
      </c>
      <c r="J967" t="s">
        <v>563</v>
      </c>
      <c r="K967" t="s">
        <v>564</v>
      </c>
      <c r="L967" t="s">
        <v>565</v>
      </c>
      <c r="M967">
        <v>1506988800</v>
      </c>
      <c r="N967" t="s">
        <v>1628</v>
      </c>
      <c r="O967" t="s">
        <v>1628</v>
      </c>
      <c r="P967" t="s">
        <v>1628</v>
      </c>
      <c r="Q967">
        <f>LEN(AMAZON_FASHION_5__2[[#This Row],[reviewText]])</f>
        <v>230</v>
      </c>
      <c r="R967" t="str">
        <f>IF(AMAZON_FASHION_5__2[[#This Row],[overall]]&gt;=4,"Positive",IF(AMAZON_FASHION_5__2[[#This Row],[overall]]&lt;=2,"Negative","Neutral"))</f>
        <v>Positive</v>
      </c>
      <c r="S9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68" spans="1:19" x14ac:dyDescent="0.25">
      <c r="A968">
        <v>5</v>
      </c>
      <c r="B968" t="b">
        <v>1</v>
      </c>
      <c r="C968" s="1">
        <v>43010</v>
      </c>
      <c r="D968">
        <f>YEAR(AMAZON_FASHION_5__2[[#This Row],[reviewDate]])</f>
        <v>2017</v>
      </c>
      <c r="E968" s="1" t="str">
        <f>TEXT(AMAZON_FASHION_5__2[[#This Row],[reviewDate]], "mmmm")</f>
        <v>October</v>
      </c>
      <c r="F968" t="s">
        <v>566</v>
      </c>
      <c r="G968" t="s">
        <v>1456</v>
      </c>
      <c r="H968" t="s">
        <v>201</v>
      </c>
      <c r="I968" t="s">
        <v>303</v>
      </c>
      <c r="J968" t="s">
        <v>63</v>
      </c>
      <c r="K968" t="s">
        <v>567</v>
      </c>
      <c r="L968" t="s">
        <v>568</v>
      </c>
      <c r="M968">
        <v>1506902400</v>
      </c>
      <c r="N968" t="s">
        <v>1628</v>
      </c>
      <c r="O968" t="s">
        <v>1628</v>
      </c>
      <c r="P968" t="s">
        <v>1628</v>
      </c>
      <c r="Q968">
        <f>LEN(AMAZON_FASHION_5__2[[#This Row],[reviewText]])</f>
        <v>171</v>
      </c>
      <c r="R968" t="str">
        <f>IF(AMAZON_FASHION_5__2[[#This Row],[overall]]&gt;=4,"Positive",IF(AMAZON_FASHION_5__2[[#This Row],[overall]]&lt;=2,"Negative","Neutral"))</f>
        <v>Positive</v>
      </c>
      <c r="S9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69" spans="1:19" x14ac:dyDescent="0.25">
      <c r="A969">
        <v>5</v>
      </c>
      <c r="B969" t="b">
        <v>1</v>
      </c>
      <c r="C969" s="1">
        <v>43005</v>
      </c>
      <c r="D969">
        <f>YEAR(AMAZON_FASHION_5__2[[#This Row],[reviewDate]])</f>
        <v>2017</v>
      </c>
      <c r="E969" s="1" t="str">
        <f>TEXT(AMAZON_FASHION_5__2[[#This Row],[reviewDate]], "mmmm")</f>
        <v>September</v>
      </c>
      <c r="F969" t="s">
        <v>569</v>
      </c>
      <c r="G969" t="s">
        <v>1456</v>
      </c>
      <c r="H969" t="s">
        <v>210</v>
      </c>
      <c r="I969" t="s">
        <v>99</v>
      </c>
      <c r="J969" t="s">
        <v>570</v>
      </c>
      <c r="K969" t="s">
        <v>571</v>
      </c>
      <c r="L969" t="s">
        <v>17</v>
      </c>
      <c r="M969">
        <v>1506470400</v>
      </c>
      <c r="N969" t="s">
        <v>1628</v>
      </c>
      <c r="O969" t="s">
        <v>1628</v>
      </c>
      <c r="P969" t="s">
        <v>1628</v>
      </c>
      <c r="Q969">
        <f>LEN(AMAZON_FASHION_5__2[[#This Row],[reviewText]])</f>
        <v>12</v>
      </c>
      <c r="R969" t="str">
        <f>IF(AMAZON_FASHION_5__2[[#This Row],[overall]]&gt;=4,"Positive",IF(AMAZON_FASHION_5__2[[#This Row],[overall]]&lt;=2,"Negative","Neutral"))</f>
        <v>Positive</v>
      </c>
      <c r="S9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70" spans="1:19" x14ac:dyDescent="0.25">
      <c r="A970">
        <v>5</v>
      </c>
      <c r="B970" t="b">
        <v>1</v>
      </c>
      <c r="C970" s="1">
        <v>43005</v>
      </c>
      <c r="D970">
        <f>YEAR(AMAZON_FASHION_5__2[[#This Row],[reviewDate]])</f>
        <v>2017</v>
      </c>
      <c r="E970" s="1" t="str">
        <f>TEXT(AMAZON_FASHION_5__2[[#This Row],[reviewDate]], "mmmm")</f>
        <v>September</v>
      </c>
      <c r="F970" t="s">
        <v>572</v>
      </c>
      <c r="G970" t="s">
        <v>1456</v>
      </c>
      <c r="H970" t="s">
        <v>573</v>
      </c>
      <c r="I970" t="s">
        <v>574</v>
      </c>
      <c r="J970" t="s">
        <v>575</v>
      </c>
      <c r="K970" t="s">
        <v>576</v>
      </c>
      <c r="L970" t="s">
        <v>577</v>
      </c>
      <c r="M970">
        <v>1506470400</v>
      </c>
      <c r="N970" t="s">
        <v>1628</v>
      </c>
      <c r="O970" t="s">
        <v>1628</v>
      </c>
      <c r="P970" t="s">
        <v>1628</v>
      </c>
      <c r="Q970">
        <f>LEN(AMAZON_FASHION_5__2[[#This Row],[reviewText]])</f>
        <v>70</v>
      </c>
      <c r="R970" t="str">
        <f>IF(AMAZON_FASHION_5__2[[#This Row],[overall]]&gt;=4,"Positive",IF(AMAZON_FASHION_5__2[[#This Row],[overall]]&lt;=2,"Negative","Neutral"))</f>
        <v>Positive</v>
      </c>
      <c r="S9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71" spans="1:19" x14ac:dyDescent="0.25">
      <c r="A971">
        <v>5</v>
      </c>
      <c r="B971" t="b">
        <v>1</v>
      </c>
      <c r="C971" s="1">
        <v>43004</v>
      </c>
      <c r="D971">
        <f>YEAR(AMAZON_FASHION_5__2[[#This Row],[reviewDate]])</f>
        <v>2017</v>
      </c>
      <c r="E971" s="1" t="str">
        <f>TEXT(AMAZON_FASHION_5__2[[#This Row],[reviewDate]], "mmmm")</f>
        <v>September</v>
      </c>
      <c r="F971" t="s">
        <v>578</v>
      </c>
      <c r="G971" t="s">
        <v>1456</v>
      </c>
      <c r="H971" t="s">
        <v>205</v>
      </c>
      <c r="I971" t="s">
        <v>198</v>
      </c>
      <c r="J971" t="s">
        <v>579</v>
      </c>
      <c r="K971" t="s">
        <v>580</v>
      </c>
      <c r="L971" t="s">
        <v>17</v>
      </c>
      <c r="M971">
        <v>1506384000</v>
      </c>
      <c r="N971" t="s">
        <v>1628</v>
      </c>
      <c r="O971" t="s">
        <v>1628</v>
      </c>
      <c r="P971" t="s">
        <v>1628</v>
      </c>
      <c r="Q971">
        <f>LEN(AMAZON_FASHION_5__2[[#This Row],[reviewText]])</f>
        <v>9</v>
      </c>
      <c r="R971" t="str">
        <f>IF(AMAZON_FASHION_5__2[[#This Row],[overall]]&gt;=4,"Positive",IF(AMAZON_FASHION_5__2[[#This Row],[overall]]&lt;=2,"Negative","Neutral"))</f>
        <v>Positive</v>
      </c>
      <c r="S9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72" spans="1:19" x14ac:dyDescent="0.25">
      <c r="A972">
        <v>5</v>
      </c>
      <c r="B972" t="b">
        <v>1</v>
      </c>
      <c r="C972" s="1">
        <v>43003</v>
      </c>
      <c r="D972">
        <f>YEAR(AMAZON_FASHION_5__2[[#This Row],[reviewDate]])</f>
        <v>2017</v>
      </c>
      <c r="E972" s="1" t="str">
        <f>TEXT(AMAZON_FASHION_5__2[[#This Row],[reviewDate]], "mmmm")</f>
        <v>September</v>
      </c>
      <c r="F972" t="s">
        <v>581</v>
      </c>
      <c r="G972" t="s">
        <v>1456</v>
      </c>
      <c r="H972" t="s">
        <v>235</v>
      </c>
      <c r="I972" t="s">
        <v>198</v>
      </c>
      <c r="J972" t="s">
        <v>582</v>
      </c>
      <c r="K972" t="s">
        <v>583</v>
      </c>
      <c r="L972" t="s">
        <v>17</v>
      </c>
      <c r="M972">
        <v>1506297600</v>
      </c>
      <c r="N972" t="s">
        <v>1628</v>
      </c>
      <c r="O972" t="s">
        <v>1628</v>
      </c>
      <c r="P972" t="s">
        <v>1628</v>
      </c>
      <c r="Q972">
        <f>LEN(AMAZON_FASHION_5__2[[#This Row],[reviewText]])</f>
        <v>50</v>
      </c>
      <c r="R972" t="str">
        <f>IF(AMAZON_FASHION_5__2[[#This Row],[overall]]&gt;=4,"Positive",IF(AMAZON_FASHION_5__2[[#This Row],[overall]]&lt;=2,"Negative","Neutral"))</f>
        <v>Positive</v>
      </c>
      <c r="S9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73" spans="1:19" x14ac:dyDescent="0.25">
      <c r="A973">
        <v>5</v>
      </c>
      <c r="B973" t="b">
        <v>1</v>
      </c>
      <c r="C973" s="1">
        <v>42998</v>
      </c>
      <c r="D973">
        <f>YEAR(AMAZON_FASHION_5__2[[#This Row],[reviewDate]])</f>
        <v>2017</v>
      </c>
      <c r="E973" s="1" t="str">
        <f>TEXT(AMAZON_FASHION_5__2[[#This Row],[reviewDate]], "mmmm")</f>
        <v>September</v>
      </c>
      <c r="F973" t="s">
        <v>584</v>
      </c>
      <c r="G973" t="s">
        <v>1456</v>
      </c>
      <c r="H973" t="s">
        <v>235</v>
      </c>
      <c r="I973" t="s">
        <v>99</v>
      </c>
      <c r="J973" t="s">
        <v>63</v>
      </c>
      <c r="K973" t="s">
        <v>585</v>
      </c>
      <c r="L973" t="s">
        <v>586</v>
      </c>
      <c r="M973">
        <v>1505865600</v>
      </c>
      <c r="N973" t="s">
        <v>1628</v>
      </c>
      <c r="O973" t="s">
        <v>1628</v>
      </c>
      <c r="P973" t="s">
        <v>1628</v>
      </c>
      <c r="Q973">
        <f>LEN(AMAZON_FASHION_5__2[[#This Row],[reviewText]])</f>
        <v>370</v>
      </c>
      <c r="R973" t="str">
        <f>IF(AMAZON_FASHION_5__2[[#This Row],[overall]]&gt;=4,"Positive",IF(AMAZON_FASHION_5__2[[#This Row],[overall]]&lt;=2,"Negative","Neutral"))</f>
        <v>Positive</v>
      </c>
      <c r="S9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74" spans="1:19" x14ac:dyDescent="0.25">
      <c r="A974">
        <v>5</v>
      </c>
      <c r="B974" t="b">
        <v>1</v>
      </c>
      <c r="C974" s="1">
        <v>42996</v>
      </c>
      <c r="D974">
        <f>YEAR(AMAZON_FASHION_5__2[[#This Row],[reviewDate]])</f>
        <v>2017</v>
      </c>
      <c r="E974" s="1" t="str">
        <f>TEXT(AMAZON_FASHION_5__2[[#This Row],[reviewDate]], "mmmm")</f>
        <v>September</v>
      </c>
      <c r="F974" t="s">
        <v>587</v>
      </c>
      <c r="G974" t="s">
        <v>1456</v>
      </c>
      <c r="H974" t="s">
        <v>230</v>
      </c>
      <c r="I974" t="s">
        <v>198</v>
      </c>
      <c r="J974" t="s">
        <v>588</v>
      </c>
      <c r="K974" t="s">
        <v>589</v>
      </c>
      <c r="L974" t="s">
        <v>590</v>
      </c>
      <c r="M974">
        <v>1505692800</v>
      </c>
      <c r="N974" t="s">
        <v>1628</v>
      </c>
      <c r="O974" t="s">
        <v>1628</v>
      </c>
      <c r="P974" t="s">
        <v>1628</v>
      </c>
      <c r="Q974">
        <f>LEN(AMAZON_FASHION_5__2[[#This Row],[reviewText]])</f>
        <v>49</v>
      </c>
      <c r="R974" t="str">
        <f>IF(AMAZON_FASHION_5__2[[#This Row],[overall]]&gt;=4,"Positive",IF(AMAZON_FASHION_5__2[[#This Row],[overall]]&lt;=2,"Negative","Neutral"))</f>
        <v>Positive</v>
      </c>
      <c r="S9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75" spans="1:19" x14ac:dyDescent="0.25">
      <c r="A975">
        <v>5</v>
      </c>
      <c r="B975" t="b">
        <v>1</v>
      </c>
      <c r="C975" s="1">
        <v>42994</v>
      </c>
      <c r="D975">
        <f>YEAR(AMAZON_FASHION_5__2[[#This Row],[reviewDate]])</f>
        <v>2017</v>
      </c>
      <c r="E975" s="1" t="str">
        <f>TEXT(AMAZON_FASHION_5__2[[#This Row],[reviewDate]], "mmmm")</f>
        <v>September</v>
      </c>
      <c r="F975" t="s">
        <v>591</v>
      </c>
      <c r="G975" t="s">
        <v>1456</v>
      </c>
      <c r="H975" t="s">
        <v>235</v>
      </c>
      <c r="I975" t="s">
        <v>507</v>
      </c>
      <c r="J975" t="s">
        <v>63</v>
      </c>
      <c r="K975" t="s">
        <v>592</v>
      </c>
      <c r="L975" t="s">
        <v>593</v>
      </c>
      <c r="M975">
        <v>1505520000</v>
      </c>
      <c r="N975" t="s">
        <v>1628</v>
      </c>
      <c r="O975" t="s">
        <v>1628</v>
      </c>
      <c r="P975" t="s">
        <v>1628</v>
      </c>
      <c r="Q975">
        <f>LEN(AMAZON_FASHION_5__2[[#This Row],[reviewText]])</f>
        <v>40</v>
      </c>
      <c r="R975" t="str">
        <f>IF(AMAZON_FASHION_5__2[[#This Row],[overall]]&gt;=4,"Positive",IF(AMAZON_FASHION_5__2[[#This Row],[overall]]&lt;=2,"Negative","Neutral"))</f>
        <v>Positive</v>
      </c>
      <c r="S9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76" spans="1:19" x14ac:dyDescent="0.25">
      <c r="A976">
        <v>5</v>
      </c>
      <c r="B976" t="b">
        <v>1</v>
      </c>
      <c r="C976" s="1">
        <v>42992</v>
      </c>
      <c r="D976">
        <f>YEAR(AMAZON_FASHION_5__2[[#This Row],[reviewDate]])</f>
        <v>2017</v>
      </c>
      <c r="E976" s="1" t="str">
        <f>TEXT(AMAZON_FASHION_5__2[[#This Row],[reviewDate]], "mmmm")</f>
        <v>September</v>
      </c>
      <c r="F976" t="s">
        <v>594</v>
      </c>
      <c r="G976" t="s">
        <v>1456</v>
      </c>
      <c r="H976" t="s">
        <v>201</v>
      </c>
      <c r="I976" t="s">
        <v>524</v>
      </c>
      <c r="J976" t="s">
        <v>595</v>
      </c>
      <c r="K976" t="s">
        <v>596</v>
      </c>
      <c r="L976" t="s">
        <v>597</v>
      </c>
      <c r="M976">
        <v>1505347200</v>
      </c>
      <c r="N976" t="s">
        <v>1628</v>
      </c>
      <c r="O976" t="s">
        <v>1628</v>
      </c>
      <c r="P976" t="s">
        <v>1628</v>
      </c>
      <c r="Q976">
        <f>LEN(AMAZON_FASHION_5__2[[#This Row],[reviewText]])</f>
        <v>23</v>
      </c>
      <c r="R976" t="str">
        <f>IF(AMAZON_FASHION_5__2[[#This Row],[overall]]&gt;=4,"Positive",IF(AMAZON_FASHION_5__2[[#This Row],[overall]]&lt;=2,"Negative","Neutral"))</f>
        <v>Positive</v>
      </c>
      <c r="S9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77" spans="1:19" x14ac:dyDescent="0.25">
      <c r="A977">
        <v>5</v>
      </c>
      <c r="B977" t="b">
        <v>1</v>
      </c>
      <c r="C977" s="1">
        <v>42991</v>
      </c>
      <c r="D977">
        <f>YEAR(AMAZON_FASHION_5__2[[#This Row],[reviewDate]])</f>
        <v>2017</v>
      </c>
      <c r="E977" s="1" t="str">
        <f>TEXT(AMAZON_FASHION_5__2[[#This Row],[reviewDate]], "mmmm")</f>
        <v>September</v>
      </c>
      <c r="F977" t="s">
        <v>598</v>
      </c>
      <c r="G977" t="s">
        <v>1456</v>
      </c>
      <c r="H977" t="s">
        <v>230</v>
      </c>
      <c r="I977" t="s">
        <v>599</v>
      </c>
      <c r="J977" t="s">
        <v>600</v>
      </c>
      <c r="K977" t="s">
        <v>601</v>
      </c>
      <c r="L977" t="s">
        <v>17</v>
      </c>
      <c r="M977">
        <v>1505260800</v>
      </c>
      <c r="N977" t="s">
        <v>1628</v>
      </c>
      <c r="O977" t="s">
        <v>1628</v>
      </c>
      <c r="P977" t="s">
        <v>1628</v>
      </c>
      <c r="Q977">
        <f>LEN(AMAZON_FASHION_5__2[[#This Row],[reviewText]])</f>
        <v>28</v>
      </c>
      <c r="R977" t="str">
        <f>IF(AMAZON_FASHION_5__2[[#This Row],[overall]]&gt;=4,"Positive",IF(AMAZON_FASHION_5__2[[#This Row],[overall]]&lt;=2,"Negative","Neutral"))</f>
        <v>Positive</v>
      </c>
      <c r="S9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78" spans="1:19" x14ac:dyDescent="0.25">
      <c r="A978">
        <v>5</v>
      </c>
      <c r="B978" t="b">
        <v>1</v>
      </c>
      <c r="C978" s="1">
        <v>42988</v>
      </c>
      <c r="D978">
        <f>YEAR(AMAZON_FASHION_5__2[[#This Row],[reviewDate]])</f>
        <v>2017</v>
      </c>
      <c r="E978" s="1" t="str">
        <f>TEXT(AMAZON_FASHION_5__2[[#This Row],[reviewDate]], "mmmm")</f>
        <v>September</v>
      </c>
      <c r="F978" t="s">
        <v>602</v>
      </c>
      <c r="G978" t="s">
        <v>1456</v>
      </c>
      <c r="H978" t="s">
        <v>210</v>
      </c>
      <c r="I978" t="s">
        <v>274</v>
      </c>
      <c r="J978" t="s">
        <v>63</v>
      </c>
      <c r="K978" t="s">
        <v>603</v>
      </c>
      <c r="L978" t="s">
        <v>17</v>
      </c>
      <c r="M978">
        <v>1505001600</v>
      </c>
      <c r="N978" t="s">
        <v>1628</v>
      </c>
      <c r="O978" t="s">
        <v>1628</v>
      </c>
      <c r="P978" t="s">
        <v>1628</v>
      </c>
      <c r="Q978">
        <f>LEN(AMAZON_FASHION_5__2[[#This Row],[reviewText]])</f>
        <v>48</v>
      </c>
      <c r="R978" t="str">
        <f>IF(AMAZON_FASHION_5__2[[#This Row],[overall]]&gt;=4,"Positive",IF(AMAZON_FASHION_5__2[[#This Row],[overall]]&lt;=2,"Negative","Neutral"))</f>
        <v>Positive</v>
      </c>
      <c r="S9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79" spans="1:19" x14ac:dyDescent="0.25">
      <c r="A979">
        <v>5</v>
      </c>
      <c r="B979" t="b">
        <v>1</v>
      </c>
      <c r="C979" s="1">
        <v>42985</v>
      </c>
      <c r="D979">
        <f>YEAR(AMAZON_FASHION_5__2[[#This Row],[reviewDate]])</f>
        <v>2017</v>
      </c>
      <c r="E979" s="1" t="str">
        <f>TEXT(AMAZON_FASHION_5__2[[#This Row],[reviewDate]], "mmmm")</f>
        <v>September</v>
      </c>
      <c r="F979" t="s">
        <v>604</v>
      </c>
      <c r="G979" t="s">
        <v>1456</v>
      </c>
      <c r="H979" t="s">
        <v>230</v>
      </c>
      <c r="I979" t="s">
        <v>507</v>
      </c>
      <c r="J979" t="s">
        <v>605</v>
      </c>
      <c r="K979" t="s">
        <v>606</v>
      </c>
      <c r="L979" t="s">
        <v>607</v>
      </c>
      <c r="M979">
        <v>1504742400</v>
      </c>
      <c r="N979" t="s">
        <v>1628</v>
      </c>
      <c r="O979" t="s">
        <v>1628</v>
      </c>
      <c r="P979" t="s">
        <v>1628</v>
      </c>
      <c r="Q979">
        <f>LEN(AMAZON_FASHION_5__2[[#This Row],[reviewText]])</f>
        <v>119</v>
      </c>
      <c r="R979" t="str">
        <f>IF(AMAZON_FASHION_5__2[[#This Row],[overall]]&gt;=4,"Positive",IF(AMAZON_FASHION_5__2[[#This Row],[overall]]&lt;=2,"Negative","Neutral"))</f>
        <v>Positive</v>
      </c>
      <c r="S9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80" spans="1:19" x14ac:dyDescent="0.25">
      <c r="A980">
        <v>5</v>
      </c>
      <c r="B980" t="b">
        <v>1</v>
      </c>
      <c r="C980" s="1">
        <v>42983</v>
      </c>
      <c r="D980">
        <f>YEAR(AMAZON_FASHION_5__2[[#This Row],[reviewDate]])</f>
        <v>2017</v>
      </c>
      <c r="E980" s="1" t="str">
        <f>TEXT(AMAZON_FASHION_5__2[[#This Row],[reviewDate]], "mmmm")</f>
        <v>September</v>
      </c>
      <c r="F980" t="s">
        <v>608</v>
      </c>
      <c r="G980" t="s">
        <v>1456</v>
      </c>
      <c r="H980" t="s">
        <v>235</v>
      </c>
      <c r="I980" t="s">
        <v>274</v>
      </c>
      <c r="J980" t="s">
        <v>609</v>
      </c>
      <c r="K980" t="s">
        <v>610</v>
      </c>
      <c r="L980" t="s">
        <v>17</v>
      </c>
      <c r="M980">
        <v>1504569600</v>
      </c>
      <c r="N980" t="s">
        <v>1628</v>
      </c>
      <c r="O980" t="s">
        <v>1628</v>
      </c>
      <c r="P980" t="s">
        <v>1628</v>
      </c>
      <c r="Q980">
        <f>LEN(AMAZON_FASHION_5__2[[#This Row],[reviewText]])</f>
        <v>16</v>
      </c>
      <c r="R980" t="str">
        <f>IF(AMAZON_FASHION_5__2[[#This Row],[overall]]&gt;=4,"Positive",IF(AMAZON_FASHION_5__2[[#This Row],[overall]]&lt;=2,"Negative","Neutral"))</f>
        <v>Positive</v>
      </c>
      <c r="S9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81" spans="1:19" x14ac:dyDescent="0.25">
      <c r="A981">
        <v>5</v>
      </c>
      <c r="B981" t="b">
        <v>1</v>
      </c>
      <c r="C981" s="1">
        <v>42982</v>
      </c>
      <c r="D981">
        <f>YEAR(AMAZON_FASHION_5__2[[#This Row],[reviewDate]])</f>
        <v>2017</v>
      </c>
      <c r="E981" s="1" t="str">
        <f>TEXT(AMAZON_FASHION_5__2[[#This Row],[reviewDate]], "mmmm")</f>
        <v>September</v>
      </c>
      <c r="F981" t="s">
        <v>611</v>
      </c>
      <c r="G981" t="s">
        <v>1456</v>
      </c>
      <c r="H981" t="s">
        <v>235</v>
      </c>
      <c r="I981" t="s">
        <v>198</v>
      </c>
      <c r="J981" t="s">
        <v>612</v>
      </c>
      <c r="K981" t="s">
        <v>613</v>
      </c>
      <c r="L981" t="s">
        <v>17</v>
      </c>
      <c r="M981">
        <v>1504483200</v>
      </c>
      <c r="N981" t="s">
        <v>1628</v>
      </c>
      <c r="O981" t="s">
        <v>1628</v>
      </c>
      <c r="P981" t="s">
        <v>1628</v>
      </c>
      <c r="Q981">
        <f>LEN(AMAZON_FASHION_5__2[[#This Row],[reviewText]])</f>
        <v>12</v>
      </c>
      <c r="R981" t="str">
        <f>IF(AMAZON_FASHION_5__2[[#This Row],[overall]]&gt;=4,"Positive",IF(AMAZON_FASHION_5__2[[#This Row],[overall]]&lt;=2,"Negative","Neutral"))</f>
        <v>Positive</v>
      </c>
      <c r="S9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82" spans="1:19" x14ac:dyDescent="0.25">
      <c r="A982">
        <v>4</v>
      </c>
      <c r="B982" t="b">
        <v>1</v>
      </c>
      <c r="C982" s="1">
        <v>42976</v>
      </c>
      <c r="D982">
        <f>YEAR(AMAZON_FASHION_5__2[[#This Row],[reviewDate]])</f>
        <v>2017</v>
      </c>
      <c r="E982" s="1" t="str">
        <f>TEXT(AMAZON_FASHION_5__2[[#This Row],[reviewDate]], "mmmm")</f>
        <v>August</v>
      </c>
      <c r="F982" t="s">
        <v>614</v>
      </c>
      <c r="G982" t="s">
        <v>1456</v>
      </c>
      <c r="H982" t="s">
        <v>230</v>
      </c>
      <c r="I982" t="s">
        <v>507</v>
      </c>
      <c r="J982" t="s">
        <v>615</v>
      </c>
      <c r="K982" t="s">
        <v>616</v>
      </c>
      <c r="L982" t="s">
        <v>617</v>
      </c>
      <c r="M982">
        <v>1503964800</v>
      </c>
      <c r="N982" t="s">
        <v>1628</v>
      </c>
      <c r="O982" t="s">
        <v>1628</v>
      </c>
      <c r="P982" t="s">
        <v>1628</v>
      </c>
      <c r="Q982">
        <f>LEN(AMAZON_FASHION_5__2[[#This Row],[reviewText]])</f>
        <v>118</v>
      </c>
      <c r="R982" t="str">
        <f>IF(AMAZON_FASHION_5__2[[#This Row],[overall]]&gt;=4,"Positive",IF(AMAZON_FASHION_5__2[[#This Row],[overall]]&lt;=2,"Negative","Neutral"))</f>
        <v>Positive</v>
      </c>
      <c r="S9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83" spans="1:19" x14ac:dyDescent="0.25">
      <c r="A983">
        <v>1</v>
      </c>
      <c r="B983" t="b">
        <v>1</v>
      </c>
      <c r="C983" s="1">
        <v>42976</v>
      </c>
      <c r="D983">
        <f>YEAR(AMAZON_FASHION_5__2[[#This Row],[reviewDate]])</f>
        <v>2017</v>
      </c>
      <c r="E983" s="1" t="str">
        <f>TEXT(AMAZON_FASHION_5__2[[#This Row],[reviewDate]], "mmmm")</f>
        <v>August</v>
      </c>
      <c r="F983" t="s">
        <v>618</v>
      </c>
      <c r="G983" t="s">
        <v>1456</v>
      </c>
      <c r="H983" t="s">
        <v>558</v>
      </c>
      <c r="I983" t="s">
        <v>198</v>
      </c>
      <c r="J983" t="s">
        <v>619</v>
      </c>
      <c r="K983" t="s">
        <v>620</v>
      </c>
      <c r="L983" t="s">
        <v>65</v>
      </c>
      <c r="M983">
        <v>1503964800</v>
      </c>
      <c r="N983" t="s">
        <v>1628</v>
      </c>
      <c r="O983" t="s">
        <v>1628</v>
      </c>
      <c r="P983" t="s">
        <v>1628</v>
      </c>
      <c r="Q983">
        <f>LEN(AMAZON_FASHION_5__2[[#This Row],[reviewText]])</f>
        <v>52</v>
      </c>
      <c r="R983" t="str">
        <f>IF(AMAZON_FASHION_5__2[[#This Row],[overall]]&gt;=4,"Positive",IF(AMAZON_FASHION_5__2[[#This Row],[overall]]&lt;=2,"Negative","Neutral"))</f>
        <v>Negative</v>
      </c>
      <c r="S9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84" spans="1:19" x14ac:dyDescent="0.25">
      <c r="A984">
        <v>5</v>
      </c>
      <c r="B984" t="b">
        <v>1</v>
      </c>
      <c r="C984" s="1">
        <v>42976</v>
      </c>
      <c r="D984">
        <f>YEAR(AMAZON_FASHION_5__2[[#This Row],[reviewDate]])</f>
        <v>2017</v>
      </c>
      <c r="E984" s="1" t="str">
        <f>TEXT(AMAZON_FASHION_5__2[[#This Row],[reviewDate]], "mmmm")</f>
        <v>August</v>
      </c>
      <c r="F984" t="s">
        <v>621</v>
      </c>
      <c r="G984" t="s">
        <v>1456</v>
      </c>
      <c r="H984" t="s">
        <v>210</v>
      </c>
      <c r="I984" t="s">
        <v>198</v>
      </c>
      <c r="J984" t="s">
        <v>622</v>
      </c>
      <c r="K984" t="s">
        <v>623</v>
      </c>
      <c r="L984" t="s">
        <v>17</v>
      </c>
      <c r="M984">
        <v>1503964800</v>
      </c>
      <c r="N984" t="s">
        <v>1628</v>
      </c>
      <c r="O984" t="s">
        <v>1628</v>
      </c>
      <c r="P984" t="s">
        <v>1628</v>
      </c>
      <c r="Q984">
        <f>LEN(AMAZON_FASHION_5__2[[#This Row],[reviewText]])</f>
        <v>30</v>
      </c>
      <c r="R984" t="str">
        <f>IF(AMAZON_FASHION_5__2[[#This Row],[overall]]&gt;=4,"Positive",IF(AMAZON_FASHION_5__2[[#This Row],[overall]]&lt;=2,"Negative","Neutral"))</f>
        <v>Positive</v>
      </c>
      <c r="S9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85" spans="1:19" x14ac:dyDescent="0.25">
      <c r="A985">
        <v>5</v>
      </c>
      <c r="B985" t="b">
        <v>1</v>
      </c>
      <c r="C985" s="1">
        <v>42974</v>
      </c>
      <c r="D985">
        <f>YEAR(AMAZON_FASHION_5__2[[#This Row],[reviewDate]])</f>
        <v>2017</v>
      </c>
      <c r="E985" s="1" t="str">
        <f>TEXT(AMAZON_FASHION_5__2[[#This Row],[reviewDate]], "mmmm")</f>
        <v>August</v>
      </c>
      <c r="F985" t="s">
        <v>624</v>
      </c>
      <c r="G985" t="s">
        <v>1456</v>
      </c>
      <c r="H985" t="s">
        <v>201</v>
      </c>
      <c r="I985" t="s">
        <v>99</v>
      </c>
      <c r="J985" t="s">
        <v>625</v>
      </c>
      <c r="K985" t="s">
        <v>626</v>
      </c>
      <c r="L985" t="s">
        <v>627</v>
      </c>
      <c r="M985">
        <v>1503792000</v>
      </c>
      <c r="N985" t="s">
        <v>1628</v>
      </c>
      <c r="O985" t="s">
        <v>1628</v>
      </c>
      <c r="P985" t="s">
        <v>1628</v>
      </c>
      <c r="Q985">
        <f>LEN(AMAZON_FASHION_5__2[[#This Row],[reviewText]])</f>
        <v>17</v>
      </c>
      <c r="R985" t="str">
        <f>IF(AMAZON_FASHION_5__2[[#This Row],[overall]]&gt;=4,"Positive",IF(AMAZON_FASHION_5__2[[#This Row],[overall]]&lt;=2,"Negative","Neutral"))</f>
        <v>Positive</v>
      </c>
      <c r="S9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86" spans="1:19" x14ac:dyDescent="0.25">
      <c r="A986">
        <v>4</v>
      </c>
      <c r="B986" t="b">
        <v>1</v>
      </c>
      <c r="C986" s="1">
        <v>42971</v>
      </c>
      <c r="D986">
        <f>YEAR(AMAZON_FASHION_5__2[[#This Row],[reviewDate]])</f>
        <v>2017</v>
      </c>
      <c r="E986" s="1" t="str">
        <f>TEXT(AMAZON_FASHION_5__2[[#This Row],[reviewDate]], "mmmm")</f>
        <v>August</v>
      </c>
      <c r="F986" t="s">
        <v>628</v>
      </c>
      <c r="G986" t="s">
        <v>1456</v>
      </c>
      <c r="H986" t="s">
        <v>210</v>
      </c>
      <c r="I986" t="s">
        <v>435</v>
      </c>
      <c r="J986" t="s">
        <v>629</v>
      </c>
      <c r="K986" t="s">
        <v>630</v>
      </c>
      <c r="L986" t="s">
        <v>247</v>
      </c>
      <c r="M986">
        <v>1503532800</v>
      </c>
      <c r="N986" t="s">
        <v>1628</v>
      </c>
      <c r="O986" t="s">
        <v>1628</v>
      </c>
      <c r="P986" t="s">
        <v>1628</v>
      </c>
      <c r="Q986">
        <f>LEN(AMAZON_FASHION_5__2[[#This Row],[reviewText]])</f>
        <v>225</v>
      </c>
      <c r="R986" t="str">
        <f>IF(AMAZON_FASHION_5__2[[#This Row],[overall]]&gt;=4,"Positive",IF(AMAZON_FASHION_5__2[[#This Row],[overall]]&lt;=2,"Negative","Neutral"))</f>
        <v>Positive</v>
      </c>
      <c r="S9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87" spans="1:19" x14ac:dyDescent="0.25">
      <c r="A987">
        <v>1</v>
      </c>
      <c r="B987" t="b">
        <v>1</v>
      </c>
      <c r="C987" s="1">
        <v>42971</v>
      </c>
      <c r="D987">
        <f>YEAR(AMAZON_FASHION_5__2[[#This Row],[reviewDate]])</f>
        <v>2017</v>
      </c>
      <c r="E987" s="1" t="str">
        <f>TEXT(AMAZON_FASHION_5__2[[#This Row],[reviewDate]], "mmmm")</f>
        <v>August</v>
      </c>
      <c r="F987" t="s">
        <v>631</v>
      </c>
      <c r="G987" t="s">
        <v>1456</v>
      </c>
      <c r="H987" t="s">
        <v>235</v>
      </c>
      <c r="I987" t="s">
        <v>411</v>
      </c>
      <c r="J987" t="s">
        <v>632</v>
      </c>
      <c r="K987" t="s">
        <v>633</v>
      </c>
      <c r="L987" t="s">
        <v>634</v>
      </c>
      <c r="M987">
        <v>1503532800</v>
      </c>
      <c r="N987" t="s">
        <v>1628</v>
      </c>
      <c r="O987" t="s">
        <v>1628</v>
      </c>
      <c r="P987" t="s">
        <v>1628</v>
      </c>
      <c r="Q987">
        <f>LEN(AMAZON_FASHION_5__2[[#This Row],[reviewText]])</f>
        <v>213</v>
      </c>
      <c r="R987" t="str">
        <f>IF(AMAZON_FASHION_5__2[[#This Row],[overall]]&gt;=4,"Positive",IF(AMAZON_FASHION_5__2[[#This Row],[overall]]&lt;=2,"Negative","Neutral"))</f>
        <v>Negative</v>
      </c>
      <c r="S9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88" spans="1:19" x14ac:dyDescent="0.25">
      <c r="A988">
        <v>5</v>
      </c>
      <c r="B988" t="b">
        <v>1</v>
      </c>
      <c r="C988" s="1">
        <v>42968</v>
      </c>
      <c r="D988">
        <f>YEAR(AMAZON_FASHION_5__2[[#This Row],[reviewDate]])</f>
        <v>2017</v>
      </c>
      <c r="E988" s="1" t="str">
        <f>TEXT(AMAZON_FASHION_5__2[[#This Row],[reviewDate]], "mmmm")</f>
        <v>August</v>
      </c>
      <c r="F988" t="s">
        <v>635</v>
      </c>
      <c r="G988" t="s">
        <v>1456</v>
      </c>
      <c r="H988" t="s">
        <v>477</v>
      </c>
      <c r="I988" t="s">
        <v>303</v>
      </c>
      <c r="J988" t="s">
        <v>636</v>
      </c>
      <c r="K988" t="s">
        <v>637</v>
      </c>
      <c r="L988" t="s">
        <v>638</v>
      </c>
      <c r="M988">
        <v>1503273600</v>
      </c>
      <c r="N988" t="s">
        <v>1628</v>
      </c>
      <c r="O988" t="s">
        <v>1628</v>
      </c>
      <c r="P988" t="s">
        <v>1628</v>
      </c>
      <c r="Q988">
        <f>LEN(AMAZON_FASHION_5__2[[#This Row],[reviewText]])</f>
        <v>55</v>
      </c>
      <c r="R988" t="str">
        <f>IF(AMAZON_FASHION_5__2[[#This Row],[overall]]&gt;=4,"Positive",IF(AMAZON_FASHION_5__2[[#This Row],[overall]]&lt;=2,"Negative","Neutral"))</f>
        <v>Positive</v>
      </c>
      <c r="S9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89" spans="1:19" x14ac:dyDescent="0.25">
      <c r="A989">
        <v>5</v>
      </c>
      <c r="B989" t="b">
        <v>1</v>
      </c>
      <c r="C989" s="1">
        <v>42967</v>
      </c>
      <c r="D989">
        <f>YEAR(AMAZON_FASHION_5__2[[#This Row],[reviewDate]])</f>
        <v>2017</v>
      </c>
      <c r="E989" s="1" t="str">
        <f>TEXT(AMAZON_FASHION_5__2[[#This Row],[reviewDate]], "mmmm")</f>
        <v>August</v>
      </c>
      <c r="F989" t="s">
        <v>639</v>
      </c>
      <c r="G989" t="s">
        <v>1456</v>
      </c>
      <c r="H989" t="s">
        <v>197</v>
      </c>
      <c r="I989" t="s">
        <v>198</v>
      </c>
      <c r="J989" t="s">
        <v>640</v>
      </c>
      <c r="K989" t="s">
        <v>406</v>
      </c>
      <c r="L989" t="s">
        <v>17</v>
      </c>
      <c r="M989">
        <v>1503187200</v>
      </c>
      <c r="N989" t="s">
        <v>1628</v>
      </c>
      <c r="O989" t="s">
        <v>1628</v>
      </c>
      <c r="P989" t="s">
        <v>1628</v>
      </c>
      <c r="Q989">
        <f>LEN(AMAZON_FASHION_5__2[[#This Row],[reviewText]])</f>
        <v>10</v>
      </c>
      <c r="R989" t="str">
        <f>IF(AMAZON_FASHION_5__2[[#This Row],[overall]]&gt;=4,"Positive",IF(AMAZON_FASHION_5__2[[#This Row],[overall]]&lt;=2,"Negative","Neutral"))</f>
        <v>Positive</v>
      </c>
      <c r="S9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90" spans="1:19" x14ac:dyDescent="0.25">
      <c r="A990">
        <v>3</v>
      </c>
      <c r="B990" t="b">
        <v>1</v>
      </c>
      <c r="C990" s="1">
        <v>42964</v>
      </c>
      <c r="D990">
        <f>YEAR(AMAZON_FASHION_5__2[[#This Row],[reviewDate]])</f>
        <v>2017</v>
      </c>
      <c r="E990" s="1" t="str">
        <f>TEXT(AMAZON_FASHION_5__2[[#This Row],[reviewDate]], "mmmm")</f>
        <v>August</v>
      </c>
      <c r="F990" t="s">
        <v>641</v>
      </c>
      <c r="G990" t="s">
        <v>1456</v>
      </c>
      <c r="H990" t="s">
        <v>477</v>
      </c>
      <c r="I990" t="s">
        <v>642</v>
      </c>
      <c r="J990" t="s">
        <v>643</v>
      </c>
      <c r="K990" t="s">
        <v>644</v>
      </c>
      <c r="L990" t="s">
        <v>645</v>
      </c>
      <c r="M990">
        <v>1502928000</v>
      </c>
      <c r="N990" t="s">
        <v>1628</v>
      </c>
      <c r="O990" t="s">
        <v>1628</v>
      </c>
      <c r="P990" t="s">
        <v>1628</v>
      </c>
      <c r="Q990">
        <f>LEN(AMAZON_FASHION_5__2[[#This Row],[reviewText]])</f>
        <v>50</v>
      </c>
      <c r="R990" t="str">
        <f>IF(AMAZON_FASHION_5__2[[#This Row],[overall]]&gt;=4,"Positive",IF(AMAZON_FASHION_5__2[[#This Row],[overall]]&lt;=2,"Negative","Neutral"))</f>
        <v>Neutral</v>
      </c>
      <c r="S9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91" spans="1:19" x14ac:dyDescent="0.25">
      <c r="A991">
        <v>5</v>
      </c>
      <c r="B991" t="b">
        <v>1</v>
      </c>
      <c r="C991" s="1">
        <v>42964</v>
      </c>
      <c r="D991">
        <f>YEAR(AMAZON_FASHION_5__2[[#This Row],[reviewDate]])</f>
        <v>2017</v>
      </c>
      <c r="E991" s="1" t="str">
        <f>TEXT(AMAZON_FASHION_5__2[[#This Row],[reviewDate]], "mmmm")</f>
        <v>August</v>
      </c>
      <c r="F991" t="s">
        <v>646</v>
      </c>
      <c r="G991" t="s">
        <v>1456</v>
      </c>
      <c r="H991" t="s">
        <v>201</v>
      </c>
      <c r="I991" t="s">
        <v>198</v>
      </c>
      <c r="J991" t="s">
        <v>647</v>
      </c>
      <c r="K991" t="s">
        <v>648</v>
      </c>
      <c r="L991" t="s">
        <v>17</v>
      </c>
      <c r="M991">
        <v>1502928000</v>
      </c>
      <c r="N991" t="s">
        <v>1628</v>
      </c>
      <c r="O991" t="s">
        <v>1628</v>
      </c>
      <c r="P991" t="s">
        <v>1628</v>
      </c>
      <c r="Q991">
        <f>LEN(AMAZON_FASHION_5__2[[#This Row],[reviewText]])</f>
        <v>37</v>
      </c>
      <c r="R991" t="str">
        <f>IF(AMAZON_FASHION_5__2[[#This Row],[overall]]&gt;=4,"Positive",IF(AMAZON_FASHION_5__2[[#This Row],[overall]]&lt;=2,"Negative","Neutral"))</f>
        <v>Positive</v>
      </c>
      <c r="S9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92" spans="1:19" x14ac:dyDescent="0.25">
      <c r="A992">
        <v>5</v>
      </c>
      <c r="B992" t="b">
        <v>1</v>
      </c>
      <c r="C992" s="1">
        <v>42962</v>
      </c>
      <c r="D992">
        <f>YEAR(AMAZON_FASHION_5__2[[#This Row],[reviewDate]])</f>
        <v>2017</v>
      </c>
      <c r="E992" s="1" t="str">
        <f>TEXT(AMAZON_FASHION_5__2[[#This Row],[reviewDate]], "mmmm")</f>
        <v>August</v>
      </c>
      <c r="F992" t="s">
        <v>649</v>
      </c>
      <c r="G992" t="s">
        <v>1456</v>
      </c>
      <c r="H992" t="s">
        <v>61</v>
      </c>
      <c r="I992" t="s">
        <v>344</v>
      </c>
      <c r="J992" t="s">
        <v>63</v>
      </c>
      <c r="K992" t="s">
        <v>650</v>
      </c>
      <c r="L992" t="s">
        <v>17</v>
      </c>
      <c r="M992">
        <v>1502755200</v>
      </c>
      <c r="N992" t="s">
        <v>1628</v>
      </c>
      <c r="O992" t="s">
        <v>1628</v>
      </c>
      <c r="P992" t="s">
        <v>1628</v>
      </c>
      <c r="Q992">
        <f>LEN(AMAZON_FASHION_5__2[[#This Row],[reviewText]])</f>
        <v>16</v>
      </c>
      <c r="R992" t="str">
        <f>IF(AMAZON_FASHION_5__2[[#This Row],[overall]]&gt;=4,"Positive",IF(AMAZON_FASHION_5__2[[#This Row],[overall]]&lt;=2,"Negative","Neutral"))</f>
        <v>Positive</v>
      </c>
      <c r="S9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93" spans="1:19" x14ac:dyDescent="0.25">
      <c r="A993">
        <v>5</v>
      </c>
      <c r="B993" t="b">
        <v>1</v>
      </c>
      <c r="C993" s="1">
        <v>42961</v>
      </c>
      <c r="D993">
        <f>YEAR(AMAZON_FASHION_5__2[[#This Row],[reviewDate]])</f>
        <v>2017</v>
      </c>
      <c r="E993" s="1" t="str">
        <f>TEXT(AMAZON_FASHION_5__2[[#This Row],[reviewDate]], "mmmm")</f>
        <v>August</v>
      </c>
      <c r="F993" t="s">
        <v>651</v>
      </c>
      <c r="G993" t="s">
        <v>1456</v>
      </c>
      <c r="H993" t="s">
        <v>230</v>
      </c>
      <c r="I993" t="s">
        <v>198</v>
      </c>
      <c r="J993" t="s">
        <v>652</v>
      </c>
      <c r="K993" t="s">
        <v>653</v>
      </c>
      <c r="L993" t="s">
        <v>654</v>
      </c>
      <c r="M993">
        <v>1502668800</v>
      </c>
      <c r="N993" t="s">
        <v>1628</v>
      </c>
      <c r="O993" t="s">
        <v>1628</v>
      </c>
      <c r="P993" t="s">
        <v>1628</v>
      </c>
      <c r="Q993">
        <f>LEN(AMAZON_FASHION_5__2[[#This Row],[reviewText]])</f>
        <v>145</v>
      </c>
      <c r="R993" t="str">
        <f>IF(AMAZON_FASHION_5__2[[#This Row],[overall]]&gt;=4,"Positive",IF(AMAZON_FASHION_5__2[[#This Row],[overall]]&lt;=2,"Negative","Neutral"))</f>
        <v>Positive</v>
      </c>
      <c r="S9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94" spans="1:19" x14ac:dyDescent="0.25">
      <c r="A994">
        <v>5</v>
      </c>
      <c r="B994" t="b">
        <v>1</v>
      </c>
      <c r="C994" s="1">
        <v>42959</v>
      </c>
      <c r="D994">
        <f>YEAR(AMAZON_FASHION_5__2[[#This Row],[reviewDate]])</f>
        <v>2017</v>
      </c>
      <c r="E994" s="1" t="str">
        <f>TEXT(AMAZON_FASHION_5__2[[#This Row],[reviewDate]], "mmmm")</f>
        <v>August</v>
      </c>
      <c r="F994" t="s">
        <v>655</v>
      </c>
      <c r="G994" t="s">
        <v>1456</v>
      </c>
      <c r="H994" t="s">
        <v>210</v>
      </c>
      <c r="I994" t="s">
        <v>198</v>
      </c>
      <c r="J994" t="s">
        <v>656</v>
      </c>
      <c r="K994" t="s">
        <v>657</v>
      </c>
      <c r="L994" t="s">
        <v>658</v>
      </c>
      <c r="M994">
        <v>1502496000</v>
      </c>
      <c r="N994" t="s">
        <v>1628</v>
      </c>
      <c r="O994" t="s">
        <v>1628</v>
      </c>
      <c r="P994" t="s">
        <v>1628</v>
      </c>
      <c r="Q994">
        <f>LEN(AMAZON_FASHION_5__2[[#This Row],[reviewText]])</f>
        <v>230</v>
      </c>
      <c r="R994" t="str">
        <f>IF(AMAZON_FASHION_5__2[[#This Row],[overall]]&gt;=4,"Positive",IF(AMAZON_FASHION_5__2[[#This Row],[overall]]&lt;=2,"Negative","Neutral"))</f>
        <v>Positive</v>
      </c>
      <c r="S9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95" spans="1:19" x14ac:dyDescent="0.25">
      <c r="A995">
        <v>4</v>
      </c>
      <c r="B995" t="b">
        <v>1</v>
      </c>
      <c r="C995" s="1">
        <v>42958</v>
      </c>
      <c r="D995">
        <f>YEAR(AMAZON_FASHION_5__2[[#This Row],[reviewDate]])</f>
        <v>2017</v>
      </c>
      <c r="E995" s="1" t="str">
        <f>TEXT(AMAZON_FASHION_5__2[[#This Row],[reviewDate]], "mmmm")</f>
        <v>August</v>
      </c>
      <c r="F995" t="s">
        <v>659</v>
      </c>
      <c r="G995" t="s">
        <v>1456</v>
      </c>
      <c r="H995" t="s">
        <v>477</v>
      </c>
      <c r="I995" t="s">
        <v>198</v>
      </c>
      <c r="J995" t="s">
        <v>660</v>
      </c>
      <c r="K995" t="s">
        <v>661</v>
      </c>
      <c r="L995" t="s">
        <v>103</v>
      </c>
      <c r="M995">
        <v>1502409600</v>
      </c>
      <c r="N995" t="s">
        <v>1628</v>
      </c>
      <c r="O995" t="s">
        <v>1628</v>
      </c>
      <c r="P995" t="s">
        <v>1628</v>
      </c>
      <c r="Q995">
        <f>LEN(AMAZON_FASHION_5__2[[#This Row],[reviewText]])</f>
        <v>59</v>
      </c>
      <c r="R995" t="str">
        <f>IF(AMAZON_FASHION_5__2[[#This Row],[overall]]&gt;=4,"Positive",IF(AMAZON_FASHION_5__2[[#This Row],[overall]]&lt;=2,"Negative","Neutral"))</f>
        <v>Positive</v>
      </c>
      <c r="S9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96" spans="1:19" x14ac:dyDescent="0.25">
      <c r="A996">
        <v>3</v>
      </c>
      <c r="B996" t="b">
        <v>1</v>
      </c>
      <c r="C996" s="1">
        <v>42955</v>
      </c>
      <c r="D996">
        <f>YEAR(AMAZON_FASHION_5__2[[#This Row],[reviewDate]])</f>
        <v>2017</v>
      </c>
      <c r="E996" s="1" t="str">
        <f>TEXT(AMAZON_FASHION_5__2[[#This Row],[reviewDate]], "mmmm")</f>
        <v>August</v>
      </c>
      <c r="F996" t="s">
        <v>662</v>
      </c>
      <c r="G996" t="s">
        <v>1456</v>
      </c>
      <c r="H996" t="s">
        <v>210</v>
      </c>
      <c r="I996" t="s">
        <v>198</v>
      </c>
      <c r="J996" t="s">
        <v>663</v>
      </c>
      <c r="K996" t="s">
        <v>664</v>
      </c>
      <c r="L996" t="s">
        <v>665</v>
      </c>
      <c r="M996">
        <v>1502150400</v>
      </c>
      <c r="N996" t="s">
        <v>1628</v>
      </c>
      <c r="O996" t="s">
        <v>1628</v>
      </c>
      <c r="P996" t="s">
        <v>1628</v>
      </c>
      <c r="Q996">
        <f>LEN(AMAZON_FASHION_5__2[[#This Row],[reviewText]])</f>
        <v>138</v>
      </c>
      <c r="R996" t="str">
        <f>IF(AMAZON_FASHION_5__2[[#This Row],[overall]]&gt;=4,"Positive",IF(AMAZON_FASHION_5__2[[#This Row],[overall]]&lt;=2,"Negative","Neutral"))</f>
        <v>Neutral</v>
      </c>
      <c r="S9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97" spans="1:19" x14ac:dyDescent="0.25">
      <c r="A997">
        <v>5</v>
      </c>
      <c r="B997" t="b">
        <v>1</v>
      </c>
      <c r="C997" s="1">
        <v>42955</v>
      </c>
      <c r="D997">
        <f>YEAR(AMAZON_FASHION_5__2[[#This Row],[reviewDate]])</f>
        <v>2017</v>
      </c>
      <c r="E997" s="1" t="str">
        <f>TEXT(AMAZON_FASHION_5__2[[#This Row],[reviewDate]], "mmmm")</f>
        <v>August</v>
      </c>
      <c r="F997" t="s">
        <v>666</v>
      </c>
      <c r="G997" t="s">
        <v>1456</v>
      </c>
      <c r="H997" t="s">
        <v>284</v>
      </c>
      <c r="I997" t="s">
        <v>198</v>
      </c>
      <c r="J997" t="s">
        <v>667</v>
      </c>
      <c r="K997" t="s">
        <v>668</v>
      </c>
      <c r="L997" t="s">
        <v>17</v>
      </c>
      <c r="M997">
        <v>1502150400</v>
      </c>
      <c r="N997" t="s">
        <v>1628</v>
      </c>
      <c r="O997" t="s">
        <v>1628</v>
      </c>
      <c r="P997" t="s">
        <v>1628</v>
      </c>
      <c r="Q997">
        <f>LEN(AMAZON_FASHION_5__2[[#This Row],[reviewText]])</f>
        <v>27</v>
      </c>
      <c r="R997" t="str">
        <f>IF(AMAZON_FASHION_5__2[[#This Row],[overall]]&gt;=4,"Positive",IF(AMAZON_FASHION_5__2[[#This Row],[overall]]&lt;=2,"Negative","Neutral"))</f>
        <v>Positive</v>
      </c>
      <c r="S9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98" spans="1:19" x14ac:dyDescent="0.25">
      <c r="A998">
        <v>5</v>
      </c>
      <c r="B998" t="b">
        <v>1</v>
      </c>
      <c r="C998" s="1">
        <v>42954</v>
      </c>
      <c r="D998">
        <f>YEAR(AMAZON_FASHION_5__2[[#This Row],[reviewDate]])</f>
        <v>2017</v>
      </c>
      <c r="E998" s="1" t="str">
        <f>TEXT(AMAZON_FASHION_5__2[[#This Row],[reviewDate]], "mmmm")</f>
        <v>August</v>
      </c>
      <c r="F998" t="s">
        <v>669</v>
      </c>
      <c r="G998" t="s">
        <v>1456</v>
      </c>
      <c r="H998" t="s">
        <v>230</v>
      </c>
      <c r="I998" t="s">
        <v>1476</v>
      </c>
      <c r="J998" t="s">
        <v>670</v>
      </c>
      <c r="K998" t="s">
        <v>671</v>
      </c>
      <c r="L998" t="s">
        <v>17</v>
      </c>
      <c r="M998">
        <v>1502064000</v>
      </c>
      <c r="N998" t="s">
        <v>1628</v>
      </c>
      <c r="O998" t="s">
        <v>1628</v>
      </c>
      <c r="P998" t="s">
        <v>1628</v>
      </c>
      <c r="Q998">
        <f>LEN(AMAZON_FASHION_5__2[[#This Row],[reviewText]])</f>
        <v>10</v>
      </c>
      <c r="R998" t="str">
        <f>IF(AMAZON_FASHION_5__2[[#This Row],[overall]]&gt;=4,"Positive",IF(AMAZON_FASHION_5__2[[#This Row],[overall]]&lt;=2,"Negative","Neutral"))</f>
        <v>Positive</v>
      </c>
      <c r="S9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999" spans="1:19" x14ac:dyDescent="0.25">
      <c r="A999">
        <v>5</v>
      </c>
      <c r="B999" t="b">
        <v>1</v>
      </c>
      <c r="C999" s="1">
        <v>42951</v>
      </c>
      <c r="D999">
        <f>YEAR(AMAZON_FASHION_5__2[[#This Row],[reviewDate]])</f>
        <v>2017</v>
      </c>
      <c r="E999" s="1" t="str">
        <f>TEXT(AMAZON_FASHION_5__2[[#This Row],[reviewDate]], "mmmm")</f>
        <v>August</v>
      </c>
      <c r="F999" t="s">
        <v>672</v>
      </c>
      <c r="G999" t="s">
        <v>1456</v>
      </c>
      <c r="H999" t="s">
        <v>235</v>
      </c>
      <c r="I999" t="s">
        <v>274</v>
      </c>
      <c r="J999" t="s">
        <v>673</v>
      </c>
      <c r="K999" t="s">
        <v>674</v>
      </c>
      <c r="L999" t="s">
        <v>675</v>
      </c>
      <c r="M999">
        <v>1501804800</v>
      </c>
      <c r="N999" t="s">
        <v>1628</v>
      </c>
      <c r="O999" t="s">
        <v>1628</v>
      </c>
      <c r="P999" t="s">
        <v>1628</v>
      </c>
      <c r="Q999">
        <f>LEN(AMAZON_FASHION_5__2[[#This Row],[reviewText]])</f>
        <v>114</v>
      </c>
      <c r="R999" t="str">
        <f>IF(AMAZON_FASHION_5__2[[#This Row],[overall]]&gt;=4,"Positive",IF(AMAZON_FASHION_5__2[[#This Row],[overall]]&lt;=2,"Negative","Neutral"))</f>
        <v>Positive</v>
      </c>
      <c r="S9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00" spans="1:19" x14ac:dyDescent="0.25">
      <c r="A1000">
        <v>3</v>
      </c>
      <c r="B1000" t="b">
        <v>1</v>
      </c>
      <c r="C1000" s="1">
        <v>42949</v>
      </c>
      <c r="D1000">
        <f>YEAR(AMAZON_FASHION_5__2[[#This Row],[reviewDate]])</f>
        <v>2017</v>
      </c>
      <c r="E1000" s="1" t="str">
        <f>TEXT(AMAZON_FASHION_5__2[[#This Row],[reviewDate]], "mmmm")</f>
        <v>August</v>
      </c>
      <c r="F1000" t="s">
        <v>676</v>
      </c>
      <c r="G1000" t="s">
        <v>1456</v>
      </c>
      <c r="H1000" t="s">
        <v>677</v>
      </c>
      <c r="I1000" t="s">
        <v>198</v>
      </c>
      <c r="J1000" t="s">
        <v>678</v>
      </c>
      <c r="K1000" t="s">
        <v>679</v>
      </c>
      <c r="L1000" t="s">
        <v>680</v>
      </c>
      <c r="M1000">
        <v>1501632000</v>
      </c>
      <c r="N1000" t="s">
        <v>1628</v>
      </c>
      <c r="O1000" t="s">
        <v>1628</v>
      </c>
      <c r="P1000" t="s">
        <v>1628</v>
      </c>
      <c r="Q1000">
        <f>LEN(AMAZON_FASHION_5__2[[#This Row],[reviewText]])</f>
        <v>264</v>
      </c>
      <c r="R1000" t="str">
        <f>IF(AMAZON_FASHION_5__2[[#This Row],[overall]]&gt;=4,"Positive",IF(AMAZON_FASHION_5__2[[#This Row],[overall]]&lt;=2,"Negative","Neutral"))</f>
        <v>Neutral</v>
      </c>
      <c r="S10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01" spans="1:19" x14ac:dyDescent="0.25">
      <c r="A1001">
        <v>5</v>
      </c>
      <c r="B1001" t="b">
        <v>1</v>
      </c>
      <c r="C1001" s="1">
        <v>42936</v>
      </c>
      <c r="D1001">
        <f>YEAR(AMAZON_FASHION_5__2[[#This Row],[reviewDate]])</f>
        <v>2017</v>
      </c>
      <c r="E1001" s="1" t="str">
        <f>TEXT(AMAZON_FASHION_5__2[[#This Row],[reviewDate]], "mmmm")</f>
        <v>July</v>
      </c>
      <c r="F1001" t="s">
        <v>681</v>
      </c>
      <c r="G1001" t="s">
        <v>1456</v>
      </c>
      <c r="H1001" t="s">
        <v>210</v>
      </c>
      <c r="I1001" t="s">
        <v>198</v>
      </c>
      <c r="J1001" t="s">
        <v>63</v>
      </c>
      <c r="K1001" t="s">
        <v>682</v>
      </c>
      <c r="L1001" t="s">
        <v>365</v>
      </c>
      <c r="M1001">
        <v>1500508800</v>
      </c>
      <c r="N1001" t="s">
        <v>1628</v>
      </c>
      <c r="O1001" t="s">
        <v>1628</v>
      </c>
      <c r="P1001" t="s">
        <v>1628</v>
      </c>
      <c r="Q1001">
        <f>LEN(AMAZON_FASHION_5__2[[#This Row],[reviewText]])</f>
        <v>34</v>
      </c>
      <c r="R1001" t="str">
        <f>IF(AMAZON_FASHION_5__2[[#This Row],[overall]]&gt;=4,"Positive",IF(AMAZON_FASHION_5__2[[#This Row],[overall]]&lt;=2,"Negative","Neutral"))</f>
        <v>Positive</v>
      </c>
      <c r="S10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02" spans="1:19" x14ac:dyDescent="0.25">
      <c r="A1002">
        <v>5</v>
      </c>
      <c r="B1002" t="b">
        <v>1</v>
      </c>
      <c r="C1002" s="1">
        <v>42934</v>
      </c>
      <c r="D1002">
        <f>YEAR(AMAZON_FASHION_5__2[[#This Row],[reviewDate]])</f>
        <v>2017</v>
      </c>
      <c r="E1002" s="1" t="str">
        <f>TEXT(AMAZON_FASHION_5__2[[#This Row],[reviewDate]], "mmmm")</f>
        <v>July</v>
      </c>
      <c r="F1002" t="s">
        <v>683</v>
      </c>
      <c r="G1002" t="s">
        <v>1456</v>
      </c>
      <c r="H1002" t="s">
        <v>230</v>
      </c>
      <c r="I1002" t="s">
        <v>507</v>
      </c>
      <c r="J1002" t="s">
        <v>684</v>
      </c>
      <c r="K1002" t="s">
        <v>685</v>
      </c>
      <c r="L1002" t="s">
        <v>686</v>
      </c>
      <c r="M1002">
        <v>1500336000</v>
      </c>
      <c r="N1002" t="s">
        <v>1628</v>
      </c>
      <c r="O1002" t="s">
        <v>1628</v>
      </c>
      <c r="P1002" t="s">
        <v>1628</v>
      </c>
      <c r="Q1002">
        <f>LEN(AMAZON_FASHION_5__2[[#This Row],[reviewText]])</f>
        <v>124</v>
      </c>
      <c r="R1002" t="str">
        <f>IF(AMAZON_FASHION_5__2[[#This Row],[overall]]&gt;=4,"Positive",IF(AMAZON_FASHION_5__2[[#This Row],[overall]]&lt;=2,"Negative","Neutral"))</f>
        <v>Positive</v>
      </c>
      <c r="S10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03" spans="1:19" x14ac:dyDescent="0.25">
      <c r="A1003">
        <v>4</v>
      </c>
      <c r="B1003" t="b">
        <v>1</v>
      </c>
      <c r="C1003" s="1">
        <v>42934</v>
      </c>
      <c r="D1003">
        <f>YEAR(AMAZON_FASHION_5__2[[#This Row],[reviewDate]])</f>
        <v>2017</v>
      </c>
      <c r="E1003" s="1" t="str">
        <f>TEXT(AMAZON_FASHION_5__2[[#This Row],[reviewDate]], "mmmm")</f>
        <v>July</v>
      </c>
      <c r="F1003" t="s">
        <v>687</v>
      </c>
      <c r="G1003" t="s">
        <v>1456</v>
      </c>
      <c r="H1003" t="s">
        <v>235</v>
      </c>
      <c r="I1003" t="s">
        <v>344</v>
      </c>
      <c r="J1003" t="s">
        <v>688</v>
      </c>
      <c r="K1003" t="s">
        <v>689</v>
      </c>
      <c r="L1003" t="s">
        <v>103</v>
      </c>
      <c r="M1003">
        <v>1500336000</v>
      </c>
      <c r="N1003" t="s">
        <v>1628</v>
      </c>
      <c r="O1003" t="s">
        <v>1628</v>
      </c>
      <c r="P1003" t="s">
        <v>1628</v>
      </c>
      <c r="Q1003">
        <f>LEN(AMAZON_FASHION_5__2[[#This Row],[reviewText]])</f>
        <v>28</v>
      </c>
      <c r="R1003" t="str">
        <f>IF(AMAZON_FASHION_5__2[[#This Row],[overall]]&gt;=4,"Positive",IF(AMAZON_FASHION_5__2[[#This Row],[overall]]&lt;=2,"Negative","Neutral"))</f>
        <v>Positive</v>
      </c>
      <c r="S10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04" spans="1:19" x14ac:dyDescent="0.25">
      <c r="A1004">
        <v>5</v>
      </c>
      <c r="B1004" t="b">
        <v>1</v>
      </c>
      <c r="C1004" s="1">
        <v>42934</v>
      </c>
      <c r="D1004">
        <f>YEAR(AMAZON_FASHION_5__2[[#This Row],[reviewDate]])</f>
        <v>2017</v>
      </c>
      <c r="E1004" s="1" t="str">
        <f>TEXT(AMAZON_FASHION_5__2[[#This Row],[reviewDate]], "mmmm")</f>
        <v>July</v>
      </c>
      <c r="F1004" t="s">
        <v>690</v>
      </c>
      <c r="G1004" t="s">
        <v>1456</v>
      </c>
      <c r="H1004" t="s">
        <v>197</v>
      </c>
      <c r="I1004" t="s">
        <v>198</v>
      </c>
      <c r="J1004" t="s">
        <v>691</v>
      </c>
      <c r="K1004" t="s">
        <v>692</v>
      </c>
      <c r="L1004" t="s">
        <v>693</v>
      </c>
      <c r="M1004">
        <v>1500336000</v>
      </c>
      <c r="N1004" t="s">
        <v>1628</v>
      </c>
      <c r="O1004" t="s">
        <v>1628</v>
      </c>
      <c r="P1004" t="s">
        <v>1628</v>
      </c>
      <c r="Q1004">
        <f>LEN(AMAZON_FASHION_5__2[[#This Row],[reviewText]])</f>
        <v>184</v>
      </c>
      <c r="R1004" t="str">
        <f>IF(AMAZON_FASHION_5__2[[#This Row],[overall]]&gt;=4,"Positive",IF(AMAZON_FASHION_5__2[[#This Row],[overall]]&lt;=2,"Negative","Neutral"))</f>
        <v>Positive</v>
      </c>
      <c r="S10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05" spans="1:19" x14ac:dyDescent="0.25">
      <c r="A1005">
        <v>5</v>
      </c>
      <c r="B1005" t="b">
        <v>1</v>
      </c>
      <c r="C1005" s="1">
        <v>42934</v>
      </c>
      <c r="D1005">
        <f>YEAR(AMAZON_FASHION_5__2[[#This Row],[reviewDate]])</f>
        <v>2017</v>
      </c>
      <c r="E1005" s="1" t="str">
        <f>TEXT(AMAZON_FASHION_5__2[[#This Row],[reviewDate]], "mmmm")</f>
        <v>July</v>
      </c>
      <c r="F1005" t="s">
        <v>694</v>
      </c>
      <c r="G1005" t="s">
        <v>1456</v>
      </c>
      <c r="H1005" t="s">
        <v>205</v>
      </c>
      <c r="I1005" t="s">
        <v>198</v>
      </c>
      <c r="J1005" t="s">
        <v>695</v>
      </c>
      <c r="K1005" t="s">
        <v>18</v>
      </c>
      <c r="L1005" t="s">
        <v>17</v>
      </c>
      <c r="M1005">
        <v>1500336000</v>
      </c>
      <c r="N1005" t="s">
        <v>1628</v>
      </c>
      <c r="O1005" t="s">
        <v>1628</v>
      </c>
      <c r="P1005" t="s">
        <v>1628</v>
      </c>
      <c r="Q1005">
        <f>LEN(AMAZON_FASHION_5__2[[#This Row],[reviewText]])</f>
        <v>0</v>
      </c>
      <c r="R1005" t="str">
        <f>IF(AMAZON_FASHION_5__2[[#This Row],[overall]]&gt;=4,"Positive",IF(AMAZON_FASHION_5__2[[#This Row],[overall]]&lt;=2,"Negative","Neutral"))</f>
        <v>Positive</v>
      </c>
      <c r="S10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06" spans="1:19" x14ac:dyDescent="0.25">
      <c r="A1006">
        <v>5</v>
      </c>
      <c r="B1006" t="b">
        <v>1</v>
      </c>
      <c r="C1006" s="1">
        <v>42934</v>
      </c>
      <c r="D1006">
        <f>YEAR(AMAZON_FASHION_5__2[[#This Row],[reviewDate]])</f>
        <v>2017</v>
      </c>
      <c r="E1006" s="1" t="str">
        <f>TEXT(AMAZON_FASHION_5__2[[#This Row],[reviewDate]], "mmmm")</f>
        <v>July</v>
      </c>
      <c r="F1006" t="s">
        <v>696</v>
      </c>
      <c r="G1006" t="s">
        <v>1456</v>
      </c>
      <c r="H1006" t="s">
        <v>210</v>
      </c>
      <c r="I1006" t="s">
        <v>99</v>
      </c>
      <c r="J1006" t="s">
        <v>697</v>
      </c>
      <c r="K1006" t="s">
        <v>276</v>
      </c>
      <c r="L1006" t="s">
        <v>17</v>
      </c>
      <c r="M1006">
        <v>1500336000</v>
      </c>
      <c r="N1006" t="s">
        <v>1628</v>
      </c>
      <c r="O1006" t="s">
        <v>1628</v>
      </c>
      <c r="P1006" t="s">
        <v>1628</v>
      </c>
      <c r="Q1006">
        <f>LEN(AMAZON_FASHION_5__2[[#This Row],[reviewText]])</f>
        <v>4</v>
      </c>
      <c r="R1006" t="str">
        <f>IF(AMAZON_FASHION_5__2[[#This Row],[overall]]&gt;=4,"Positive",IF(AMAZON_FASHION_5__2[[#This Row],[overall]]&lt;=2,"Negative","Neutral"))</f>
        <v>Positive</v>
      </c>
      <c r="S10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07" spans="1:19" x14ac:dyDescent="0.25">
      <c r="A1007">
        <v>5</v>
      </c>
      <c r="B1007" t="b">
        <v>1</v>
      </c>
      <c r="C1007" s="1">
        <v>42934</v>
      </c>
      <c r="D1007">
        <f>YEAR(AMAZON_FASHION_5__2[[#This Row],[reviewDate]])</f>
        <v>2017</v>
      </c>
      <c r="E1007" s="1" t="str">
        <f>TEXT(AMAZON_FASHION_5__2[[#This Row],[reviewDate]], "mmmm")</f>
        <v>July</v>
      </c>
      <c r="F1007" t="s">
        <v>698</v>
      </c>
      <c r="G1007" t="s">
        <v>1456</v>
      </c>
      <c r="H1007" t="s">
        <v>210</v>
      </c>
      <c r="I1007" t="s">
        <v>642</v>
      </c>
      <c r="J1007" t="s">
        <v>63</v>
      </c>
      <c r="K1007" t="s">
        <v>699</v>
      </c>
      <c r="L1007" t="s">
        <v>700</v>
      </c>
      <c r="M1007">
        <v>1500336000</v>
      </c>
      <c r="N1007" t="s">
        <v>1628</v>
      </c>
      <c r="O1007" t="s">
        <v>1628</v>
      </c>
      <c r="P1007" t="s">
        <v>1628</v>
      </c>
      <c r="Q1007">
        <f>LEN(AMAZON_FASHION_5__2[[#This Row],[reviewText]])</f>
        <v>99</v>
      </c>
      <c r="R1007" t="str">
        <f>IF(AMAZON_FASHION_5__2[[#This Row],[overall]]&gt;=4,"Positive",IF(AMAZON_FASHION_5__2[[#This Row],[overall]]&lt;=2,"Negative","Neutral"))</f>
        <v>Positive</v>
      </c>
      <c r="S10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08" spans="1:19" x14ac:dyDescent="0.25">
      <c r="A1008">
        <v>5</v>
      </c>
      <c r="B1008" t="b">
        <v>1</v>
      </c>
      <c r="C1008" s="1">
        <v>42934</v>
      </c>
      <c r="D1008">
        <f>YEAR(AMAZON_FASHION_5__2[[#This Row],[reviewDate]])</f>
        <v>2017</v>
      </c>
      <c r="E1008" s="1" t="str">
        <f>TEXT(AMAZON_FASHION_5__2[[#This Row],[reviewDate]], "mmmm")</f>
        <v>July</v>
      </c>
      <c r="F1008" t="s">
        <v>701</v>
      </c>
      <c r="G1008" t="s">
        <v>1456</v>
      </c>
      <c r="H1008" t="s">
        <v>201</v>
      </c>
      <c r="I1008" t="s">
        <v>198</v>
      </c>
      <c r="J1008" t="s">
        <v>702</v>
      </c>
      <c r="K1008" t="s">
        <v>703</v>
      </c>
      <c r="L1008" t="s">
        <v>704</v>
      </c>
      <c r="M1008">
        <v>1500336000</v>
      </c>
      <c r="N1008" t="s">
        <v>1628</v>
      </c>
      <c r="O1008" t="s">
        <v>1628</v>
      </c>
      <c r="P1008" t="s">
        <v>1628</v>
      </c>
      <c r="Q1008">
        <f>LEN(AMAZON_FASHION_5__2[[#This Row],[reviewText]])</f>
        <v>178</v>
      </c>
      <c r="R1008" t="str">
        <f>IF(AMAZON_FASHION_5__2[[#This Row],[overall]]&gt;=4,"Positive",IF(AMAZON_FASHION_5__2[[#This Row],[overall]]&lt;=2,"Negative","Neutral"))</f>
        <v>Positive</v>
      </c>
      <c r="S10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09" spans="1:19" x14ac:dyDescent="0.25">
      <c r="A1009">
        <v>5</v>
      </c>
      <c r="B1009" t="b">
        <v>1</v>
      </c>
      <c r="C1009" s="1">
        <v>42931</v>
      </c>
      <c r="D1009">
        <f>YEAR(AMAZON_FASHION_5__2[[#This Row],[reviewDate]])</f>
        <v>2017</v>
      </c>
      <c r="E1009" s="1" t="str">
        <f>TEXT(AMAZON_FASHION_5__2[[#This Row],[reviewDate]], "mmmm")</f>
        <v>July</v>
      </c>
      <c r="F1009" t="s">
        <v>705</v>
      </c>
      <c r="G1009" t="s">
        <v>1456</v>
      </c>
      <c r="H1009" t="s">
        <v>205</v>
      </c>
      <c r="I1009" t="s">
        <v>396</v>
      </c>
      <c r="J1009" t="s">
        <v>706</v>
      </c>
      <c r="K1009" t="s">
        <v>707</v>
      </c>
      <c r="L1009" t="s">
        <v>17</v>
      </c>
      <c r="M1009">
        <v>1500076800</v>
      </c>
      <c r="N1009" t="s">
        <v>1628</v>
      </c>
      <c r="O1009" t="s">
        <v>1628</v>
      </c>
      <c r="P1009" t="s">
        <v>1628</v>
      </c>
      <c r="Q1009">
        <f>LEN(AMAZON_FASHION_5__2[[#This Row],[reviewText]])</f>
        <v>30</v>
      </c>
      <c r="R1009" t="str">
        <f>IF(AMAZON_FASHION_5__2[[#This Row],[overall]]&gt;=4,"Positive",IF(AMAZON_FASHION_5__2[[#This Row],[overall]]&lt;=2,"Negative","Neutral"))</f>
        <v>Positive</v>
      </c>
      <c r="S10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10" spans="1:19" x14ac:dyDescent="0.25">
      <c r="A1010">
        <v>3</v>
      </c>
      <c r="B1010" t="b">
        <v>1</v>
      </c>
      <c r="C1010" s="1">
        <v>42931</v>
      </c>
      <c r="D1010">
        <f>YEAR(AMAZON_FASHION_5__2[[#This Row],[reviewDate]])</f>
        <v>2017</v>
      </c>
      <c r="E1010" s="1" t="str">
        <f>TEXT(AMAZON_FASHION_5__2[[#This Row],[reviewDate]], "mmmm")</f>
        <v>July</v>
      </c>
      <c r="F1010" t="s">
        <v>708</v>
      </c>
      <c r="G1010" t="s">
        <v>1456</v>
      </c>
      <c r="H1010" t="s">
        <v>230</v>
      </c>
      <c r="I1010" t="s">
        <v>274</v>
      </c>
      <c r="J1010" t="s">
        <v>709</v>
      </c>
      <c r="K1010" t="s">
        <v>710</v>
      </c>
      <c r="L1010" t="s">
        <v>711</v>
      </c>
      <c r="M1010">
        <v>1500076800</v>
      </c>
      <c r="N1010" t="s">
        <v>1628</v>
      </c>
      <c r="O1010" t="s">
        <v>1628</v>
      </c>
      <c r="P1010" t="s">
        <v>1628</v>
      </c>
      <c r="Q1010">
        <f>LEN(AMAZON_FASHION_5__2[[#This Row],[reviewText]])</f>
        <v>130</v>
      </c>
      <c r="R1010" t="str">
        <f>IF(AMAZON_FASHION_5__2[[#This Row],[overall]]&gt;=4,"Positive",IF(AMAZON_FASHION_5__2[[#This Row],[overall]]&lt;=2,"Negative","Neutral"))</f>
        <v>Neutral</v>
      </c>
      <c r="S10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11" spans="1:19" x14ac:dyDescent="0.25">
      <c r="A1011">
        <v>5</v>
      </c>
      <c r="B1011" t="b">
        <v>1</v>
      </c>
      <c r="C1011" s="1">
        <v>42925</v>
      </c>
      <c r="D1011">
        <f>YEAR(AMAZON_FASHION_5__2[[#This Row],[reviewDate]])</f>
        <v>2017</v>
      </c>
      <c r="E1011" s="1" t="str">
        <f>TEXT(AMAZON_FASHION_5__2[[#This Row],[reviewDate]], "mmmm")</f>
        <v>July</v>
      </c>
      <c r="F1011" t="s">
        <v>712</v>
      </c>
      <c r="G1011" t="s">
        <v>1456</v>
      </c>
      <c r="H1011" t="s">
        <v>477</v>
      </c>
      <c r="I1011" t="s">
        <v>419</v>
      </c>
      <c r="J1011" t="s">
        <v>713</v>
      </c>
      <c r="K1011" t="s">
        <v>714</v>
      </c>
      <c r="L1011" t="s">
        <v>715</v>
      </c>
      <c r="M1011">
        <v>1499558400</v>
      </c>
      <c r="N1011" t="s">
        <v>1628</v>
      </c>
      <c r="O1011" t="s">
        <v>1628</v>
      </c>
      <c r="P1011" t="s">
        <v>1628</v>
      </c>
      <c r="Q1011">
        <f>LEN(AMAZON_FASHION_5__2[[#This Row],[reviewText]])</f>
        <v>112</v>
      </c>
      <c r="R1011" t="str">
        <f>IF(AMAZON_FASHION_5__2[[#This Row],[overall]]&gt;=4,"Positive",IF(AMAZON_FASHION_5__2[[#This Row],[overall]]&lt;=2,"Negative","Neutral"))</f>
        <v>Positive</v>
      </c>
      <c r="S10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12" spans="1:19" x14ac:dyDescent="0.25">
      <c r="A1012">
        <v>5</v>
      </c>
      <c r="B1012" t="b">
        <v>1</v>
      </c>
      <c r="C1012" s="1">
        <v>42924</v>
      </c>
      <c r="D1012">
        <f>YEAR(AMAZON_FASHION_5__2[[#This Row],[reviewDate]])</f>
        <v>2017</v>
      </c>
      <c r="E1012" s="1" t="str">
        <f>TEXT(AMAZON_FASHION_5__2[[#This Row],[reviewDate]], "mmmm")</f>
        <v>July</v>
      </c>
      <c r="F1012" t="s">
        <v>716</v>
      </c>
      <c r="G1012" t="s">
        <v>1456</v>
      </c>
      <c r="H1012" t="s">
        <v>717</v>
      </c>
      <c r="I1012" t="s">
        <v>336</v>
      </c>
      <c r="J1012" t="s">
        <v>718</v>
      </c>
      <c r="K1012" t="s">
        <v>719</v>
      </c>
      <c r="L1012" t="s">
        <v>720</v>
      </c>
      <c r="M1012">
        <v>1499472000</v>
      </c>
      <c r="N1012" t="s">
        <v>1628</v>
      </c>
      <c r="O1012" t="s">
        <v>1628</v>
      </c>
      <c r="P1012" t="s">
        <v>1628</v>
      </c>
      <c r="Q1012">
        <f>LEN(AMAZON_FASHION_5__2[[#This Row],[reviewText]])</f>
        <v>22</v>
      </c>
      <c r="R1012" t="str">
        <f>IF(AMAZON_FASHION_5__2[[#This Row],[overall]]&gt;=4,"Positive",IF(AMAZON_FASHION_5__2[[#This Row],[overall]]&lt;=2,"Negative","Neutral"))</f>
        <v>Positive</v>
      </c>
      <c r="S10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13" spans="1:19" x14ac:dyDescent="0.25">
      <c r="A1013">
        <v>4</v>
      </c>
      <c r="B1013" t="b">
        <v>1</v>
      </c>
      <c r="C1013" s="1">
        <v>42923</v>
      </c>
      <c r="D1013">
        <f>YEAR(AMAZON_FASHION_5__2[[#This Row],[reviewDate]])</f>
        <v>2017</v>
      </c>
      <c r="E1013" s="1" t="str">
        <f>TEXT(AMAZON_FASHION_5__2[[#This Row],[reviewDate]], "mmmm")</f>
        <v>July</v>
      </c>
      <c r="F1013" t="s">
        <v>721</v>
      </c>
      <c r="G1013" t="s">
        <v>1456</v>
      </c>
      <c r="H1013" t="s">
        <v>201</v>
      </c>
      <c r="I1013" t="s">
        <v>198</v>
      </c>
      <c r="J1013" t="s">
        <v>722</v>
      </c>
      <c r="K1013" t="s">
        <v>723</v>
      </c>
      <c r="L1013" t="s">
        <v>724</v>
      </c>
      <c r="M1013">
        <v>1499385600</v>
      </c>
      <c r="N1013" t="s">
        <v>1628</v>
      </c>
      <c r="O1013" t="s">
        <v>1628</v>
      </c>
      <c r="P1013" t="s">
        <v>1628</v>
      </c>
      <c r="Q1013">
        <f>LEN(AMAZON_FASHION_5__2[[#This Row],[reviewText]])</f>
        <v>453</v>
      </c>
      <c r="R1013" t="str">
        <f>IF(AMAZON_FASHION_5__2[[#This Row],[overall]]&gt;=4,"Positive",IF(AMAZON_FASHION_5__2[[#This Row],[overall]]&lt;=2,"Negative","Neutral"))</f>
        <v>Positive</v>
      </c>
      <c r="S10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14" spans="1:19" x14ac:dyDescent="0.25">
      <c r="A1014">
        <v>3</v>
      </c>
      <c r="B1014" t="b">
        <v>0</v>
      </c>
      <c r="C1014" s="1">
        <v>42917</v>
      </c>
      <c r="D1014">
        <f>YEAR(AMAZON_FASHION_5__2[[#This Row],[reviewDate]])</f>
        <v>2017</v>
      </c>
      <c r="E1014" s="1" t="str">
        <f>TEXT(AMAZON_FASHION_5__2[[#This Row],[reviewDate]], "mmmm")</f>
        <v>July</v>
      </c>
      <c r="F1014" t="s">
        <v>725</v>
      </c>
      <c r="G1014" t="s">
        <v>1456</v>
      </c>
      <c r="H1014" t="s">
        <v>261</v>
      </c>
      <c r="I1014" t="s">
        <v>99</v>
      </c>
      <c r="J1014" t="s">
        <v>726</v>
      </c>
      <c r="K1014" t="s">
        <v>727</v>
      </c>
      <c r="L1014" t="s">
        <v>728</v>
      </c>
      <c r="M1014">
        <v>1498867200</v>
      </c>
      <c r="N1014" t="s">
        <v>1628</v>
      </c>
      <c r="O1014" t="s">
        <v>1628</v>
      </c>
      <c r="P1014" t="s">
        <v>1628</v>
      </c>
      <c r="Q1014">
        <f>LEN(AMAZON_FASHION_5__2[[#This Row],[reviewText]])</f>
        <v>566</v>
      </c>
      <c r="R1014" t="str">
        <f>IF(AMAZON_FASHION_5__2[[#This Row],[overall]]&gt;=4,"Positive",IF(AMAZON_FASHION_5__2[[#This Row],[overall]]&lt;=2,"Negative","Neutral"))</f>
        <v>Neutral</v>
      </c>
      <c r="S10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15" spans="1:19" x14ac:dyDescent="0.25">
      <c r="A1015">
        <v>5</v>
      </c>
      <c r="B1015" t="b">
        <v>1</v>
      </c>
      <c r="C1015" s="1">
        <v>42916</v>
      </c>
      <c r="D1015">
        <f>YEAR(AMAZON_FASHION_5__2[[#This Row],[reviewDate]])</f>
        <v>2017</v>
      </c>
      <c r="E1015" s="1" t="str">
        <f>TEXT(AMAZON_FASHION_5__2[[#This Row],[reviewDate]], "mmmm")</f>
        <v>June</v>
      </c>
      <c r="F1015" t="s">
        <v>729</v>
      </c>
      <c r="G1015" t="s">
        <v>1456</v>
      </c>
      <c r="H1015" t="s">
        <v>201</v>
      </c>
      <c r="I1015" t="s">
        <v>198</v>
      </c>
      <c r="J1015" t="s">
        <v>730</v>
      </c>
      <c r="K1015" t="s">
        <v>731</v>
      </c>
      <c r="L1015" t="s">
        <v>732</v>
      </c>
      <c r="M1015">
        <v>1498780800</v>
      </c>
      <c r="N1015" t="s">
        <v>1628</v>
      </c>
      <c r="O1015" t="s">
        <v>1628</v>
      </c>
      <c r="P1015" t="s">
        <v>1628</v>
      </c>
      <c r="Q1015">
        <f>LEN(AMAZON_FASHION_5__2[[#This Row],[reviewText]])</f>
        <v>5</v>
      </c>
      <c r="R1015" t="str">
        <f>IF(AMAZON_FASHION_5__2[[#This Row],[overall]]&gt;=4,"Positive",IF(AMAZON_FASHION_5__2[[#This Row],[overall]]&lt;=2,"Negative","Neutral"))</f>
        <v>Positive</v>
      </c>
      <c r="S10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16" spans="1:19" x14ac:dyDescent="0.25">
      <c r="A1016">
        <v>5</v>
      </c>
      <c r="B1016" t="b">
        <v>1</v>
      </c>
      <c r="C1016" s="1">
        <v>42914</v>
      </c>
      <c r="D1016">
        <f>YEAR(AMAZON_FASHION_5__2[[#This Row],[reviewDate]])</f>
        <v>2017</v>
      </c>
      <c r="E1016" s="1" t="str">
        <f>TEXT(AMAZON_FASHION_5__2[[#This Row],[reviewDate]], "mmmm")</f>
        <v>June</v>
      </c>
      <c r="F1016" t="s">
        <v>733</v>
      </c>
      <c r="G1016" t="s">
        <v>1456</v>
      </c>
      <c r="H1016" t="s">
        <v>235</v>
      </c>
      <c r="I1016" t="s">
        <v>493</v>
      </c>
      <c r="J1016" t="s">
        <v>734</v>
      </c>
      <c r="K1016" t="s">
        <v>735</v>
      </c>
      <c r="L1016" t="s">
        <v>17</v>
      </c>
      <c r="M1016">
        <v>1498608000</v>
      </c>
      <c r="N1016" t="s">
        <v>1628</v>
      </c>
      <c r="O1016" t="s">
        <v>1628</v>
      </c>
      <c r="P1016" t="s">
        <v>1628</v>
      </c>
      <c r="Q1016">
        <f>LEN(AMAZON_FASHION_5__2[[#This Row],[reviewText]])</f>
        <v>18</v>
      </c>
      <c r="R1016" t="str">
        <f>IF(AMAZON_FASHION_5__2[[#This Row],[overall]]&gt;=4,"Positive",IF(AMAZON_FASHION_5__2[[#This Row],[overall]]&lt;=2,"Negative","Neutral"))</f>
        <v>Positive</v>
      </c>
      <c r="S10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17" spans="1:19" x14ac:dyDescent="0.25">
      <c r="A1017">
        <v>5</v>
      </c>
      <c r="B1017" t="b">
        <v>1</v>
      </c>
      <c r="C1017" s="1">
        <v>42912</v>
      </c>
      <c r="D1017">
        <f>YEAR(AMAZON_FASHION_5__2[[#This Row],[reviewDate]])</f>
        <v>2017</v>
      </c>
      <c r="E1017" s="1" t="str">
        <f>TEXT(AMAZON_FASHION_5__2[[#This Row],[reviewDate]], "mmmm")</f>
        <v>June</v>
      </c>
      <c r="F1017" t="s">
        <v>736</v>
      </c>
      <c r="G1017" t="s">
        <v>1456</v>
      </c>
      <c r="H1017" t="s">
        <v>201</v>
      </c>
      <c r="I1017" t="s">
        <v>524</v>
      </c>
      <c r="J1017" t="s">
        <v>737</v>
      </c>
      <c r="K1017" t="s">
        <v>738</v>
      </c>
      <c r="L1017" t="s">
        <v>17</v>
      </c>
      <c r="M1017">
        <v>1498435200</v>
      </c>
      <c r="N1017" t="s">
        <v>1628</v>
      </c>
      <c r="O1017" t="s">
        <v>1628</v>
      </c>
      <c r="P1017" t="s">
        <v>1628</v>
      </c>
      <c r="Q1017">
        <f>LEN(AMAZON_FASHION_5__2[[#This Row],[reviewText]])</f>
        <v>8</v>
      </c>
      <c r="R1017" t="str">
        <f>IF(AMAZON_FASHION_5__2[[#This Row],[overall]]&gt;=4,"Positive",IF(AMAZON_FASHION_5__2[[#This Row],[overall]]&lt;=2,"Negative","Neutral"))</f>
        <v>Positive</v>
      </c>
      <c r="S10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18" spans="1:19" x14ac:dyDescent="0.25">
      <c r="A1018">
        <v>5</v>
      </c>
      <c r="B1018" t="b">
        <v>1</v>
      </c>
      <c r="C1018" s="1">
        <v>42907</v>
      </c>
      <c r="D1018">
        <f>YEAR(AMAZON_FASHION_5__2[[#This Row],[reviewDate]])</f>
        <v>2017</v>
      </c>
      <c r="E1018" s="1" t="str">
        <f>TEXT(AMAZON_FASHION_5__2[[#This Row],[reviewDate]], "mmmm")</f>
        <v>June</v>
      </c>
      <c r="F1018" t="s">
        <v>739</v>
      </c>
      <c r="G1018" t="s">
        <v>1456</v>
      </c>
      <c r="H1018" t="s">
        <v>210</v>
      </c>
      <c r="I1018" t="s">
        <v>303</v>
      </c>
      <c r="J1018" t="s">
        <v>63</v>
      </c>
      <c r="K1018" t="s">
        <v>740</v>
      </c>
      <c r="L1018" t="s">
        <v>741</v>
      </c>
      <c r="M1018">
        <v>1498003200</v>
      </c>
      <c r="N1018" t="s">
        <v>1628</v>
      </c>
      <c r="O1018" t="s">
        <v>1628</v>
      </c>
      <c r="P1018" t="s">
        <v>1628</v>
      </c>
      <c r="Q1018">
        <f>LEN(AMAZON_FASHION_5__2[[#This Row],[reviewText]])</f>
        <v>141</v>
      </c>
      <c r="R1018" t="str">
        <f>IF(AMAZON_FASHION_5__2[[#This Row],[overall]]&gt;=4,"Positive",IF(AMAZON_FASHION_5__2[[#This Row],[overall]]&lt;=2,"Negative","Neutral"))</f>
        <v>Positive</v>
      </c>
      <c r="S10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19" spans="1:19" x14ac:dyDescent="0.25">
      <c r="A1019">
        <v>5</v>
      </c>
      <c r="B1019" t="b">
        <v>1</v>
      </c>
      <c r="C1019" s="1">
        <v>42906</v>
      </c>
      <c r="D1019">
        <f>YEAR(AMAZON_FASHION_5__2[[#This Row],[reviewDate]])</f>
        <v>2017</v>
      </c>
      <c r="E1019" s="1" t="str">
        <f>TEXT(AMAZON_FASHION_5__2[[#This Row],[reviewDate]], "mmmm")</f>
        <v>June</v>
      </c>
      <c r="F1019" t="s">
        <v>742</v>
      </c>
      <c r="G1019" t="s">
        <v>1456</v>
      </c>
      <c r="H1019" t="s">
        <v>415</v>
      </c>
      <c r="I1019" t="s">
        <v>336</v>
      </c>
      <c r="J1019" t="s">
        <v>743</v>
      </c>
      <c r="K1019" t="s">
        <v>744</v>
      </c>
      <c r="L1019" t="s">
        <v>745</v>
      </c>
      <c r="M1019">
        <v>1497916800</v>
      </c>
      <c r="N1019" t="s">
        <v>1628</v>
      </c>
      <c r="O1019" t="s">
        <v>1628</v>
      </c>
      <c r="P1019" t="s">
        <v>1628</v>
      </c>
      <c r="Q1019">
        <f>LEN(AMAZON_FASHION_5__2[[#This Row],[reviewText]])</f>
        <v>275</v>
      </c>
      <c r="R1019" t="str">
        <f>IF(AMAZON_FASHION_5__2[[#This Row],[overall]]&gt;=4,"Positive",IF(AMAZON_FASHION_5__2[[#This Row],[overall]]&lt;=2,"Negative","Neutral"))</f>
        <v>Positive</v>
      </c>
      <c r="S10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20" spans="1:19" x14ac:dyDescent="0.25">
      <c r="A1020">
        <v>5</v>
      </c>
      <c r="B1020" t="b">
        <v>1</v>
      </c>
      <c r="C1020" s="1">
        <v>42906</v>
      </c>
      <c r="D1020">
        <f>YEAR(AMAZON_FASHION_5__2[[#This Row],[reviewDate]])</f>
        <v>2017</v>
      </c>
      <c r="E1020" s="1" t="str">
        <f>TEXT(AMAZON_FASHION_5__2[[#This Row],[reviewDate]], "mmmm")</f>
        <v>June</v>
      </c>
      <c r="F1020" t="s">
        <v>746</v>
      </c>
      <c r="G1020" t="s">
        <v>1456</v>
      </c>
      <c r="H1020" t="s">
        <v>201</v>
      </c>
      <c r="I1020" t="s">
        <v>198</v>
      </c>
      <c r="J1020" t="s">
        <v>747</v>
      </c>
      <c r="K1020" t="s">
        <v>748</v>
      </c>
      <c r="L1020" t="s">
        <v>749</v>
      </c>
      <c r="M1020">
        <v>1497916800</v>
      </c>
      <c r="N1020" t="s">
        <v>1628</v>
      </c>
      <c r="O1020" t="s">
        <v>1628</v>
      </c>
      <c r="P1020" t="s">
        <v>1628</v>
      </c>
      <c r="Q1020">
        <f>LEN(AMAZON_FASHION_5__2[[#This Row],[reviewText]])</f>
        <v>69</v>
      </c>
      <c r="R1020" t="str">
        <f>IF(AMAZON_FASHION_5__2[[#This Row],[overall]]&gt;=4,"Positive",IF(AMAZON_FASHION_5__2[[#This Row],[overall]]&lt;=2,"Negative","Neutral"))</f>
        <v>Positive</v>
      </c>
      <c r="S10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21" spans="1:19" x14ac:dyDescent="0.25">
      <c r="A1021">
        <v>4</v>
      </c>
      <c r="B1021" t="b">
        <v>1</v>
      </c>
      <c r="C1021" s="1">
        <v>42905</v>
      </c>
      <c r="D1021">
        <f>YEAR(AMAZON_FASHION_5__2[[#This Row],[reviewDate]])</f>
        <v>2017</v>
      </c>
      <c r="E1021" s="1" t="str">
        <f>TEXT(AMAZON_FASHION_5__2[[#This Row],[reviewDate]], "mmmm")</f>
        <v>June</v>
      </c>
      <c r="F1021" t="s">
        <v>750</v>
      </c>
      <c r="G1021" t="s">
        <v>1456</v>
      </c>
      <c r="H1021" t="s">
        <v>201</v>
      </c>
      <c r="I1021" t="s">
        <v>198</v>
      </c>
      <c r="J1021" t="s">
        <v>751</v>
      </c>
      <c r="K1021" t="s">
        <v>752</v>
      </c>
      <c r="L1021" t="s">
        <v>103</v>
      </c>
      <c r="M1021">
        <v>1497830400</v>
      </c>
      <c r="N1021" t="s">
        <v>1628</v>
      </c>
      <c r="O1021" t="s">
        <v>1628</v>
      </c>
      <c r="P1021" t="s">
        <v>1628</v>
      </c>
      <c r="Q1021">
        <f>LEN(AMAZON_FASHION_5__2[[#This Row],[reviewText]])</f>
        <v>12</v>
      </c>
      <c r="R1021" t="str">
        <f>IF(AMAZON_FASHION_5__2[[#This Row],[overall]]&gt;=4,"Positive",IF(AMAZON_FASHION_5__2[[#This Row],[overall]]&lt;=2,"Negative","Neutral"))</f>
        <v>Positive</v>
      </c>
      <c r="S10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22" spans="1:19" x14ac:dyDescent="0.25">
      <c r="A1022">
        <v>5</v>
      </c>
      <c r="B1022" t="b">
        <v>1</v>
      </c>
      <c r="C1022" s="1">
        <v>42905</v>
      </c>
      <c r="D1022">
        <f>YEAR(AMAZON_FASHION_5__2[[#This Row],[reviewDate]])</f>
        <v>2017</v>
      </c>
      <c r="E1022" s="1" t="str">
        <f>TEXT(AMAZON_FASHION_5__2[[#This Row],[reviewDate]], "mmmm")</f>
        <v>June</v>
      </c>
      <c r="F1022" t="s">
        <v>753</v>
      </c>
      <c r="G1022" t="s">
        <v>1456</v>
      </c>
      <c r="H1022" t="s">
        <v>284</v>
      </c>
      <c r="I1022" t="s">
        <v>198</v>
      </c>
      <c r="J1022" t="s">
        <v>754</v>
      </c>
      <c r="K1022" t="s">
        <v>755</v>
      </c>
      <c r="L1022" t="s">
        <v>756</v>
      </c>
      <c r="M1022">
        <v>1497830400</v>
      </c>
      <c r="N1022" t="s">
        <v>1628</v>
      </c>
      <c r="O1022" t="s">
        <v>1628</v>
      </c>
      <c r="P1022" t="s">
        <v>1628</v>
      </c>
      <c r="Q1022">
        <f>LEN(AMAZON_FASHION_5__2[[#This Row],[reviewText]])</f>
        <v>108</v>
      </c>
      <c r="R1022" t="str">
        <f>IF(AMAZON_FASHION_5__2[[#This Row],[overall]]&gt;=4,"Positive",IF(AMAZON_FASHION_5__2[[#This Row],[overall]]&lt;=2,"Negative","Neutral"))</f>
        <v>Positive</v>
      </c>
      <c r="S10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23" spans="1:19" x14ac:dyDescent="0.25">
      <c r="A1023">
        <v>5</v>
      </c>
      <c r="B1023" t="b">
        <v>1</v>
      </c>
      <c r="C1023" s="1">
        <v>42905</v>
      </c>
      <c r="D1023">
        <f>YEAR(AMAZON_FASHION_5__2[[#This Row],[reviewDate]])</f>
        <v>2017</v>
      </c>
      <c r="E1023" s="1" t="str">
        <f>TEXT(AMAZON_FASHION_5__2[[#This Row],[reviewDate]], "mmmm")</f>
        <v>June</v>
      </c>
      <c r="F1023" t="s">
        <v>757</v>
      </c>
      <c r="G1023" t="s">
        <v>1456</v>
      </c>
      <c r="H1023" t="s">
        <v>210</v>
      </c>
      <c r="I1023" t="s">
        <v>198</v>
      </c>
      <c r="J1023" t="s">
        <v>63</v>
      </c>
      <c r="K1023" t="s">
        <v>758</v>
      </c>
      <c r="L1023" t="s">
        <v>759</v>
      </c>
      <c r="M1023">
        <v>1497830400</v>
      </c>
      <c r="N1023" t="s">
        <v>1628</v>
      </c>
      <c r="O1023" t="s">
        <v>1628</v>
      </c>
      <c r="P1023" t="s">
        <v>1628</v>
      </c>
      <c r="Q1023">
        <f>LEN(AMAZON_FASHION_5__2[[#This Row],[reviewText]])</f>
        <v>76</v>
      </c>
      <c r="R1023" t="str">
        <f>IF(AMAZON_FASHION_5__2[[#This Row],[overall]]&gt;=4,"Positive",IF(AMAZON_FASHION_5__2[[#This Row],[overall]]&lt;=2,"Negative","Neutral"))</f>
        <v>Positive</v>
      </c>
      <c r="S10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24" spans="1:19" x14ac:dyDescent="0.25">
      <c r="A1024">
        <v>3</v>
      </c>
      <c r="B1024" t="b">
        <v>1</v>
      </c>
      <c r="C1024" s="1">
        <v>42902</v>
      </c>
      <c r="D1024">
        <f>YEAR(AMAZON_FASHION_5__2[[#This Row],[reviewDate]])</f>
        <v>2017</v>
      </c>
      <c r="E1024" s="1" t="str">
        <f>TEXT(AMAZON_FASHION_5__2[[#This Row],[reviewDate]], "mmmm")</f>
        <v>June</v>
      </c>
      <c r="F1024" t="s">
        <v>760</v>
      </c>
      <c r="G1024" t="s">
        <v>1456</v>
      </c>
      <c r="H1024" t="s">
        <v>205</v>
      </c>
      <c r="I1024" t="s">
        <v>198</v>
      </c>
      <c r="J1024" t="s">
        <v>761</v>
      </c>
      <c r="K1024" t="s">
        <v>762</v>
      </c>
      <c r="L1024" t="s">
        <v>763</v>
      </c>
      <c r="M1024">
        <v>1497571200</v>
      </c>
      <c r="N1024" t="s">
        <v>1628</v>
      </c>
      <c r="O1024" t="s">
        <v>1628</v>
      </c>
      <c r="P1024" t="s">
        <v>1628</v>
      </c>
      <c r="Q1024">
        <f>LEN(AMAZON_FASHION_5__2[[#This Row],[reviewText]])</f>
        <v>468</v>
      </c>
      <c r="R1024" t="str">
        <f>IF(AMAZON_FASHION_5__2[[#This Row],[overall]]&gt;=4,"Positive",IF(AMAZON_FASHION_5__2[[#This Row],[overall]]&lt;=2,"Negative","Neutral"))</f>
        <v>Neutral</v>
      </c>
      <c r="S10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25" spans="1:19" x14ac:dyDescent="0.25">
      <c r="A1025">
        <v>5</v>
      </c>
      <c r="B1025" t="b">
        <v>1</v>
      </c>
      <c r="C1025" s="1">
        <v>42901</v>
      </c>
      <c r="D1025">
        <f>YEAR(AMAZON_FASHION_5__2[[#This Row],[reviewDate]])</f>
        <v>2017</v>
      </c>
      <c r="E1025" s="1" t="str">
        <f>TEXT(AMAZON_FASHION_5__2[[#This Row],[reviewDate]], "mmmm")</f>
        <v>June</v>
      </c>
      <c r="F1025" t="s">
        <v>764</v>
      </c>
      <c r="G1025" t="s">
        <v>1456</v>
      </c>
      <c r="H1025" t="s">
        <v>235</v>
      </c>
      <c r="I1025" t="s">
        <v>198</v>
      </c>
      <c r="J1025" t="s">
        <v>765</v>
      </c>
      <c r="K1025" t="s">
        <v>766</v>
      </c>
      <c r="L1025" t="s">
        <v>767</v>
      </c>
      <c r="M1025">
        <v>1497484800</v>
      </c>
      <c r="N1025" t="s">
        <v>1628</v>
      </c>
      <c r="O1025" t="s">
        <v>1628</v>
      </c>
      <c r="P1025" t="s">
        <v>1628</v>
      </c>
      <c r="Q1025">
        <f>LEN(AMAZON_FASHION_5__2[[#This Row],[reviewText]])</f>
        <v>125</v>
      </c>
      <c r="R1025" t="str">
        <f>IF(AMAZON_FASHION_5__2[[#This Row],[overall]]&gt;=4,"Positive",IF(AMAZON_FASHION_5__2[[#This Row],[overall]]&lt;=2,"Negative","Neutral"))</f>
        <v>Positive</v>
      </c>
      <c r="S10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26" spans="1:19" x14ac:dyDescent="0.25">
      <c r="A1026">
        <v>5</v>
      </c>
      <c r="B1026" t="b">
        <v>1</v>
      </c>
      <c r="C1026" s="1">
        <v>42901</v>
      </c>
      <c r="D1026">
        <f>YEAR(AMAZON_FASHION_5__2[[#This Row],[reviewDate]])</f>
        <v>2017</v>
      </c>
      <c r="E1026" s="1" t="str">
        <f>TEXT(AMAZON_FASHION_5__2[[#This Row],[reviewDate]], "mmmm")</f>
        <v>June</v>
      </c>
      <c r="F1026" t="s">
        <v>768</v>
      </c>
      <c r="G1026" t="s">
        <v>1456</v>
      </c>
      <c r="H1026" t="s">
        <v>210</v>
      </c>
      <c r="I1026" t="s">
        <v>419</v>
      </c>
      <c r="J1026" t="s">
        <v>769</v>
      </c>
      <c r="K1026" t="s">
        <v>770</v>
      </c>
      <c r="L1026" t="s">
        <v>17</v>
      </c>
      <c r="M1026">
        <v>1497484800</v>
      </c>
      <c r="N1026" t="s">
        <v>1628</v>
      </c>
      <c r="O1026" t="s">
        <v>1628</v>
      </c>
      <c r="P1026" t="s">
        <v>1628</v>
      </c>
      <c r="Q1026">
        <f>LEN(AMAZON_FASHION_5__2[[#This Row],[reviewText]])</f>
        <v>56</v>
      </c>
      <c r="R1026" t="str">
        <f>IF(AMAZON_FASHION_5__2[[#This Row],[overall]]&gt;=4,"Positive",IF(AMAZON_FASHION_5__2[[#This Row],[overall]]&lt;=2,"Negative","Neutral"))</f>
        <v>Positive</v>
      </c>
      <c r="S10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27" spans="1:19" x14ac:dyDescent="0.25">
      <c r="A1027">
        <v>5</v>
      </c>
      <c r="B1027" t="b">
        <v>1</v>
      </c>
      <c r="C1027" s="1">
        <v>42900</v>
      </c>
      <c r="D1027">
        <f>YEAR(AMAZON_FASHION_5__2[[#This Row],[reviewDate]])</f>
        <v>2017</v>
      </c>
      <c r="E1027" s="1" t="str">
        <f>TEXT(AMAZON_FASHION_5__2[[#This Row],[reviewDate]], "mmmm")</f>
        <v>June</v>
      </c>
      <c r="F1027" t="s">
        <v>771</v>
      </c>
      <c r="G1027" t="s">
        <v>1456</v>
      </c>
      <c r="H1027" t="s">
        <v>201</v>
      </c>
      <c r="I1027" t="s">
        <v>211</v>
      </c>
      <c r="J1027" t="s">
        <v>63</v>
      </c>
      <c r="K1027" t="s">
        <v>772</v>
      </c>
      <c r="L1027" t="s">
        <v>17</v>
      </c>
      <c r="M1027">
        <v>1497398400</v>
      </c>
      <c r="N1027" t="s">
        <v>1628</v>
      </c>
      <c r="O1027" t="s">
        <v>1628</v>
      </c>
      <c r="P1027" t="s">
        <v>1628</v>
      </c>
      <c r="Q1027">
        <f>LEN(AMAZON_FASHION_5__2[[#This Row],[reviewText]])</f>
        <v>21</v>
      </c>
      <c r="R1027" t="str">
        <f>IF(AMAZON_FASHION_5__2[[#This Row],[overall]]&gt;=4,"Positive",IF(AMAZON_FASHION_5__2[[#This Row],[overall]]&lt;=2,"Negative","Neutral"))</f>
        <v>Positive</v>
      </c>
      <c r="S10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28" spans="1:19" x14ac:dyDescent="0.25">
      <c r="A1028">
        <v>5</v>
      </c>
      <c r="B1028" t="b">
        <v>1</v>
      </c>
      <c r="C1028" s="1">
        <v>42899</v>
      </c>
      <c r="D1028">
        <f>YEAR(AMAZON_FASHION_5__2[[#This Row],[reviewDate]])</f>
        <v>2017</v>
      </c>
      <c r="E1028" s="1" t="str">
        <f>TEXT(AMAZON_FASHION_5__2[[#This Row],[reviewDate]], "mmmm")</f>
        <v>June</v>
      </c>
      <c r="F1028" t="s">
        <v>773</v>
      </c>
      <c r="G1028" t="s">
        <v>1456</v>
      </c>
      <c r="H1028" t="s">
        <v>235</v>
      </c>
      <c r="I1028" t="s">
        <v>493</v>
      </c>
      <c r="J1028" t="s">
        <v>774</v>
      </c>
      <c r="K1028" t="s">
        <v>775</v>
      </c>
      <c r="L1028" t="s">
        <v>17</v>
      </c>
      <c r="M1028">
        <v>1497312000</v>
      </c>
      <c r="N1028" t="s">
        <v>1628</v>
      </c>
      <c r="O1028" t="s">
        <v>1628</v>
      </c>
      <c r="P1028" t="s">
        <v>1628</v>
      </c>
      <c r="Q1028">
        <f>LEN(AMAZON_FASHION_5__2[[#This Row],[reviewText]])</f>
        <v>64</v>
      </c>
      <c r="R1028" t="str">
        <f>IF(AMAZON_FASHION_5__2[[#This Row],[overall]]&gt;=4,"Positive",IF(AMAZON_FASHION_5__2[[#This Row],[overall]]&lt;=2,"Negative","Neutral"))</f>
        <v>Positive</v>
      </c>
      <c r="S10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29" spans="1:19" x14ac:dyDescent="0.25">
      <c r="A1029">
        <v>5</v>
      </c>
      <c r="B1029" t="b">
        <v>1</v>
      </c>
      <c r="C1029" s="1">
        <v>42894</v>
      </c>
      <c r="D1029">
        <f>YEAR(AMAZON_FASHION_5__2[[#This Row],[reviewDate]])</f>
        <v>2017</v>
      </c>
      <c r="E1029" s="1" t="str">
        <f>TEXT(AMAZON_FASHION_5__2[[#This Row],[reviewDate]], "mmmm")</f>
        <v>June</v>
      </c>
      <c r="F1029" t="s">
        <v>776</v>
      </c>
      <c r="G1029" t="s">
        <v>1456</v>
      </c>
      <c r="H1029" t="s">
        <v>235</v>
      </c>
      <c r="I1029" t="s">
        <v>303</v>
      </c>
      <c r="J1029" t="s">
        <v>777</v>
      </c>
      <c r="K1029" t="s">
        <v>778</v>
      </c>
      <c r="L1029" t="s">
        <v>17</v>
      </c>
      <c r="M1029">
        <v>1496880000</v>
      </c>
      <c r="N1029" t="s">
        <v>1628</v>
      </c>
      <c r="O1029" t="s">
        <v>1628</v>
      </c>
      <c r="P1029" t="s">
        <v>1628</v>
      </c>
      <c r="Q1029">
        <f>LEN(AMAZON_FASHION_5__2[[#This Row],[reviewText]])</f>
        <v>27</v>
      </c>
      <c r="R1029" t="str">
        <f>IF(AMAZON_FASHION_5__2[[#This Row],[overall]]&gt;=4,"Positive",IF(AMAZON_FASHION_5__2[[#This Row],[overall]]&lt;=2,"Negative","Neutral"))</f>
        <v>Positive</v>
      </c>
      <c r="S10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30" spans="1:19" x14ac:dyDescent="0.25">
      <c r="A1030">
        <v>1</v>
      </c>
      <c r="B1030" t="b">
        <v>1</v>
      </c>
      <c r="C1030" s="1">
        <v>42891</v>
      </c>
      <c r="D1030">
        <f>YEAR(AMAZON_FASHION_5__2[[#This Row],[reviewDate]])</f>
        <v>2017</v>
      </c>
      <c r="E1030" s="1" t="str">
        <f>TEXT(AMAZON_FASHION_5__2[[#This Row],[reviewDate]], "mmmm")</f>
        <v>June</v>
      </c>
      <c r="F1030" t="s">
        <v>779</v>
      </c>
      <c r="G1030" t="s">
        <v>1456</v>
      </c>
      <c r="H1030" t="s">
        <v>1477</v>
      </c>
      <c r="I1030" t="s">
        <v>336</v>
      </c>
      <c r="J1030" t="s">
        <v>780</v>
      </c>
      <c r="K1030" t="s">
        <v>781</v>
      </c>
      <c r="L1030" t="s">
        <v>782</v>
      </c>
      <c r="M1030">
        <v>1496620800</v>
      </c>
      <c r="N1030" t="s">
        <v>1628</v>
      </c>
      <c r="O1030" t="s">
        <v>1628</v>
      </c>
      <c r="P1030" t="s">
        <v>1628</v>
      </c>
      <c r="Q1030">
        <f>LEN(AMAZON_FASHION_5__2[[#This Row],[reviewText]])</f>
        <v>75</v>
      </c>
      <c r="R1030" t="str">
        <f>IF(AMAZON_FASHION_5__2[[#This Row],[overall]]&gt;=4,"Positive",IF(AMAZON_FASHION_5__2[[#This Row],[overall]]&lt;=2,"Negative","Neutral"))</f>
        <v>Negative</v>
      </c>
      <c r="S10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31" spans="1:19" x14ac:dyDescent="0.25">
      <c r="A1031">
        <v>5</v>
      </c>
      <c r="B1031" t="b">
        <v>1</v>
      </c>
      <c r="C1031" s="1">
        <v>42888</v>
      </c>
      <c r="D1031">
        <f>YEAR(AMAZON_FASHION_5__2[[#This Row],[reviewDate]])</f>
        <v>2017</v>
      </c>
      <c r="E1031" s="1" t="str">
        <f>TEXT(AMAZON_FASHION_5__2[[#This Row],[reviewDate]], "mmmm")</f>
        <v>June</v>
      </c>
      <c r="F1031" t="s">
        <v>783</v>
      </c>
      <c r="G1031" t="s">
        <v>1456</v>
      </c>
      <c r="H1031" t="s">
        <v>230</v>
      </c>
      <c r="I1031" t="s">
        <v>198</v>
      </c>
      <c r="J1031" t="s">
        <v>784</v>
      </c>
      <c r="K1031" t="s">
        <v>785</v>
      </c>
      <c r="L1031" t="s">
        <v>17</v>
      </c>
      <c r="M1031">
        <v>1496361600</v>
      </c>
      <c r="N1031" t="s">
        <v>1628</v>
      </c>
      <c r="O1031" t="s">
        <v>1628</v>
      </c>
      <c r="P1031" t="s">
        <v>1628</v>
      </c>
      <c r="Q1031">
        <f>LEN(AMAZON_FASHION_5__2[[#This Row],[reviewText]])</f>
        <v>91</v>
      </c>
      <c r="R1031" t="str">
        <f>IF(AMAZON_FASHION_5__2[[#This Row],[overall]]&gt;=4,"Positive",IF(AMAZON_FASHION_5__2[[#This Row],[overall]]&lt;=2,"Negative","Neutral"))</f>
        <v>Positive</v>
      </c>
      <c r="S10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32" spans="1:19" x14ac:dyDescent="0.25">
      <c r="A1032">
        <v>5</v>
      </c>
      <c r="B1032" t="b">
        <v>1</v>
      </c>
      <c r="C1032" s="1">
        <v>42885</v>
      </c>
      <c r="D1032">
        <f>YEAR(AMAZON_FASHION_5__2[[#This Row],[reviewDate]])</f>
        <v>2017</v>
      </c>
      <c r="E1032" s="1" t="str">
        <f>TEXT(AMAZON_FASHION_5__2[[#This Row],[reviewDate]], "mmmm")</f>
        <v>May</v>
      </c>
      <c r="F1032" t="s">
        <v>786</v>
      </c>
      <c r="G1032" t="s">
        <v>1456</v>
      </c>
      <c r="H1032" t="s">
        <v>197</v>
      </c>
      <c r="I1032" t="s">
        <v>198</v>
      </c>
      <c r="J1032" t="s">
        <v>787</v>
      </c>
      <c r="K1032" t="s">
        <v>543</v>
      </c>
      <c r="L1032" t="s">
        <v>17</v>
      </c>
      <c r="M1032">
        <v>1496102400</v>
      </c>
      <c r="N1032" t="s">
        <v>1628</v>
      </c>
      <c r="O1032" t="s">
        <v>1628</v>
      </c>
      <c r="P1032" t="s">
        <v>1628</v>
      </c>
      <c r="Q1032">
        <f>LEN(AMAZON_FASHION_5__2[[#This Row],[reviewText]])</f>
        <v>11</v>
      </c>
      <c r="R1032" t="str">
        <f>IF(AMAZON_FASHION_5__2[[#This Row],[overall]]&gt;=4,"Positive",IF(AMAZON_FASHION_5__2[[#This Row],[overall]]&lt;=2,"Negative","Neutral"))</f>
        <v>Positive</v>
      </c>
      <c r="S10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33" spans="1:19" x14ac:dyDescent="0.25">
      <c r="A1033">
        <v>5</v>
      </c>
      <c r="B1033" t="b">
        <v>1</v>
      </c>
      <c r="C1033" s="1">
        <v>42885</v>
      </c>
      <c r="D1033">
        <f>YEAR(AMAZON_FASHION_5__2[[#This Row],[reviewDate]])</f>
        <v>2017</v>
      </c>
      <c r="E1033" s="1" t="str">
        <f>TEXT(AMAZON_FASHION_5__2[[#This Row],[reviewDate]], "mmmm")</f>
        <v>May</v>
      </c>
      <c r="F1033" t="s">
        <v>788</v>
      </c>
      <c r="G1033" t="s">
        <v>1456</v>
      </c>
      <c r="H1033" t="s">
        <v>477</v>
      </c>
      <c r="I1033" t="s">
        <v>344</v>
      </c>
      <c r="J1033" t="s">
        <v>789</v>
      </c>
      <c r="K1033" t="s">
        <v>790</v>
      </c>
      <c r="L1033" t="s">
        <v>791</v>
      </c>
      <c r="M1033">
        <v>1496102400</v>
      </c>
      <c r="N1033" t="s">
        <v>1628</v>
      </c>
      <c r="O1033" t="s">
        <v>1628</v>
      </c>
      <c r="P1033" t="s">
        <v>1628</v>
      </c>
      <c r="Q1033">
        <f>LEN(AMAZON_FASHION_5__2[[#This Row],[reviewText]])</f>
        <v>61</v>
      </c>
      <c r="R1033" t="str">
        <f>IF(AMAZON_FASHION_5__2[[#This Row],[overall]]&gt;=4,"Positive",IF(AMAZON_FASHION_5__2[[#This Row],[overall]]&lt;=2,"Negative","Neutral"))</f>
        <v>Positive</v>
      </c>
      <c r="S10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34" spans="1:19" x14ac:dyDescent="0.25">
      <c r="A1034">
        <v>4</v>
      </c>
      <c r="B1034" t="b">
        <v>1</v>
      </c>
      <c r="C1034" s="1">
        <v>42884</v>
      </c>
      <c r="D1034">
        <f>YEAR(AMAZON_FASHION_5__2[[#This Row],[reviewDate]])</f>
        <v>2017</v>
      </c>
      <c r="E1034" s="1" t="str">
        <f>TEXT(AMAZON_FASHION_5__2[[#This Row],[reviewDate]], "mmmm")</f>
        <v>May</v>
      </c>
      <c r="F1034" t="s">
        <v>792</v>
      </c>
      <c r="G1034" t="s">
        <v>1456</v>
      </c>
      <c r="H1034" t="s">
        <v>415</v>
      </c>
      <c r="I1034" t="s">
        <v>336</v>
      </c>
      <c r="J1034" t="s">
        <v>793</v>
      </c>
      <c r="K1034" t="s">
        <v>794</v>
      </c>
      <c r="L1034" t="s">
        <v>795</v>
      </c>
      <c r="M1034">
        <v>1496016000</v>
      </c>
      <c r="N1034" t="s">
        <v>1628</v>
      </c>
      <c r="O1034" t="s">
        <v>1628</v>
      </c>
      <c r="P1034" t="s">
        <v>1628</v>
      </c>
      <c r="Q1034">
        <f>LEN(AMAZON_FASHION_5__2[[#This Row],[reviewText]])</f>
        <v>65</v>
      </c>
      <c r="R1034" t="str">
        <f>IF(AMAZON_FASHION_5__2[[#This Row],[overall]]&gt;=4,"Positive",IF(AMAZON_FASHION_5__2[[#This Row],[overall]]&lt;=2,"Negative","Neutral"))</f>
        <v>Positive</v>
      </c>
      <c r="S10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35" spans="1:19" x14ac:dyDescent="0.25">
      <c r="A1035">
        <v>3</v>
      </c>
      <c r="B1035" t="b">
        <v>1</v>
      </c>
      <c r="C1035" s="1">
        <v>42880</v>
      </c>
      <c r="D1035">
        <f>YEAR(AMAZON_FASHION_5__2[[#This Row],[reviewDate]])</f>
        <v>2017</v>
      </c>
      <c r="E1035" s="1" t="str">
        <f>TEXT(AMAZON_FASHION_5__2[[#This Row],[reviewDate]], "mmmm")</f>
        <v>May</v>
      </c>
      <c r="F1035" t="s">
        <v>796</v>
      </c>
      <c r="G1035" t="s">
        <v>1456</v>
      </c>
      <c r="H1035" t="s">
        <v>477</v>
      </c>
      <c r="I1035" t="s">
        <v>198</v>
      </c>
      <c r="J1035" t="s">
        <v>797</v>
      </c>
      <c r="K1035" t="s">
        <v>798</v>
      </c>
      <c r="L1035" t="s">
        <v>799</v>
      </c>
      <c r="M1035">
        <v>1495670400</v>
      </c>
      <c r="N1035" t="s">
        <v>1628</v>
      </c>
      <c r="O1035" t="s">
        <v>1628</v>
      </c>
      <c r="P1035" t="s">
        <v>1628</v>
      </c>
      <c r="Q1035">
        <f>LEN(AMAZON_FASHION_5__2[[#This Row],[reviewText]])</f>
        <v>40</v>
      </c>
      <c r="R1035" t="str">
        <f>IF(AMAZON_FASHION_5__2[[#This Row],[overall]]&gt;=4,"Positive",IF(AMAZON_FASHION_5__2[[#This Row],[overall]]&lt;=2,"Negative","Neutral"))</f>
        <v>Neutral</v>
      </c>
      <c r="S10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36" spans="1:19" x14ac:dyDescent="0.25">
      <c r="A1036">
        <v>5</v>
      </c>
      <c r="B1036" t="b">
        <v>1</v>
      </c>
      <c r="C1036" s="1">
        <v>42877</v>
      </c>
      <c r="D1036">
        <f>YEAR(AMAZON_FASHION_5__2[[#This Row],[reviewDate]])</f>
        <v>2017</v>
      </c>
      <c r="E1036" s="1" t="str">
        <f>TEXT(AMAZON_FASHION_5__2[[#This Row],[reviewDate]], "mmmm")</f>
        <v>May</v>
      </c>
      <c r="F1036" t="s">
        <v>800</v>
      </c>
      <c r="G1036" t="s">
        <v>1456</v>
      </c>
      <c r="H1036" t="s">
        <v>230</v>
      </c>
      <c r="I1036" t="s">
        <v>198</v>
      </c>
      <c r="J1036" t="s">
        <v>801</v>
      </c>
      <c r="K1036" t="s">
        <v>802</v>
      </c>
      <c r="L1036" t="s">
        <v>803</v>
      </c>
      <c r="M1036">
        <v>1495411200</v>
      </c>
      <c r="N1036" t="s">
        <v>1628</v>
      </c>
      <c r="O1036" t="s">
        <v>1628</v>
      </c>
      <c r="P1036" t="s">
        <v>1628</v>
      </c>
      <c r="Q1036">
        <f>LEN(AMAZON_FASHION_5__2[[#This Row],[reviewText]])</f>
        <v>45</v>
      </c>
      <c r="R1036" t="str">
        <f>IF(AMAZON_FASHION_5__2[[#This Row],[overall]]&gt;=4,"Positive",IF(AMAZON_FASHION_5__2[[#This Row],[overall]]&lt;=2,"Negative","Neutral"))</f>
        <v>Positive</v>
      </c>
      <c r="S10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37" spans="1:19" x14ac:dyDescent="0.25">
      <c r="A1037">
        <v>5</v>
      </c>
      <c r="B1037" t="b">
        <v>1</v>
      </c>
      <c r="C1037" s="1">
        <v>42877</v>
      </c>
      <c r="D1037">
        <f>YEAR(AMAZON_FASHION_5__2[[#This Row],[reviewDate]])</f>
        <v>2017</v>
      </c>
      <c r="E1037" s="1" t="str">
        <f>TEXT(AMAZON_FASHION_5__2[[#This Row],[reviewDate]], "mmmm")</f>
        <v>May</v>
      </c>
      <c r="F1037" t="s">
        <v>804</v>
      </c>
      <c r="G1037" t="s">
        <v>1456</v>
      </c>
      <c r="H1037" t="s">
        <v>210</v>
      </c>
      <c r="I1037" t="s">
        <v>198</v>
      </c>
      <c r="J1037" t="s">
        <v>805</v>
      </c>
      <c r="K1037" t="s">
        <v>806</v>
      </c>
      <c r="L1037" t="s">
        <v>807</v>
      </c>
      <c r="M1037">
        <v>1495411200</v>
      </c>
      <c r="N1037" t="s">
        <v>1628</v>
      </c>
      <c r="O1037" t="s">
        <v>1628</v>
      </c>
      <c r="P1037" t="s">
        <v>1628</v>
      </c>
      <c r="Q1037">
        <f>LEN(AMAZON_FASHION_5__2[[#This Row],[reviewText]])</f>
        <v>86</v>
      </c>
      <c r="R1037" t="str">
        <f>IF(AMAZON_FASHION_5__2[[#This Row],[overall]]&gt;=4,"Positive",IF(AMAZON_FASHION_5__2[[#This Row],[overall]]&lt;=2,"Negative","Neutral"))</f>
        <v>Positive</v>
      </c>
      <c r="S10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38" spans="1:19" x14ac:dyDescent="0.25">
      <c r="A1038">
        <v>5</v>
      </c>
      <c r="B1038" t="b">
        <v>0</v>
      </c>
      <c r="C1038" s="1">
        <v>42874</v>
      </c>
      <c r="D1038">
        <f>YEAR(AMAZON_FASHION_5__2[[#This Row],[reviewDate]])</f>
        <v>2017</v>
      </c>
      <c r="E1038" s="1" t="str">
        <f>TEXT(AMAZON_FASHION_5__2[[#This Row],[reviewDate]], "mmmm")</f>
        <v>May</v>
      </c>
      <c r="F1038" t="s">
        <v>808</v>
      </c>
      <c r="G1038" t="s">
        <v>1456</v>
      </c>
      <c r="H1038" t="s">
        <v>809</v>
      </c>
      <c r="I1038" t="s">
        <v>336</v>
      </c>
      <c r="J1038" t="s">
        <v>810</v>
      </c>
      <c r="K1038" t="s">
        <v>811</v>
      </c>
      <c r="L1038" t="s">
        <v>812</v>
      </c>
      <c r="M1038">
        <v>1495152000</v>
      </c>
      <c r="N1038" t="s">
        <v>1628</v>
      </c>
      <c r="O1038" t="s">
        <v>1628</v>
      </c>
      <c r="P1038">
        <v>2</v>
      </c>
      <c r="Q1038">
        <f>LEN(AMAZON_FASHION_5__2[[#This Row],[reviewText]])</f>
        <v>109</v>
      </c>
      <c r="R1038" t="str">
        <f>IF(AMAZON_FASHION_5__2[[#This Row],[overall]]&gt;=4,"Positive",IF(AMAZON_FASHION_5__2[[#This Row],[overall]]&lt;=2,"Negative","Neutral"))</f>
        <v>Positive</v>
      </c>
      <c r="S10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39" spans="1:19" x14ac:dyDescent="0.25">
      <c r="A1039">
        <v>5</v>
      </c>
      <c r="B1039" t="b">
        <v>0</v>
      </c>
      <c r="C1039" s="1">
        <v>42874</v>
      </c>
      <c r="D1039">
        <f>YEAR(AMAZON_FASHION_5__2[[#This Row],[reviewDate]])</f>
        <v>2017</v>
      </c>
      <c r="E1039" s="1" t="str">
        <f>TEXT(AMAZON_FASHION_5__2[[#This Row],[reviewDate]], "mmmm")</f>
        <v>May</v>
      </c>
      <c r="F1039" t="s">
        <v>808</v>
      </c>
      <c r="G1039" t="s">
        <v>1456</v>
      </c>
      <c r="H1039" t="s">
        <v>477</v>
      </c>
      <c r="I1039" t="s">
        <v>396</v>
      </c>
      <c r="J1039" t="s">
        <v>810</v>
      </c>
      <c r="K1039" t="s">
        <v>813</v>
      </c>
      <c r="L1039" t="s">
        <v>814</v>
      </c>
      <c r="M1039">
        <v>1495152000</v>
      </c>
      <c r="N1039" t="s">
        <v>1628</v>
      </c>
      <c r="O1039" t="s">
        <v>1628</v>
      </c>
      <c r="P1039">
        <v>4</v>
      </c>
      <c r="Q1039">
        <f>LEN(AMAZON_FASHION_5__2[[#This Row],[reviewText]])</f>
        <v>274</v>
      </c>
      <c r="R1039" t="str">
        <f>IF(AMAZON_FASHION_5__2[[#This Row],[overall]]&gt;=4,"Positive",IF(AMAZON_FASHION_5__2[[#This Row],[overall]]&lt;=2,"Negative","Neutral"))</f>
        <v>Positive</v>
      </c>
      <c r="S10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40" spans="1:19" x14ac:dyDescent="0.25">
      <c r="A1040">
        <v>4</v>
      </c>
      <c r="B1040" t="b">
        <v>1</v>
      </c>
      <c r="C1040" s="1">
        <v>42873</v>
      </c>
      <c r="D1040">
        <f>YEAR(AMAZON_FASHION_5__2[[#This Row],[reviewDate]])</f>
        <v>2017</v>
      </c>
      <c r="E1040" s="1" t="str">
        <f>TEXT(AMAZON_FASHION_5__2[[#This Row],[reviewDate]], "mmmm")</f>
        <v>May</v>
      </c>
      <c r="F1040" t="s">
        <v>815</v>
      </c>
      <c r="G1040" t="s">
        <v>1456</v>
      </c>
      <c r="H1040" t="s">
        <v>201</v>
      </c>
      <c r="I1040" t="s">
        <v>198</v>
      </c>
      <c r="J1040" t="s">
        <v>816</v>
      </c>
      <c r="K1040" t="s">
        <v>817</v>
      </c>
      <c r="L1040" t="s">
        <v>818</v>
      </c>
      <c r="M1040">
        <v>1495065600</v>
      </c>
      <c r="N1040" t="s">
        <v>1628</v>
      </c>
      <c r="O1040" t="s">
        <v>1628</v>
      </c>
      <c r="P1040" t="s">
        <v>1628</v>
      </c>
      <c r="Q1040">
        <f>LEN(AMAZON_FASHION_5__2[[#This Row],[reviewText]])</f>
        <v>20</v>
      </c>
      <c r="R1040" t="str">
        <f>IF(AMAZON_FASHION_5__2[[#This Row],[overall]]&gt;=4,"Positive",IF(AMAZON_FASHION_5__2[[#This Row],[overall]]&lt;=2,"Negative","Neutral"))</f>
        <v>Positive</v>
      </c>
      <c r="S10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41" spans="1:19" x14ac:dyDescent="0.25">
      <c r="A1041">
        <v>4</v>
      </c>
      <c r="B1041" t="b">
        <v>1</v>
      </c>
      <c r="C1041" s="1">
        <v>42870</v>
      </c>
      <c r="D1041">
        <f>YEAR(AMAZON_FASHION_5__2[[#This Row],[reviewDate]])</f>
        <v>2017</v>
      </c>
      <c r="E1041" s="1" t="str">
        <f>TEXT(AMAZON_FASHION_5__2[[#This Row],[reviewDate]], "mmmm")</f>
        <v>May</v>
      </c>
      <c r="F1041" t="s">
        <v>819</v>
      </c>
      <c r="G1041" t="s">
        <v>1456</v>
      </c>
      <c r="H1041" t="s">
        <v>201</v>
      </c>
      <c r="I1041" t="s">
        <v>524</v>
      </c>
      <c r="J1041" t="s">
        <v>820</v>
      </c>
      <c r="K1041" t="s">
        <v>821</v>
      </c>
      <c r="L1041" t="s">
        <v>103</v>
      </c>
      <c r="M1041">
        <v>1494806400</v>
      </c>
      <c r="N1041" t="s">
        <v>1628</v>
      </c>
      <c r="O1041" t="s">
        <v>1628</v>
      </c>
      <c r="P1041" t="s">
        <v>1628</v>
      </c>
      <c r="Q1041">
        <f>LEN(AMAZON_FASHION_5__2[[#This Row],[reviewText]])</f>
        <v>40</v>
      </c>
      <c r="R1041" t="str">
        <f>IF(AMAZON_FASHION_5__2[[#This Row],[overall]]&gt;=4,"Positive",IF(AMAZON_FASHION_5__2[[#This Row],[overall]]&lt;=2,"Negative","Neutral"))</f>
        <v>Positive</v>
      </c>
      <c r="S10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42" spans="1:19" x14ac:dyDescent="0.25">
      <c r="A1042">
        <v>3</v>
      </c>
      <c r="B1042" t="b">
        <v>1</v>
      </c>
      <c r="C1042" s="1">
        <v>42865</v>
      </c>
      <c r="D1042">
        <f>YEAR(AMAZON_FASHION_5__2[[#This Row],[reviewDate]])</f>
        <v>2017</v>
      </c>
      <c r="E1042" s="1" t="str">
        <f>TEXT(AMAZON_FASHION_5__2[[#This Row],[reviewDate]], "mmmm")</f>
        <v>May</v>
      </c>
      <c r="F1042" t="s">
        <v>822</v>
      </c>
      <c r="G1042" t="s">
        <v>1456</v>
      </c>
      <c r="H1042" t="s">
        <v>210</v>
      </c>
      <c r="I1042" t="s">
        <v>198</v>
      </c>
      <c r="J1042" t="s">
        <v>823</v>
      </c>
      <c r="K1042" t="s">
        <v>824</v>
      </c>
      <c r="L1042" t="s">
        <v>825</v>
      </c>
      <c r="M1042">
        <v>1494374400</v>
      </c>
      <c r="N1042" t="s">
        <v>1628</v>
      </c>
      <c r="O1042" t="s">
        <v>1628</v>
      </c>
      <c r="P1042" t="s">
        <v>1628</v>
      </c>
      <c r="Q1042">
        <f>LEN(AMAZON_FASHION_5__2[[#This Row],[reviewText]])</f>
        <v>170</v>
      </c>
      <c r="R1042" t="str">
        <f>IF(AMAZON_FASHION_5__2[[#This Row],[overall]]&gt;=4,"Positive",IF(AMAZON_FASHION_5__2[[#This Row],[overall]]&lt;=2,"Negative","Neutral"))</f>
        <v>Neutral</v>
      </c>
      <c r="S10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43" spans="1:19" x14ac:dyDescent="0.25">
      <c r="A1043">
        <v>5</v>
      </c>
      <c r="B1043" t="b">
        <v>1</v>
      </c>
      <c r="C1043" s="1">
        <v>42862</v>
      </c>
      <c r="D1043">
        <f>YEAR(AMAZON_FASHION_5__2[[#This Row],[reviewDate]])</f>
        <v>2017</v>
      </c>
      <c r="E1043" s="1" t="str">
        <f>TEXT(AMAZON_FASHION_5__2[[#This Row],[reviewDate]], "mmmm")</f>
        <v>May</v>
      </c>
      <c r="F1043" t="s">
        <v>826</v>
      </c>
      <c r="G1043" t="s">
        <v>1456</v>
      </c>
      <c r="H1043" t="s">
        <v>320</v>
      </c>
      <c r="I1043" t="s">
        <v>827</v>
      </c>
      <c r="J1043" t="s">
        <v>828</v>
      </c>
      <c r="K1043" t="s">
        <v>829</v>
      </c>
      <c r="L1043" t="s">
        <v>830</v>
      </c>
      <c r="M1043">
        <v>1494115200</v>
      </c>
      <c r="N1043" t="s">
        <v>1628</v>
      </c>
      <c r="O1043" t="s">
        <v>1628</v>
      </c>
      <c r="P1043" t="s">
        <v>1628</v>
      </c>
      <c r="Q1043">
        <f>LEN(AMAZON_FASHION_5__2[[#This Row],[reviewText]])</f>
        <v>193</v>
      </c>
      <c r="R1043" t="str">
        <f>IF(AMAZON_FASHION_5__2[[#This Row],[overall]]&gt;=4,"Positive",IF(AMAZON_FASHION_5__2[[#This Row],[overall]]&lt;=2,"Negative","Neutral"))</f>
        <v>Positive</v>
      </c>
      <c r="S10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44" spans="1:19" x14ac:dyDescent="0.25">
      <c r="A1044">
        <v>5</v>
      </c>
      <c r="B1044" t="b">
        <v>1</v>
      </c>
      <c r="C1044" s="1">
        <v>42861</v>
      </c>
      <c r="D1044">
        <f>YEAR(AMAZON_FASHION_5__2[[#This Row],[reviewDate]])</f>
        <v>2017</v>
      </c>
      <c r="E1044" s="1" t="str">
        <f>TEXT(AMAZON_FASHION_5__2[[#This Row],[reviewDate]], "mmmm")</f>
        <v>May</v>
      </c>
      <c r="F1044" t="s">
        <v>831</v>
      </c>
      <c r="G1044" t="s">
        <v>1456</v>
      </c>
      <c r="H1044" t="s">
        <v>717</v>
      </c>
      <c r="I1044" t="s">
        <v>336</v>
      </c>
      <c r="J1044" t="s">
        <v>832</v>
      </c>
      <c r="K1044" t="s">
        <v>833</v>
      </c>
      <c r="L1044" t="s">
        <v>834</v>
      </c>
      <c r="M1044">
        <v>1494028800</v>
      </c>
      <c r="N1044" t="s">
        <v>1628</v>
      </c>
      <c r="O1044" t="s">
        <v>1628</v>
      </c>
      <c r="P1044" t="s">
        <v>1628</v>
      </c>
      <c r="Q1044">
        <f>LEN(AMAZON_FASHION_5__2[[#This Row],[reviewText]])</f>
        <v>126</v>
      </c>
      <c r="R1044" t="str">
        <f>IF(AMAZON_FASHION_5__2[[#This Row],[overall]]&gt;=4,"Positive",IF(AMAZON_FASHION_5__2[[#This Row],[overall]]&lt;=2,"Negative","Neutral"))</f>
        <v>Positive</v>
      </c>
      <c r="S10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45" spans="1:19" x14ac:dyDescent="0.25">
      <c r="A1045">
        <v>5</v>
      </c>
      <c r="B1045" t="b">
        <v>1</v>
      </c>
      <c r="C1045" s="1">
        <v>42860</v>
      </c>
      <c r="D1045">
        <f>YEAR(AMAZON_FASHION_5__2[[#This Row],[reviewDate]])</f>
        <v>2017</v>
      </c>
      <c r="E1045" s="1" t="str">
        <f>TEXT(AMAZON_FASHION_5__2[[#This Row],[reviewDate]], "mmmm")</f>
        <v>May</v>
      </c>
      <c r="F1045" t="s">
        <v>835</v>
      </c>
      <c r="G1045" t="s">
        <v>1456</v>
      </c>
      <c r="H1045" t="s">
        <v>230</v>
      </c>
      <c r="I1045" t="s">
        <v>1476</v>
      </c>
      <c r="J1045" t="s">
        <v>836</v>
      </c>
      <c r="K1045" t="s">
        <v>837</v>
      </c>
      <c r="L1045" t="s">
        <v>838</v>
      </c>
      <c r="M1045">
        <v>1493942400</v>
      </c>
      <c r="N1045" t="s">
        <v>1628</v>
      </c>
      <c r="O1045" t="s">
        <v>1628</v>
      </c>
      <c r="P1045" t="s">
        <v>1628</v>
      </c>
      <c r="Q1045">
        <f>LEN(AMAZON_FASHION_5__2[[#This Row],[reviewText]])</f>
        <v>110</v>
      </c>
      <c r="R1045" t="str">
        <f>IF(AMAZON_FASHION_5__2[[#This Row],[overall]]&gt;=4,"Positive",IF(AMAZON_FASHION_5__2[[#This Row],[overall]]&lt;=2,"Negative","Neutral"))</f>
        <v>Positive</v>
      </c>
      <c r="S10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46" spans="1:19" x14ac:dyDescent="0.25">
      <c r="A1046">
        <v>5</v>
      </c>
      <c r="B1046" t="b">
        <v>1</v>
      </c>
      <c r="C1046" s="1">
        <v>42858</v>
      </c>
      <c r="D1046">
        <f>YEAR(AMAZON_FASHION_5__2[[#This Row],[reviewDate]])</f>
        <v>2017</v>
      </c>
      <c r="E1046" s="1" t="str">
        <f>TEXT(AMAZON_FASHION_5__2[[#This Row],[reviewDate]], "mmmm")</f>
        <v>May</v>
      </c>
      <c r="F1046" t="s">
        <v>839</v>
      </c>
      <c r="G1046" t="s">
        <v>1456</v>
      </c>
      <c r="H1046" t="s">
        <v>205</v>
      </c>
      <c r="I1046" t="s">
        <v>198</v>
      </c>
      <c r="J1046" t="s">
        <v>840</v>
      </c>
      <c r="K1046" t="s">
        <v>841</v>
      </c>
      <c r="L1046" t="s">
        <v>17</v>
      </c>
      <c r="M1046">
        <v>1493769600</v>
      </c>
      <c r="N1046" t="s">
        <v>1628</v>
      </c>
      <c r="O1046" t="s">
        <v>1628</v>
      </c>
      <c r="P1046" t="s">
        <v>1628</v>
      </c>
      <c r="Q1046">
        <f>LEN(AMAZON_FASHION_5__2[[#This Row],[reviewText]])</f>
        <v>42</v>
      </c>
      <c r="R1046" t="str">
        <f>IF(AMAZON_FASHION_5__2[[#This Row],[overall]]&gt;=4,"Positive",IF(AMAZON_FASHION_5__2[[#This Row],[overall]]&lt;=2,"Negative","Neutral"))</f>
        <v>Positive</v>
      </c>
      <c r="S10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47" spans="1:19" x14ac:dyDescent="0.25">
      <c r="A1047">
        <v>5</v>
      </c>
      <c r="B1047" t="b">
        <v>1</v>
      </c>
      <c r="C1047" s="1">
        <v>42858</v>
      </c>
      <c r="D1047">
        <f>YEAR(AMAZON_FASHION_5__2[[#This Row],[reviewDate]])</f>
        <v>2017</v>
      </c>
      <c r="E1047" s="1" t="str">
        <f>TEXT(AMAZON_FASHION_5__2[[#This Row],[reviewDate]], "mmmm")</f>
        <v>May</v>
      </c>
      <c r="F1047" t="s">
        <v>842</v>
      </c>
      <c r="G1047" t="s">
        <v>1456</v>
      </c>
      <c r="H1047" t="s">
        <v>230</v>
      </c>
      <c r="I1047" t="s">
        <v>198</v>
      </c>
      <c r="J1047" t="s">
        <v>843</v>
      </c>
      <c r="K1047" t="s">
        <v>844</v>
      </c>
      <c r="L1047" t="s">
        <v>17</v>
      </c>
      <c r="M1047">
        <v>1493769600</v>
      </c>
      <c r="N1047" t="s">
        <v>1628</v>
      </c>
      <c r="O1047" t="s">
        <v>1628</v>
      </c>
      <c r="P1047" t="s">
        <v>1628</v>
      </c>
      <c r="Q1047">
        <f>LEN(AMAZON_FASHION_5__2[[#This Row],[reviewText]])</f>
        <v>12</v>
      </c>
      <c r="R1047" t="str">
        <f>IF(AMAZON_FASHION_5__2[[#This Row],[overall]]&gt;=4,"Positive",IF(AMAZON_FASHION_5__2[[#This Row],[overall]]&lt;=2,"Negative","Neutral"))</f>
        <v>Positive</v>
      </c>
      <c r="S10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48" spans="1:19" x14ac:dyDescent="0.25">
      <c r="A1048">
        <v>4</v>
      </c>
      <c r="B1048" t="b">
        <v>1</v>
      </c>
      <c r="C1048" s="1">
        <v>42857</v>
      </c>
      <c r="D1048">
        <f>YEAR(AMAZON_FASHION_5__2[[#This Row],[reviewDate]])</f>
        <v>2017</v>
      </c>
      <c r="E1048" s="1" t="str">
        <f>TEXT(AMAZON_FASHION_5__2[[#This Row],[reviewDate]], "mmmm")</f>
        <v>May</v>
      </c>
      <c r="F1048" t="s">
        <v>845</v>
      </c>
      <c r="G1048" t="s">
        <v>1456</v>
      </c>
      <c r="H1048" t="s">
        <v>320</v>
      </c>
      <c r="I1048" t="s">
        <v>827</v>
      </c>
      <c r="J1048" t="s">
        <v>846</v>
      </c>
      <c r="K1048" t="s">
        <v>847</v>
      </c>
      <c r="L1048" t="s">
        <v>812</v>
      </c>
      <c r="M1048">
        <v>1493683200</v>
      </c>
      <c r="N1048" t="s">
        <v>1628</v>
      </c>
      <c r="O1048" t="s">
        <v>1628</v>
      </c>
      <c r="P1048" t="s">
        <v>1628</v>
      </c>
      <c r="Q1048">
        <f>LEN(AMAZON_FASHION_5__2[[#This Row],[reviewText]])</f>
        <v>86</v>
      </c>
      <c r="R1048" t="str">
        <f>IF(AMAZON_FASHION_5__2[[#This Row],[overall]]&gt;=4,"Positive",IF(AMAZON_FASHION_5__2[[#This Row],[overall]]&lt;=2,"Negative","Neutral"))</f>
        <v>Positive</v>
      </c>
      <c r="S10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49" spans="1:19" x14ac:dyDescent="0.25">
      <c r="A1049">
        <v>5</v>
      </c>
      <c r="B1049" t="b">
        <v>1</v>
      </c>
      <c r="C1049" s="1">
        <v>42856</v>
      </c>
      <c r="D1049">
        <f>YEAR(AMAZON_FASHION_5__2[[#This Row],[reviewDate]])</f>
        <v>2017</v>
      </c>
      <c r="E1049" s="1" t="str">
        <f>TEXT(AMAZON_FASHION_5__2[[#This Row],[reviewDate]], "mmmm")</f>
        <v>May</v>
      </c>
      <c r="F1049" t="s">
        <v>848</v>
      </c>
      <c r="G1049" t="s">
        <v>1456</v>
      </c>
      <c r="H1049" t="s">
        <v>320</v>
      </c>
      <c r="I1049" t="s">
        <v>849</v>
      </c>
      <c r="J1049" t="s">
        <v>850</v>
      </c>
      <c r="K1049" t="s">
        <v>851</v>
      </c>
      <c r="L1049" t="s">
        <v>17</v>
      </c>
      <c r="M1049">
        <v>1493596800</v>
      </c>
      <c r="N1049" t="s">
        <v>1628</v>
      </c>
      <c r="O1049" t="s">
        <v>1628</v>
      </c>
      <c r="P1049" t="s">
        <v>1628</v>
      </c>
      <c r="Q1049">
        <f>LEN(AMAZON_FASHION_5__2[[#This Row],[reviewText]])</f>
        <v>89</v>
      </c>
      <c r="R1049" t="str">
        <f>IF(AMAZON_FASHION_5__2[[#This Row],[overall]]&gt;=4,"Positive",IF(AMAZON_FASHION_5__2[[#This Row],[overall]]&lt;=2,"Negative","Neutral"))</f>
        <v>Positive</v>
      </c>
      <c r="S10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50" spans="1:19" x14ac:dyDescent="0.25">
      <c r="A1050">
        <v>5</v>
      </c>
      <c r="B1050" t="b">
        <v>1</v>
      </c>
      <c r="C1050" s="1">
        <v>42853</v>
      </c>
      <c r="D1050">
        <f>YEAR(AMAZON_FASHION_5__2[[#This Row],[reviewDate]])</f>
        <v>2017</v>
      </c>
      <c r="E1050" s="1" t="str">
        <f>TEXT(AMAZON_FASHION_5__2[[#This Row],[reviewDate]], "mmmm")</f>
        <v>April</v>
      </c>
      <c r="F1050" t="s">
        <v>852</v>
      </c>
      <c r="G1050" t="s">
        <v>1456</v>
      </c>
      <c r="H1050" t="s">
        <v>235</v>
      </c>
      <c r="I1050" t="s">
        <v>211</v>
      </c>
      <c r="J1050" t="s">
        <v>853</v>
      </c>
      <c r="K1050" t="s">
        <v>854</v>
      </c>
      <c r="L1050" t="s">
        <v>17</v>
      </c>
      <c r="M1050">
        <v>1493337600</v>
      </c>
      <c r="N1050" t="s">
        <v>1628</v>
      </c>
      <c r="O1050" t="s">
        <v>1628</v>
      </c>
      <c r="P1050" t="s">
        <v>1628</v>
      </c>
      <c r="Q1050">
        <f>LEN(AMAZON_FASHION_5__2[[#This Row],[reviewText]])</f>
        <v>12</v>
      </c>
      <c r="R1050" t="str">
        <f>IF(AMAZON_FASHION_5__2[[#This Row],[overall]]&gt;=4,"Positive",IF(AMAZON_FASHION_5__2[[#This Row],[overall]]&lt;=2,"Negative","Neutral"))</f>
        <v>Positive</v>
      </c>
      <c r="S10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51" spans="1:19" x14ac:dyDescent="0.25">
      <c r="A1051">
        <v>4</v>
      </c>
      <c r="B1051" t="b">
        <v>1</v>
      </c>
      <c r="C1051" s="1">
        <v>42852</v>
      </c>
      <c r="D1051">
        <f>YEAR(AMAZON_FASHION_5__2[[#This Row],[reviewDate]])</f>
        <v>2017</v>
      </c>
      <c r="E1051" s="1" t="str">
        <f>TEXT(AMAZON_FASHION_5__2[[#This Row],[reviewDate]], "mmmm")</f>
        <v>April</v>
      </c>
      <c r="F1051" t="s">
        <v>855</v>
      </c>
      <c r="G1051" t="s">
        <v>1456</v>
      </c>
      <c r="H1051" t="s">
        <v>809</v>
      </c>
      <c r="I1051" t="s">
        <v>336</v>
      </c>
      <c r="J1051" t="s">
        <v>63</v>
      </c>
      <c r="K1051" t="s">
        <v>856</v>
      </c>
      <c r="L1051" t="s">
        <v>103</v>
      </c>
      <c r="M1051">
        <v>1493251200</v>
      </c>
      <c r="N1051" t="s">
        <v>1628</v>
      </c>
      <c r="O1051" t="s">
        <v>1628</v>
      </c>
      <c r="P1051" t="s">
        <v>1628</v>
      </c>
      <c r="Q1051">
        <f>LEN(AMAZON_FASHION_5__2[[#This Row],[reviewText]])</f>
        <v>58</v>
      </c>
      <c r="R1051" t="str">
        <f>IF(AMAZON_FASHION_5__2[[#This Row],[overall]]&gt;=4,"Positive",IF(AMAZON_FASHION_5__2[[#This Row],[overall]]&lt;=2,"Negative","Neutral"))</f>
        <v>Positive</v>
      </c>
      <c r="S10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52" spans="1:19" x14ac:dyDescent="0.25">
      <c r="A1052">
        <v>4</v>
      </c>
      <c r="B1052" t="b">
        <v>1</v>
      </c>
      <c r="C1052" s="1">
        <v>42852</v>
      </c>
      <c r="D1052">
        <f>YEAR(AMAZON_FASHION_5__2[[#This Row],[reviewDate]])</f>
        <v>2017</v>
      </c>
      <c r="E1052" s="1" t="str">
        <f>TEXT(AMAZON_FASHION_5__2[[#This Row],[reviewDate]], "mmmm")</f>
        <v>April</v>
      </c>
      <c r="F1052" t="s">
        <v>857</v>
      </c>
      <c r="G1052" t="s">
        <v>1456</v>
      </c>
      <c r="H1052" t="s">
        <v>1478</v>
      </c>
      <c r="I1052" t="s">
        <v>336</v>
      </c>
      <c r="J1052" t="s">
        <v>859</v>
      </c>
      <c r="K1052" t="s">
        <v>860</v>
      </c>
      <c r="L1052" t="s">
        <v>861</v>
      </c>
      <c r="M1052">
        <v>1493251200</v>
      </c>
      <c r="N1052" t="s">
        <v>1628</v>
      </c>
      <c r="O1052" t="s">
        <v>1628</v>
      </c>
      <c r="P1052" t="s">
        <v>1628</v>
      </c>
      <c r="Q1052">
        <f>LEN(AMAZON_FASHION_5__2[[#This Row],[reviewText]])</f>
        <v>199</v>
      </c>
      <c r="R1052" t="str">
        <f>IF(AMAZON_FASHION_5__2[[#This Row],[overall]]&gt;=4,"Positive",IF(AMAZON_FASHION_5__2[[#This Row],[overall]]&lt;=2,"Negative","Neutral"))</f>
        <v>Positive</v>
      </c>
      <c r="S10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53" spans="1:19" x14ac:dyDescent="0.25">
      <c r="A1053">
        <v>5</v>
      </c>
      <c r="B1053" t="b">
        <v>1</v>
      </c>
      <c r="C1053" s="1">
        <v>42851</v>
      </c>
      <c r="D1053">
        <f>YEAR(AMAZON_FASHION_5__2[[#This Row],[reviewDate]])</f>
        <v>2017</v>
      </c>
      <c r="E1053" s="1" t="str">
        <f>TEXT(AMAZON_FASHION_5__2[[#This Row],[reviewDate]], "mmmm")</f>
        <v>April</v>
      </c>
      <c r="F1053" t="s">
        <v>862</v>
      </c>
      <c r="G1053" t="s">
        <v>1456</v>
      </c>
      <c r="H1053" t="s">
        <v>235</v>
      </c>
      <c r="I1053" t="s">
        <v>198</v>
      </c>
      <c r="J1053" t="s">
        <v>863</v>
      </c>
      <c r="K1053" t="s">
        <v>864</v>
      </c>
      <c r="L1053" t="s">
        <v>17</v>
      </c>
      <c r="M1053">
        <v>1493164800</v>
      </c>
      <c r="N1053" t="s">
        <v>1628</v>
      </c>
      <c r="O1053" t="s">
        <v>1628</v>
      </c>
      <c r="P1053" t="s">
        <v>1628</v>
      </c>
      <c r="Q1053">
        <f>LEN(AMAZON_FASHION_5__2[[#This Row],[reviewText]])</f>
        <v>28</v>
      </c>
      <c r="R1053" t="str">
        <f>IF(AMAZON_FASHION_5__2[[#This Row],[overall]]&gt;=4,"Positive",IF(AMAZON_FASHION_5__2[[#This Row],[overall]]&lt;=2,"Negative","Neutral"))</f>
        <v>Positive</v>
      </c>
      <c r="S10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54" spans="1:19" x14ac:dyDescent="0.25">
      <c r="A1054">
        <v>5</v>
      </c>
      <c r="B1054" t="b">
        <v>1</v>
      </c>
      <c r="C1054" s="1">
        <v>42850</v>
      </c>
      <c r="D1054">
        <f>YEAR(AMAZON_FASHION_5__2[[#This Row],[reviewDate]])</f>
        <v>2017</v>
      </c>
      <c r="E1054" s="1" t="str">
        <f>TEXT(AMAZON_FASHION_5__2[[#This Row],[reviewDate]], "mmmm")</f>
        <v>April</v>
      </c>
      <c r="F1054" t="s">
        <v>865</v>
      </c>
      <c r="G1054" t="s">
        <v>1456</v>
      </c>
      <c r="H1054" t="s">
        <v>415</v>
      </c>
      <c r="I1054" t="s">
        <v>336</v>
      </c>
      <c r="J1054" t="s">
        <v>866</v>
      </c>
      <c r="K1054" t="s">
        <v>867</v>
      </c>
      <c r="L1054" t="s">
        <v>868</v>
      </c>
      <c r="M1054">
        <v>1493078400</v>
      </c>
      <c r="N1054" t="s">
        <v>1628</v>
      </c>
      <c r="O1054" t="s">
        <v>1628</v>
      </c>
      <c r="P1054" t="s">
        <v>1628</v>
      </c>
      <c r="Q1054">
        <f>LEN(AMAZON_FASHION_5__2[[#This Row],[reviewText]])</f>
        <v>235</v>
      </c>
      <c r="R1054" t="str">
        <f>IF(AMAZON_FASHION_5__2[[#This Row],[overall]]&gt;=4,"Positive",IF(AMAZON_FASHION_5__2[[#This Row],[overall]]&lt;=2,"Negative","Neutral"))</f>
        <v>Positive</v>
      </c>
      <c r="S10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55" spans="1:19" x14ac:dyDescent="0.25">
      <c r="A1055">
        <v>4</v>
      </c>
      <c r="B1055" t="b">
        <v>1</v>
      </c>
      <c r="C1055" s="1">
        <v>42849</v>
      </c>
      <c r="D1055">
        <f>YEAR(AMAZON_FASHION_5__2[[#This Row],[reviewDate]])</f>
        <v>2017</v>
      </c>
      <c r="E1055" s="1" t="str">
        <f>TEXT(AMAZON_FASHION_5__2[[#This Row],[reviewDate]], "mmmm")</f>
        <v>April</v>
      </c>
      <c r="F1055" t="s">
        <v>869</v>
      </c>
      <c r="G1055" t="s">
        <v>1456</v>
      </c>
      <c r="H1055" t="s">
        <v>201</v>
      </c>
      <c r="I1055" t="s">
        <v>198</v>
      </c>
      <c r="J1055" t="s">
        <v>870</v>
      </c>
      <c r="K1055" t="s">
        <v>871</v>
      </c>
      <c r="L1055" t="s">
        <v>872</v>
      </c>
      <c r="M1055">
        <v>1492992000</v>
      </c>
      <c r="N1055" t="s">
        <v>1628</v>
      </c>
      <c r="O1055" t="s">
        <v>1628</v>
      </c>
      <c r="P1055" t="s">
        <v>1628</v>
      </c>
      <c r="Q1055">
        <f>LEN(AMAZON_FASHION_5__2[[#This Row],[reviewText]])</f>
        <v>140</v>
      </c>
      <c r="R1055" t="str">
        <f>IF(AMAZON_FASHION_5__2[[#This Row],[overall]]&gt;=4,"Positive",IF(AMAZON_FASHION_5__2[[#This Row],[overall]]&lt;=2,"Negative","Neutral"))</f>
        <v>Positive</v>
      </c>
      <c r="S10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56" spans="1:19" x14ac:dyDescent="0.25">
      <c r="A1056">
        <v>5</v>
      </c>
      <c r="B1056" t="b">
        <v>1</v>
      </c>
      <c r="C1056" s="1">
        <v>42849</v>
      </c>
      <c r="D1056">
        <f>YEAR(AMAZON_FASHION_5__2[[#This Row],[reviewDate]])</f>
        <v>2017</v>
      </c>
      <c r="E1056" s="1" t="str">
        <f>TEXT(AMAZON_FASHION_5__2[[#This Row],[reviewDate]], "mmmm")</f>
        <v>April</v>
      </c>
      <c r="F1056" t="s">
        <v>873</v>
      </c>
      <c r="G1056" t="s">
        <v>1456</v>
      </c>
      <c r="H1056" t="s">
        <v>197</v>
      </c>
      <c r="I1056" t="s">
        <v>524</v>
      </c>
      <c r="J1056" t="s">
        <v>63</v>
      </c>
      <c r="K1056" t="s">
        <v>874</v>
      </c>
      <c r="L1056" t="s">
        <v>17</v>
      </c>
      <c r="M1056">
        <v>1492992000</v>
      </c>
      <c r="N1056" t="s">
        <v>1628</v>
      </c>
      <c r="O1056" t="s">
        <v>1628</v>
      </c>
      <c r="P1056" t="s">
        <v>1628</v>
      </c>
      <c r="Q1056">
        <f>LEN(AMAZON_FASHION_5__2[[#This Row],[reviewText]])</f>
        <v>39</v>
      </c>
      <c r="R1056" t="str">
        <f>IF(AMAZON_FASHION_5__2[[#This Row],[overall]]&gt;=4,"Positive",IF(AMAZON_FASHION_5__2[[#This Row],[overall]]&lt;=2,"Negative","Neutral"))</f>
        <v>Positive</v>
      </c>
      <c r="S10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57" spans="1:19" x14ac:dyDescent="0.25">
      <c r="A1057">
        <v>5</v>
      </c>
      <c r="B1057" t="b">
        <v>1</v>
      </c>
      <c r="C1057" s="1">
        <v>42845</v>
      </c>
      <c r="D1057">
        <f>YEAR(AMAZON_FASHION_5__2[[#This Row],[reviewDate]])</f>
        <v>2017</v>
      </c>
      <c r="E1057" s="1" t="str">
        <f>TEXT(AMAZON_FASHION_5__2[[#This Row],[reviewDate]], "mmmm")</f>
        <v>April</v>
      </c>
      <c r="F1057" t="s">
        <v>875</v>
      </c>
      <c r="G1057" t="s">
        <v>1456</v>
      </c>
      <c r="H1057" t="s">
        <v>230</v>
      </c>
      <c r="I1057" t="s">
        <v>198</v>
      </c>
      <c r="J1057" t="s">
        <v>63</v>
      </c>
      <c r="K1057" t="s">
        <v>715</v>
      </c>
      <c r="L1057" t="s">
        <v>17</v>
      </c>
      <c r="M1057">
        <v>1492646400</v>
      </c>
      <c r="N1057" t="s">
        <v>1628</v>
      </c>
      <c r="O1057" t="s">
        <v>1628</v>
      </c>
      <c r="P1057" t="s">
        <v>1628</v>
      </c>
      <c r="Q1057">
        <f>LEN(AMAZON_FASHION_5__2[[#This Row],[reviewText]])</f>
        <v>7</v>
      </c>
      <c r="R1057" t="str">
        <f>IF(AMAZON_FASHION_5__2[[#This Row],[overall]]&gt;=4,"Positive",IF(AMAZON_FASHION_5__2[[#This Row],[overall]]&lt;=2,"Negative","Neutral"))</f>
        <v>Positive</v>
      </c>
      <c r="S10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58" spans="1:19" x14ac:dyDescent="0.25">
      <c r="A1058">
        <v>5</v>
      </c>
      <c r="B1058" t="b">
        <v>1</v>
      </c>
      <c r="C1058" s="1">
        <v>42844</v>
      </c>
      <c r="D1058">
        <f>YEAR(AMAZON_FASHION_5__2[[#This Row],[reviewDate]])</f>
        <v>2017</v>
      </c>
      <c r="E1058" s="1" t="str">
        <f>TEXT(AMAZON_FASHION_5__2[[#This Row],[reviewDate]], "mmmm")</f>
        <v>April</v>
      </c>
      <c r="F1058" t="s">
        <v>876</v>
      </c>
      <c r="G1058" t="s">
        <v>1456</v>
      </c>
      <c r="H1058" t="s">
        <v>210</v>
      </c>
      <c r="I1058" t="s">
        <v>198</v>
      </c>
      <c r="J1058" t="s">
        <v>63</v>
      </c>
      <c r="K1058" t="s">
        <v>877</v>
      </c>
      <c r="L1058" t="s">
        <v>17</v>
      </c>
      <c r="M1058">
        <v>1492560000</v>
      </c>
      <c r="N1058" t="s">
        <v>1628</v>
      </c>
      <c r="O1058" t="s">
        <v>1628</v>
      </c>
      <c r="P1058" t="s">
        <v>1628</v>
      </c>
      <c r="Q1058">
        <f>LEN(AMAZON_FASHION_5__2[[#This Row],[reviewText]])</f>
        <v>9</v>
      </c>
      <c r="R1058" t="str">
        <f>IF(AMAZON_FASHION_5__2[[#This Row],[overall]]&gt;=4,"Positive",IF(AMAZON_FASHION_5__2[[#This Row],[overall]]&lt;=2,"Negative","Neutral"))</f>
        <v>Positive</v>
      </c>
      <c r="S10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59" spans="1:19" x14ac:dyDescent="0.25">
      <c r="A1059">
        <v>5</v>
      </c>
      <c r="B1059" t="b">
        <v>0</v>
      </c>
      <c r="C1059" s="1">
        <v>42843</v>
      </c>
      <c r="D1059">
        <f>YEAR(AMAZON_FASHION_5__2[[#This Row],[reviewDate]])</f>
        <v>2017</v>
      </c>
      <c r="E1059" s="1" t="str">
        <f>TEXT(AMAZON_FASHION_5__2[[#This Row],[reviewDate]], "mmmm")</f>
        <v>April</v>
      </c>
      <c r="F1059" t="s">
        <v>878</v>
      </c>
      <c r="G1059" t="s">
        <v>1456</v>
      </c>
      <c r="H1059" t="s">
        <v>201</v>
      </c>
      <c r="I1059" t="s">
        <v>198</v>
      </c>
      <c r="J1059" t="s">
        <v>879</v>
      </c>
      <c r="K1059" t="s">
        <v>880</v>
      </c>
      <c r="L1059" t="s">
        <v>881</v>
      </c>
      <c r="M1059">
        <v>1492473600</v>
      </c>
      <c r="N1059" t="s">
        <v>1628</v>
      </c>
      <c r="O1059" t="s">
        <v>1628</v>
      </c>
      <c r="P1059" t="s">
        <v>1628</v>
      </c>
      <c r="Q1059">
        <f>LEN(AMAZON_FASHION_5__2[[#This Row],[reviewText]])</f>
        <v>115</v>
      </c>
      <c r="R1059" t="str">
        <f>IF(AMAZON_FASHION_5__2[[#This Row],[overall]]&gt;=4,"Positive",IF(AMAZON_FASHION_5__2[[#This Row],[overall]]&lt;=2,"Negative","Neutral"))</f>
        <v>Positive</v>
      </c>
      <c r="S10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60" spans="1:19" x14ac:dyDescent="0.25">
      <c r="A1060">
        <v>5</v>
      </c>
      <c r="B1060" t="b">
        <v>1</v>
      </c>
      <c r="C1060" s="1">
        <v>42842</v>
      </c>
      <c r="D1060">
        <f>YEAR(AMAZON_FASHION_5__2[[#This Row],[reviewDate]])</f>
        <v>2017</v>
      </c>
      <c r="E1060" s="1" t="str">
        <f>TEXT(AMAZON_FASHION_5__2[[#This Row],[reviewDate]], "mmmm")</f>
        <v>April</v>
      </c>
      <c r="F1060" t="s">
        <v>882</v>
      </c>
      <c r="G1060" t="s">
        <v>1456</v>
      </c>
      <c r="H1060" t="s">
        <v>230</v>
      </c>
      <c r="I1060" t="s">
        <v>198</v>
      </c>
      <c r="J1060" t="s">
        <v>883</v>
      </c>
      <c r="K1060" t="s">
        <v>884</v>
      </c>
      <c r="L1060" t="s">
        <v>543</v>
      </c>
      <c r="M1060">
        <v>1492387200</v>
      </c>
      <c r="N1060" t="s">
        <v>1628</v>
      </c>
      <c r="O1060" t="s">
        <v>1628</v>
      </c>
      <c r="P1060" t="s">
        <v>1628</v>
      </c>
      <c r="Q1060">
        <f>LEN(AMAZON_FASHION_5__2[[#This Row],[reviewText]])</f>
        <v>62</v>
      </c>
      <c r="R1060" t="str">
        <f>IF(AMAZON_FASHION_5__2[[#This Row],[overall]]&gt;=4,"Positive",IF(AMAZON_FASHION_5__2[[#This Row],[overall]]&lt;=2,"Negative","Neutral"))</f>
        <v>Positive</v>
      </c>
      <c r="S10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61" spans="1:19" x14ac:dyDescent="0.25">
      <c r="A1061">
        <v>5</v>
      </c>
      <c r="B1061" t="b">
        <v>1</v>
      </c>
      <c r="C1061" s="1">
        <v>42840</v>
      </c>
      <c r="D1061">
        <f>YEAR(AMAZON_FASHION_5__2[[#This Row],[reviewDate]])</f>
        <v>2017</v>
      </c>
      <c r="E1061" s="1" t="str">
        <f>TEXT(AMAZON_FASHION_5__2[[#This Row],[reviewDate]], "mmmm")</f>
        <v>April</v>
      </c>
      <c r="F1061" t="s">
        <v>885</v>
      </c>
      <c r="G1061" t="s">
        <v>1456</v>
      </c>
      <c r="H1061" t="s">
        <v>261</v>
      </c>
      <c r="I1061" t="s">
        <v>1455</v>
      </c>
      <c r="J1061" t="s">
        <v>886</v>
      </c>
      <c r="K1061" t="s">
        <v>887</v>
      </c>
      <c r="L1061" t="s">
        <v>247</v>
      </c>
      <c r="M1061">
        <v>1492214400</v>
      </c>
      <c r="N1061" t="s">
        <v>1628</v>
      </c>
      <c r="O1061" t="s">
        <v>1628</v>
      </c>
      <c r="P1061" t="s">
        <v>1628</v>
      </c>
      <c r="Q1061">
        <f>LEN(AMAZON_FASHION_5__2[[#This Row],[reviewText]])</f>
        <v>112</v>
      </c>
      <c r="R1061" t="str">
        <f>IF(AMAZON_FASHION_5__2[[#This Row],[overall]]&gt;=4,"Positive",IF(AMAZON_FASHION_5__2[[#This Row],[overall]]&lt;=2,"Negative","Neutral"))</f>
        <v>Positive</v>
      </c>
      <c r="S10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62" spans="1:19" x14ac:dyDescent="0.25">
      <c r="A1062">
        <v>5</v>
      </c>
      <c r="B1062" t="b">
        <v>1</v>
      </c>
      <c r="C1062" s="1">
        <v>42839</v>
      </c>
      <c r="D1062">
        <f>YEAR(AMAZON_FASHION_5__2[[#This Row],[reviewDate]])</f>
        <v>2017</v>
      </c>
      <c r="E1062" s="1" t="str">
        <f>TEXT(AMAZON_FASHION_5__2[[#This Row],[reviewDate]], "mmmm")</f>
        <v>April</v>
      </c>
      <c r="F1062" t="s">
        <v>888</v>
      </c>
      <c r="G1062" t="s">
        <v>1456</v>
      </c>
      <c r="H1062" t="s">
        <v>235</v>
      </c>
      <c r="I1062" t="s">
        <v>198</v>
      </c>
      <c r="J1062" t="s">
        <v>63</v>
      </c>
      <c r="K1062" t="s">
        <v>889</v>
      </c>
      <c r="L1062" t="s">
        <v>17</v>
      </c>
      <c r="M1062">
        <v>1492128000</v>
      </c>
      <c r="N1062" t="s">
        <v>1628</v>
      </c>
      <c r="O1062" t="s">
        <v>1628</v>
      </c>
      <c r="P1062" t="s">
        <v>1628</v>
      </c>
      <c r="Q1062">
        <f>LEN(AMAZON_FASHION_5__2[[#This Row],[reviewText]])</f>
        <v>38</v>
      </c>
      <c r="R1062" t="str">
        <f>IF(AMAZON_FASHION_5__2[[#This Row],[overall]]&gt;=4,"Positive",IF(AMAZON_FASHION_5__2[[#This Row],[overall]]&lt;=2,"Negative","Neutral"))</f>
        <v>Positive</v>
      </c>
      <c r="S10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63" spans="1:19" x14ac:dyDescent="0.25">
      <c r="A1063">
        <v>4</v>
      </c>
      <c r="B1063" t="b">
        <v>1</v>
      </c>
      <c r="C1063" s="1">
        <v>42836</v>
      </c>
      <c r="D1063">
        <f>YEAR(AMAZON_FASHION_5__2[[#This Row],[reviewDate]])</f>
        <v>2017</v>
      </c>
      <c r="E1063" s="1" t="str">
        <f>TEXT(AMAZON_FASHION_5__2[[#This Row],[reviewDate]], "mmmm")</f>
        <v>April</v>
      </c>
      <c r="F1063" t="s">
        <v>890</v>
      </c>
      <c r="G1063" t="s">
        <v>1456</v>
      </c>
      <c r="H1063" t="s">
        <v>284</v>
      </c>
      <c r="I1063" t="s">
        <v>198</v>
      </c>
      <c r="J1063" t="s">
        <v>891</v>
      </c>
      <c r="K1063" t="s">
        <v>892</v>
      </c>
      <c r="L1063" t="s">
        <v>893</v>
      </c>
      <c r="M1063">
        <v>1491868800</v>
      </c>
      <c r="N1063" t="s">
        <v>1628</v>
      </c>
      <c r="O1063" t="s">
        <v>1628</v>
      </c>
      <c r="P1063" t="s">
        <v>1628</v>
      </c>
      <c r="Q1063">
        <f>LEN(AMAZON_FASHION_5__2[[#This Row],[reviewText]])</f>
        <v>67</v>
      </c>
      <c r="R1063" t="str">
        <f>IF(AMAZON_FASHION_5__2[[#This Row],[overall]]&gt;=4,"Positive",IF(AMAZON_FASHION_5__2[[#This Row],[overall]]&lt;=2,"Negative","Neutral"))</f>
        <v>Positive</v>
      </c>
      <c r="S10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64" spans="1:19" x14ac:dyDescent="0.25">
      <c r="A1064">
        <v>5</v>
      </c>
      <c r="B1064" t="b">
        <v>1</v>
      </c>
      <c r="C1064" s="1">
        <v>42836</v>
      </c>
      <c r="D1064">
        <f>YEAR(AMAZON_FASHION_5__2[[#This Row],[reviewDate]])</f>
        <v>2017</v>
      </c>
      <c r="E1064" s="1" t="str">
        <f>TEXT(AMAZON_FASHION_5__2[[#This Row],[reviewDate]], "mmmm")</f>
        <v>April</v>
      </c>
      <c r="F1064" t="s">
        <v>894</v>
      </c>
      <c r="G1064" t="s">
        <v>1456</v>
      </c>
      <c r="H1064" t="s">
        <v>895</v>
      </c>
      <c r="I1064" t="s">
        <v>336</v>
      </c>
      <c r="J1064" t="s">
        <v>896</v>
      </c>
      <c r="K1064" t="s">
        <v>897</v>
      </c>
      <c r="L1064" t="s">
        <v>17</v>
      </c>
      <c r="M1064">
        <v>1491868800</v>
      </c>
      <c r="N1064" t="s">
        <v>1628</v>
      </c>
      <c r="O1064" t="s">
        <v>1628</v>
      </c>
      <c r="P1064" t="s">
        <v>1628</v>
      </c>
      <c r="Q1064">
        <f>LEN(AMAZON_FASHION_5__2[[#This Row],[reviewText]])</f>
        <v>13</v>
      </c>
      <c r="R1064" t="str">
        <f>IF(AMAZON_FASHION_5__2[[#This Row],[overall]]&gt;=4,"Positive",IF(AMAZON_FASHION_5__2[[#This Row],[overall]]&lt;=2,"Negative","Neutral"))</f>
        <v>Positive</v>
      </c>
      <c r="S10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65" spans="1:19" x14ac:dyDescent="0.25">
      <c r="A1065">
        <v>5</v>
      </c>
      <c r="B1065" t="b">
        <v>1</v>
      </c>
      <c r="C1065" s="1">
        <v>42835</v>
      </c>
      <c r="D1065">
        <f>YEAR(AMAZON_FASHION_5__2[[#This Row],[reviewDate]])</f>
        <v>2017</v>
      </c>
      <c r="E1065" s="1" t="str">
        <f>TEXT(AMAZON_FASHION_5__2[[#This Row],[reviewDate]], "mmmm")</f>
        <v>April</v>
      </c>
      <c r="F1065" t="s">
        <v>898</v>
      </c>
      <c r="G1065" t="s">
        <v>1456</v>
      </c>
      <c r="H1065" t="s">
        <v>235</v>
      </c>
      <c r="I1065" t="s">
        <v>411</v>
      </c>
      <c r="J1065" t="s">
        <v>899</v>
      </c>
      <c r="K1065" t="s">
        <v>900</v>
      </c>
      <c r="L1065" t="s">
        <v>901</v>
      </c>
      <c r="M1065">
        <v>1491782400</v>
      </c>
      <c r="N1065" t="s">
        <v>1628</v>
      </c>
      <c r="O1065" t="s">
        <v>1628</v>
      </c>
      <c r="P1065" t="s">
        <v>1628</v>
      </c>
      <c r="Q1065">
        <f>LEN(AMAZON_FASHION_5__2[[#This Row],[reviewText]])</f>
        <v>49</v>
      </c>
      <c r="R1065" t="str">
        <f>IF(AMAZON_FASHION_5__2[[#This Row],[overall]]&gt;=4,"Positive",IF(AMAZON_FASHION_5__2[[#This Row],[overall]]&lt;=2,"Negative","Neutral"))</f>
        <v>Positive</v>
      </c>
      <c r="S10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66" spans="1:19" x14ac:dyDescent="0.25">
      <c r="A1066">
        <v>5</v>
      </c>
      <c r="B1066" t="b">
        <v>1</v>
      </c>
      <c r="C1066" s="1">
        <v>42835</v>
      </c>
      <c r="D1066">
        <f>YEAR(AMAZON_FASHION_5__2[[#This Row],[reviewDate]])</f>
        <v>2017</v>
      </c>
      <c r="E1066" s="1" t="str">
        <f>TEXT(AMAZON_FASHION_5__2[[#This Row],[reviewDate]], "mmmm")</f>
        <v>April</v>
      </c>
      <c r="F1066" t="s">
        <v>902</v>
      </c>
      <c r="G1066" t="s">
        <v>1456</v>
      </c>
      <c r="H1066" t="s">
        <v>205</v>
      </c>
      <c r="I1066" t="s">
        <v>396</v>
      </c>
      <c r="J1066" t="s">
        <v>903</v>
      </c>
      <c r="K1066" t="s">
        <v>904</v>
      </c>
      <c r="L1066" t="s">
        <v>905</v>
      </c>
      <c r="M1066">
        <v>1491782400</v>
      </c>
      <c r="N1066" t="s">
        <v>1628</v>
      </c>
      <c r="O1066" t="s">
        <v>1628</v>
      </c>
      <c r="P1066" t="s">
        <v>1628</v>
      </c>
      <c r="Q1066">
        <f>LEN(AMAZON_FASHION_5__2[[#This Row],[reviewText]])</f>
        <v>17</v>
      </c>
      <c r="R1066" t="str">
        <f>IF(AMAZON_FASHION_5__2[[#This Row],[overall]]&gt;=4,"Positive",IF(AMAZON_FASHION_5__2[[#This Row],[overall]]&lt;=2,"Negative","Neutral"))</f>
        <v>Positive</v>
      </c>
      <c r="S10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67" spans="1:19" x14ac:dyDescent="0.25">
      <c r="A1067">
        <v>4</v>
      </c>
      <c r="B1067" t="b">
        <v>1</v>
      </c>
      <c r="C1067" s="1">
        <v>42835</v>
      </c>
      <c r="D1067">
        <f>YEAR(AMAZON_FASHION_5__2[[#This Row],[reviewDate]])</f>
        <v>2017</v>
      </c>
      <c r="E1067" s="1" t="str">
        <f>TEXT(AMAZON_FASHION_5__2[[#This Row],[reviewDate]], "mmmm")</f>
        <v>April</v>
      </c>
      <c r="F1067" t="s">
        <v>906</v>
      </c>
      <c r="G1067" t="s">
        <v>1456</v>
      </c>
      <c r="H1067" t="s">
        <v>284</v>
      </c>
      <c r="I1067" t="s">
        <v>411</v>
      </c>
      <c r="J1067" t="s">
        <v>907</v>
      </c>
      <c r="K1067" t="s">
        <v>908</v>
      </c>
      <c r="L1067" t="s">
        <v>909</v>
      </c>
      <c r="M1067">
        <v>1491782400</v>
      </c>
      <c r="N1067" t="s">
        <v>1628</v>
      </c>
      <c r="O1067" t="s">
        <v>1628</v>
      </c>
      <c r="P1067" t="s">
        <v>1628</v>
      </c>
      <c r="Q1067">
        <f>LEN(AMAZON_FASHION_5__2[[#This Row],[reviewText]])</f>
        <v>177</v>
      </c>
      <c r="R1067" t="str">
        <f>IF(AMAZON_FASHION_5__2[[#This Row],[overall]]&gt;=4,"Positive",IF(AMAZON_FASHION_5__2[[#This Row],[overall]]&lt;=2,"Negative","Neutral"))</f>
        <v>Positive</v>
      </c>
      <c r="S10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68" spans="1:19" x14ac:dyDescent="0.25">
      <c r="A1068">
        <v>5</v>
      </c>
      <c r="B1068" t="b">
        <v>1</v>
      </c>
      <c r="C1068" s="1">
        <v>42833</v>
      </c>
      <c r="D1068">
        <f>YEAR(AMAZON_FASHION_5__2[[#This Row],[reviewDate]])</f>
        <v>2017</v>
      </c>
      <c r="E1068" s="1" t="str">
        <f>TEXT(AMAZON_FASHION_5__2[[#This Row],[reviewDate]], "mmmm")</f>
        <v>April</v>
      </c>
      <c r="F1068" t="s">
        <v>910</v>
      </c>
      <c r="G1068" t="s">
        <v>1456</v>
      </c>
      <c r="H1068" t="s">
        <v>230</v>
      </c>
      <c r="I1068" t="s">
        <v>198</v>
      </c>
      <c r="J1068" t="s">
        <v>63</v>
      </c>
      <c r="K1068" t="s">
        <v>911</v>
      </c>
      <c r="L1068" t="s">
        <v>912</v>
      </c>
      <c r="M1068">
        <v>1491609600</v>
      </c>
      <c r="N1068" t="s">
        <v>1628</v>
      </c>
      <c r="O1068" t="s">
        <v>1628</v>
      </c>
      <c r="P1068" t="s">
        <v>1628</v>
      </c>
      <c r="Q1068">
        <f>LEN(AMAZON_FASHION_5__2[[#This Row],[reviewText]])</f>
        <v>163</v>
      </c>
      <c r="R1068" t="str">
        <f>IF(AMAZON_FASHION_5__2[[#This Row],[overall]]&gt;=4,"Positive",IF(AMAZON_FASHION_5__2[[#This Row],[overall]]&lt;=2,"Negative","Neutral"))</f>
        <v>Positive</v>
      </c>
      <c r="S10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69" spans="1:19" x14ac:dyDescent="0.25">
      <c r="A1069">
        <v>4</v>
      </c>
      <c r="B1069" t="b">
        <v>1</v>
      </c>
      <c r="C1069" s="1">
        <v>42830</v>
      </c>
      <c r="D1069">
        <f>YEAR(AMAZON_FASHION_5__2[[#This Row],[reviewDate]])</f>
        <v>2017</v>
      </c>
      <c r="E1069" s="1" t="str">
        <f>TEXT(AMAZON_FASHION_5__2[[#This Row],[reviewDate]], "mmmm")</f>
        <v>April</v>
      </c>
      <c r="F1069" t="s">
        <v>913</v>
      </c>
      <c r="G1069" t="s">
        <v>1456</v>
      </c>
      <c r="H1069" t="s">
        <v>477</v>
      </c>
      <c r="I1069" t="s">
        <v>198</v>
      </c>
      <c r="J1069" t="s">
        <v>63</v>
      </c>
      <c r="K1069" t="s">
        <v>914</v>
      </c>
      <c r="L1069" t="s">
        <v>103</v>
      </c>
      <c r="M1069">
        <v>1491350400</v>
      </c>
      <c r="N1069" t="s">
        <v>1628</v>
      </c>
      <c r="O1069" t="s">
        <v>1628</v>
      </c>
      <c r="P1069" t="s">
        <v>1628</v>
      </c>
      <c r="Q1069">
        <f>LEN(AMAZON_FASHION_5__2[[#This Row],[reviewText]])</f>
        <v>17</v>
      </c>
      <c r="R1069" t="str">
        <f>IF(AMAZON_FASHION_5__2[[#This Row],[overall]]&gt;=4,"Positive",IF(AMAZON_FASHION_5__2[[#This Row],[overall]]&lt;=2,"Negative","Neutral"))</f>
        <v>Positive</v>
      </c>
      <c r="S10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70" spans="1:19" x14ac:dyDescent="0.25">
      <c r="A1070">
        <v>5</v>
      </c>
      <c r="B1070" t="b">
        <v>1</v>
      </c>
      <c r="C1070" s="1">
        <v>42830</v>
      </c>
      <c r="D1070">
        <f>YEAR(AMAZON_FASHION_5__2[[#This Row],[reviewDate]])</f>
        <v>2017</v>
      </c>
      <c r="E1070" s="1" t="str">
        <f>TEXT(AMAZON_FASHION_5__2[[#This Row],[reviewDate]], "mmmm")</f>
        <v>April</v>
      </c>
      <c r="F1070" t="s">
        <v>915</v>
      </c>
      <c r="G1070" t="s">
        <v>1456</v>
      </c>
      <c r="H1070" t="s">
        <v>210</v>
      </c>
      <c r="I1070" t="s">
        <v>198</v>
      </c>
      <c r="J1070" t="s">
        <v>916</v>
      </c>
      <c r="K1070" t="s">
        <v>917</v>
      </c>
      <c r="L1070" t="s">
        <v>17</v>
      </c>
      <c r="M1070">
        <v>1491350400</v>
      </c>
      <c r="N1070" t="s">
        <v>1628</v>
      </c>
      <c r="O1070" t="s">
        <v>1628</v>
      </c>
      <c r="P1070" t="s">
        <v>1628</v>
      </c>
      <c r="Q1070">
        <f>LEN(AMAZON_FASHION_5__2[[#This Row],[reviewText]])</f>
        <v>30</v>
      </c>
      <c r="R1070" t="str">
        <f>IF(AMAZON_FASHION_5__2[[#This Row],[overall]]&gt;=4,"Positive",IF(AMAZON_FASHION_5__2[[#This Row],[overall]]&lt;=2,"Negative","Neutral"))</f>
        <v>Positive</v>
      </c>
      <c r="S10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71" spans="1:19" x14ac:dyDescent="0.25">
      <c r="A1071">
        <v>5</v>
      </c>
      <c r="B1071" t="b">
        <v>1</v>
      </c>
      <c r="C1071" s="1">
        <v>42829</v>
      </c>
      <c r="D1071">
        <f>YEAR(AMAZON_FASHION_5__2[[#This Row],[reviewDate]])</f>
        <v>2017</v>
      </c>
      <c r="E1071" s="1" t="str">
        <f>TEXT(AMAZON_FASHION_5__2[[#This Row],[reviewDate]], "mmmm")</f>
        <v>April</v>
      </c>
      <c r="F1071" t="s">
        <v>918</v>
      </c>
      <c r="G1071" t="s">
        <v>1456</v>
      </c>
      <c r="H1071" t="s">
        <v>477</v>
      </c>
      <c r="I1071" t="s">
        <v>827</v>
      </c>
      <c r="J1071" t="s">
        <v>919</v>
      </c>
      <c r="K1071" t="s">
        <v>920</v>
      </c>
      <c r="L1071" t="s">
        <v>17</v>
      </c>
      <c r="M1071">
        <v>1491264000</v>
      </c>
      <c r="N1071" t="s">
        <v>1628</v>
      </c>
      <c r="O1071" t="s">
        <v>1628</v>
      </c>
      <c r="P1071" t="s">
        <v>1628</v>
      </c>
      <c r="Q1071">
        <f>LEN(AMAZON_FASHION_5__2[[#This Row],[reviewText]])</f>
        <v>38</v>
      </c>
      <c r="R1071" t="str">
        <f>IF(AMAZON_FASHION_5__2[[#This Row],[overall]]&gt;=4,"Positive",IF(AMAZON_FASHION_5__2[[#This Row],[overall]]&lt;=2,"Negative","Neutral"))</f>
        <v>Positive</v>
      </c>
      <c r="S10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72" spans="1:19" x14ac:dyDescent="0.25">
      <c r="A1072">
        <v>5</v>
      </c>
      <c r="B1072" t="b">
        <v>1</v>
      </c>
      <c r="C1072" s="1">
        <v>42827</v>
      </c>
      <c r="D1072">
        <f>YEAR(AMAZON_FASHION_5__2[[#This Row],[reviewDate]])</f>
        <v>2017</v>
      </c>
      <c r="E1072" s="1" t="str">
        <f>TEXT(AMAZON_FASHION_5__2[[#This Row],[reviewDate]], "mmmm")</f>
        <v>April</v>
      </c>
      <c r="F1072" t="s">
        <v>921</v>
      </c>
      <c r="G1072" t="s">
        <v>1456</v>
      </c>
      <c r="H1072" t="s">
        <v>205</v>
      </c>
      <c r="I1072" t="s">
        <v>344</v>
      </c>
      <c r="J1072" t="s">
        <v>922</v>
      </c>
      <c r="K1072" t="s">
        <v>923</v>
      </c>
      <c r="L1072" t="s">
        <v>17</v>
      </c>
      <c r="M1072">
        <v>1491091200</v>
      </c>
      <c r="N1072" t="s">
        <v>1628</v>
      </c>
      <c r="O1072" t="s">
        <v>1628</v>
      </c>
      <c r="P1072" t="s">
        <v>1628</v>
      </c>
      <c r="Q1072">
        <f>LEN(AMAZON_FASHION_5__2[[#This Row],[reviewText]])</f>
        <v>39</v>
      </c>
      <c r="R1072" t="str">
        <f>IF(AMAZON_FASHION_5__2[[#This Row],[overall]]&gt;=4,"Positive",IF(AMAZON_FASHION_5__2[[#This Row],[overall]]&lt;=2,"Negative","Neutral"))</f>
        <v>Positive</v>
      </c>
      <c r="S10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73" spans="1:19" x14ac:dyDescent="0.25">
      <c r="A1073">
        <v>4</v>
      </c>
      <c r="B1073" t="b">
        <v>1</v>
      </c>
      <c r="C1073" s="1">
        <v>42824</v>
      </c>
      <c r="D1073">
        <f>YEAR(AMAZON_FASHION_5__2[[#This Row],[reviewDate]])</f>
        <v>2017</v>
      </c>
      <c r="E1073" s="1" t="str">
        <f>TEXT(AMAZON_FASHION_5__2[[#This Row],[reviewDate]], "mmmm")</f>
        <v>March</v>
      </c>
      <c r="F1073" t="s">
        <v>924</v>
      </c>
      <c r="G1073" t="s">
        <v>1456</v>
      </c>
      <c r="H1073" t="s">
        <v>205</v>
      </c>
      <c r="I1073" t="s">
        <v>198</v>
      </c>
      <c r="J1073" t="s">
        <v>925</v>
      </c>
      <c r="K1073" t="s">
        <v>926</v>
      </c>
      <c r="L1073" t="s">
        <v>927</v>
      </c>
      <c r="M1073">
        <v>1490832000</v>
      </c>
      <c r="N1073" t="s">
        <v>1628</v>
      </c>
      <c r="O1073" t="s">
        <v>1628</v>
      </c>
      <c r="P1073" t="s">
        <v>1628</v>
      </c>
      <c r="Q1073">
        <f>LEN(AMAZON_FASHION_5__2[[#This Row],[reviewText]])</f>
        <v>87</v>
      </c>
      <c r="R1073" t="str">
        <f>IF(AMAZON_FASHION_5__2[[#This Row],[overall]]&gt;=4,"Positive",IF(AMAZON_FASHION_5__2[[#This Row],[overall]]&lt;=2,"Negative","Neutral"))</f>
        <v>Positive</v>
      </c>
      <c r="S10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74" spans="1:19" x14ac:dyDescent="0.25">
      <c r="A1074">
        <v>5</v>
      </c>
      <c r="B1074" t="b">
        <v>1</v>
      </c>
      <c r="C1074" s="1">
        <v>42823</v>
      </c>
      <c r="D1074">
        <f>YEAR(AMAZON_FASHION_5__2[[#This Row],[reviewDate]])</f>
        <v>2017</v>
      </c>
      <c r="E1074" s="1" t="str">
        <f>TEXT(AMAZON_FASHION_5__2[[#This Row],[reviewDate]], "mmmm")</f>
        <v>March</v>
      </c>
      <c r="F1074" t="s">
        <v>928</v>
      </c>
      <c r="G1074" t="s">
        <v>1456</v>
      </c>
      <c r="H1074" t="s">
        <v>235</v>
      </c>
      <c r="I1074" t="s">
        <v>411</v>
      </c>
      <c r="J1074" t="s">
        <v>929</v>
      </c>
      <c r="K1074" t="s">
        <v>930</v>
      </c>
      <c r="L1074" t="s">
        <v>931</v>
      </c>
      <c r="M1074">
        <v>1490745600</v>
      </c>
      <c r="N1074" t="s">
        <v>1628</v>
      </c>
      <c r="O1074" t="s">
        <v>1628</v>
      </c>
      <c r="P1074" t="s">
        <v>1628</v>
      </c>
      <c r="Q1074">
        <f>LEN(AMAZON_FASHION_5__2[[#This Row],[reviewText]])</f>
        <v>120</v>
      </c>
      <c r="R1074" t="str">
        <f>IF(AMAZON_FASHION_5__2[[#This Row],[overall]]&gt;=4,"Positive",IF(AMAZON_FASHION_5__2[[#This Row],[overall]]&lt;=2,"Negative","Neutral"))</f>
        <v>Positive</v>
      </c>
      <c r="S10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75" spans="1:19" x14ac:dyDescent="0.25">
      <c r="A1075">
        <v>2</v>
      </c>
      <c r="B1075" t="b">
        <v>1</v>
      </c>
      <c r="C1075" s="1">
        <v>42820</v>
      </c>
      <c r="D1075">
        <f>YEAR(AMAZON_FASHION_5__2[[#This Row],[reviewDate]])</f>
        <v>2017</v>
      </c>
      <c r="E1075" s="1" t="str">
        <f>TEXT(AMAZON_FASHION_5__2[[#This Row],[reviewDate]], "mmmm")</f>
        <v>March</v>
      </c>
      <c r="F1075" t="s">
        <v>932</v>
      </c>
      <c r="G1075" t="s">
        <v>1456</v>
      </c>
      <c r="H1075" t="s">
        <v>477</v>
      </c>
      <c r="I1075" t="s">
        <v>211</v>
      </c>
      <c r="J1075" t="s">
        <v>933</v>
      </c>
      <c r="K1075" t="s">
        <v>934</v>
      </c>
      <c r="L1075" t="s">
        <v>935</v>
      </c>
      <c r="M1075">
        <v>1490486400</v>
      </c>
      <c r="N1075" t="s">
        <v>1628</v>
      </c>
      <c r="O1075" t="s">
        <v>1628</v>
      </c>
      <c r="P1075" t="s">
        <v>1628</v>
      </c>
      <c r="Q1075">
        <f>LEN(AMAZON_FASHION_5__2[[#This Row],[reviewText]])</f>
        <v>178</v>
      </c>
      <c r="R1075" t="str">
        <f>IF(AMAZON_FASHION_5__2[[#This Row],[overall]]&gt;=4,"Positive",IF(AMAZON_FASHION_5__2[[#This Row],[overall]]&lt;=2,"Negative","Neutral"))</f>
        <v>Negative</v>
      </c>
      <c r="S10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76" spans="1:19" x14ac:dyDescent="0.25">
      <c r="A1076">
        <v>1</v>
      </c>
      <c r="B1076" t="b">
        <v>1</v>
      </c>
      <c r="C1076" s="1">
        <v>42819</v>
      </c>
      <c r="D1076">
        <f>YEAR(AMAZON_FASHION_5__2[[#This Row],[reviewDate]])</f>
        <v>2017</v>
      </c>
      <c r="E1076" s="1" t="str">
        <f>TEXT(AMAZON_FASHION_5__2[[#This Row],[reviewDate]], "mmmm")</f>
        <v>March</v>
      </c>
      <c r="F1076" t="s">
        <v>936</v>
      </c>
      <c r="G1076" t="s">
        <v>1456</v>
      </c>
      <c r="H1076" t="s">
        <v>415</v>
      </c>
      <c r="I1076" t="s">
        <v>336</v>
      </c>
      <c r="J1076" t="s">
        <v>937</v>
      </c>
      <c r="K1076" t="s">
        <v>938</v>
      </c>
      <c r="L1076" t="s">
        <v>65</v>
      </c>
      <c r="M1076">
        <v>1490400000</v>
      </c>
      <c r="N1076" t="s">
        <v>1628</v>
      </c>
      <c r="O1076" t="s">
        <v>1628</v>
      </c>
      <c r="P1076" t="s">
        <v>1628</v>
      </c>
      <c r="Q1076">
        <f>LEN(AMAZON_FASHION_5__2[[#This Row],[reviewText]])</f>
        <v>84</v>
      </c>
      <c r="R1076" t="str">
        <f>IF(AMAZON_FASHION_5__2[[#This Row],[overall]]&gt;=4,"Positive",IF(AMAZON_FASHION_5__2[[#This Row],[overall]]&lt;=2,"Negative","Neutral"))</f>
        <v>Negative</v>
      </c>
      <c r="S10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77" spans="1:19" x14ac:dyDescent="0.25">
      <c r="A1077">
        <v>5</v>
      </c>
      <c r="B1077" t="b">
        <v>1</v>
      </c>
      <c r="C1077" s="1">
        <v>42818</v>
      </c>
      <c r="D1077">
        <f>YEAR(AMAZON_FASHION_5__2[[#This Row],[reviewDate]])</f>
        <v>2017</v>
      </c>
      <c r="E1077" s="1" t="str">
        <f>TEXT(AMAZON_FASHION_5__2[[#This Row],[reviewDate]], "mmmm")</f>
        <v>March</v>
      </c>
      <c r="F1077" t="s">
        <v>939</v>
      </c>
      <c r="G1077" t="s">
        <v>1456</v>
      </c>
      <c r="H1077" t="s">
        <v>235</v>
      </c>
      <c r="I1077" t="s">
        <v>198</v>
      </c>
      <c r="J1077" t="s">
        <v>63</v>
      </c>
      <c r="K1077" t="s">
        <v>940</v>
      </c>
      <c r="L1077" t="s">
        <v>17</v>
      </c>
      <c r="M1077">
        <v>1490313600</v>
      </c>
      <c r="N1077" t="s">
        <v>1628</v>
      </c>
      <c r="O1077" t="s">
        <v>1628</v>
      </c>
      <c r="P1077" t="s">
        <v>1628</v>
      </c>
      <c r="Q1077">
        <f>LEN(AMAZON_FASHION_5__2[[#This Row],[reviewText]])</f>
        <v>10</v>
      </c>
      <c r="R1077" t="str">
        <f>IF(AMAZON_FASHION_5__2[[#This Row],[overall]]&gt;=4,"Positive",IF(AMAZON_FASHION_5__2[[#This Row],[overall]]&lt;=2,"Negative","Neutral"))</f>
        <v>Positive</v>
      </c>
      <c r="S10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78" spans="1:19" x14ac:dyDescent="0.25">
      <c r="A1078">
        <v>5</v>
      </c>
      <c r="B1078" t="b">
        <v>1</v>
      </c>
      <c r="C1078" s="1">
        <v>42818</v>
      </c>
      <c r="D1078">
        <f>YEAR(AMAZON_FASHION_5__2[[#This Row],[reviewDate]])</f>
        <v>2017</v>
      </c>
      <c r="E1078" s="1" t="str">
        <f>TEXT(AMAZON_FASHION_5__2[[#This Row],[reviewDate]], "mmmm")</f>
        <v>March</v>
      </c>
      <c r="F1078" t="s">
        <v>941</v>
      </c>
      <c r="G1078" t="s">
        <v>1456</v>
      </c>
      <c r="H1078" t="s">
        <v>210</v>
      </c>
      <c r="I1078" t="s">
        <v>198</v>
      </c>
      <c r="J1078" t="s">
        <v>942</v>
      </c>
      <c r="K1078" t="s">
        <v>943</v>
      </c>
      <c r="L1078" t="s">
        <v>944</v>
      </c>
      <c r="M1078">
        <v>1490313600</v>
      </c>
      <c r="N1078" t="s">
        <v>1628</v>
      </c>
      <c r="O1078" t="s">
        <v>1628</v>
      </c>
      <c r="P1078" t="s">
        <v>1628</v>
      </c>
      <c r="Q1078">
        <f>LEN(AMAZON_FASHION_5__2[[#This Row],[reviewText]])</f>
        <v>225</v>
      </c>
      <c r="R1078" t="str">
        <f>IF(AMAZON_FASHION_5__2[[#This Row],[overall]]&gt;=4,"Positive",IF(AMAZON_FASHION_5__2[[#This Row],[overall]]&lt;=2,"Negative","Neutral"))</f>
        <v>Positive</v>
      </c>
      <c r="S10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79" spans="1:19" x14ac:dyDescent="0.25">
      <c r="A1079">
        <v>5</v>
      </c>
      <c r="B1079" t="b">
        <v>1</v>
      </c>
      <c r="C1079" s="1">
        <v>42817</v>
      </c>
      <c r="D1079">
        <f>YEAR(AMAZON_FASHION_5__2[[#This Row],[reviewDate]])</f>
        <v>2017</v>
      </c>
      <c r="E1079" s="1" t="str">
        <f>TEXT(AMAZON_FASHION_5__2[[#This Row],[reviewDate]], "mmmm")</f>
        <v>March</v>
      </c>
      <c r="F1079" t="s">
        <v>945</v>
      </c>
      <c r="G1079" t="s">
        <v>1456</v>
      </c>
      <c r="H1079" t="s">
        <v>230</v>
      </c>
      <c r="I1079" t="s">
        <v>574</v>
      </c>
      <c r="J1079" t="s">
        <v>946</v>
      </c>
      <c r="K1079" t="s">
        <v>947</v>
      </c>
      <c r="L1079" t="s">
        <v>948</v>
      </c>
      <c r="M1079">
        <v>1490227200</v>
      </c>
      <c r="N1079" t="s">
        <v>1628</v>
      </c>
      <c r="O1079" t="s">
        <v>1628</v>
      </c>
      <c r="P1079">
        <v>3</v>
      </c>
      <c r="Q1079">
        <f>LEN(AMAZON_FASHION_5__2[[#This Row],[reviewText]])</f>
        <v>401</v>
      </c>
      <c r="R1079" t="str">
        <f>IF(AMAZON_FASHION_5__2[[#This Row],[overall]]&gt;=4,"Positive",IF(AMAZON_FASHION_5__2[[#This Row],[overall]]&lt;=2,"Negative","Neutral"))</f>
        <v>Positive</v>
      </c>
      <c r="S10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80" spans="1:19" x14ac:dyDescent="0.25">
      <c r="A1080">
        <v>5</v>
      </c>
      <c r="B1080" t="b">
        <v>1</v>
      </c>
      <c r="C1080" s="1">
        <v>42815</v>
      </c>
      <c r="D1080">
        <f>YEAR(AMAZON_FASHION_5__2[[#This Row],[reviewDate]])</f>
        <v>2017</v>
      </c>
      <c r="E1080" s="1" t="str">
        <f>TEXT(AMAZON_FASHION_5__2[[#This Row],[reviewDate]], "mmmm")</f>
        <v>March</v>
      </c>
      <c r="F1080" t="s">
        <v>949</v>
      </c>
      <c r="G1080" t="s">
        <v>1456</v>
      </c>
      <c r="H1080" t="s">
        <v>210</v>
      </c>
      <c r="I1080" t="s">
        <v>419</v>
      </c>
      <c r="J1080" t="s">
        <v>950</v>
      </c>
      <c r="K1080" t="s">
        <v>951</v>
      </c>
      <c r="L1080" t="s">
        <v>543</v>
      </c>
      <c r="M1080">
        <v>1490054400</v>
      </c>
      <c r="N1080" t="s">
        <v>1628</v>
      </c>
      <c r="O1080" t="s">
        <v>1628</v>
      </c>
      <c r="P1080" t="s">
        <v>1628</v>
      </c>
      <c r="Q1080">
        <f>LEN(AMAZON_FASHION_5__2[[#This Row],[reviewText]])</f>
        <v>110</v>
      </c>
      <c r="R1080" t="str">
        <f>IF(AMAZON_FASHION_5__2[[#This Row],[overall]]&gt;=4,"Positive",IF(AMAZON_FASHION_5__2[[#This Row],[overall]]&lt;=2,"Negative","Neutral"))</f>
        <v>Positive</v>
      </c>
      <c r="S10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81" spans="1:19" x14ac:dyDescent="0.25">
      <c r="A1081">
        <v>4</v>
      </c>
      <c r="B1081" t="b">
        <v>1</v>
      </c>
      <c r="C1081" s="1">
        <v>42814</v>
      </c>
      <c r="D1081">
        <f>YEAR(AMAZON_FASHION_5__2[[#This Row],[reviewDate]])</f>
        <v>2017</v>
      </c>
      <c r="E1081" s="1" t="str">
        <f>TEXT(AMAZON_FASHION_5__2[[#This Row],[reviewDate]], "mmmm")</f>
        <v>March</v>
      </c>
      <c r="F1081" t="s">
        <v>952</v>
      </c>
      <c r="G1081" t="s">
        <v>1456</v>
      </c>
      <c r="H1081" t="s">
        <v>477</v>
      </c>
      <c r="I1081" t="s">
        <v>344</v>
      </c>
      <c r="J1081" t="s">
        <v>953</v>
      </c>
      <c r="K1081" t="s">
        <v>954</v>
      </c>
      <c r="L1081" t="s">
        <v>955</v>
      </c>
      <c r="M1081">
        <v>1489968000</v>
      </c>
      <c r="N1081" t="s">
        <v>1628</v>
      </c>
      <c r="O1081" t="s">
        <v>1628</v>
      </c>
      <c r="P1081" t="s">
        <v>1628</v>
      </c>
      <c r="Q1081">
        <f>LEN(AMAZON_FASHION_5__2[[#This Row],[reviewText]])</f>
        <v>23</v>
      </c>
      <c r="R1081" t="str">
        <f>IF(AMAZON_FASHION_5__2[[#This Row],[overall]]&gt;=4,"Positive",IF(AMAZON_FASHION_5__2[[#This Row],[overall]]&lt;=2,"Negative","Neutral"))</f>
        <v>Positive</v>
      </c>
      <c r="S10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82" spans="1:19" x14ac:dyDescent="0.25">
      <c r="A1082">
        <v>5</v>
      </c>
      <c r="B1082" t="b">
        <v>1</v>
      </c>
      <c r="C1082" s="1">
        <v>42812</v>
      </c>
      <c r="D1082">
        <f>YEAR(AMAZON_FASHION_5__2[[#This Row],[reviewDate]])</f>
        <v>2017</v>
      </c>
      <c r="E1082" s="1" t="str">
        <f>TEXT(AMAZON_FASHION_5__2[[#This Row],[reviewDate]], "mmmm")</f>
        <v>March</v>
      </c>
      <c r="F1082" t="s">
        <v>956</v>
      </c>
      <c r="G1082" t="s">
        <v>1456</v>
      </c>
      <c r="H1082" t="s">
        <v>201</v>
      </c>
      <c r="I1082" t="s">
        <v>198</v>
      </c>
      <c r="J1082" t="s">
        <v>957</v>
      </c>
      <c r="K1082" t="s">
        <v>958</v>
      </c>
      <c r="L1082" t="s">
        <v>17</v>
      </c>
      <c r="M1082">
        <v>1489795200</v>
      </c>
      <c r="N1082" t="s">
        <v>1628</v>
      </c>
      <c r="O1082" t="s">
        <v>1628</v>
      </c>
      <c r="P1082" t="s">
        <v>1628</v>
      </c>
      <c r="Q1082">
        <f>LEN(AMAZON_FASHION_5__2[[#This Row],[reviewText]])</f>
        <v>40</v>
      </c>
      <c r="R1082" t="str">
        <f>IF(AMAZON_FASHION_5__2[[#This Row],[overall]]&gt;=4,"Positive",IF(AMAZON_FASHION_5__2[[#This Row],[overall]]&lt;=2,"Negative","Neutral"))</f>
        <v>Positive</v>
      </c>
      <c r="S10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83" spans="1:19" x14ac:dyDescent="0.25">
      <c r="A1083">
        <v>5</v>
      </c>
      <c r="B1083" t="b">
        <v>1</v>
      </c>
      <c r="C1083" s="1">
        <v>42812</v>
      </c>
      <c r="D1083">
        <f>YEAR(AMAZON_FASHION_5__2[[#This Row],[reviewDate]])</f>
        <v>2017</v>
      </c>
      <c r="E1083" s="1" t="str">
        <f>TEXT(AMAZON_FASHION_5__2[[#This Row],[reviewDate]], "mmmm")</f>
        <v>March</v>
      </c>
      <c r="F1083" t="s">
        <v>959</v>
      </c>
      <c r="G1083" t="s">
        <v>1456</v>
      </c>
      <c r="H1083" t="s">
        <v>201</v>
      </c>
      <c r="I1083" t="s">
        <v>419</v>
      </c>
      <c r="J1083" t="s">
        <v>960</v>
      </c>
      <c r="K1083" t="s">
        <v>961</v>
      </c>
      <c r="L1083" t="s">
        <v>962</v>
      </c>
      <c r="M1083">
        <v>1489795200</v>
      </c>
      <c r="N1083" t="s">
        <v>1628</v>
      </c>
      <c r="O1083" t="s">
        <v>1628</v>
      </c>
      <c r="P1083">
        <v>8</v>
      </c>
      <c r="Q1083">
        <f>LEN(AMAZON_FASHION_5__2[[#This Row],[reviewText]])</f>
        <v>267</v>
      </c>
      <c r="R1083" t="str">
        <f>IF(AMAZON_FASHION_5__2[[#This Row],[overall]]&gt;=4,"Positive",IF(AMAZON_FASHION_5__2[[#This Row],[overall]]&lt;=2,"Negative","Neutral"))</f>
        <v>Positive</v>
      </c>
      <c r="S10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84" spans="1:19" x14ac:dyDescent="0.25">
      <c r="A1084">
        <v>3</v>
      </c>
      <c r="B1084" t="b">
        <v>1</v>
      </c>
      <c r="C1084" s="1">
        <v>42811</v>
      </c>
      <c r="D1084">
        <f>YEAR(AMAZON_FASHION_5__2[[#This Row],[reviewDate]])</f>
        <v>2017</v>
      </c>
      <c r="E1084" s="1" t="str">
        <f>TEXT(AMAZON_FASHION_5__2[[#This Row],[reviewDate]], "mmmm")</f>
        <v>March</v>
      </c>
      <c r="F1084" t="s">
        <v>963</v>
      </c>
      <c r="G1084" t="s">
        <v>1456</v>
      </c>
      <c r="H1084" t="s">
        <v>477</v>
      </c>
      <c r="I1084" t="s">
        <v>344</v>
      </c>
      <c r="J1084" t="s">
        <v>964</v>
      </c>
      <c r="K1084" t="s">
        <v>965</v>
      </c>
      <c r="L1084" t="s">
        <v>966</v>
      </c>
      <c r="M1084">
        <v>1489708800</v>
      </c>
      <c r="N1084" t="s">
        <v>1628</v>
      </c>
      <c r="O1084" t="s">
        <v>1628</v>
      </c>
      <c r="P1084" t="s">
        <v>1628</v>
      </c>
      <c r="Q1084">
        <f>LEN(AMAZON_FASHION_5__2[[#This Row],[reviewText]])</f>
        <v>143</v>
      </c>
      <c r="R1084" t="str">
        <f>IF(AMAZON_FASHION_5__2[[#This Row],[overall]]&gt;=4,"Positive",IF(AMAZON_FASHION_5__2[[#This Row],[overall]]&lt;=2,"Negative","Neutral"))</f>
        <v>Neutral</v>
      </c>
      <c r="S10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85" spans="1:19" x14ac:dyDescent="0.25">
      <c r="A1085">
        <v>4</v>
      </c>
      <c r="B1085" t="b">
        <v>1</v>
      </c>
      <c r="C1085" s="1">
        <v>42809</v>
      </c>
      <c r="D1085">
        <f>YEAR(AMAZON_FASHION_5__2[[#This Row],[reviewDate]])</f>
        <v>2017</v>
      </c>
      <c r="E1085" s="1" t="str">
        <f>TEXT(AMAZON_FASHION_5__2[[#This Row],[reviewDate]], "mmmm")</f>
        <v>March</v>
      </c>
      <c r="F1085" t="s">
        <v>967</v>
      </c>
      <c r="G1085" t="s">
        <v>1456</v>
      </c>
      <c r="H1085" t="s">
        <v>201</v>
      </c>
      <c r="I1085" t="s">
        <v>524</v>
      </c>
      <c r="J1085" t="s">
        <v>968</v>
      </c>
      <c r="K1085" t="s">
        <v>969</v>
      </c>
      <c r="L1085" t="s">
        <v>970</v>
      </c>
      <c r="M1085">
        <v>1489536000</v>
      </c>
      <c r="N1085" t="s">
        <v>1628</v>
      </c>
      <c r="O1085" t="s">
        <v>1628</v>
      </c>
      <c r="P1085" t="s">
        <v>1628</v>
      </c>
      <c r="Q1085">
        <f>LEN(AMAZON_FASHION_5__2[[#This Row],[reviewText]])</f>
        <v>118</v>
      </c>
      <c r="R1085" t="str">
        <f>IF(AMAZON_FASHION_5__2[[#This Row],[overall]]&gt;=4,"Positive",IF(AMAZON_FASHION_5__2[[#This Row],[overall]]&lt;=2,"Negative","Neutral"))</f>
        <v>Positive</v>
      </c>
      <c r="S10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86" spans="1:19" x14ac:dyDescent="0.25">
      <c r="A1086">
        <v>3</v>
      </c>
      <c r="B1086" t="b">
        <v>1</v>
      </c>
      <c r="C1086" s="1">
        <v>42809</v>
      </c>
      <c r="D1086">
        <f>YEAR(AMAZON_FASHION_5__2[[#This Row],[reviewDate]])</f>
        <v>2017</v>
      </c>
      <c r="E1086" s="1" t="str">
        <f>TEXT(AMAZON_FASHION_5__2[[#This Row],[reviewDate]], "mmmm")</f>
        <v>March</v>
      </c>
      <c r="F1086" t="s">
        <v>971</v>
      </c>
      <c r="G1086" t="s">
        <v>1456</v>
      </c>
      <c r="H1086" t="s">
        <v>235</v>
      </c>
      <c r="I1086" t="s">
        <v>411</v>
      </c>
      <c r="J1086" t="s">
        <v>972</v>
      </c>
      <c r="K1086" t="s">
        <v>973</v>
      </c>
      <c r="L1086" t="s">
        <v>974</v>
      </c>
      <c r="M1086">
        <v>1489536000</v>
      </c>
      <c r="N1086" t="s">
        <v>1628</v>
      </c>
      <c r="O1086" t="s">
        <v>1628</v>
      </c>
      <c r="P1086">
        <v>2</v>
      </c>
      <c r="Q1086">
        <f>LEN(AMAZON_FASHION_5__2[[#This Row],[reviewText]])</f>
        <v>150</v>
      </c>
      <c r="R1086" t="str">
        <f>IF(AMAZON_FASHION_5__2[[#This Row],[overall]]&gt;=4,"Positive",IF(AMAZON_FASHION_5__2[[#This Row],[overall]]&lt;=2,"Negative","Neutral"))</f>
        <v>Neutral</v>
      </c>
      <c r="S10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87" spans="1:19" x14ac:dyDescent="0.25">
      <c r="A1087">
        <v>5</v>
      </c>
      <c r="B1087" t="b">
        <v>1</v>
      </c>
      <c r="C1087" s="1">
        <v>42809</v>
      </c>
      <c r="D1087">
        <f>YEAR(AMAZON_FASHION_5__2[[#This Row],[reviewDate]])</f>
        <v>2017</v>
      </c>
      <c r="E1087" s="1" t="str">
        <f>TEXT(AMAZON_FASHION_5__2[[#This Row],[reviewDate]], "mmmm")</f>
        <v>March</v>
      </c>
      <c r="F1087" t="s">
        <v>975</v>
      </c>
      <c r="G1087" t="s">
        <v>1456</v>
      </c>
      <c r="H1087" t="s">
        <v>201</v>
      </c>
      <c r="I1087" t="s">
        <v>524</v>
      </c>
      <c r="J1087" t="s">
        <v>976</v>
      </c>
      <c r="K1087" t="s">
        <v>977</v>
      </c>
      <c r="L1087" t="s">
        <v>17</v>
      </c>
      <c r="M1087">
        <v>1489536000</v>
      </c>
      <c r="N1087" t="s">
        <v>1628</v>
      </c>
      <c r="O1087" t="s">
        <v>1628</v>
      </c>
      <c r="P1087" t="s">
        <v>1628</v>
      </c>
      <c r="Q1087">
        <f>LEN(AMAZON_FASHION_5__2[[#This Row],[reviewText]])</f>
        <v>40</v>
      </c>
      <c r="R1087" t="str">
        <f>IF(AMAZON_FASHION_5__2[[#This Row],[overall]]&gt;=4,"Positive",IF(AMAZON_FASHION_5__2[[#This Row],[overall]]&lt;=2,"Negative","Neutral"))</f>
        <v>Positive</v>
      </c>
      <c r="S10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88" spans="1:19" x14ac:dyDescent="0.25">
      <c r="A1088">
        <v>5</v>
      </c>
      <c r="B1088" t="b">
        <v>1</v>
      </c>
      <c r="C1088" s="1">
        <v>42808</v>
      </c>
      <c r="D1088">
        <f>YEAR(AMAZON_FASHION_5__2[[#This Row],[reviewDate]])</f>
        <v>2017</v>
      </c>
      <c r="E1088" s="1" t="str">
        <f>TEXT(AMAZON_FASHION_5__2[[#This Row],[reviewDate]], "mmmm")</f>
        <v>March</v>
      </c>
      <c r="F1088" t="s">
        <v>978</v>
      </c>
      <c r="G1088" t="s">
        <v>1456</v>
      </c>
      <c r="H1088" t="s">
        <v>205</v>
      </c>
      <c r="I1088" t="s">
        <v>827</v>
      </c>
      <c r="J1088" t="s">
        <v>979</v>
      </c>
      <c r="K1088" t="s">
        <v>980</v>
      </c>
      <c r="L1088" t="s">
        <v>17</v>
      </c>
      <c r="M1088">
        <v>1489449600</v>
      </c>
      <c r="N1088" t="s">
        <v>1628</v>
      </c>
      <c r="O1088" t="s">
        <v>1628</v>
      </c>
      <c r="P1088" t="s">
        <v>1628</v>
      </c>
      <c r="Q1088">
        <f>LEN(AMAZON_FASHION_5__2[[#This Row],[reviewText]])</f>
        <v>33</v>
      </c>
      <c r="R1088" t="str">
        <f>IF(AMAZON_FASHION_5__2[[#This Row],[overall]]&gt;=4,"Positive",IF(AMAZON_FASHION_5__2[[#This Row],[overall]]&lt;=2,"Negative","Neutral"))</f>
        <v>Positive</v>
      </c>
      <c r="S10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89" spans="1:19" x14ac:dyDescent="0.25">
      <c r="A1089">
        <v>5</v>
      </c>
      <c r="B1089" t="b">
        <v>1</v>
      </c>
      <c r="C1089" s="1">
        <v>42807</v>
      </c>
      <c r="D1089">
        <f>YEAR(AMAZON_FASHION_5__2[[#This Row],[reviewDate]])</f>
        <v>2017</v>
      </c>
      <c r="E1089" s="1" t="str">
        <f>TEXT(AMAZON_FASHION_5__2[[#This Row],[reviewDate]], "mmmm")</f>
        <v>March</v>
      </c>
      <c r="F1089" t="s">
        <v>981</v>
      </c>
      <c r="G1089" t="s">
        <v>1456</v>
      </c>
      <c r="H1089" t="s">
        <v>210</v>
      </c>
      <c r="I1089" t="s">
        <v>524</v>
      </c>
      <c r="J1089" t="s">
        <v>982</v>
      </c>
      <c r="K1089" t="s">
        <v>983</v>
      </c>
      <c r="L1089" t="s">
        <v>984</v>
      </c>
      <c r="M1089">
        <v>1489363200</v>
      </c>
      <c r="N1089" t="s">
        <v>1628</v>
      </c>
      <c r="O1089" t="s">
        <v>1628</v>
      </c>
      <c r="P1089" t="s">
        <v>1628</v>
      </c>
      <c r="Q1089">
        <f>LEN(AMAZON_FASHION_5__2[[#This Row],[reviewText]])</f>
        <v>297</v>
      </c>
      <c r="R1089" t="str">
        <f>IF(AMAZON_FASHION_5__2[[#This Row],[overall]]&gt;=4,"Positive",IF(AMAZON_FASHION_5__2[[#This Row],[overall]]&lt;=2,"Negative","Neutral"))</f>
        <v>Positive</v>
      </c>
      <c r="S10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90" spans="1:19" x14ac:dyDescent="0.25">
      <c r="A1090">
        <v>5</v>
      </c>
      <c r="B1090" t="b">
        <v>1</v>
      </c>
      <c r="C1090" s="1">
        <v>42806</v>
      </c>
      <c r="D1090">
        <f>YEAR(AMAZON_FASHION_5__2[[#This Row],[reviewDate]])</f>
        <v>2017</v>
      </c>
      <c r="E1090" s="1" t="str">
        <f>TEXT(AMAZON_FASHION_5__2[[#This Row],[reviewDate]], "mmmm")</f>
        <v>March</v>
      </c>
      <c r="F1090" t="s">
        <v>985</v>
      </c>
      <c r="G1090" t="s">
        <v>1456</v>
      </c>
      <c r="H1090" t="s">
        <v>235</v>
      </c>
      <c r="I1090" t="s">
        <v>198</v>
      </c>
      <c r="J1090" t="s">
        <v>986</v>
      </c>
      <c r="K1090" t="s">
        <v>987</v>
      </c>
      <c r="L1090" t="s">
        <v>988</v>
      </c>
      <c r="M1090">
        <v>1489276800</v>
      </c>
      <c r="N1090" t="s">
        <v>1628</v>
      </c>
      <c r="O1090" t="s">
        <v>1628</v>
      </c>
      <c r="P1090" t="s">
        <v>1628</v>
      </c>
      <c r="Q1090">
        <f>LEN(AMAZON_FASHION_5__2[[#This Row],[reviewText]])</f>
        <v>81</v>
      </c>
      <c r="R1090" t="str">
        <f>IF(AMAZON_FASHION_5__2[[#This Row],[overall]]&gt;=4,"Positive",IF(AMAZON_FASHION_5__2[[#This Row],[overall]]&lt;=2,"Negative","Neutral"))</f>
        <v>Positive</v>
      </c>
      <c r="S10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91" spans="1:19" x14ac:dyDescent="0.25">
      <c r="A1091">
        <v>5</v>
      </c>
      <c r="B1091" t="b">
        <v>1</v>
      </c>
      <c r="C1091" s="1">
        <v>42802</v>
      </c>
      <c r="D1091">
        <f>YEAR(AMAZON_FASHION_5__2[[#This Row],[reviewDate]])</f>
        <v>2017</v>
      </c>
      <c r="E1091" s="1" t="str">
        <f>TEXT(AMAZON_FASHION_5__2[[#This Row],[reviewDate]], "mmmm")</f>
        <v>March</v>
      </c>
      <c r="F1091" t="s">
        <v>989</v>
      </c>
      <c r="G1091" t="s">
        <v>1456</v>
      </c>
      <c r="H1091" t="s">
        <v>477</v>
      </c>
      <c r="I1091" t="s">
        <v>198</v>
      </c>
      <c r="J1091" t="s">
        <v>990</v>
      </c>
      <c r="K1091" t="s">
        <v>991</v>
      </c>
      <c r="L1091" t="s">
        <v>17</v>
      </c>
      <c r="M1091">
        <v>1488931200</v>
      </c>
      <c r="N1091" t="s">
        <v>1628</v>
      </c>
      <c r="O1091" t="s">
        <v>1628</v>
      </c>
      <c r="P1091" t="s">
        <v>1628</v>
      </c>
      <c r="Q1091">
        <f>LEN(AMAZON_FASHION_5__2[[#This Row],[reviewText]])</f>
        <v>13</v>
      </c>
      <c r="R1091" t="str">
        <f>IF(AMAZON_FASHION_5__2[[#This Row],[overall]]&gt;=4,"Positive",IF(AMAZON_FASHION_5__2[[#This Row],[overall]]&lt;=2,"Negative","Neutral"))</f>
        <v>Positive</v>
      </c>
      <c r="S10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92" spans="1:19" x14ac:dyDescent="0.25">
      <c r="A1092">
        <v>4</v>
      </c>
      <c r="B1092" t="b">
        <v>1</v>
      </c>
      <c r="C1092" s="1">
        <v>42802</v>
      </c>
      <c r="D1092">
        <f>YEAR(AMAZON_FASHION_5__2[[#This Row],[reviewDate]])</f>
        <v>2017</v>
      </c>
      <c r="E1092" s="1" t="str">
        <f>TEXT(AMAZON_FASHION_5__2[[#This Row],[reviewDate]], "mmmm")</f>
        <v>March</v>
      </c>
      <c r="F1092" t="s">
        <v>992</v>
      </c>
      <c r="G1092" t="s">
        <v>1456</v>
      </c>
      <c r="H1092" t="s">
        <v>205</v>
      </c>
      <c r="I1092" t="s">
        <v>827</v>
      </c>
      <c r="J1092" t="s">
        <v>63</v>
      </c>
      <c r="K1092" t="s">
        <v>993</v>
      </c>
      <c r="L1092" t="s">
        <v>994</v>
      </c>
      <c r="M1092">
        <v>1488931200</v>
      </c>
      <c r="N1092" t="s">
        <v>1628</v>
      </c>
      <c r="O1092" t="s">
        <v>1628</v>
      </c>
      <c r="P1092" t="s">
        <v>1628</v>
      </c>
      <c r="Q1092">
        <f>LEN(AMAZON_FASHION_5__2[[#This Row],[reviewText]])</f>
        <v>182</v>
      </c>
      <c r="R1092" t="str">
        <f>IF(AMAZON_FASHION_5__2[[#This Row],[overall]]&gt;=4,"Positive",IF(AMAZON_FASHION_5__2[[#This Row],[overall]]&lt;=2,"Negative","Neutral"))</f>
        <v>Positive</v>
      </c>
      <c r="S10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93" spans="1:19" x14ac:dyDescent="0.25">
      <c r="A1093">
        <v>4</v>
      </c>
      <c r="B1093" t="b">
        <v>1</v>
      </c>
      <c r="C1093" s="1">
        <v>42802</v>
      </c>
      <c r="D1093">
        <f>YEAR(AMAZON_FASHION_5__2[[#This Row],[reviewDate]])</f>
        <v>2017</v>
      </c>
      <c r="E1093" s="1" t="str">
        <f>TEXT(AMAZON_FASHION_5__2[[#This Row],[reviewDate]], "mmmm")</f>
        <v>March</v>
      </c>
      <c r="F1093" t="s">
        <v>992</v>
      </c>
      <c r="G1093" t="s">
        <v>1456</v>
      </c>
      <c r="H1093" t="s">
        <v>205</v>
      </c>
      <c r="I1093" t="s">
        <v>344</v>
      </c>
      <c r="J1093" t="s">
        <v>63</v>
      </c>
      <c r="K1093" t="s">
        <v>993</v>
      </c>
      <c r="L1093" t="s">
        <v>994</v>
      </c>
      <c r="M1093">
        <v>1488931200</v>
      </c>
      <c r="N1093" t="s">
        <v>1628</v>
      </c>
      <c r="O1093" t="s">
        <v>1628</v>
      </c>
      <c r="P1093" t="s">
        <v>1628</v>
      </c>
      <c r="Q1093">
        <f>LEN(AMAZON_FASHION_5__2[[#This Row],[reviewText]])</f>
        <v>182</v>
      </c>
      <c r="R1093" t="str">
        <f>IF(AMAZON_FASHION_5__2[[#This Row],[overall]]&gt;=4,"Positive",IF(AMAZON_FASHION_5__2[[#This Row],[overall]]&lt;=2,"Negative","Neutral"))</f>
        <v>Positive</v>
      </c>
      <c r="S10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94" spans="1:19" x14ac:dyDescent="0.25">
      <c r="A1094">
        <v>5</v>
      </c>
      <c r="B1094" t="b">
        <v>1</v>
      </c>
      <c r="C1094" s="1">
        <v>42800</v>
      </c>
      <c r="D1094">
        <f>YEAR(AMAZON_FASHION_5__2[[#This Row],[reviewDate]])</f>
        <v>2017</v>
      </c>
      <c r="E1094" s="1" t="str">
        <f>TEXT(AMAZON_FASHION_5__2[[#This Row],[reviewDate]], "mmmm")</f>
        <v>March</v>
      </c>
      <c r="F1094" t="s">
        <v>995</v>
      </c>
      <c r="G1094" t="s">
        <v>1456</v>
      </c>
      <c r="H1094" t="s">
        <v>230</v>
      </c>
      <c r="I1094" t="s">
        <v>198</v>
      </c>
      <c r="J1094" t="s">
        <v>996</v>
      </c>
      <c r="K1094" t="s">
        <v>997</v>
      </c>
      <c r="L1094" t="s">
        <v>17</v>
      </c>
      <c r="M1094">
        <v>1488758400</v>
      </c>
      <c r="N1094" t="s">
        <v>1628</v>
      </c>
      <c r="O1094" t="s">
        <v>1628</v>
      </c>
      <c r="P1094" t="s">
        <v>1628</v>
      </c>
      <c r="Q1094">
        <f>LEN(AMAZON_FASHION_5__2[[#This Row],[reviewText]])</f>
        <v>10</v>
      </c>
      <c r="R1094" t="str">
        <f>IF(AMAZON_FASHION_5__2[[#This Row],[overall]]&gt;=4,"Positive",IF(AMAZON_FASHION_5__2[[#This Row],[overall]]&lt;=2,"Negative","Neutral"))</f>
        <v>Positive</v>
      </c>
      <c r="S10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95" spans="1:19" x14ac:dyDescent="0.25">
      <c r="A1095">
        <v>5</v>
      </c>
      <c r="B1095" t="b">
        <v>0</v>
      </c>
      <c r="C1095" s="1">
        <v>42792</v>
      </c>
      <c r="D1095">
        <f>YEAR(AMAZON_FASHION_5__2[[#This Row],[reviewDate]])</f>
        <v>2017</v>
      </c>
      <c r="E1095" s="1" t="str">
        <f>TEXT(AMAZON_FASHION_5__2[[#This Row],[reviewDate]], "mmmm")</f>
        <v>February</v>
      </c>
      <c r="F1095" t="s">
        <v>998</v>
      </c>
      <c r="G1095" t="s">
        <v>1456</v>
      </c>
      <c r="H1095" t="s">
        <v>261</v>
      </c>
      <c r="I1095" t="s">
        <v>1455</v>
      </c>
      <c r="J1095" t="s">
        <v>999</v>
      </c>
      <c r="K1095" t="s">
        <v>1000</v>
      </c>
      <c r="L1095" t="s">
        <v>1001</v>
      </c>
      <c r="M1095">
        <v>1488067200</v>
      </c>
      <c r="N1095" t="s">
        <v>1628</v>
      </c>
      <c r="O1095" t="s">
        <v>1628</v>
      </c>
      <c r="P1095" t="s">
        <v>1628</v>
      </c>
      <c r="Q1095">
        <f>LEN(AMAZON_FASHION_5__2[[#This Row],[reviewText]])</f>
        <v>206</v>
      </c>
      <c r="R1095" t="str">
        <f>IF(AMAZON_FASHION_5__2[[#This Row],[overall]]&gt;=4,"Positive",IF(AMAZON_FASHION_5__2[[#This Row],[overall]]&lt;=2,"Negative","Neutral"))</f>
        <v>Positive</v>
      </c>
      <c r="S10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96" spans="1:19" x14ac:dyDescent="0.25">
      <c r="A1096">
        <v>4</v>
      </c>
      <c r="B1096" t="b">
        <v>1</v>
      </c>
      <c r="C1096" s="1">
        <v>42790</v>
      </c>
      <c r="D1096">
        <f>YEAR(AMAZON_FASHION_5__2[[#This Row],[reviewDate]])</f>
        <v>2017</v>
      </c>
      <c r="E1096" s="1" t="str">
        <f>TEXT(AMAZON_FASHION_5__2[[#This Row],[reviewDate]], "mmmm")</f>
        <v>February</v>
      </c>
      <c r="F1096" t="s">
        <v>1002</v>
      </c>
      <c r="G1096" t="s">
        <v>1456</v>
      </c>
      <c r="H1096" t="s">
        <v>197</v>
      </c>
      <c r="I1096" t="s">
        <v>198</v>
      </c>
      <c r="J1096" t="s">
        <v>1003</v>
      </c>
      <c r="K1096" t="s">
        <v>1004</v>
      </c>
      <c r="L1096" t="s">
        <v>1005</v>
      </c>
      <c r="M1096">
        <v>1487894400</v>
      </c>
      <c r="N1096" t="s">
        <v>1628</v>
      </c>
      <c r="O1096" t="s">
        <v>1628</v>
      </c>
      <c r="P1096" t="s">
        <v>1628</v>
      </c>
      <c r="Q1096">
        <f>LEN(AMAZON_FASHION_5__2[[#This Row],[reviewText]])</f>
        <v>171</v>
      </c>
      <c r="R1096" t="str">
        <f>IF(AMAZON_FASHION_5__2[[#This Row],[overall]]&gt;=4,"Positive",IF(AMAZON_FASHION_5__2[[#This Row],[overall]]&lt;=2,"Negative","Neutral"))</f>
        <v>Positive</v>
      </c>
      <c r="S10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97" spans="1:19" x14ac:dyDescent="0.25">
      <c r="A1097">
        <v>5</v>
      </c>
      <c r="B1097" t="b">
        <v>1</v>
      </c>
      <c r="C1097" s="1">
        <v>42790</v>
      </c>
      <c r="D1097">
        <f>YEAR(AMAZON_FASHION_5__2[[#This Row],[reviewDate]])</f>
        <v>2017</v>
      </c>
      <c r="E1097" s="1" t="str">
        <f>TEXT(AMAZON_FASHION_5__2[[#This Row],[reviewDate]], "mmmm")</f>
        <v>February</v>
      </c>
      <c r="F1097" t="s">
        <v>1006</v>
      </c>
      <c r="G1097" t="s">
        <v>1456</v>
      </c>
      <c r="H1097" t="s">
        <v>197</v>
      </c>
      <c r="I1097" t="s">
        <v>198</v>
      </c>
      <c r="J1097" t="s">
        <v>1007</v>
      </c>
      <c r="K1097" t="s">
        <v>1008</v>
      </c>
      <c r="L1097" t="s">
        <v>17</v>
      </c>
      <c r="M1097">
        <v>1487894400</v>
      </c>
      <c r="N1097" t="s">
        <v>1628</v>
      </c>
      <c r="O1097" t="s">
        <v>1628</v>
      </c>
      <c r="P1097" t="s">
        <v>1628</v>
      </c>
      <c r="Q1097">
        <f>LEN(AMAZON_FASHION_5__2[[#This Row],[reviewText]])</f>
        <v>12</v>
      </c>
      <c r="R1097" t="str">
        <f>IF(AMAZON_FASHION_5__2[[#This Row],[overall]]&gt;=4,"Positive",IF(AMAZON_FASHION_5__2[[#This Row],[overall]]&lt;=2,"Negative","Neutral"))</f>
        <v>Positive</v>
      </c>
      <c r="S10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98" spans="1:19" x14ac:dyDescent="0.25">
      <c r="A1098">
        <v>4</v>
      </c>
      <c r="B1098" t="b">
        <v>1</v>
      </c>
      <c r="C1098" s="1">
        <v>42787</v>
      </c>
      <c r="D1098">
        <f>YEAR(AMAZON_FASHION_5__2[[#This Row],[reviewDate]])</f>
        <v>2017</v>
      </c>
      <c r="E1098" s="1" t="str">
        <f>TEXT(AMAZON_FASHION_5__2[[#This Row],[reviewDate]], "mmmm")</f>
        <v>February</v>
      </c>
      <c r="F1098" t="s">
        <v>1009</v>
      </c>
      <c r="G1098" t="s">
        <v>1456</v>
      </c>
      <c r="H1098" t="s">
        <v>201</v>
      </c>
      <c r="I1098" t="s">
        <v>642</v>
      </c>
      <c r="J1098" t="s">
        <v>1010</v>
      </c>
      <c r="K1098" t="s">
        <v>1011</v>
      </c>
      <c r="L1098" t="s">
        <v>1012</v>
      </c>
      <c r="M1098">
        <v>1487635200</v>
      </c>
      <c r="N1098" t="s">
        <v>1628</v>
      </c>
      <c r="O1098" t="s">
        <v>1628</v>
      </c>
      <c r="P1098" t="s">
        <v>1628</v>
      </c>
      <c r="Q1098">
        <f>LEN(AMAZON_FASHION_5__2[[#This Row],[reviewText]])</f>
        <v>126</v>
      </c>
      <c r="R1098" t="str">
        <f>IF(AMAZON_FASHION_5__2[[#This Row],[overall]]&gt;=4,"Positive",IF(AMAZON_FASHION_5__2[[#This Row],[overall]]&lt;=2,"Negative","Neutral"))</f>
        <v>Positive</v>
      </c>
      <c r="S10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099" spans="1:19" x14ac:dyDescent="0.25">
      <c r="A1099">
        <v>5</v>
      </c>
      <c r="B1099" t="b">
        <v>1</v>
      </c>
      <c r="C1099" s="1">
        <v>42787</v>
      </c>
      <c r="D1099">
        <f>YEAR(AMAZON_FASHION_5__2[[#This Row],[reviewDate]])</f>
        <v>2017</v>
      </c>
      <c r="E1099" s="1" t="str">
        <f>TEXT(AMAZON_FASHION_5__2[[#This Row],[reviewDate]], "mmmm")</f>
        <v>February</v>
      </c>
      <c r="F1099" t="s">
        <v>1013</v>
      </c>
      <c r="G1099" t="s">
        <v>1456</v>
      </c>
      <c r="H1099" t="s">
        <v>210</v>
      </c>
      <c r="I1099" t="s">
        <v>198</v>
      </c>
      <c r="J1099" t="s">
        <v>1014</v>
      </c>
      <c r="K1099" t="s">
        <v>1015</v>
      </c>
      <c r="L1099" t="s">
        <v>17</v>
      </c>
      <c r="M1099">
        <v>1487635200</v>
      </c>
      <c r="N1099" t="s">
        <v>1628</v>
      </c>
      <c r="O1099" t="s">
        <v>1628</v>
      </c>
      <c r="P1099" t="s">
        <v>1628</v>
      </c>
      <c r="Q1099">
        <f>LEN(AMAZON_FASHION_5__2[[#This Row],[reviewText]])</f>
        <v>56</v>
      </c>
      <c r="R1099" t="str">
        <f>IF(AMAZON_FASHION_5__2[[#This Row],[overall]]&gt;=4,"Positive",IF(AMAZON_FASHION_5__2[[#This Row],[overall]]&lt;=2,"Negative","Neutral"))</f>
        <v>Positive</v>
      </c>
      <c r="S10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00" spans="1:19" x14ac:dyDescent="0.25">
      <c r="A1100">
        <v>3</v>
      </c>
      <c r="B1100" t="b">
        <v>1</v>
      </c>
      <c r="C1100" s="1">
        <v>42782</v>
      </c>
      <c r="D1100">
        <f>YEAR(AMAZON_FASHION_5__2[[#This Row],[reviewDate]])</f>
        <v>2017</v>
      </c>
      <c r="E1100" s="1" t="str">
        <f>TEXT(AMAZON_FASHION_5__2[[#This Row],[reviewDate]], "mmmm")</f>
        <v>February</v>
      </c>
      <c r="F1100" t="s">
        <v>1016</v>
      </c>
      <c r="G1100" t="s">
        <v>1456</v>
      </c>
      <c r="H1100" t="s">
        <v>197</v>
      </c>
      <c r="I1100" t="s">
        <v>524</v>
      </c>
      <c r="J1100" t="s">
        <v>63</v>
      </c>
      <c r="K1100" t="s">
        <v>1017</v>
      </c>
      <c r="L1100" t="s">
        <v>1018</v>
      </c>
      <c r="M1100">
        <v>1487203200</v>
      </c>
      <c r="N1100" t="s">
        <v>1628</v>
      </c>
      <c r="O1100" t="s">
        <v>1628</v>
      </c>
      <c r="P1100" t="s">
        <v>1628</v>
      </c>
      <c r="Q1100">
        <f>LEN(AMAZON_FASHION_5__2[[#This Row],[reviewText]])</f>
        <v>198</v>
      </c>
      <c r="R1100" t="str">
        <f>IF(AMAZON_FASHION_5__2[[#This Row],[overall]]&gt;=4,"Positive",IF(AMAZON_FASHION_5__2[[#This Row],[overall]]&lt;=2,"Negative","Neutral"))</f>
        <v>Neutral</v>
      </c>
      <c r="S11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01" spans="1:19" x14ac:dyDescent="0.25">
      <c r="A1101">
        <v>5</v>
      </c>
      <c r="B1101" t="b">
        <v>1</v>
      </c>
      <c r="C1101" s="1">
        <v>42781</v>
      </c>
      <c r="D1101">
        <f>YEAR(AMAZON_FASHION_5__2[[#This Row],[reviewDate]])</f>
        <v>2017</v>
      </c>
      <c r="E1101" s="1" t="str">
        <f>TEXT(AMAZON_FASHION_5__2[[#This Row],[reviewDate]], "mmmm")</f>
        <v>February</v>
      </c>
      <c r="F1101" t="s">
        <v>1019</v>
      </c>
      <c r="G1101" t="s">
        <v>1456</v>
      </c>
      <c r="H1101" t="s">
        <v>235</v>
      </c>
      <c r="I1101" t="s">
        <v>827</v>
      </c>
      <c r="J1101" t="s">
        <v>1020</v>
      </c>
      <c r="K1101" t="s">
        <v>1021</v>
      </c>
      <c r="L1101" t="s">
        <v>1022</v>
      </c>
      <c r="M1101">
        <v>1487116800</v>
      </c>
      <c r="N1101" t="s">
        <v>1628</v>
      </c>
      <c r="O1101" t="s">
        <v>1628</v>
      </c>
      <c r="P1101">
        <v>5</v>
      </c>
      <c r="Q1101">
        <f>LEN(AMAZON_FASHION_5__2[[#This Row],[reviewText]])</f>
        <v>388</v>
      </c>
      <c r="R1101" t="str">
        <f>IF(AMAZON_FASHION_5__2[[#This Row],[overall]]&gt;=4,"Positive",IF(AMAZON_FASHION_5__2[[#This Row],[overall]]&lt;=2,"Negative","Neutral"))</f>
        <v>Positive</v>
      </c>
      <c r="S11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02" spans="1:19" x14ac:dyDescent="0.25">
      <c r="A1102">
        <v>5</v>
      </c>
      <c r="B1102" t="b">
        <v>1</v>
      </c>
      <c r="C1102" s="1">
        <v>42779</v>
      </c>
      <c r="D1102">
        <f>YEAR(AMAZON_FASHION_5__2[[#This Row],[reviewDate]])</f>
        <v>2017</v>
      </c>
      <c r="E1102" s="1" t="str">
        <f>TEXT(AMAZON_FASHION_5__2[[#This Row],[reviewDate]], "mmmm")</f>
        <v>February</v>
      </c>
      <c r="F1102" t="s">
        <v>1023</v>
      </c>
      <c r="G1102" t="s">
        <v>1456</v>
      </c>
      <c r="H1102" t="s">
        <v>205</v>
      </c>
      <c r="I1102" t="s">
        <v>198</v>
      </c>
      <c r="J1102" t="s">
        <v>1024</v>
      </c>
      <c r="K1102" t="s">
        <v>1025</v>
      </c>
      <c r="L1102" t="s">
        <v>1026</v>
      </c>
      <c r="M1102">
        <v>1486944000</v>
      </c>
      <c r="N1102" t="s">
        <v>1628</v>
      </c>
      <c r="O1102" t="s">
        <v>1628</v>
      </c>
      <c r="P1102" t="s">
        <v>1628</v>
      </c>
      <c r="Q1102">
        <f>LEN(AMAZON_FASHION_5__2[[#This Row],[reviewText]])</f>
        <v>87</v>
      </c>
      <c r="R1102" t="str">
        <f>IF(AMAZON_FASHION_5__2[[#This Row],[overall]]&gt;=4,"Positive",IF(AMAZON_FASHION_5__2[[#This Row],[overall]]&lt;=2,"Negative","Neutral"))</f>
        <v>Positive</v>
      </c>
      <c r="S11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03" spans="1:19" x14ac:dyDescent="0.25">
      <c r="A1103">
        <v>5</v>
      </c>
      <c r="B1103" t="b">
        <v>1</v>
      </c>
      <c r="C1103" s="1">
        <v>42778</v>
      </c>
      <c r="D1103">
        <f>YEAR(AMAZON_FASHION_5__2[[#This Row],[reviewDate]])</f>
        <v>2017</v>
      </c>
      <c r="E1103" s="1" t="str">
        <f>TEXT(AMAZON_FASHION_5__2[[#This Row],[reviewDate]], "mmmm")</f>
        <v>February</v>
      </c>
      <c r="F1103" t="s">
        <v>1027</v>
      </c>
      <c r="G1103" t="s">
        <v>1456</v>
      </c>
      <c r="H1103" t="s">
        <v>201</v>
      </c>
      <c r="I1103" t="s">
        <v>198</v>
      </c>
      <c r="J1103" t="s">
        <v>1028</v>
      </c>
      <c r="K1103" t="s">
        <v>1029</v>
      </c>
      <c r="L1103" t="s">
        <v>1030</v>
      </c>
      <c r="M1103">
        <v>1486857600</v>
      </c>
      <c r="N1103" t="s">
        <v>1628</v>
      </c>
      <c r="O1103" t="s">
        <v>1628</v>
      </c>
      <c r="P1103" t="s">
        <v>1628</v>
      </c>
      <c r="Q1103">
        <f>LEN(AMAZON_FASHION_5__2[[#This Row],[reviewText]])</f>
        <v>140</v>
      </c>
      <c r="R1103" t="str">
        <f>IF(AMAZON_FASHION_5__2[[#This Row],[overall]]&gt;=4,"Positive",IF(AMAZON_FASHION_5__2[[#This Row],[overall]]&lt;=2,"Negative","Neutral"))</f>
        <v>Positive</v>
      </c>
      <c r="S11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04" spans="1:19" x14ac:dyDescent="0.25">
      <c r="A1104">
        <v>5</v>
      </c>
      <c r="B1104" t="b">
        <v>1</v>
      </c>
      <c r="C1104" s="1">
        <v>42777</v>
      </c>
      <c r="D1104">
        <f>YEAR(AMAZON_FASHION_5__2[[#This Row],[reviewDate]])</f>
        <v>2017</v>
      </c>
      <c r="E1104" s="1" t="str">
        <f>TEXT(AMAZON_FASHION_5__2[[#This Row],[reviewDate]], "mmmm")</f>
        <v>February</v>
      </c>
      <c r="F1104" t="s">
        <v>1031</v>
      </c>
      <c r="G1104" t="s">
        <v>1456</v>
      </c>
      <c r="H1104" t="s">
        <v>320</v>
      </c>
      <c r="I1104" t="s">
        <v>198</v>
      </c>
      <c r="J1104" t="s">
        <v>1032</v>
      </c>
      <c r="K1104" t="s">
        <v>1033</v>
      </c>
      <c r="L1104" t="s">
        <v>17</v>
      </c>
      <c r="M1104">
        <v>1486771200</v>
      </c>
      <c r="N1104" t="s">
        <v>1628</v>
      </c>
      <c r="O1104" t="s">
        <v>1628</v>
      </c>
      <c r="P1104" t="s">
        <v>1628</v>
      </c>
      <c r="Q1104">
        <f>LEN(AMAZON_FASHION_5__2[[#This Row],[reviewText]])</f>
        <v>28</v>
      </c>
      <c r="R1104" t="str">
        <f>IF(AMAZON_FASHION_5__2[[#This Row],[overall]]&gt;=4,"Positive",IF(AMAZON_FASHION_5__2[[#This Row],[overall]]&lt;=2,"Negative","Neutral"))</f>
        <v>Positive</v>
      </c>
      <c r="S11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05" spans="1:19" x14ac:dyDescent="0.25">
      <c r="A1105">
        <v>4</v>
      </c>
      <c r="B1105" t="b">
        <v>1</v>
      </c>
      <c r="C1105" s="1">
        <v>42774</v>
      </c>
      <c r="D1105">
        <f>YEAR(AMAZON_FASHION_5__2[[#This Row],[reviewDate]])</f>
        <v>2017</v>
      </c>
      <c r="E1105" s="1" t="str">
        <f>TEXT(AMAZON_FASHION_5__2[[#This Row],[reviewDate]], "mmmm")</f>
        <v>February</v>
      </c>
      <c r="F1105" t="s">
        <v>1034</v>
      </c>
      <c r="G1105" t="s">
        <v>1456</v>
      </c>
      <c r="H1105" t="s">
        <v>201</v>
      </c>
      <c r="I1105" t="s">
        <v>827</v>
      </c>
      <c r="J1105" t="s">
        <v>1035</v>
      </c>
      <c r="K1105" t="s">
        <v>1036</v>
      </c>
      <c r="L1105" t="s">
        <v>1037</v>
      </c>
      <c r="M1105">
        <v>1486512000</v>
      </c>
      <c r="N1105" t="s">
        <v>1628</v>
      </c>
      <c r="O1105" t="s">
        <v>1628</v>
      </c>
      <c r="P1105">
        <v>4</v>
      </c>
      <c r="Q1105">
        <f>LEN(AMAZON_FASHION_5__2[[#This Row],[reviewText]])</f>
        <v>570</v>
      </c>
      <c r="R1105" t="str">
        <f>IF(AMAZON_FASHION_5__2[[#This Row],[overall]]&gt;=4,"Positive",IF(AMAZON_FASHION_5__2[[#This Row],[overall]]&lt;=2,"Negative","Neutral"))</f>
        <v>Positive</v>
      </c>
      <c r="S11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06" spans="1:19" x14ac:dyDescent="0.25">
      <c r="A1106">
        <v>4</v>
      </c>
      <c r="B1106" t="b">
        <v>1</v>
      </c>
      <c r="C1106" s="1">
        <v>42772</v>
      </c>
      <c r="D1106">
        <f>YEAR(AMAZON_FASHION_5__2[[#This Row],[reviewDate]])</f>
        <v>2017</v>
      </c>
      <c r="E1106" s="1" t="str">
        <f>TEXT(AMAZON_FASHION_5__2[[#This Row],[reviewDate]], "mmmm")</f>
        <v>February</v>
      </c>
      <c r="F1106" t="s">
        <v>1038</v>
      </c>
      <c r="G1106" t="s">
        <v>1456</v>
      </c>
      <c r="H1106" t="s">
        <v>201</v>
      </c>
      <c r="I1106" t="s">
        <v>236</v>
      </c>
      <c r="J1106" t="s">
        <v>1039</v>
      </c>
      <c r="K1106" t="s">
        <v>1040</v>
      </c>
      <c r="L1106" t="s">
        <v>1041</v>
      </c>
      <c r="M1106">
        <v>1486339200</v>
      </c>
      <c r="N1106" t="s">
        <v>1628</v>
      </c>
      <c r="O1106" t="s">
        <v>1628</v>
      </c>
      <c r="P1106" t="s">
        <v>1628</v>
      </c>
      <c r="Q1106">
        <f>LEN(AMAZON_FASHION_5__2[[#This Row],[reviewText]])</f>
        <v>316</v>
      </c>
      <c r="R1106" t="str">
        <f>IF(AMAZON_FASHION_5__2[[#This Row],[overall]]&gt;=4,"Positive",IF(AMAZON_FASHION_5__2[[#This Row],[overall]]&lt;=2,"Negative","Neutral"))</f>
        <v>Positive</v>
      </c>
      <c r="S11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07" spans="1:19" x14ac:dyDescent="0.25">
      <c r="A1107">
        <v>2</v>
      </c>
      <c r="B1107" t="b">
        <v>1</v>
      </c>
      <c r="C1107" s="1">
        <v>42768</v>
      </c>
      <c r="D1107">
        <f>YEAR(AMAZON_FASHION_5__2[[#This Row],[reviewDate]])</f>
        <v>2017</v>
      </c>
      <c r="E1107" s="1" t="str">
        <f>TEXT(AMAZON_FASHION_5__2[[#This Row],[reviewDate]], "mmmm")</f>
        <v>February</v>
      </c>
      <c r="F1107" t="s">
        <v>1042</v>
      </c>
      <c r="G1107" t="s">
        <v>1456</v>
      </c>
      <c r="H1107" t="s">
        <v>205</v>
      </c>
      <c r="I1107" t="s">
        <v>344</v>
      </c>
      <c r="J1107" t="s">
        <v>63</v>
      </c>
      <c r="K1107" t="s">
        <v>1043</v>
      </c>
      <c r="L1107" t="s">
        <v>1044</v>
      </c>
      <c r="M1107">
        <v>1485993600</v>
      </c>
      <c r="N1107" t="s">
        <v>1628</v>
      </c>
      <c r="O1107" t="s">
        <v>1628</v>
      </c>
      <c r="P1107" t="s">
        <v>1628</v>
      </c>
      <c r="Q1107">
        <f>LEN(AMAZON_FASHION_5__2[[#This Row],[reviewText]])</f>
        <v>107</v>
      </c>
      <c r="R1107" t="str">
        <f>IF(AMAZON_FASHION_5__2[[#This Row],[overall]]&gt;=4,"Positive",IF(AMAZON_FASHION_5__2[[#This Row],[overall]]&lt;=2,"Negative","Neutral"))</f>
        <v>Negative</v>
      </c>
      <c r="S11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08" spans="1:19" x14ac:dyDescent="0.25">
      <c r="A1108">
        <v>5</v>
      </c>
      <c r="B1108" t="b">
        <v>1</v>
      </c>
      <c r="C1108" s="1">
        <v>42767</v>
      </c>
      <c r="D1108">
        <f>YEAR(AMAZON_FASHION_5__2[[#This Row],[reviewDate]])</f>
        <v>2017</v>
      </c>
      <c r="E1108" s="1" t="str">
        <f>TEXT(AMAZON_FASHION_5__2[[#This Row],[reviewDate]], "mmmm")</f>
        <v>February</v>
      </c>
      <c r="F1108" t="s">
        <v>158</v>
      </c>
      <c r="G1108" t="s">
        <v>1456</v>
      </c>
      <c r="H1108" t="s">
        <v>320</v>
      </c>
      <c r="I1108" t="s">
        <v>198</v>
      </c>
      <c r="J1108" t="s">
        <v>160</v>
      </c>
      <c r="K1108" t="s">
        <v>1045</v>
      </c>
      <c r="L1108" t="s">
        <v>1046</v>
      </c>
      <c r="M1108">
        <v>1485907200</v>
      </c>
      <c r="N1108" t="s">
        <v>1628</v>
      </c>
      <c r="O1108" t="s">
        <v>1628</v>
      </c>
      <c r="P1108" t="s">
        <v>1628</v>
      </c>
      <c r="Q1108">
        <f>LEN(AMAZON_FASHION_5__2[[#This Row],[reviewText]])</f>
        <v>122</v>
      </c>
      <c r="R1108" t="str">
        <f>IF(AMAZON_FASHION_5__2[[#This Row],[overall]]&gt;=4,"Positive",IF(AMAZON_FASHION_5__2[[#This Row],[overall]]&lt;=2,"Negative","Neutral"))</f>
        <v>Positive</v>
      </c>
      <c r="S11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09" spans="1:19" x14ac:dyDescent="0.25">
      <c r="A1109">
        <v>3</v>
      </c>
      <c r="B1109" t="b">
        <v>1</v>
      </c>
      <c r="C1109" s="1">
        <v>42766</v>
      </c>
      <c r="D1109">
        <f>YEAR(AMAZON_FASHION_5__2[[#This Row],[reviewDate]])</f>
        <v>2017</v>
      </c>
      <c r="E1109" s="1" t="str">
        <f>TEXT(AMAZON_FASHION_5__2[[#This Row],[reviewDate]], "mmmm")</f>
        <v>January</v>
      </c>
      <c r="F1109" t="s">
        <v>1047</v>
      </c>
      <c r="G1109" t="s">
        <v>1456</v>
      </c>
      <c r="H1109" t="s">
        <v>235</v>
      </c>
      <c r="I1109" t="s">
        <v>419</v>
      </c>
      <c r="J1109" t="s">
        <v>1048</v>
      </c>
      <c r="K1109" t="s">
        <v>1049</v>
      </c>
      <c r="L1109" t="s">
        <v>101</v>
      </c>
      <c r="M1109">
        <v>1485820800</v>
      </c>
      <c r="N1109" t="s">
        <v>1628</v>
      </c>
      <c r="O1109" t="s">
        <v>1628</v>
      </c>
      <c r="P1109">
        <v>3</v>
      </c>
      <c r="Q1109">
        <f>LEN(AMAZON_FASHION_5__2[[#This Row],[reviewText]])</f>
        <v>7</v>
      </c>
      <c r="R1109" t="str">
        <f>IF(AMAZON_FASHION_5__2[[#This Row],[overall]]&gt;=4,"Positive",IF(AMAZON_FASHION_5__2[[#This Row],[overall]]&lt;=2,"Negative","Neutral"))</f>
        <v>Neutral</v>
      </c>
      <c r="S11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10" spans="1:19" x14ac:dyDescent="0.25">
      <c r="A1110">
        <v>5</v>
      </c>
      <c r="B1110" t="b">
        <v>1</v>
      </c>
      <c r="C1110" s="1">
        <v>42760</v>
      </c>
      <c r="D1110">
        <f>YEAR(AMAZON_FASHION_5__2[[#This Row],[reviewDate]])</f>
        <v>2017</v>
      </c>
      <c r="E1110" s="1" t="str">
        <f>TEXT(AMAZON_FASHION_5__2[[#This Row],[reviewDate]], "mmmm")</f>
        <v>January</v>
      </c>
      <c r="F1110" t="s">
        <v>1050</v>
      </c>
      <c r="G1110" t="s">
        <v>1456</v>
      </c>
      <c r="H1110" t="s">
        <v>197</v>
      </c>
      <c r="I1110" t="s">
        <v>524</v>
      </c>
      <c r="J1110" t="s">
        <v>63</v>
      </c>
      <c r="K1110" t="s">
        <v>1051</v>
      </c>
      <c r="L1110" t="s">
        <v>1052</v>
      </c>
      <c r="M1110">
        <v>1485302400</v>
      </c>
      <c r="N1110" t="s">
        <v>1628</v>
      </c>
      <c r="O1110" t="s">
        <v>1628</v>
      </c>
      <c r="P1110" t="s">
        <v>1628</v>
      </c>
      <c r="Q1110">
        <f>LEN(AMAZON_FASHION_5__2[[#This Row],[reviewText]])</f>
        <v>521</v>
      </c>
      <c r="R1110" t="str">
        <f>IF(AMAZON_FASHION_5__2[[#This Row],[overall]]&gt;=4,"Positive",IF(AMAZON_FASHION_5__2[[#This Row],[overall]]&lt;=2,"Negative","Neutral"))</f>
        <v>Positive</v>
      </c>
      <c r="S11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11" spans="1:19" x14ac:dyDescent="0.25">
      <c r="A1111">
        <v>5</v>
      </c>
      <c r="B1111" t="b">
        <v>1</v>
      </c>
      <c r="C1111" s="1">
        <v>42757</v>
      </c>
      <c r="D1111">
        <f>YEAR(AMAZON_FASHION_5__2[[#This Row],[reviewDate]])</f>
        <v>2017</v>
      </c>
      <c r="E1111" s="1" t="str">
        <f>TEXT(AMAZON_FASHION_5__2[[#This Row],[reviewDate]], "mmmm")</f>
        <v>January</v>
      </c>
      <c r="F1111" t="s">
        <v>1053</v>
      </c>
      <c r="G1111" t="s">
        <v>1456</v>
      </c>
      <c r="H1111" t="s">
        <v>205</v>
      </c>
      <c r="I1111" t="s">
        <v>827</v>
      </c>
      <c r="J1111" t="s">
        <v>1054</v>
      </c>
      <c r="K1111" t="s">
        <v>1055</v>
      </c>
      <c r="L1111" t="s">
        <v>1056</v>
      </c>
      <c r="M1111">
        <v>1485043200</v>
      </c>
      <c r="N1111" t="s">
        <v>1628</v>
      </c>
      <c r="O1111" t="s">
        <v>1628</v>
      </c>
      <c r="P1111" t="s">
        <v>1628</v>
      </c>
      <c r="Q1111">
        <f>LEN(AMAZON_FASHION_5__2[[#This Row],[reviewText]])</f>
        <v>90</v>
      </c>
      <c r="R1111" t="str">
        <f>IF(AMAZON_FASHION_5__2[[#This Row],[overall]]&gt;=4,"Positive",IF(AMAZON_FASHION_5__2[[#This Row],[overall]]&lt;=2,"Negative","Neutral"))</f>
        <v>Positive</v>
      </c>
      <c r="S11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12" spans="1:19" x14ac:dyDescent="0.25">
      <c r="A1112">
        <v>5</v>
      </c>
      <c r="B1112" t="b">
        <v>1</v>
      </c>
      <c r="C1112" s="1">
        <v>42755</v>
      </c>
      <c r="D1112">
        <f>YEAR(AMAZON_FASHION_5__2[[#This Row],[reviewDate]])</f>
        <v>2017</v>
      </c>
      <c r="E1112" s="1" t="str">
        <f>TEXT(AMAZON_FASHION_5__2[[#This Row],[reviewDate]], "mmmm")</f>
        <v>January</v>
      </c>
      <c r="F1112" t="s">
        <v>1057</v>
      </c>
      <c r="G1112" t="s">
        <v>1456</v>
      </c>
      <c r="H1112" t="s">
        <v>210</v>
      </c>
      <c r="I1112" t="s">
        <v>524</v>
      </c>
      <c r="J1112" t="s">
        <v>1058</v>
      </c>
      <c r="K1112" t="s">
        <v>1059</v>
      </c>
      <c r="L1112" t="s">
        <v>1060</v>
      </c>
      <c r="M1112">
        <v>1484870400</v>
      </c>
      <c r="N1112" t="s">
        <v>1628</v>
      </c>
      <c r="O1112" t="s">
        <v>1628</v>
      </c>
      <c r="P1112" t="s">
        <v>1628</v>
      </c>
      <c r="Q1112">
        <f>LEN(AMAZON_FASHION_5__2[[#This Row],[reviewText]])</f>
        <v>40</v>
      </c>
      <c r="R1112" t="str">
        <f>IF(AMAZON_FASHION_5__2[[#This Row],[overall]]&gt;=4,"Positive",IF(AMAZON_FASHION_5__2[[#This Row],[overall]]&lt;=2,"Negative","Neutral"))</f>
        <v>Positive</v>
      </c>
      <c r="S11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13" spans="1:19" x14ac:dyDescent="0.25">
      <c r="A1113">
        <v>5</v>
      </c>
      <c r="B1113" t="b">
        <v>1</v>
      </c>
      <c r="C1113" s="1">
        <v>42753</v>
      </c>
      <c r="D1113">
        <f>YEAR(AMAZON_FASHION_5__2[[#This Row],[reviewDate]])</f>
        <v>2017</v>
      </c>
      <c r="E1113" s="1" t="str">
        <f>TEXT(AMAZON_FASHION_5__2[[#This Row],[reviewDate]], "mmmm")</f>
        <v>January</v>
      </c>
      <c r="F1113" t="s">
        <v>1061</v>
      </c>
      <c r="G1113" t="s">
        <v>1456</v>
      </c>
      <c r="H1113" t="s">
        <v>230</v>
      </c>
      <c r="I1113" t="s">
        <v>1476</v>
      </c>
      <c r="J1113" t="s">
        <v>1062</v>
      </c>
      <c r="K1113" t="s">
        <v>1063</v>
      </c>
      <c r="L1113" t="s">
        <v>1064</v>
      </c>
      <c r="M1113">
        <v>1484697600</v>
      </c>
      <c r="N1113" t="s">
        <v>1628</v>
      </c>
      <c r="O1113" t="s">
        <v>1628</v>
      </c>
      <c r="P1113" t="s">
        <v>1628</v>
      </c>
      <c r="Q1113">
        <f>LEN(AMAZON_FASHION_5__2[[#This Row],[reviewText]])</f>
        <v>105</v>
      </c>
      <c r="R1113" t="str">
        <f>IF(AMAZON_FASHION_5__2[[#This Row],[overall]]&gt;=4,"Positive",IF(AMAZON_FASHION_5__2[[#This Row],[overall]]&lt;=2,"Negative","Neutral"))</f>
        <v>Positive</v>
      </c>
      <c r="S11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14" spans="1:19" x14ac:dyDescent="0.25">
      <c r="A1114">
        <v>2</v>
      </c>
      <c r="B1114" t="b">
        <v>1</v>
      </c>
      <c r="C1114" s="1">
        <v>42753</v>
      </c>
      <c r="D1114">
        <f>YEAR(AMAZON_FASHION_5__2[[#This Row],[reviewDate]])</f>
        <v>2017</v>
      </c>
      <c r="E1114" s="1" t="str">
        <f>TEXT(AMAZON_FASHION_5__2[[#This Row],[reviewDate]], "mmmm")</f>
        <v>January</v>
      </c>
      <c r="F1114" t="s">
        <v>1065</v>
      </c>
      <c r="G1114" t="s">
        <v>1456</v>
      </c>
      <c r="H1114" t="s">
        <v>230</v>
      </c>
      <c r="I1114" t="s">
        <v>198</v>
      </c>
      <c r="J1114" t="s">
        <v>1066</v>
      </c>
      <c r="K1114" t="s">
        <v>1067</v>
      </c>
      <c r="L1114" t="s">
        <v>1068</v>
      </c>
      <c r="M1114">
        <v>1484697600</v>
      </c>
      <c r="N1114" t="s">
        <v>1628</v>
      </c>
      <c r="O1114" t="s">
        <v>1628</v>
      </c>
      <c r="P1114" t="s">
        <v>1628</v>
      </c>
      <c r="Q1114">
        <f>LEN(AMAZON_FASHION_5__2[[#This Row],[reviewText]])</f>
        <v>118</v>
      </c>
      <c r="R1114" t="str">
        <f>IF(AMAZON_FASHION_5__2[[#This Row],[overall]]&gt;=4,"Positive",IF(AMAZON_FASHION_5__2[[#This Row],[overall]]&lt;=2,"Negative","Neutral"))</f>
        <v>Negative</v>
      </c>
      <c r="S11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15" spans="1:19" x14ac:dyDescent="0.25">
      <c r="A1115">
        <v>5</v>
      </c>
      <c r="B1115" t="b">
        <v>1</v>
      </c>
      <c r="C1115" s="1">
        <v>42753</v>
      </c>
      <c r="D1115">
        <f>YEAR(AMAZON_FASHION_5__2[[#This Row],[reviewDate]])</f>
        <v>2017</v>
      </c>
      <c r="E1115" s="1" t="str">
        <f>TEXT(AMAZON_FASHION_5__2[[#This Row],[reviewDate]], "mmmm")</f>
        <v>January</v>
      </c>
      <c r="F1115" t="s">
        <v>1069</v>
      </c>
      <c r="G1115" t="s">
        <v>1456</v>
      </c>
      <c r="H1115" t="s">
        <v>197</v>
      </c>
      <c r="I1115" t="s">
        <v>211</v>
      </c>
      <c r="J1115" t="s">
        <v>1070</v>
      </c>
      <c r="K1115" t="s">
        <v>1071</v>
      </c>
      <c r="L1115" t="s">
        <v>1072</v>
      </c>
      <c r="M1115">
        <v>1484697600</v>
      </c>
      <c r="N1115" t="s">
        <v>1628</v>
      </c>
      <c r="O1115" t="s">
        <v>1628</v>
      </c>
      <c r="P1115" t="s">
        <v>1628</v>
      </c>
      <c r="Q1115">
        <f>LEN(AMAZON_FASHION_5__2[[#This Row],[reviewText]])</f>
        <v>88</v>
      </c>
      <c r="R1115" t="str">
        <f>IF(AMAZON_FASHION_5__2[[#This Row],[overall]]&gt;=4,"Positive",IF(AMAZON_FASHION_5__2[[#This Row],[overall]]&lt;=2,"Negative","Neutral"))</f>
        <v>Positive</v>
      </c>
      <c r="S11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16" spans="1:19" x14ac:dyDescent="0.25">
      <c r="A1116">
        <v>5</v>
      </c>
      <c r="B1116" t="b">
        <v>1</v>
      </c>
      <c r="C1116" s="1">
        <v>42753</v>
      </c>
      <c r="D1116">
        <f>YEAR(AMAZON_FASHION_5__2[[#This Row],[reviewDate]])</f>
        <v>2017</v>
      </c>
      <c r="E1116" s="1" t="str">
        <f>TEXT(AMAZON_FASHION_5__2[[#This Row],[reviewDate]], "mmmm")</f>
        <v>January</v>
      </c>
      <c r="F1116" t="s">
        <v>1073</v>
      </c>
      <c r="G1116" t="s">
        <v>1456</v>
      </c>
      <c r="H1116" t="s">
        <v>235</v>
      </c>
      <c r="I1116" t="s">
        <v>99</v>
      </c>
      <c r="J1116" t="s">
        <v>63</v>
      </c>
      <c r="K1116" t="s">
        <v>1074</v>
      </c>
      <c r="L1116" t="s">
        <v>17</v>
      </c>
      <c r="M1116">
        <v>1484697600</v>
      </c>
      <c r="N1116" t="s">
        <v>1628</v>
      </c>
      <c r="O1116" t="s">
        <v>1628</v>
      </c>
      <c r="P1116" t="s">
        <v>1628</v>
      </c>
      <c r="Q1116">
        <f>LEN(AMAZON_FASHION_5__2[[#This Row],[reviewText]])</f>
        <v>11</v>
      </c>
      <c r="R1116" t="str">
        <f>IF(AMAZON_FASHION_5__2[[#This Row],[overall]]&gt;=4,"Positive",IF(AMAZON_FASHION_5__2[[#This Row],[overall]]&lt;=2,"Negative","Neutral"))</f>
        <v>Positive</v>
      </c>
      <c r="S11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17" spans="1:19" x14ac:dyDescent="0.25">
      <c r="A1117">
        <v>4</v>
      </c>
      <c r="B1117" t="b">
        <v>1</v>
      </c>
      <c r="C1117" s="1">
        <v>42753</v>
      </c>
      <c r="D1117">
        <f>YEAR(AMAZON_FASHION_5__2[[#This Row],[reviewDate]])</f>
        <v>2017</v>
      </c>
      <c r="E1117" s="1" t="str">
        <f>TEXT(AMAZON_FASHION_5__2[[#This Row],[reviewDate]], "mmmm")</f>
        <v>January</v>
      </c>
      <c r="F1117" t="s">
        <v>1075</v>
      </c>
      <c r="G1117" t="s">
        <v>1456</v>
      </c>
      <c r="H1117" t="s">
        <v>201</v>
      </c>
      <c r="I1117" t="s">
        <v>198</v>
      </c>
      <c r="J1117" t="s">
        <v>1076</v>
      </c>
      <c r="K1117" t="s">
        <v>1077</v>
      </c>
      <c r="L1117" t="s">
        <v>1078</v>
      </c>
      <c r="M1117">
        <v>1484697600</v>
      </c>
      <c r="N1117" t="s">
        <v>1628</v>
      </c>
      <c r="O1117" t="s">
        <v>1628</v>
      </c>
      <c r="P1117" t="s">
        <v>1628</v>
      </c>
      <c r="Q1117">
        <f>LEN(AMAZON_FASHION_5__2[[#This Row],[reviewText]])</f>
        <v>316</v>
      </c>
      <c r="R1117" t="str">
        <f>IF(AMAZON_FASHION_5__2[[#This Row],[overall]]&gt;=4,"Positive",IF(AMAZON_FASHION_5__2[[#This Row],[overall]]&lt;=2,"Negative","Neutral"))</f>
        <v>Positive</v>
      </c>
      <c r="S11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18" spans="1:19" x14ac:dyDescent="0.25">
      <c r="A1118">
        <v>1</v>
      </c>
      <c r="B1118" t="b">
        <v>1</v>
      </c>
      <c r="C1118" s="1">
        <v>42750</v>
      </c>
      <c r="D1118">
        <f>YEAR(AMAZON_FASHION_5__2[[#This Row],[reviewDate]])</f>
        <v>2017</v>
      </c>
      <c r="E1118" s="1" t="str">
        <f>TEXT(AMAZON_FASHION_5__2[[#This Row],[reviewDate]], "mmmm")</f>
        <v>January</v>
      </c>
      <c r="F1118" t="s">
        <v>1079</v>
      </c>
      <c r="G1118" t="s">
        <v>1456</v>
      </c>
      <c r="H1118" t="s">
        <v>235</v>
      </c>
      <c r="I1118" t="s">
        <v>411</v>
      </c>
      <c r="J1118" t="s">
        <v>1080</v>
      </c>
      <c r="K1118" t="s">
        <v>1081</v>
      </c>
      <c r="L1118" t="s">
        <v>1082</v>
      </c>
      <c r="M1118">
        <v>1484438400</v>
      </c>
      <c r="N1118" t="s">
        <v>1628</v>
      </c>
      <c r="O1118" t="s">
        <v>1628</v>
      </c>
      <c r="P1118">
        <v>19</v>
      </c>
      <c r="Q1118">
        <f>LEN(AMAZON_FASHION_5__2[[#This Row],[reviewText]])</f>
        <v>69</v>
      </c>
      <c r="R1118" t="str">
        <f>IF(AMAZON_FASHION_5__2[[#This Row],[overall]]&gt;=4,"Positive",IF(AMAZON_FASHION_5__2[[#This Row],[overall]]&lt;=2,"Negative","Neutral"))</f>
        <v>Negative</v>
      </c>
      <c r="S11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19" spans="1:19" x14ac:dyDescent="0.25">
      <c r="A1119">
        <v>4</v>
      </c>
      <c r="B1119" t="b">
        <v>1</v>
      </c>
      <c r="C1119" s="1">
        <v>42748</v>
      </c>
      <c r="D1119">
        <f>YEAR(AMAZON_FASHION_5__2[[#This Row],[reviewDate]])</f>
        <v>2017</v>
      </c>
      <c r="E1119" s="1" t="str">
        <f>TEXT(AMAZON_FASHION_5__2[[#This Row],[reviewDate]], "mmmm")</f>
        <v>January</v>
      </c>
      <c r="F1119" t="s">
        <v>1083</v>
      </c>
      <c r="G1119" t="s">
        <v>1456</v>
      </c>
      <c r="H1119" t="s">
        <v>205</v>
      </c>
      <c r="I1119" t="s">
        <v>1084</v>
      </c>
      <c r="J1119" t="s">
        <v>63</v>
      </c>
      <c r="K1119" t="s">
        <v>1085</v>
      </c>
      <c r="L1119" t="s">
        <v>1086</v>
      </c>
      <c r="M1119">
        <v>1484265600</v>
      </c>
      <c r="N1119" t="s">
        <v>1628</v>
      </c>
      <c r="O1119" t="s">
        <v>1628</v>
      </c>
      <c r="P1119" t="s">
        <v>1628</v>
      </c>
      <c r="Q1119">
        <f>LEN(AMAZON_FASHION_5__2[[#This Row],[reviewText]])</f>
        <v>187</v>
      </c>
      <c r="R1119" t="str">
        <f>IF(AMAZON_FASHION_5__2[[#This Row],[overall]]&gt;=4,"Positive",IF(AMAZON_FASHION_5__2[[#This Row],[overall]]&lt;=2,"Negative","Neutral"))</f>
        <v>Positive</v>
      </c>
      <c r="S11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20" spans="1:19" x14ac:dyDescent="0.25">
      <c r="A1120">
        <v>5</v>
      </c>
      <c r="B1120" t="b">
        <v>1</v>
      </c>
      <c r="C1120" s="1">
        <v>42747</v>
      </c>
      <c r="D1120">
        <f>YEAR(AMAZON_FASHION_5__2[[#This Row],[reviewDate]])</f>
        <v>2017</v>
      </c>
      <c r="E1120" s="1" t="str">
        <f>TEXT(AMAZON_FASHION_5__2[[#This Row],[reviewDate]], "mmmm")</f>
        <v>January</v>
      </c>
      <c r="F1120" t="s">
        <v>1087</v>
      </c>
      <c r="G1120" t="s">
        <v>1456</v>
      </c>
      <c r="H1120" t="s">
        <v>230</v>
      </c>
      <c r="I1120" t="s">
        <v>507</v>
      </c>
      <c r="J1120" t="s">
        <v>1088</v>
      </c>
      <c r="K1120" t="s">
        <v>1089</v>
      </c>
      <c r="L1120" t="s">
        <v>1090</v>
      </c>
      <c r="M1120">
        <v>1484179200</v>
      </c>
      <c r="N1120" t="s">
        <v>1628</v>
      </c>
      <c r="O1120" t="s">
        <v>1628</v>
      </c>
      <c r="P1120" t="s">
        <v>1628</v>
      </c>
      <c r="Q1120">
        <f>LEN(AMAZON_FASHION_5__2[[#This Row],[reviewText]])</f>
        <v>216</v>
      </c>
      <c r="R1120" t="str">
        <f>IF(AMAZON_FASHION_5__2[[#This Row],[overall]]&gt;=4,"Positive",IF(AMAZON_FASHION_5__2[[#This Row],[overall]]&lt;=2,"Negative","Neutral"))</f>
        <v>Positive</v>
      </c>
      <c r="S11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21" spans="1:19" x14ac:dyDescent="0.25">
      <c r="A1121">
        <v>5</v>
      </c>
      <c r="B1121" t="b">
        <v>1</v>
      </c>
      <c r="C1121" s="1">
        <v>42747</v>
      </c>
      <c r="D1121">
        <f>YEAR(AMAZON_FASHION_5__2[[#This Row],[reviewDate]])</f>
        <v>2017</v>
      </c>
      <c r="E1121" s="1" t="str">
        <f>TEXT(AMAZON_FASHION_5__2[[#This Row],[reviewDate]], "mmmm")</f>
        <v>January</v>
      </c>
      <c r="F1121" t="s">
        <v>1091</v>
      </c>
      <c r="G1121" t="s">
        <v>1456</v>
      </c>
      <c r="H1121" t="s">
        <v>201</v>
      </c>
      <c r="I1121" t="s">
        <v>198</v>
      </c>
      <c r="J1121" t="s">
        <v>1092</v>
      </c>
      <c r="K1121" t="s">
        <v>1093</v>
      </c>
      <c r="L1121" t="s">
        <v>17</v>
      </c>
      <c r="M1121">
        <v>1484179200</v>
      </c>
      <c r="N1121" t="s">
        <v>1628</v>
      </c>
      <c r="O1121" t="s">
        <v>1628</v>
      </c>
      <c r="P1121" t="s">
        <v>1628</v>
      </c>
      <c r="Q1121">
        <f>LEN(AMAZON_FASHION_5__2[[#This Row],[reviewText]])</f>
        <v>20</v>
      </c>
      <c r="R1121" t="str">
        <f>IF(AMAZON_FASHION_5__2[[#This Row],[overall]]&gt;=4,"Positive",IF(AMAZON_FASHION_5__2[[#This Row],[overall]]&lt;=2,"Negative","Neutral"))</f>
        <v>Positive</v>
      </c>
      <c r="S11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22" spans="1:19" x14ac:dyDescent="0.25">
      <c r="A1122">
        <v>5</v>
      </c>
      <c r="B1122" t="b">
        <v>1</v>
      </c>
      <c r="C1122" s="1">
        <v>42745</v>
      </c>
      <c r="D1122">
        <f>YEAR(AMAZON_FASHION_5__2[[#This Row],[reviewDate]])</f>
        <v>2017</v>
      </c>
      <c r="E1122" s="1" t="str">
        <f>TEXT(AMAZON_FASHION_5__2[[#This Row],[reviewDate]], "mmmm")</f>
        <v>January</v>
      </c>
      <c r="F1122" t="s">
        <v>1094</v>
      </c>
      <c r="G1122" t="s">
        <v>1456</v>
      </c>
      <c r="H1122" t="s">
        <v>235</v>
      </c>
      <c r="I1122" t="s">
        <v>574</v>
      </c>
      <c r="J1122" t="s">
        <v>63</v>
      </c>
      <c r="K1122" t="s">
        <v>914</v>
      </c>
      <c r="L1122" t="s">
        <v>17</v>
      </c>
      <c r="M1122">
        <v>1484006400</v>
      </c>
      <c r="N1122" t="s">
        <v>1628</v>
      </c>
      <c r="O1122" t="s">
        <v>1628</v>
      </c>
      <c r="P1122" t="s">
        <v>1628</v>
      </c>
      <c r="Q1122">
        <f>LEN(AMAZON_FASHION_5__2[[#This Row],[reviewText]])</f>
        <v>17</v>
      </c>
      <c r="R1122" t="str">
        <f>IF(AMAZON_FASHION_5__2[[#This Row],[overall]]&gt;=4,"Positive",IF(AMAZON_FASHION_5__2[[#This Row],[overall]]&lt;=2,"Negative","Neutral"))</f>
        <v>Positive</v>
      </c>
      <c r="S11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23" spans="1:19" x14ac:dyDescent="0.25">
      <c r="A1123">
        <v>5</v>
      </c>
      <c r="B1123" t="b">
        <v>1</v>
      </c>
      <c r="C1123" s="1">
        <v>42742</v>
      </c>
      <c r="D1123">
        <f>YEAR(AMAZON_FASHION_5__2[[#This Row],[reviewDate]])</f>
        <v>2017</v>
      </c>
      <c r="E1123" s="1" t="str">
        <f>TEXT(AMAZON_FASHION_5__2[[#This Row],[reviewDate]], "mmmm")</f>
        <v>January</v>
      </c>
      <c r="F1123" t="s">
        <v>1095</v>
      </c>
      <c r="G1123" t="s">
        <v>1456</v>
      </c>
      <c r="H1123" t="s">
        <v>235</v>
      </c>
      <c r="I1123" t="s">
        <v>1084</v>
      </c>
      <c r="J1123" t="s">
        <v>63</v>
      </c>
      <c r="K1123" t="s">
        <v>1096</v>
      </c>
      <c r="L1123" t="s">
        <v>1097</v>
      </c>
      <c r="M1123">
        <v>1483747200</v>
      </c>
      <c r="N1123" t="s">
        <v>1628</v>
      </c>
      <c r="O1123" t="s">
        <v>1628</v>
      </c>
      <c r="P1123" t="s">
        <v>1628</v>
      </c>
      <c r="Q1123">
        <f>LEN(AMAZON_FASHION_5__2[[#This Row],[reviewText]])</f>
        <v>92</v>
      </c>
      <c r="R1123" t="str">
        <f>IF(AMAZON_FASHION_5__2[[#This Row],[overall]]&gt;=4,"Positive",IF(AMAZON_FASHION_5__2[[#This Row],[overall]]&lt;=2,"Negative","Neutral"))</f>
        <v>Positive</v>
      </c>
      <c r="S11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24" spans="1:19" x14ac:dyDescent="0.25">
      <c r="A1124">
        <v>5</v>
      </c>
      <c r="B1124" t="b">
        <v>1</v>
      </c>
      <c r="C1124" s="1">
        <v>42742</v>
      </c>
      <c r="D1124">
        <f>YEAR(AMAZON_FASHION_5__2[[#This Row],[reviewDate]])</f>
        <v>2017</v>
      </c>
      <c r="E1124" s="1" t="str">
        <f>TEXT(AMAZON_FASHION_5__2[[#This Row],[reviewDate]], "mmmm")</f>
        <v>January</v>
      </c>
      <c r="F1124" t="s">
        <v>1098</v>
      </c>
      <c r="G1124" t="s">
        <v>1456</v>
      </c>
      <c r="H1124" t="s">
        <v>320</v>
      </c>
      <c r="I1124" t="s">
        <v>1084</v>
      </c>
      <c r="J1124" t="s">
        <v>1099</v>
      </c>
      <c r="K1124" t="s">
        <v>1100</v>
      </c>
      <c r="L1124" t="s">
        <v>970</v>
      </c>
      <c r="M1124">
        <v>1483747200</v>
      </c>
      <c r="N1124" t="s">
        <v>1628</v>
      </c>
      <c r="O1124" t="s">
        <v>1628</v>
      </c>
      <c r="P1124" t="s">
        <v>1628</v>
      </c>
      <c r="Q1124">
        <f>LEN(AMAZON_FASHION_5__2[[#This Row],[reviewText]])</f>
        <v>182</v>
      </c>
      <c r="R1124" t="str">
        <f>IF(AMAZON_FASHION_5__2[[#This Row],[overall]]&gt;=4,"Positive",IF(AMAZON_FASHION_5__2[[#This Row],[overall]]&lt;=2,"Negative","Neutral"))</f>
        <v>Positive</v>
      </c>
      <c r="S11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25" spans="1:19" x14ac:dyDescent="0.25">
      <c r="A1125">
        <v>4</v>
      </c>
      <c r="B1125" t="b">
        <v>1</v>
      </c>
      <c r="C1125" s="1">
        <v>42741</v>
      </c>
      <c r="D1125">
        <f>YEAR(AMAZON_FASHION_5__2[[#This Row],[reviewDate]])</f>
        <v>2017</v>
      </c>
      <c r="E1125" s="1" t="str">
        <f>TEXT(AMAZON_FASHION_5__2[[#This Row],[reviewDate]], "mmmm")</f>
        <v>January</v>
      </c>
      <c r="F1125" t="s">
        <v>1101</v>
      </c>
      <c r="G1125" t="s">
        <v>1456</v>
      </c>
      <c r="H1125" t="s">
        <v>197</v>
      </c>
      <c r="I1125" t="s">
        <v>1084</v>
      </c>
      <c r="J1125" t="s">
        <v>63</v>
      </c>
      <c r="K1125" t="s">
        <v>1102</v>
      </c>
      <c r="L1125" t="s">
        <v>1103</v>
      </c>
      <c r="M1125">
        <v>1483660800</v>
      </c>
      <c r="N1125" t="s">
        <v>1628</v>
      </c>
      <c r="O1125" t="s">
        <v>1628</v>
      </c>
      <c r="P1125" t="s">
        <v>1628</v>
      </c>
      <c r="Q1125">
        <f>LEN(AMAZON_FASHION_5__2[[#This Row],[reviewText]])</f>
        <v>219</v>
      </c>
      <c r="R1125" t="str">
        <f>IF(AMAZON_FASHION_5__2[[#This Row],[overall]]&gt;=4,"Positive",IF(AMAZON_FASHION_5__2[[#This Row],[overall]]&lt;=2,"Negative","Neutral"))</f>
        <v>Positive</v>
      </c>
      <c r="S11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26" spans="1:19" x14ac:dyDescent="0.25">
      <c r="A1126">
        <v>1</v>
      </c>
      <c r="B1126" t="b">
        <v>1</v>
      </c>
      <c r="C1126" s="1">
        <v>42739</v>
      </c>
      <c r="D1126">
        <f>YEAR(AMAZON_FASHION_5__2[[#This Row],[reviewDate]])</f>
        <v>2017</v>
      </c>
      <c r="E1126" s="1" t="str">
        <f>TEXT(AMAZON_FASHION_5__2[[#This Row],[reviewDate]], "mmmm")</f>
        <v>January</v>
      </c>
      <c r="F1126" t="s">
        <v>1104</v>
      </c>
      <c r="G1126" t="s">
        <v>1456</v>
      </c>
      <c r="H1126" t="s">
        <v>205</v>
      </c>
      <c r="I1126" t="s">
        <v>211</v>
      </c>
      <c r="J1126" t="s">
        <v>1105</v>
      </c>
      <c r="K1126" t="s">
        <v>1106</v>
      </c>
      <c r="L1126" t="s">
        <v>1107</v>
      </c>
      <c r="M1126">
        <v>1483488000</v>
      </c>
      <c r="N1126" t="s">
        <v>1628</v>
      </c>
      <c r="O1126" t="s">
        <v>1628</v>
      </c>
      <c r="P1126" t="s">
        <v>1628</v>
      </c>
      <c r="Q1126">
        <f>LEN(AMAZON_FASHION_5__2[[#This Row],[reviewText]])</f>
        <v>258</v>
      </c>
      <c r="R1126" t="str">
        <f>IF(AMAZON_FASHION_5__2[[#This Row],[overall]]&gt;=4,"Positive",IF(AMAZON_FASHION_5__2[[#This Row],[overall]]&lt;=2,"Negative","Neutral"))</f>
        <v>Negative</v>
      </c>
      <c r="S11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27" spans="1:19" x14ac:dyDescent="0.25">
      <c r="A1127">
        <v>5</v>
      </c>
      <c r="B1127" t="b">
        <v>1</v>
      </c>
      <c r="C1127" s="1">
        <v>42739</v>
      </c>
      <c r="D1127">
        <f>YEAR(AMAZON_FASHION_5__2[[#This Row],[reviewDate]])</f>
        <v>2017</v>
      </c>
      <c r="E1127" s="1" t="str">
        <f>TEXT(AMAZON_FASHION_5__2[[#This Row],[reviewDate]], "mmmm")</f>
        <v>January</v>
      </c>
      <c r="F1127" t="s">
        <v>1108</v>
      </c>
      <c r="G1127" t="s">
        <v>1456</v>
      </c>
      <c r="H1127" t="s">
        <v>235</v>
      </c>
      <c r="I1127" t="s">
        <v>99</v>
      </c>
      <c r="J1127" t="s">
        <v>1109</v>
      </c>
      <c r="K1127" t="s">
        <v>1110</v>
      </c>
      <c r="L1127" t="s">
        <v>1111</v>
      </c>
      <c r="M1127">
        <v>1483488000</v>
      </c>
      <c r="N1127" t="s">
        <v>1628</v>
      </c>
      <c r="O1127" t="s">
        <v>1628</v>
      </c>
      <c r="P1127" t="s">
        <v>1628</v>
      </c>
      <c r="Q1127">
        <f>LEN(AMAZON_FASHION_5__2[[#This Row],[reviewText]])</f>
        <v>69</v>
      </c>
      <c r="R1127" t="str">
        <f>IF(AMAZON_FASHION_5__2[[#This Row],[overall]]&gt;=4,"Positive",IF(AMAZON_FASHION_5__2[[#This Row],[overall]]&lt;=2,"Negative","Neutral"))</f>
        <v>Positive</v>
      </c>
      <c r="S11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28" spans="1:19" x14ac:dyDescent="0.25">
      <c r="A1128">
        <v>5</v>
      </c>
      <c r="B1128" t="b">
        <v>1</v>
      </c>
      <c r="C1128" s="1">
        <v>42736</v>
      </c>
      <c r="D1128">
        <f>YEAR(AMAZON_FASHION_5__2[[#This Row],[reviewDate]])</f>
        <v>2017</v>
      </c>
      <c r="E1128" s="1" t="str">
        <f>TEXT(AMAZON_FASHION_5__2[[#This Row],[reviewDate]], "mmmm")</f>
        <v>January</v>
      </c>
      <c r="F1128" t="s">
        <v>1112</v>
      </c>
      <c r="G1128" t="s">
        <v>1456</v>
      </c>
      <c r="H1128" t="s">
        <v>197</v>
      </c>
      <c r="I1128" t="s">
        <v>1084</v>
      </c>
      <c r="J1128" t="s">
        <v>1113</v>
      </c>
      <c r="K1128" t="s">
        <v>1114</v>
      </c>
      <c r="L1128" t="s">
        <v>17</v>
      </c>
      <c r="M1128">
        <v>1483228800</v>
      </c>
      <c r="N1128" t="s">
        <v>1628</v>
      </c>
      <c r="O1128" t="s">
        <v>1628</v>
      </c>
      <c r="P1128" t="s">
        <v>1628</v>
      </c>
      <c r="Q1128">
        <f>LEN(AMAZON_FASHION_5__2[[#This Row],[reviewText]])</f>
        <v>32</v>
      </c>
      <c r="R1128" t="str">
        <f>IF(AMAZON_FASHION_5__2[[#This Row],[overall]]&gt;=4,"Positive",IF(AMAZON_FASHION_5__2[[#This Row],[overall]]&lt;=2,"Negative","Neutral"))</f>
        <v>Positive</v>
      </c>
      <c r="S11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29" spans="1:19" x14ac:dyDescent="0.25">
      <c r="A1129">
        <v>5</v>
      </c>
      <c r="B1129" t="b">
        <v>1</v>
      </c>
      <c r="C1129" s="1">
        <v>42736</v>
      </c>
      <c r="D1129">
        <f>YEAR(AMAZON_FASHION_5__2[[#This Row],[reviewDate]])</f>
        <v>2017</v>
      </c>
      <c r="E1129" s="1" t="str">
        <f>TEXT(AMAZON_FASHION_5__2[[#This Row],[reviewDate]], "mmmm")</f>
        <v>January</v>
      </c>
      <c r="F1129" t="s">
        <v>1115</v>
      </c>
      <c r="G1129" t="s">
        <v>1456</v>
      </c>
      <c r="H1129" t="s">
        <v>205</v>
      </c>
      <c r="I1129" t="s">
        <v>198</v>
      </c>
      <c r="J1129" t="s">
        <v>1116</v>
      </c>
      <c r="K1129" t="s">
        <v>1117</v>
      </c>
      <c r="L1129" t="s">
        <v>17</v>
      </c>
      <c r="M1129">
        <v>1483228800</v>
      </c>
      <c r="N1129" t="s">
        <v>1628</v>
      </c>
      <c r="O1129" t="s">
        <v>1628</v>
      </c>
      <c r="P1129" t="s">
        <v>1628</v>
      </c>
      <c r="Q1129">
        <f>LEN(AMAZON_FASHION_5__2[[#This Row],[reviewText]])</f>
        <v>36</v>
      </c>
      <c r="R1129" t="str">
        <f>IF(AMAZON_FASHION_5__2[[#This Row],[overall]]&gt;=4,"Positive",IF(AMAZON_FASHION_5__2[[#This Row],[overall]]&lt;=2,"Negative","Neutral"))</f>
        <v>Positive</v>
      </c>
      <c r="S11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30" spans="1:19" x14ac:dyDescent="0.25">
      <c r="A1130">
        <v>5</v>
      </c>
      <c r="B1130" t="b">
        <v>1</v>
      </c>
      <c r="C1130" s="1">
        <v>42735</v>
      </c>
      <c r="D1130">
        <f>YEAR(AMAZON_FASHION_5__2[[#This Row],[reviewDate]])</f>
        <v>2016</v>
      </c>
      <c r="E1130" s="1" t="str">
        <f>TEXT(AMAZON_FASHION_5__2[[#This Row],[reviewDate]], "mmmm")</f>
        <v>December</v>
      </c>
      <c r="F1130" t="s">
        <v>1118</v>
      </c>
      <c r="G1130" t="s">
        <v>1456</v>
      </c>
      <c r="H1130" t="s">
        <v>201</v>
      </c>
      <c r="I1130" t="s">
        <v>198</v>
      </c>
      <c r="J1130" t="s">
        <v>1119</v>
      </c>
      <c r="K1130" t="s">
        <v>1120</v>
      </c>
      <c r="L1130" t="s">
        <v>1121</v>
      </c>
      <c r="M1130">
        <v>1483142400</v>
      </c>
      <c r="N1130" t="s">
        <v>1628</v>
      </c>
      <c r="O1130" t="s">
        <v>1628</v>
      </c>
      <c r="P1130" t="s">
        <v>1628</v>
      </c>
      <c r="Q1130">
        <f>LEN(AMAZON_FASHION_5__2[[#This Row],[reviewText]])</f>
        <v>169</v>
      </c>
      <c r="R1130" t="str">
        <f>IF(AMAZON_FASHION_5__2[[#This Row],[overall]]&gt;=4,"Positive",IF(AMAZON_FASHION_5__2[[#This Row],[overall]]&lt;=2,"Negative","Neutral"))</f>
        <v>Positive</v>
      </c>
      <c r="S11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31" spans="1:19" x14ac:dyDescent="0.25">
      <c r="A1131">
        <v>5</v>
      </c>
      <c r="B1131" t="b">
        <v>1</v>
      </c>
      <c r="C1131" s="1">
        <v>42733</v>
      </c>
      <c r="D1131">
        <f>YEAR(AMAZON_FASHION_5__2[[#This Row],[reviewDate]])</f>
        <v>2016</v>
      </c>
      <c r="E1131" s="1" t="str">
        <f>TEXT(AMAZON_FASHION_5__2[[#This Row],[reviewDate]], "mmmm")</f>
        <v>December</v>
      </c>
      <c r="F1131" t="s">
        <v>1122</v>
      </c>
      <c r="G1131" t="s">
        <v>1456</v>
      </c>
      <c r="H1131" t="s">
        <v>201</v>
      </c>
      <c r="I1131" t="s">
        <v>198</v>
      </c>
      <c r="J1131" t="s">
        <v>1123</v>
      </c>
      <c r="K1131" t="s">
        <v>1124</v>
      </c>
      <c r="L1131" t="s">
        <v>17</v>
      </c>
      <c r="M1131">
        <v>1482969600</v>
      </c>
      <c r="N1131" t="s">
        <v>1628</v>
      </c>
      <c r="O1131" t="s">
        <v>1628</v>
      </c>
      <c r="P1131" t="s">
        <v>1628</v>
      </c>
      <c r="Q1131">
        <f>LEN(AMAZON_FASHION_5__2[[#This Row],[reviewText]])</f>
        <v>37</v>
      </c>
      <c r="R1131" t="str">
        <f>IF(AMAZON_FASHION_5__2[[#This Row],[overall]]&gt;=4,"Positive",IF(AMAZON_FASHION_5__2[[#This Row],[overall]]&lt;=2,"Negative","Neutral"))</f>
        <v>Positive</v>
      </c>
      <c r="S11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32" spans="1:19" x14ac:dyDescent="0.25">
      <c r="A1132">
        <v>5</v>
      </c>
      <c r="B1132" t="b">
        <v>1</v>
      </c>
      <c r="C1132" s="1">
        <v>42733</v>
      </c>
      <c r="D1132">
        <f>YEAR(AMAZON_FASHION_5__2[[#This Row],[reviewDate]])</f>
        <v>2016</v>
      </c>
      <c r="E1132" s="1" t="str">
        <f>TEXT(AMAZON_FASHION_5__2[[#This Row],[reviewDate]], "mmmm")</f>
        <v>December</v>
      </c>
      <c r="F1132" t="s">
        <v>1125</v>
      </c>
      <c r="G1132" t="s">
        <v>1456</v>
      </c>
      <c r="H1132" t="s">
        <v>210</v>
      </c>
      <c r="I1132" t="s">
        <v>1084</v>
      </c>
      <c r="J1132" t="s">
        <v>63</v>
      </c>
      <c r="K1132" t="s">
        <v>1126</v>
      </c>
      <c r="L1132" t="s">
        <v>17</v>
      </c>
      <c r="M1132">
        <v>1482969600</v>
      </c>
      <c r="N1132" t="s">
        <v>1628</v>
      </c>
      <c r="O1132" t="s">
        <v>1628</v>
      </c>
      <c r="P1132" t="s">
        <v>1628</v>
      </c>
      <c r="Q1132">
        <f>LEN(AMAZON_FASHION_5__2[[#This Row],[reviewText]])</f>
        <v>45</v>
      </c>
      <c r="R1132" t="str">
        <f>IF(AMAZON_FASHION_5__2[[#This Row],[overall]]&gt;=4,"Positive",IF(AMAZON_FASHION_5__2[[#This Row],[overall]]&lt;=2,"Negative","Neutral"))</f>
        <v>Positive</v>
      </c>
      <c r="S11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33" spans="1:19" x14ac:dyDescent="0.25">
      <c r="A1133">
        <v>5</v>
      </c>
      <c r="B1133" t="b">
        <v>1</v>
      </c>
      <c r="C1133" s="1">
        <v>42732</v>
      </c>
      <c r="D1133">
        <f>YEAR(AMAZON_FASHION_5__2[[#This Row],[reviewDate]])</f>
        <v>2016</v>
      </c>
      <c r="E1133" s="1" t="str">
        <f>TEXT(AMAZON_FASHION_5__2[[#This Row],[reviewDate]], "mmmm")</f>
        <v>December</v>
      </c>
      <c r="F1133" t="s">
        <v>1127</v>
      </c>
      <c r="G1133" t="s">
        <v>1456</v>
      </c>
      <c r="H1133" t="s">
        <v>201</v>
      </c>
      <c r="I1133" t="s">
        <v>198</v>
      </c>
      <c r="J1133" t="s">
        <v>63</v>
      </c>
      <c r="K1133" t="s">
        <v>483</v>
      </c>
      <c r="L1133" t="s">
        <v>1128</v>
      </c>
      <c r="M1133">
        <v>1482883200</v>
      </c>
      <c r="N1133" t="s">
        <v>1628</v>
      </c>
      <c r="O1133" t="s">
        <v>1628</v>
      </c>
      <c r="P1133" t="s">
        <v>1628</v>
      </c>
      <c r="Q1133">
        <f>LEN(AMAZON_FASHION_5__2[[#This Row],[reviewText]])</f>
        <v>8</v>
      </c>
      <c r="R1133" t="str">
        <f>IF(AMAZON_FASHION_5__2[[#This Row],[overall]]&gt;=4,"Positive",IF(AMAZON_FASHION_5__2[[#This Row],[overall]]&lt;=2,"Negative","Neutral"))</f>
        <v>Positive</v>
      </c>
      <c r="S11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34" spans="1:19" x14ac:dyDescent="0.25">
      <c r="A1134">
        <v>5</v>
      </c>
      <c r="B1134" t="b">
        <v>1</v>
      </c>
      <c r="C1134" s="1">
        <v>42732</v>
      </c>
      <c r="D1134">
        <f>YEAR(AMAZON_FASHION_5__2[[#This Row],[reviewDate]])</f>
        <v>2016</v>
      </c>
      <c r="E1134" s="1" t="str">
        <f>TEXT(AMAZON_FASHION_5__2[[#This Row],[reviewDate]], "mmmm")</f>
        <v>December</v>
      </c>
      <c r="F1134" t="s">
        <v>1129</v>
      </c>
      <c r="G1134" t="s">
        <v>1456</v>
      </c>
      <c r="H1134" t="s">
        <v>230</v>
      </c>
      <c r="I1134" t="s">
        <v>211</v>
      </c>
      <c r="J1134" t="s">
        <v>1130</v>
      </c>
      <c r="K1134" t="s">
        <v>1131</v>
      </c>
      <c r="L1134" t="s">
        <v>1132</v>
      </c>
      <c r="M1134">
        <v>1482883200</v>
      </c>
      <c r="N1134" t="s">
        <v>1628</v>
      </c>
      <c r="O1134" t="s">
        <v>1628</v>
      </c>
      <c r="P1134" t="s">
        <v>1628</v>
      </c>
      <c r="Q1134">
        <f>LEN(AMAZON_FASHION_5__2[[#This Row],[reviewText]])</f>
        <v>134</v>
      </c>
      <c r="R1134" t="str">
        <f>IF(AMAZON_FASHION_5__2[[#This Row],[overall]]&gt;=4,"Positive",IF(AMAZON_FASHION_5__2[[#This Row],[overall]]&lt;=2,"Negative","Neutral"))</f>
        <v>Positive</v>
      </c>
      <c r="S11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35" spans="1:19" x14ac:dyDescent="0.25">
      <c r="A1135">
        <v>5</v>
      </c>
      <c r="B1135" t="b">
        <v>1</v>
      </c>
      <c r="C1135" s="1">
        <v>42731</v>
      </c>
      <c r="D1135">
        <f>YEAR(AMAZON_FASHION_5__2[[#This Row],[reviewDate]])</f>
        <v>2016</v>
      </c>
      <c r="E1135" s="1" t="str">
        <f>TEXT(AMAZON_FASHION_5__2[[#This Row],[reviewDate]], "mmmm")</f>
        <v>December</v>
      </c>
      <c r="F1135" t="s">
        <v>1133</v>
      </c>
      <c r="G1135" t="s">
        <v>1456</v>
      </c>
      <c r="H1135" t="s">
        <v>205</v>
      </c>
      <c r="I1135" t="s">
        <v>198</v>
      </c>
      <c r="J1135" t="s">
        <v>1134</v>
      </c>
      <c r="K1135" t="s">
        <v>1135</v>
      </c>
      <c r="L1135" t="s">
        <v>17</v>
      </c>
      <c r="M1135">
        <v>1482796800</v>
      </c>
      <c r="N1135" t="s">
        <v>1628</v>
      </c>
      <c r="O1135" t="s">
        <v>1628</v>
      </c>
      <c r="P1135" t="s">
        <v>1628</v>
      </c>
      <c r="Q1135">
        <f>LEN(AMAZON_FASHION_5__2[[#This Row],[reviewText]])</f>
        <v>32</v>
      </c>
      <c r="R1135" t="str">
        <f>IF(AMAZON_FASHION_5__2[[#This Row],[overall]]&gt;=4,"Positive",IF(AMAZON_FASHION_5__2[[#This Row],[overall]]&lt;=2,"Negative","Neutral"))</f>
        <v>Positive</v>
      </c>
      <c r="S11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36" spans="1:19" x14ac:dyDescent="0.25">
      <c r="A1136">
        <v>2</v>
      </c>
      <c r="B1136" t="b">
        <v>1</v>
      </c>
      <c r="C1136" s="1">
        <v>42729</v>
      </c>
      <c r="D1136">
        <f>YEAR(AMAZON_FASHION_5__2[[#This Row],[reviewDate]])</f>
        <v>2016</v>
      </c>
      <c r="E1136" s="1" t="str">
        <f>TEXT(AMAZON_FASHION_5__2[[#This Row],[reviewDate]], "mmmm")</f>
        <v>December</v>
      </c>
      <c r="F1136" t="s">
        <v>1136</v>
      </c>
      <c r="G1136" t="s">
        <v>1456</v>
      </c>
      <c r="H1136" t="s">
        <v>477</v>
      </c>
      <c r="I1136" t="s">
        <v>396</v>
      </c>
      <c r="J1136" t="s">
        <v>1137</v>
      </c>
      <c r="K1136" t="s">
        <v>1138</v>
      </c>
      <c r="L1136" t="s">
        <v>1139</v>
      </c>
      <c r="M1136">
        <v>1482624000</v>
      </c>
      <c r="N1136" t="s">
        <v>1628</v>
      </c>
      <c r="O1136" t="s">
        <v>1628</v>
      </c>
      <c r="P1136">
        <v>2</v>
      </c>
      <c r="Q1136">
        <f>LEN(AMAZON_FASHION_5__2[[#This Row],[reviewText]])</f>
        <v>108</v>
      </c>
      <c r="R1136" t="str">
        <f>IF(AMAZON_FASHION_5__2[[#This Row],[overall]]&gt;=4,"Positive",IF(AMAZON_FASHION_5__2[[#This Row],[overall]]&lt;=2,"Negative","Neutral"))</f>
        <v>Negative</v>
      </c>
      <c r="S11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37" spans="1:19" x14ac:dyDescent="0.25">
      <c r="A1137">
        <v>5</v>
      </c>
      <c r="B1137" t="b">
        <v>1</v>
      </c>
      <c r="C1137" s="1">
        <v>42727</v>
      </c>
      <c r="D1137">
        <f>YEAR(AMAZON_FASHION_5__2[[#This Row],[reviewDate]])</f>
        <v>2016</v>
      </c>
      <c r="E1137" s="1" t="str">
        <f>TEXT(AMAZON_FASHION_5__2[[#This Row],[reviewDate]], "mmmm")</f>
        <v>December</v>
      </c>
      <c r="F1137" t="s">
        <v>1140</v>
      </c>
      <c r="G1137" t="s">
        <v>1456</v>
      </c>
      <c r="H1137" t="s">
        <v>477</v>
      </c>
      <c r="I1137" t="s">
        <v>574</v>
      </c>
      <c r="J1137" t="s">
        <v>1141</v>
      </c>
      <c r="K1137" t="s">
        <v>1142</v>
      </c>
      <c r="L1137" t="s">
        <v>1143</v>
      </c>
      <c r="M1137">
        <v>1482451200</v>
      </c>
      <c r="N1137" t="s">
        <v>1628</v>
      </c>
      <c r="O1137" t="s">
        <v>1628</v>
      </c>
      <c r="P1137" t="s">
        <v>1628</v>
      </c>
      <c r="Q1137">
        <f>LEN(AMAZON_FASHION_5__2[[#This Row],[reviewText]])</f>
        <v>198</v>
      </c>
      <c r="R1137" t="str">
        <f>IF(AMAZON_FASHION_5__2[[#This Row],[overall]]&gt;=4,"Positive",IF(AMAZON_FASHION_5__2[[#This Row],[overall]]&lt;=2,"Negative","Neutral"))</f>
        <v>Positive</v>
      </c>
      <c r="S11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38" spans="1:19" x14ac:dyDescent="0.25">
      <c r="A1138">
        <v>5</v>
      </c>
      <c r="B1138" t="b">
        <v>1</v>
      </c>
      <c r="C1138" s="1">
        <v>42726</v>
      </c>
      <c r="D1138">
        <f>YEAR(AMAZON_FASHION_5__2[[#This Row],[reviewDate]])</f>
        <v>2016</v>
      </c>
      <c r="E1138" s="1" t="str">
        <f>TEXT(AMAZON_FASHION_5__2[[#This Row],[reviewDate]], "mmmm")</f>
        <v>December</v>
      </c>
      <c r="F1138" t="s">
        <v>1144</v>
      </c>
      <c r="G1138" t="s">
        <v>1456</v>
      </c>
      <c r="H1138" t="s">
        <v>1145</v>
      </c>
      <c r="I1138" t="s">
        <v>411</v>
      </c>
      <c r="J1138" t="s">
        <v>63</v>
      </c>
      <c r="K1138" t="s">
        <v>1146</v>
      </c>
      <c r="L1138" t="s">
        <v>17</v>
      </c>
      <c r="M1138">
        <v>1482364800</v>
      </c>
      <c r="N1138" t="s">
        <v>1628</v>
      </c>
      <c r="O1138" t="s">
        <v>1628</v>
      </c>
      <c r="P1138" t="s">
        <v>1628</v>
      </c>
      <c r="Q1138">
        <f>LEN(AMAZON_FASHION_5__2[[#This Row],[reviewText]])</f>
        <v>105</v>
      </c>
      <c r="R1138" t="str">
        <f>IF(AMAZON_FASHION_5__2[[#This Row],[overall]]&gt;=4,"Positive",IF(AMAZON_FASHION_5__2[[#This Row],[overall]]&lt;=2,"Negative","Neutral"))</f>
        <v>Positive</v>
      </c>
      <c r="S11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39" spans="1:19" x14ac:dyDescent="0.25">
      <c r="A1139">
        <v>2</v>
      </c>
      <c r="B1139" t="b">
        <v>1</v>
      </c>
      <c r="C1139" s="1">
        <v>42720</v>
      </c>
      <c r="D1139">
        <f>YEAR(AMAZON_FASHION_5__2[[#This Row],[reviewDate]])</f>
        <v>2016</v>
      </c>
      <c r="E1139" s="1" t="str">
        <f>TEXT(AMAZON_FASHION_5__2[[#This Row],[reviewDate]], "mmmm")</f>
        <v>December</v>
      </c>
      <c r="F1139" t="s">
        <v>1147</v>
      </c>
      <c r="G1139" t="s">
        <v>1456</v>
      </c>
      <c r="H1139" t="s">
        <v>201</v>
      </c>
      <c r="I1139" t="s">
        <v>524</v>
      </c>
      <c r="J1139" t="s">
        <v>1148</v>
      </c>
      <c r="K1139" t="s">
        <v>1149</v>
      </c>
      <c r="L1139" t="s">
        <v>1150</v>
      </c>
      <c r="M1139">
        <v>1481846400</v>
      </c>
      <c r="N1139" t="s">
        <v>1628</v>
      </c>
      <c r="O1139" t="s">
        <v>1628</v>
      </c>
      <c r="P1139" t="s">
        <v>1628</v>
      </c>
      <c r="Q1139">
        <f>LEN(AMAZON_FASHION_5__2[[#This Row],[reviewText]])</f>
        <v>63</v>
      </c>
      <c r="R1139" t="str">
        <f>IF(AMAZON_FASHION_5__2[[#This Row],[overall]]&gt;=4,"Positive",IF(AMAZON_FASHION_5__2[[#This Row],[overall]]&lt;=2,"Negative","Neutral"))</f>
        <v>Negative</v>
      </c>
      <c r="S11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40" spans="1:19" x14ac:dyDescent="0.25">
      <c r="A1140">
        <v>1</v>
      </c>
      <c r="B1140" t="b">
        <v>1</v>
      </c>
      <c r="C1140" s="1">
        <v>42719</v>
      </c>
      <c r="D1140">
        <f>YEAR(AMAZON_FASHION_5__2[[#This Row],[reviewDate]])</f>
        <v>2016</v>
      </c>
      <c r="E1140" s="1" t="str">
        <f>TEXT(AMAZON_FASHION_5__2[[#This Row],[reviewDate]], "mmmm")</f>
        <v>December</v>
      </c>
      <c r="F1140" t="s">
        <v>1151</v>
      </c>
      <c r="G1140" t="s">
        <v>1456</v>
      </c>
      <c r="H1140" t="s">
        <v>197</v>
      </c>
      <c r="I1140" t="s">
        <v>1084</v>
      </c>
      <c r="J1140" t="s">
        <v>63</v>
      </c>
      <c r="K1140" t="s">
        <v>1152</v>
      </c>
      <c r="L1140" t="s">
        <v>65</v>
      </c>
      <c r="M1140">
        <v>1481760000</v>
      </c>
      <c r="N1140" t="s">
        <v>1628</v>
      </c>
      <c r="O1140" t="s">
        <v>1628</v>
      </c>
      <c r="P1140" t="s">
        <v>1628</v>
      </c>
      <c r="Q1140">
        <f>LEN(AMAZON_FASHION_5__2[[#This Row],[reviewText]])</f>
        <v>11</v>
      </c>
      <c r="R1140" t="str">
        <f>IF(AMAZON_FASHION_5__2[[#This Row],[overall]]&gt;=4,"Positive",IF(AMAZON_FASHION_5__2[[#This Row],[overall]]&lt;=2,"Negative","Neutral"))</f>
        <v>Negative</v>
      </c>
      <c r="S11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41" spans="1:19" x14ac:dyDescent="0.25">
      <c r="A1141">
        <v>5</v>
      </c>
      <c r="B1141" t="b">
        <v>1</v>
      </c>
      <c r="C1141" s="1">
        <v>42716</v>
      </c>
      <c r="D1141">
        <f>YEAR(AMAZON_FASHION_5__2[[#This Row],[reviewDate]])</f>
        <v>2016</v>
      </c>
      <c r="E1141" s="1" t="str">
        <f>TEXT(AMAZON_FASHION_5__2[[#This Row],[reviewDate]], "mmmm")</f>
        <v>December</v>
      </c>
      <c r="F1141" t="s">
        <v>1153</v>
      </c>
      <c r="G1141" t="s">
        <v>1456</v>
      </c>
      <c r="H1141" t="s">
        <v>1477</v>
      </c>
      <c r="I1141" t="s">
        <v>336</v>
      </c>
      <c r="J1141" t="s">
        <v>1154</v>
      </c>
      <c r="K1141" t="s">
        <v>1155</v>
      </c>
      <c r="L1141" t="s">
        <v>276</v>
      </c>
      <c r="M1141">
        <v>1481500800</v>
      </c>
      <c r="N1141" t="s">
        <v>1628</v>
      </c>
      <c r="O1141" t="s">
        <v>1628</v>
      </c>
      <c r="P1141" t="s">
        <v>1628</v>
      </c>
      <c r="Q1141">
        <f>LEN(AMAZON_FASHION_5__2[[#This Row],[reviewText]])</f>
        <v>15</v>
      </c>
      <c r="R1141" t="str">
        <f>IF(AMAZON_FASHION_5__2[[#This Row],[overall]]&gt;=4,"Positive",IF(AMAZON_FASHION_5__2[[#This Row],[overall]]&lt;=2,"Negative","Neutral"))</f>
        <v>Positive</v>
      </c>
      <c r="S11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42" spans="1:19" x14ac:dyDescent="0.25">
      <c r="A1142">
        <v>5</v>
      </c>
      <c r="B1142" t="b">
        <v>1</v>
      </c>
      <c r="C1142" s="1">
        <v>42716</v>
      </c>
      <c r="D1142">
        <f>YEAR(AMAZON_FASHION_5__2[[#This Row],[reviewDate]])</f>
        <v>2016</v>
      </c>
      <c r="E1142" s="1" t="str">
        <f>TEXT(AMAZON_FASHION_5__2[[#This Row],[reviewDate]], "mmmm")</f>
        <v>December</v>
      </c>
      <c r="F1142" t="s">
        <v>1156</v>
      </c>
      <c r="G1142" t="s">
        <v>1456</v>
      </c>
      <c r="H1142" t="s">
        <v>235</v>
      </c>
      <c r="I1142" t="s">
        <v>198</v>
      </c>
      <c r="J1142" t="s">
        <v>1157</v>
      </c>
      <c r="K1142" t="s">
        <v>1158</v>
      </c>
      <c r="L1142" t="s">
        <v>30</v>
      </c>
      <c r="M1142">
        <v>1481500800</v>
      </c>
      <c r="N1142" t="s">
        <v>1628</v>
      </c>
      <c r="O1142" t="s">
        <v>1628</v>
      </c>
      <c r="P1142">
        <v>3</v>
      </c>
      <c r="Q1142">
        <f>LEN(AMAZON_FASHION_5__2[[#This Row],[reviewText]])</f>
        <v>362</v>
      </c>
      <c r="R1142" t="str">
        <f>IF(AMAZON_FASHION_5__2[[#This Row],[overall]]&gt;=4,"Positive",IF(AMAZON_FASHION_5__2[[#This Row],[overall]]&lt;=2,"Negative","Neutral"))</f>
        <v>Positive</v>
      </c>
      <c r="S11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43" spans="1:19" x14ac:dyDescent="0.25">
      <c r="A1143">
        <v>4</v>
      </c>
      <c r="B1143" t="b">
        <v>1</v>
      </c>
      <c r="C1143" s="1">
        <v>42712</v>
      </c>
      <c r="D1143">
        <f>YEAR(AMAZON_FASHION_5__2[[#This Row],[reviewDate]])</f>
        <v>2016</v>
      </c>
      <c r="E1143" s="1" t="str">
        <f>TEXT(AMAZON_FASHION_5__2[[#This Row],[reviewDate]], "mmmm")</f>
        <v>December</v>
      </c>
      <c r="F1143" t="s">
        <v>1159</v>
      </c>
      <c r="G1143" t="s">
        <v>1456</v>
      </c>
      <c r="H1143" t="s">
        <v>197</v>
      </c>
      <c r="I1143" t="s">
        <v>1084</v>
      </c>
      <c r="J1143" t="s">
        <v>1160</v>
      </c>
      <c r="K1143" t="s">
        <v>1161</v>
      </c>
      <c r="L1143" t="s">
        <v>103</v>
      </c>
      <c r="M1143">
        <v>1481155200</v>
      </c>
      <c r="N1143" t="s">
        <v>1628</v>
      </c>
      <c r="O1143" t="s">
        <v>1628</v>
      </c>
      <c r="P1143" t="s">
        <v>1628</v>
      </c>
      <c r="Q1143">
        <f>LEN(AMAZON_FASHION_5__2[[#This Row],[reviewText]])</f>
        <v>36</v>
      </c>
      <c r="R1143" t="str">
        <f>IF(AMAZON_FASHION_5__2[[#This Row],[overall]]&gt;=4,"Positive",IF(AMAZON_FASHION_5__2[[#This Row],[overall]]&lt;=2,"Negative","Neutral"))</f>
        <v>Positive</v>
      </c>
      <c r="S11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44" spans="1:19" x14ac:dyDescent="0.25">
      <c r="A1144">
        <v>4</v>
      </c>
      <c r="B1144" t="b">
        <v>1</v>
      </c>
      <c r="C1144" s="1">
        <v>42708</v>
      </c>
      <c r="D1144">
        <f>YEAR(AMAZON_FASHION_5__2[[#This Row],[reviewDate]])</f>
        <v>2016</v>
      </c>
      <c r="E1144" s="1" t="str">
        <f>TEXT(AMAZON_FASHION_5__2[[#This Row],[reviewDate]], "mmmm")</f>
        <v>December</v>
      </c>
      <c r="F1144" t="s">
        <v>1162</v>
      </c>
      <c r="G1144" t="s">
        <v>1456</v>
      </c>
      <c r="H1144" t="s">
        <v>320</v>
      </c>
      <c r="I1144" t="s">
        <v>827</v>
      </c>
      <c r="J1144" t="s">
        <v>1163</v>
      </c>
      <c r="K1144" t="s">
        <v>1164</v>
      </c>
      <c r="L1144" t="s">
        <v>103</v>
      </c>
      <c r="M1144">
        <v>1480809600</v>
      </c>
      <c r="N1144" t="s">
        <v>1628</v>
      </c>
      <c r="O1144" t="s">
        <v>1628</v>
      </c>
      <c r="P1144" t="s">
        <v>1628</v>
      </c>
      <c r="Q1144">
        <f>LEN(AMAZON_FASHION_5__2[[#This Row],[reviewText]])</f>
        <v>36</v>
      </c>
      <c r="R1144" t="str">
        <f>IF(AMAZON_FASHION_5__2[[#This Row],[overall]]&gt;=4,"Positive",IF(AMAZON_FASHION_5__2[[#This Row],[overall]]&lt;=2,"Negative","Neutral"))</f>
        <v>Positive</v>
      </c>
      <c r="S11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45" spans="1:19" x14ac:dyDescent="0.25">
      <c r="A1145">
        <v>4</v>
      </c>
      <c r="B1145" t="b">
        <v>1</v>
      </c>
      <c r="C1145" s="1">
        <v>42706</v>
      </c>
      <c r="D1145">
        <f>YEAR(AMAZON_FASHION_5__2[[#This Row],[reviewDate]])</f>
        <v>2016</v>
      </c>
      <c r="E1145" s="1" t="str">
        <f>TEXT(AMAZON_FASHION_5__2[[#This Row],[reviewDate]], "mmmm")</f>
        <v>December</v>
      </c>
      <c r="F1145" t="s">
        <v>1165</v>
      </c>
      <c r="G1145" t="s">
        <v>1456</v>
      </c>
      <c r="H1145" t="s">
        <v>717</v>
      </c>
      <c r="I1145" t="s">
        <v>336</v>
      </c>
      <c r="J1145" t="s">
        <v>63</v>
      </c>
      <c r="K1145" t="s">
        <v>1166</v>
      </c>
      <c r="L1145" t="s">
        <v>103</v>
      </c>
      <c r="M1145">
        <v>1480636800</v>
      </c>
      <c r="N1145" t="s">
        <v>1628</v>
      </c>
      <c r="O1145" t="s">
        <v>1628</v>
      </c>
      <c r="P1145">
        <v>2</v>
      </c>
      <c r="Q1145">
        <f>LEN(AMAZON_FASHION_5__2[[#This Row],[reviewText]])</f>
        <v>29</v>
      </c>
      <c r="R1145" t="str">
        <f>IF(AMAZON_FASHION_5__2[[#This Row],[overall]]&gt;=4,"Positive",IF(AMAZON_FASHION_5__2[[#This Row],[overall]]&lt;=2,"Negative","Neutral"))</f>
        <v>Positive</v>
      </c>
      <c r="S11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46" spans="1:19" x14ac:dyDescent="0.25">
      <c r="A1146">
        <v>5</v>
      </c>
      <c r="B1146" t="b">
        <v>1</v>
      </c>
      <c r="C1146" s="1">
        <v>42706</v>
      </c>
      <c r="D1146">
        <f>YEAR(AMAZON_FASHION_5__2[[#This Row],[reviewDate]])</f>
        <v>2016</v>
      </c>
      <c r="E1146" s="1" t="str">
        <f>TEXT(AMAZON_FASHION_5__2[[#This Row],[reviewDate]], "mmmm")</f>
        <v>December</v>
      </c>
      <c r="F1146" t="s">
        <v>1167</v>
      </c>
      <c r="G1146" t="s">
        <v>1456</v>
      </c>
      <c r="H1146" t="s">
        <v>210</v>
      </c>
      <c r="I1146" t="s">
        <v>198</v>
      </c>
      <c r="J1146" t="s">
        <v>1168</v>
      </c>
      <c r="K1146" t="s">
        <v>1169</v>
      </c>
      <c r="L1146" t="s">
        <v>17</v>
      </c>
      <c r="M1146">
        <v>1480636800</v>
      </c>
      <c r="N1146" t="s">
        <v>1628</v>
      </c>
      <c r="O1146" t="s">
        <v>1628</v>
      </c>
      <c r="P1146" t="s">
        <v>1628</v>
      </c>
      <c r="Q1146">
        <f>LEN(AMAZON_FASHION_5__2[[#This Row],[reviewText]])</f>
        <v>43</v>
      </c>
      <c r="R1146" t="str">
        <f>IF(AMAZON_FASHION_5__2[[#This Row],[overall]]&gt;=4,"Positive",IF(AMAZON_FASHION_5__2[[#This Row],[overall]]&lt;=2,"Negative","Neutral"))</f>
        <v>Positive</v>
      </c>
      <c r="S11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47" spans="1:19" x14ac:dyDescent="0.25">
      <c r="A1147">
        <v>5</v>
      </c>
      <c r="B1147" t="b">
        <v>1</v>
      </c>
      <c r="C1147" s="1">
        <v>42705</v>
      </c>
      <c r="D1147">
        <f>YEAR(AMAZON_FASHION_5__2[[#This Row],[reviewDate]])</f>
        <v>2016</v>
      </c>
      <c r="E1147" s="1" t="str">
        <f>TEXT(AMAZON_FASHION_5__2[[#This Row],[reviewDate]], "mmmm")</f>
        <v>December</v>
      </c>
      <c r="F1147" t="s">
        <v>1170</v>
      </c>
      <c r="G1147" t="s">
        <v>1456</v>
      </c>
      <c r="H1147" t="s">
        <v>230</v>
      </c>
      <c r="I1147" t="s">
        <v>1476</v>
      </c>
      <c r="J1147" t="s">
        <v>451</v>
      </c>
      <c r="K1147" t="s">
        <v>1171</v>
      </c>
      <c r="L1147" t="s">
        <v>17</v>
      </c>
      <c r="M1147">
        <v>1480550400</v>
      </c>
      <c r="N1147" t="s">
        <v>1628</v>
      </c>
      <c r="O1147" t="s">
        <v>1628</v>
      </c>
      <c r="P1147" t="s">
        <v>1628</v>
      </c>
      <c r="Q1147">
        <f>LEN(AMAZON_FASHION_5__2[[#This Row],[reviewText]])</f>
        <v>93</v>
      </c>
      <c r="R1147" t="str">
        <f>IF(AMAZON_FASHION_5__2[[#This Row],[overall]]&gt;=4,"Positive",IF(AMAZON_FASHION_5__2[[#This Row],[overall]]&lt;=2,"Negative","Neutral"))</f>
        <v>Positive</v>
      </c>
      <c r="S11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48" spans="1:19" x14ac:dyDescent="0.25">
      <c r="A1148">
        <v>5</v>
      </c>
      <c r="B1148" t="b">
        <v>1</v>
      </c>
      <c r="C1148" s="1">
        <v>42702</v>
      </c>
      <c r="D1148">
        <f>YEAR(AMAZON_FASHION_5__2[[#This Row],[reviewDate]])</f>
        <v>2016</v>
      </c>
      <c r="E1148" s="1" t="str">
        <f>TEXT(AMAZON_FASHION_5__2[[#This Row],[reviewDate]], "mmmm")</f>
        <v>November</v>
      </c>
      <c r="F1148" t="s">
        <v>1172</v>
      </c>
      <c r="G1148" t="s">
        <v>1456</v>
      </c>
      <c r="H1148" t="s">
        <v>230</v>
      </c>
      <c r="I1148" t="s">
        <v>198</v>
      </c>
      <c r="J1148" t="s">
        <v>1076</v>
      </c>
      <c r="K1148" t="s">
        <v>1173</v>
      </c>
      <c r="L1148" t="s">
        <v>17</v>
      </c>
      <c r="M1148">
        <v>1480291200</v>
      </c>
      <c r="N1148" t="s">
        <v>1628</v>
      </c>
      <c r="O1148" t="s">
        <v>1628</v>
      </c>
      <c r="P1148" t="s">
        <v>1628</v>
      </c>
      <c r="Q1148">
        <f>LEN(AMAZON_FASHION_5__2[[#This Row],[reviewText]])</f>
        <v>90</v>
      </c>
      <c r="R1148" t="str">
        <f>IF(AMAZON_FASHION_5__2[[#This Row],[overall]]&gt;=4,"Positive",IF(AMAZON_FASHION_5__2[[#This Row],[overall]]&lt;=2,"Negative","Neutral"))</f>
        <v>Positive</v>
      </c>
      <c r="S11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49" spans="1:19" x14ac:dyDescent="0.25">
      <c r="A1149">
        <v>5</v>
      </c>
      <c r="B1149" t="b">
        <v>1</v>
      </c>
      <c r="C1149" s="1">
        <v>42701</v>
      </c>
      <c r="D1149">
        <f>YEAR(AMAZON_FASHION_5__2[[#This Row],[reviewDate]])</f>
        <v>2016</v>
      </c>
      <c r="E1149" s="1" t="str">
        <f>TEXT(AMAZON_FASHION_5__2[[#This Row],[reviewDate]], "mmmm")</f>
        <v>November</v>
      </c>
      <c r="F1149" t="s">
        <v>1174</v>
      </c>
      <c r="G1149" t="s">
        <v>1456</v>
      </c>
      <c r="H1149" t="s">
        <v>477</v>
      </c>
      <c r="I1149" t="s">
        <v>849</v>
      </c>
      <c r="J1149" t="s">
        <v>1175</v>
      </c>
      <c r="K1149" t="s">
        <v>1176</v>
      </c>
      <c r="L1149" t="s">
        <v>877</v>
      </c>
      <c r="M1149">
        <v>1480204800</v>
      </c>
      <c r="N1149" t="s">
        <v>1628</v>
      </c>
      <c r="O1149" t="s">
        <v>1628</v>
      </c>
      <c r="P1149" t="s">
        <v>1628</v>
      </c>
      <c r="Q1149">
        <f>LEN(AMAZON_FASHION_5__2[[#This Row],[reviewText]])</f>
        <v>338</v>
      </c>
      <c r="R1149" t="str">
        <f>IF(AMAZON_FASHION_5__2[[#This Row],[overall]]&gt;=4,"Positive",IF(AMAZON_FASHION_5__2[[#This Row],[overall]]&lt;=2,"Negative","Neutral"))</f>
        <v>Positive</v>
      </c>
      <c r="S11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50" spans="1:19" x14ac:dyDescent="0.25">
      <c r="A1150">
        <v>5</v>
      </c>
      <c r="B1150" t="b">
        <v>1</v>
      </c>
      <c r="C1150" s="1">
        <v>42697</v>
      </c>
      <c r="D1150">
        <f>YEAR(AMAZON_FASHION_5__2[[#This Row],[reviewDate]])</f>
        <v>2016</v>
      </c>
      <c r="E1150" s="1" t="str">
        <f>TEXT(AMAZON_FASHION_5__2[[#This Row],[reviewDate]], "mmmm")</f>
        <v>November</v>
      </c>
      <c r="F1150" t="s">
        <v>1177</v>
      </c>
      <c r="G1150" t="s">
        <v>1456</v>
      </c>
      <c r="H1150" t="s">
        <v>201</v>
      </c>
      <c r="I1150" t="s">
        <v>198</v>
      </c>
      <c r="J1150" t="s">
        <v>1178</v>
      </c>
      <c r="K1150" t="s">
        <v>1179</v>
      </c>
      <c r="L1150" t="s">
        <v>1180</v>
      </c>
      <c r="M1150">
        <v>1479859200</v>
      </c>
      <c r="N1150" t="s">
        <v>1628</v>
      </c>
      <c r="O1150" t="s">
        <v>1628</v>
      </c>
      <c r="P1150" t="s">
        <v>1628</v>
      </c>
      <c r="Q1150">
        <f>LEN(AMAZON_FASHION_5__2[[#This Row],[reviewText]])</f>
        <v>76</v>
      </c>
      <c r="R1150" t="str">
        <f>IF(AMAZON_FASHION_5__2[[#This Row],[overall]]&gt;=4,"Positive",IF(AMAZON_FASHION_5__2[[#This Row],[overall]]&lt;=2,"Negative","Neutral"))</f>
        <v>Positive</v>
      </c>
      <c r="S11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51" spans="1:19" x14ac:dyDescent="0.25">
      <c r="A1151">
        <v>4</v>
      </c>
      <c r="B1151" t="b">
        <v>0</v>
      </c>
      <c r="C1151" s="1">
        <v>42695</v>
      </c>
      <c r="D1151">
        <f>YEAR(AMAZON_FASHION_5__2[[#This Row],[reviewDate]])</f>
        <v>2016</v>
      </c>
      <c r="E1151" s="1" t="str">
        <f>TEXT(AMAZON_FASHION_5__2[[#This Row],[reviewDate]], "mmmm")</f>
        <v>November</v>
      </c>
      <c r="F1151" t="s">
        <v>1181</v>
      </c>
      <c r="G1151" t="s">
        <v>1456</v>
      </c>
      <c r="H1151" t="s">
        <v>320</v>
      </c>
      <c r="I1151" t="s">
        <v>574</v>
      </c>
      <c r="J1151" t="s">
        <v>1182</v>
      </c>
      <c r="K1151" t="s">
        <v>1183</v>
      </c>
      <c r="L1151" t="s">
        <v>1184</v>
      </c>
      <c r="M1151">
        <v>1479686400</v>
      </c>
      <c r="N1151" t="s">
        <v>1628</v>
      </c>
      <c r="O1151" t="s">
        <v>1628</v>
      </c>
      <c r="P1151" t="s">
        <v>1628</v>
      </c>
      <c r="Q1151">
        <f>LEN(AMAZON_FASHION_5__2[[#This Row],[reviewText]])</f>
        <v>767</v>
      </c>
      <c r="R1151" t="str">
        <f>IF(AMAZON_FASHION_5__2[[#This Row],[overall]]&gt;=4,"Positive",IF(AMAZON_FASHION_5__2[[#This Row],[overall]]&lt;=2,"Negative","Neutral"))</f>
        <v>Positive</v>
      </c>
      <c r="S11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52" spans="1:19" x14ac:dyDescent="0.25">
      <c r="A1152">
        <v>4</v>
      </c>
      <c r="B1152" t="b">
        <v>1</v>
      </c>
      <c r="C1152" s="1">
        <v>42690</v>
      </c>
      <c r="D1152">
        <f>YEAR(AMAZON_FASHION_5__2[[#This Row],[reviewDate]])</f>
        <v>2016</v>
      </c>
      <c r="E1152" s="1" t="str">
        <f>TEXT(AMAZON_FASHION_5__2[[#This Row],[reviewDate]], "mmmm")</f>
        <v>November</v>
      </c>
      <c r="F1152" t="s">
        <v>1185</v>
      </c>
      <c r="G1152" t="s">
        <v>1456</v>
      </c>
      <c r="H1152" t="s">
        <v>230</v>
      </c>
      <c r="I1152" t="s">
        <v>1476</v>
      </c>
      <c r="J1152" t="s">
        <v>1186</v>
      </c>
      <c r="K1152" t="s">
        <v>1187</v>
      </c>
      <c r="L1152" t="s">
        <v>103</v>
      </c>
      <c r="M1152">
        <v>1479254400</v>
      </c>
      <c r="N1152" t="s">
        <v>1628</v>
      </c>
      <c r="O1152" t="s">
        <v>1628</v>
      </c>
      <c r="P1152" t="s">
        <v>1628</v>
      </c>
      <c r="Q1152">
        <f>LEN(AMAZON_FASHION_5__2[[#This Row],[reviewText]])</f>
        <v>49</v>
      </c>
      <c r="R1152" t="str">
        <f>IF(AMAZON_FASHION_5__2[[#This Row],[overall]]&gt;=4,"Positive",IF(AMAZON_FASHION_5__2[[#This Row],[overall]]&lt;=2,"Negative","Neutral"))</f>
        <v>Positive</v>
      </c>
      <c r="S11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53" spans="1:19" x14ac:dyDescent="0.25">
      <c r="A1153">
        <v>5</v>
      </c>
      <c r="B1153" t="b">
        <v>1</v>
      </c>
      <c r="C1153" s="1">
        <v>42690</v>
      </c>
      <c r="D1153">
        <f>YEAR(AMAZON_FASHION_5__2[[#This Row],[reviewDate]])</f>
        <v>2016</v>
      </c>
      <c r="E1153" s="1" t="str">
        <f>TEXT(AMAZON_FASHION_5__2[[#This Row],[reviewDate]], "mmmm")</f>
        <v>November</v>
      </c>
      <c r="F1153" t="s">
        <v>1188</v>
      </c>
      <c r="G1153" t="s">
        <v>1456</v>
      </c>
      <c r="H1153" t="s">
        <v>230</v>
      </c>
      <c r="I1153" t="s">
        <v>198</v>
      </c>
      <c r="J1153" t="s">
        <v>63</v>
      </c>
      <c r="K1153" t="s">
        <v>1189</v>
      </c>
      <c r="L1153" t="s">
        <v>17</v>
      </c>
      <c r="M1153">
        <v>1479254400</v>
      </c>
      <c r="N1153" t="s">
        <v>1628</v>
      </c>
      <c r="O1153" t="s">
        <v>1628</v>
      </c>
      <c r="P1153" t="s">
        <v>1628</v>
      </c>
      <c r="Q1153">
        <f>LEN(AMAZON_FASHION_5__2[[#This Row],[reviewText]])</f>
        <v>9</v>
      </c>
      <c r="R1153" t="str">
        <f>IF(AMAZON_FASHION_5__2[[#This Row],[overall]]&gt;=4,"Positive",IF(AMAZON_FASHION_5__2[[#This Row],[overall]]&lt;=2,"Negative","Neutral"))</f>
        <v>Positive</v>
      </c>
      <c r="S11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54" spans="1:19" x14ac:dyDescent="0.25">
      <c r="A1154">
        <v>3</v>
      </c>
      <c r="B1154" t="b">
        <v>1</v>
      </c>
      <c r="C1154" s="1">
        <v>42688</v>
      </c>
      <c r="D1154">
        <f>YEAR(AMAZON_FASHION_5__2[[#This Row],[reviewDate]])</f>
        <v>2016</v>
      </c>
      <c r="E1154" s="1" t="str">
        <f>TEXT(AMAZON_FASHION_5__2[[#This Row],[reviewDate]], "mmmm")</f>
        <v>November</v>
      </c>
      <c r="F1154" t="s">
        <v>1190</v>
      </c>
      <c r="G1154" t="s">
        <v>1456</v>
      </c>
      <c r="H1154" t="s">
        <v>201</v>
      </c>
      <c r="I1154" t="s">
        <v>524</v>
      </c>
      <c r="J1154" t="s">
        <v>1191</v>
      </c>
      <c r="K1154" t="s">
        <v>1192</v>
      </c>
      <c r="L1154" t="s">
        <v>1193</v>
      </c>
      <c r="M1154">
        <v>1479081600</v>
      </c>
      <c r="N1154" t="s">
        <v>1628</v>
      </c>
      <c r="O1154" t="s">
        <v>1628</v>
      </c>
      <c r="P1154" t="s">
        <v>1628</v>
      </c>
      <c r="Q1154">
        <f>LEN(AMAZON_FASHION_5__2[[#This Row],[reviewText]])</f>
        <v>92</v>
      </c>
      <c r="R1154" t="str">
        <f>IF(AMAZON_FASHION_5__2[[#This Row],[overall]]&gt;=4,"Positive",IF(AMAZON_FASHION_5__2[[#This Row],[overall]]&lt;=2,"Negative","Neutral"))</f>
        <v>Neutral</v>
      </c>
      <c r="S11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55" spans="1:19" x14ac:dyDescent="0.25">
      <c r="A1155">
        <v>5</v>
      </c>
      <c r="B1155" t="b">
        <v>1</v>
      </c>
      <c r="C1155" s="1">
        <v>42685</v>
      </c>
      <c r="D1155">
        <f>YEAR(AMAZON_FASHION_5__2[[#This Row],[reviewDate]])</f>
        <v>2016</v>
      </c>
      <c r="E1155" s="1" t="str">
        <f>TEXT(AMAZON_FASHION_5__2[[#This Row],[reviewDate]], "mmmm")</f>
        <v>November</v>
      </c>
      <c r="F1155" t="s">
        <v>1194</v>
      </c>
      <c r="G1155" t="s">
        <v>1456</v>
      </c>
      <c r="H1155" t="s">
        <v>235</v>
      </c>
      <c r="I1155" t="s">
        <v>303</v>
      </c>
      <c r="J1155" t="s">
        <v>1195</v>
      </c>
      <c r="K1155" t="s">
        <v>1196</v>
      </c>
      <c r="L1155" t="s">
        <v>1197</v>
      </c>
      <c r="M1155">
        <v>1478822400</v>
      </c>
      <c r="N1155" t="s">
        <v>1628</v>
      </c>
      <c r="O1155" t="s">
        <v>1628</v>
      </c>
      <c r="P1155" t="s">
        <v>1628</v>
      </c>
      <c r="Q1155">
        <f>LEN(AMAZON_FASHION_5__2[[#This Row],[reviewText]])</f>
        <v>133</v>
      </c>
      <c r="R1155" t="str">
        <f>IF(AMAZON_FASHION_5__2[[#This Row],[overall]]&gt;=4,"Positive",IF(AMAZON_FASHION_5__2[[#This Row],[overall]]&lt;=2,"Negative","Neutral"))</f>
        <v>Positive</v>
      </c>
      <c r="S11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56" spans="1:19" x14ac:dyDescent="0.25">
      <c r="A1156">
        <v>4</v>
      </c>
      <c r="B1156" t="b">
        <v>1</v>
      </c>
      <c r="C1156" s="1">
        <v>42685</v>
      </c>
      <c r="D1156">
        <f>YEAR(AMAZON_FASHION_5__2[[#This Row],[reviewDate]])</f>
        <v>2016</v>
      </c>
      <c r="E1156" s="1" t="str">
        <f>TEXT(AMAZON_FASHION_5__2[[#This Row],[reviewDate]], "mmmm")</f>
        <v>November</v>
      </c>
      <c r="F1156" t="s">
        <v>1198</v>
      </c>
      <c r="G1156" t="s">
        <v>1456</v>
      </c>
      <c r="H1156" t="s">
        <v>205</v>
      </c>
      <c r="I1156" t="s">
        <v>396</v>
      </c>
      <c r="J1156" t="s">
        <v>1199</v>
      </c>
      <c r="K1156" t="s">
        <v>1200</v>
      </c>
      <c r="L1156" t="s">
        <v>103</v>
      </c>
      <c r="M1156">
        <v>1478822400</v>
      </c>
      <c r="N1156" t="s">
        <v>1628</v>
      </c>
      <c r="O1156" t="s">
        <v>1628</v>
      </c>
      <c r="P1156" t="s">
        <v>1628</v>
      </c>
      <c r="Q1156">
        <f>LEN(AMAZON_FASHION_5__2[[#This Row],[reviewText]])</f>
        <v>25</v>
      </c>
      <c r="R1156" t="str">
        <f>IF(AMAZON_FASHION_5__2[[#This Row],[overall]]&gt;=4,"Positive",IF(AMAZON_FASHION_5__2[[#This Row],[overall]]&lt;=2,"Negative","Neutral"))</f>
        <v>Positive</v>
      </c>
      <c r="S11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57" spans="1:19" x14ac:dyDescent="0.25">
      <c r="A1157">
        <v>5</v>
      </c>
      <c r="B1157" t="b">
        <v>1</v>
      </c>
      <c r="C1157" s="1">
        <v>42683</v>
      </c>
      <c r="D1157">
        <f>YEAR(AMAZON_FASHION_5__2[[#This Row],[reviewDate]])</f>
        <v>2016</v>
      </c>
      <c r="E1157" s="1" t="str">
        <f>TEXT(AMAZON_FASHION_5__2[[#This Row],[reviewDate]], "mmmm")</f>
        <v>November</v>
      </c>
      <c r="F1157" t="s">
        <v>1201</v>
      </c>
      <c r="G1157" t="s">
        <v>1456</v>
      </c>
      <c r="H1157" t="s">
        <v>197</v>
      </c>
      <c r="I1157" t="s">
        <v>198</v>
      </c>
      <c r="J1157" t="s">
        <v>63</v>
      </c>
      <c r="K1157" t="s">
        <v>1202</v>
      </c>
      <c r="L1157" t="s">
        <v>1203</v>
      </c>
      <c r="M1157">
        <v>1478649600</v>
      </c>
      <c r="N1157" t="s">
        <v>1628</v>
      </c>
      <c r="O1157" t="s">
        <v>1628</v>
      </c>
      <c r="P1157" t="s">
        <v>1628</v>
      </c>
      <c r="Q1157">
        <f>LEN(AMAZON_FASHION_5__2[[#This Row],[reviewText]])</f>
        <v>64</v>
      </c>
      <c r="R1157" t="str">
        <f>IF(AMAZON_FASHION_5__2[[#This Row],[overall]]&gt;=4,"Positive",IF(AMAZON_FASHION_5__2[[#This Row],[overall]]&lt;=2,"Negative","Neutral"))</f>
        <v>Positive</v>
      </c>
      <c r="S11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58" spans="1:19" x14ac:dyDescent="0.25">
      <c r="A1158">
        <v>4</v>
      </c>
      <c r="B1158" t="b">
        <v>1</v>
      </c>
      <c r="C1158" s="1">
        <v>42682</v>
      </c>
      <c r="D1158">
        <f>YEAR(AMAZON_FASHION_5__2[[#This Row],[reviewDate]])</f>
        <v>2016</v>
      </c>
      <c r="E1158" s="1" t="str">
        <f>TEXT(AMAZON_FASHION_5__2[[#This Row],[reviewDate]], "mmmm")</f>
        <v>November</v>
      </c>
      <c r="F1158" t="s">
        <v>1204</v>
      </c>
      <c r="G1158" t="s">
        <v>1456</v>
      </c>
      <c r="H1158" t="s">
        <v>320</v>
      </c>
      <c r="I1158" t="s">
        <v>827</v>
      </c>
      <c r="J1158" t="s">
        <v>1205</v>
      </c>
      <c r="K1158" t="s">
        <v>1206</v>
      </c>
      <c r="L1158" t="s">
        <v>1207</v>
      </c>
      <c r="M1158">
        <v>1478563200</v>
      </c>
      <c r="N1158" t="s">
        <v>1628</v>
      </c>
      <c r="O1158" t="s">
        <v>1628</v>
      </c>
      <c r="P1158" t="s">
        <v>1628</v>
      </c>
      <c r="Q1158">
        <f>LEN(AMAZON_FASHION_5__2[[#This Row],[reviewText]])</f>
        <v>83</v>
      </c>
      <c r="R1158" t="str">
        <f>IF(AMAZON_FASHION_5__2[[#This Row],[overall]]&gt;=4,"Positive",IF(AMAZON_FASHION_5__2[[#This Row],[overall]]&lt;=2,"Negative","Neutral"))</f>
        <v>Positive</v>
      </c>
      <c r="S11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59" spans="1:19" x14ac:dyDescent="0.25">
      <c r="A1159">
        <v>5</v>
      </c>
      <c r="B1159" t="b">
        <v>1</v>
      </c>
      <c r="C1159" s="1">
        <v>42681</v>
      </c>
      <c r="D1159">
        <f>YEAR(AMAZON_FASHION_5__2[[#This Row],[reviewDate]])</f>
        <v>2016</v>
      </c>
      <c r="E1159" s="1" t="str">
        <f>TEXT(AMAZON_FASHION_5__2[[#This Row],[reviewDate]], "mmmm")</f>
        <v>November</v>
      </c>
      <c r="F1159" t="s">
        <v>1208</v>
      </c>
      <c r="G1159" t="s">
        <v>1456</v>
      </c>
      <c r="H1159" t="s">
        <v>477</v>
      </c>
      <c r="I1159" t="s">
        <v>198</v>
      </c>
      <c r="J1159" t="s">
        <v>1209</v>
      </c>
      <c r="K1159" t="s">
        <v>1210</v>
      </c>
      <c r="L1159" t="s">
        <v>1211</v>
      </c>
      <c r="M1159">
        <v>1478476800</v>
      </c>
      <c r="N1159" t="s">
        <v>1628</v>
      </c>
      <c r="O1159" t="s">
        <v>1628</v>
      </c>
      <c r="P1159">
        <v>3</v>
      </c>
      <c r="Q1159">
        <f>LEN(AMAZON_FASHION_5__2[[#This Row],[reviewText]])</f>
        <v>235</v>
      </c>
      <c r="R1159" t="str">
        <f>IF(AMAZON_FASHION_5__2[[#This Row],[overall]]&gt;=4,"Positive",IF(AMAZON_FASHION_5__2[[#This Row],[overall]]&lt;=2,"Negative","Neutral"))</f>
        <v>Positive</v>
      </c>
      <c r="S11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60" spans="1:19" x14ac:dyDescent="0.25">
      <c r="A1160">
        <v>3</v>
      </c>
      <c r="B1160" t="b">
        <v>1</v>
      </c>
      <c r="C1160" s="1">
        <v>42680</v>
      </c>
      <c r="D1160">
        <f>YEAR(AMAZON_FASHION_5__2[[#This Row],[reviewDate]])</f>
        <v>2016</v>
      </c>
      <c r="E1160" s="1" t="str">
        <f>TEXT(AMAZON_FASHION_5__2[[#This Row],[reviewDate]], "mmmm")</f>
        <v>November</v>
      </c>
      <c r="F1160" t="s">
        <v>1212</v>
      </c>
      <c r="G1160" t="s">
        <v>1456</v>
      </c>
      <c r="H1160" t="s">
        <v>230</v>
      </c>
      <c r="I1160" t="s">
        <v>827</v>
      </c>
      <c r="J1160" t="s">
        <v>1213</v>
      </c>
      <c r="K1160" t="s">
        <v>1214</v>
      </c>
      <c r="L1160" t="s">
        <v>1215</v>
      </c>
      <c r="M1160">
        <v>1478390400</v>
      </c>
      <c r="N1160" t="s">
        <v>1628</v>
      </c>
      <c r="O1160" t="s">
        <v>1628</v>
      </c>
      <c r="P1160" t="s">
        <v>1628</v>
      </c>
      <c r="Q1160">
        <f>LEN(AMAZON_FASHION_5__2[[#This Row],[reviewText]])</f>
        <v>115</v>
      </c>
      <c r="R1160" t="str">
        <f>IF(AMAZON_FASHION_5__2[[#This Row],[overall]]&gt;=4,"Positive",IF(AMAZON_FASHION_5__2[[#This Row],[overall]]&lt;=2,"Negative","Neutral"))</f>
        <v>Neutral</v>
      </c>
      <c r="S11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61" spans="1:19" x14ac:dyDescent="0.25">
      <c r="A1161">
        <v>3</v>
      </c>
      <c r="B1161" t="b">
        <v>1</v>
      </c>
      <c r="C1161" s="1">
        <v>42673</v>
      </c>
      <c r="D1161">
        <f>YEAR(AMAZON_FASHION_5__2[[#This Row],[reviewDate]])</f>
        <v>2016</v>
      </c>
      <c r="E1161" s="1" t="str">
        <f>TEXT(AMAZON_FASHION_5__2[[#This Row],[reviewDate]], "mmmm")</f>
        <v>October</v>
      </c>
      <c r="F1161" t="s">
        <v>1216</v>
      </c>
      <c r="G1161" t="s">
        <v>1456</v>
      </c>
      <c r="H1161" t="s">
        <v>477</v>
      </c>
      <c r="I1161" t="s">
        <v>396</v>
      </c>
      <c r="J1161" t="s">
        <v>1217</v>
      </c>
      <c r="K1161" t="s">
        <v>1218</v>
      </c>
      <c r="L1161" t="s">
        <v>1219</v>
      </c>
      <c r="M1161">
        <v>1477785600</v>
      </c>
      <c r="N1161" t="s">
        <v>1628</v>
      </c>
      <c r="O1161" t="s">
        <v>1628</v>
      </c>
      <c r="P1161" t="s">
        <v>1628</v>
      </c>
      <c r="Q1161">
        <f>LEN(AMAZON_FASHION_5__2[[#This Row],[reviewText]])</f>
        <v>228</v>
      </c>
      <c r="R1161" t="str">
        <f>IF(AMAZON_FASHION_5__2[[#This Row],[overall]]&gt;=4,"Positive",IF(AMAZON_FASHION_5__2[[#This Row],[overall]]&lt;=2,"Negative","Neutral"))</f>
        <v>Neutral</v>
      </c>
      <c r="S11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62" spans="1:19" x14ac:dyDescent="0.25">
      <c r="A1162">
        <v>5</v>
      </c>
      <c r="B1162" t="b">
        <v>1</v>
      </c>
      <c r="C1162" s="1">
        <v>42672</v>
      </c>
      <c r="D1162">
        <f>YEAR(AMAZON_FASHION_5__2[[#This Row],[reviewDate]])</f>
        <v>2016</v>
      </c>
      <c r="E1162" s="1" t="str">
        <f>TEXT(AMAZON_FASHION_5__2[[#This Row],[reviewDate]], "mmmm")</f>
        <v>October</v>
      </c>
      <c r="F1162" t="s">
        <v>1220</v>
      </c>
      <c r="G1162" t="s">
        <v>1456</v>
      </c>
      <c r="H1162" t="s">
        <v>210</v>
      </c>
      <c r="I1162" t="s">
        <v>274</v>
      </c>
      <c r="J1162" t="s">
        <v>1221</v>
      </c>
      <c r="K1162" t="s">
        <v>1222</v>
      </c>
      <c r="L1162" t="s">
        <v>1223</v>
      </c>
      <c r="M1162">
        <v>1477699200</v>
      </c>
      <c r="N1162" t="s">
        <v>1628</v>
      </c>
      <c r="O1162" t="s">
        <v>1628</v>
      </c>
      <c r="P1162" t="s">
        <v>1628</v>
      </c>
      <c r="Q1162">
        <f>LEN(AMAZON_FASHION_5__2[[#This Row],[reviewText]])</f>
        <v>59</v>
      </c>
      <c r="R1162" t="str">
        <f>IF(AMAZON_FASHION_5__2[[#This Row],[overall]]&gt;=4,"Positive",IF(AMAZON_FASHION_5__2[[#This Row],[overall]]&lt;=2,"Negative","Neutral"))</f>
        <v>Positive</v>
      </c>
      <c r="S11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63" spans="1:19" x14ac:dyDescent="0.25">
      <c r="A1163">
        <v>3</v>
      </c>
      <c r="B1163" t="b">
        <v>1</v>
      </c>
      <c r="C1163" s="1">
        <v>42669</v>
      </c>
      <c r="D1163">
        <f>YEAR(AMAZON_FASHION_5__2[[#This Row],[reviewDate]])</f>
        <v>2016</v>
      </c>
      <c r="E1163" s="1" t="str">
        <f>TEXT(AMAZON_FASHION_5__2[[#This Row],[reviewDate]], "mmmm")</f>
        <v>October</v>
      </c>
      <c r="F1163" t="s">
        <v>1224</v>
      </c>
      <c r="G1163" t="s">
        <v>1456</v>
      </c>
      <c r="H1163" t="s">
        <v>230</v>
      </c>
      <c r="I1163" t="s">
        <v>198</v>
      </c>
      <c r="J1163" t="s">
        <v>1225</v>
      </c>
      <c r="K1163" t="s">
        <v>1226</v>
      </c>
      <c r="L1163" t="s">
        <v>1227</v>
      </c>
      <c r="M1163">
        <v>1477440000</v>
      </c>
      <c r="N1163" t="s">
        <v>1628</v>
      </c>
      <c r="O1163" t="s">
        <v>1628</v>
      </c>
      <c r="P1163" t="s">
        <v>1628</v>
      </c>
      <c r="Q1163">
        <f>LEN(AMAZON_FASHION_5__2[[#This Row],[reviewText]])</f>
        <v>333</v>
      </c>
      <c r="R1163" t="str">
        <f>IF(AMAZON_FASHION_5__2[[#This Row],[overall]]&gt;=4,"Positive",IF(AMAZON_FASHION_5__2[[#This Row],[overall]]&lt;=2,"Negative","Neutral"))</f>
        <v>Neutral</v>
      </c>
      <c r="S11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64" spans="1:19" x14ac:dyDescent="0.25">
      <c r="A1164">
        <v>5</v>
      </c>
      <c r="B1164" t="b">
        <v>1</v>
      </c>
      <c r="C1164" s="1">
        <v>42668</v>
      </c>
      <c r="D1164">
        <f>YEAR(AMAZON_FASHION_5__2[[#This Row],[reviewDate]])</f>
        <v>2016</v>
      </c>
      <c r="E1164" s="1" t="str">
        <f>TEXT(AMAZON_FASHION_5__2[[#This Row],[reviewDate]], "mmmm")</f>
        <v>October</v>
      </c>
      <c r="F1164" t="s">
        <v>1228</v>
      </c>
      <c r="G1164" t="s">
        <v>1456</v>
      </c>
      <c r="H1164" t="s">
        <v>261</v>
      </c>
      <c r="I1164" t="s">
        <v>1455</v>
      </c>
      <c r="J1164" t="s">
        <v>1229</v>
      </c>
      <c r="K1164" t="s">
        <v>1230</v>
      </c>
      <c r="L1164" t="s">
        <v>17</v>
      </c>
      <c r="M1164">
        <v>1477353600</v>
      </c>
      <c r="N1164" t="s">
        <v>1628</v>
      </c>
      <c r="O1164" t="s">
        <v>1628</v>
      </c>
      <c r="P1164" t="s">
        <v>1628</v>
      </c>
      <c r="Q1164">
        <f>LEN(AMAZON_FASHION_5__2[[#This Row],[reviewText]])</f>
        <v>33</v>
      </c>
      <c r="R1164" t="str">
        <f>IF(AMAZON_FASHION_5__2[[#This Row],[overall]]&gt;=4,"Positive",IF(AMAZON_FASHION_5__2[[#This Row],[overall]]&lt;=2,"Negative","Neutral"))</f>
        <v>Positive</v>
      </c>
      <c r="S11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65" spans="1:19" x14ac:dyDescent="0.25">
      <c r="A1165">
        <v>5</v>
      </c>
      <c r="B1165" t="b">
        <v>0</v>
      </c>
      <c r="C1165" s="1">
        <v>42667</v>
      </c>
      <c r="D1165">
        <f>YEAR(AMAZON_FASHION_5__2[[#This Row],[reviewDate]])</f>
        <v>2016</v>
      </c>
      <c r="E1165" s="1" t="str">
        <f>TEXT(AMAZON_FASHION_5__2[[#This Row],[reviewDate]], "mmmm")</f>
        <v>October</v>
      </c>
      <c r="F1165" t="s">
        <v>1231</v>
      </c>
      <c r="G1165" t="s">
        <v>1456</v>
      </c>
      <c r="H1165" t="s">
        <v>197</v>
      </c>
      <c r="I1165" t="s">
        <v>419</v>
      </c>
      <c r="J1165" t="s">
        <v>63</v>
      </c>
      <c r="K1165" t="s">
        <v>1232</v>
      </c>
      <c r="L1165" t="s">
        <v>1233</v>
      </c>
      <c r="M1165">
        <v>1477267200</v>
      </c>
      <c r="N1165" t="s">
        <v>1628</v>
      </c>
      <c r="O1165" t="s">
        <v>1628</v>
      </c>
      <c r="P1165" t="s">
        <v>1628</v>
      </c>
      <c r="Q1165">
        <f>LEN(AMAZON_FASHION_5__2[[#This Row],[reviewText]])</f>
        <v>86</v>
      </c>
      <c r="R1165" t="str">
        <f>IF(AMAZON_FASHION_5__2[[#This Row],[overall]]&gt;=4,"Positive",IF(AMAZON_FASHION_5__2[[#This Row],[overall]]&lt;=2,"Negative","Neutral"))</f>
        <v>Positive</v>
      </c>
      <c r="S11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66" spans="1:19" x14ac:dyDescent="0.25">
      <c r="A1166">
        <v>5</v>
      </c>
      <c r="B1166" t="b">
        <v>1</v>
      </c>
      <c r="C1166" s="1">
        <v>42667</v>
      </c>
      <c r="D1166">
        <f>YEAR(AMAZON_FASHION_5__2[[#This Row],[reviewDate]])</f>
        <v>2016</v>
      </c>
      <c r="E1166" s="1" t="str">
        <f>TEXT(AMAZON_FASHION_5__2[[#This Row],[reviewDate]], "mmmm")</f>
        <v>October</v>
      </c>
      <c r="F1166" t="s">
        <v>1234</v>
      </c>
      <c r="G1166" t="s">
        <v>1456</v>
      </c>
      <c r="H1166" t="s">
        <v>197</v>
      </c>
      <c r="I1166" t="s">
        <v>493</v>
      </c>
      <c r="J1166" t="s">
        <v>1235</v>
      </c>
      <c r="K1166" t="s">
        <v>1236</v>
      </c>
      <c r="L1166" t="s">
        <v>17</v>
      </c>
      <c r="M1166">
        <v>1477267200</v>
      </c>
      <c r="N1166" t="s">
        <v>1628</v>
      </c>
      <c r="O1166" t="s">
        <v>1628</v>
      </c>
      <c r="P1166" t="s">
        <v>1628</v>
      </c>
      <c r="Q1166">
        <f>LEN(AMAZON_FASHION_5__2[[#This Row],[reviewText]])</f>
        <v>24</v>
      </c>
      <c r="R1166" t="str">
        <f>IF(AMAZON_FASHION_5__2[[#This Row],[overall]]&gt;=4,"Positive",IF(AMAZON_FASHION_5__2[[#This Row],[overall]]&lt;=2,"Negative","Neutral"))</f>
        <v>Positive</v>
      </c>
      <c r="S11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67" spans="1:19" x14ac:dyDescent="0.25">
      <c r="A1167">
        <v>5</v>
      </c>
      <c r="B1167" t="b">
        <v>1</v>
      </c>
      <c r="C1167" s="1">
        <v>42662</v>
      </c>
      <c r="D1167">
        <f>YEAR(AMAZON_FASHION_5__2[[#This Row],[reviewDate]])</f>
        <v>2016</v>
      </c>
      <c r="E1167" s="1" t="str">
        <f>TEXT(AMAZON_FASHION_5__2[[#This Row],[reviewDate]], "mmmm")</f>
        <v>October</v>
      </c>
      <c r="F1167" t="s">
        <v>1237</v>
      </c>
      <c r="G1167" t="s">
        <v>1456</v>
      </c>
      <c r="H1167" t="s">
        <v>320</v>
      </c>
      <c r="I1167" t="s">
        <v>198</v>
      </c>
      <c r="J1167" t="s">
        <v>63</v>
      </c>
      <c r="K1167" t="s">
        <v>1238</v>
      </c>
      <c r="L1167" t="s">
        <v>1239</v>
      </c>
      <c r="M1167">
        <v>1476835200</v>
      </c>
      <c r="N1167" t="s">
        <v>1628</v>
      </c>
      <c r="O1167" t="s">
        <v>1628</v>
      </c>
      <c r="P1167" t="s">
        <v>1628</v>
      </c>
      <c r="Q1167">
        <f>LEN(AMAZON_FASHION_5__2[[#This Row],[reviewText]])</f>
        <v>35</v>
      </c>
      <c r="R1167" t="str">
        <f>IF(AMAZON_FASHION_5__2[[#This Row],[overall]]&gt;=4,"Positive",IF(AMAZON_FASHION_5__2[[#This Row],[overall]]&lt;=2,"Negative","Neutral"))</f>
        <v>Positive</v>
      </c>
      <c r="S11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68" spans="1:19" x14ac:dyDescent="0.25">
      <c r="A1168">
        <v>5</v>
      </c>
      <c r="B1168" t="b">
        <v>1</v>
      </c>
      <c r="C1168" s="1">
        <v>42660</v>
      </c>
      <c r="D1168">
        <f>YEAR(AMAZON_FASHION_5__2[[#This Row],[reviewDate]])</f>
        <v>2016</v>
      </c>
      <c r="E1168" s="1" t="str">
        <f>TEXT(AMAZON_FASHION_5__2[[#This Row],[reviewDate]], "mmmm")</f>
        <v>October</v>
      </c>
      <c r="F1168" t="s">
        <v>1240</v>
      </c>
      <c r="G1168" t="s">
        <v>1456</v>
      </c>
      <c r="H1168" t="s">
        <v>205</v>
      </c>
      <c r="I1168" t="s">
        <v>396</v>
      </c>
      <c r="J1168" t="s">
        <v>1241</v>
      </c>
      <c r="K1168" t="s">
        <v>1242</v>
      </c>
      <c r="L1168" t="s">
        <v>1243</v>
      </c>
      <c r="M1168">
        <v>1476662400</v>
      </c>
      <c r="N1168" t="s">
        <v>1628</v>
      </c>
      <c r="O1168" t="s">
        <v>1628</v>
      </c>
      <c r="P1168">
        <v>5</v>
      </c>
      <c r="Q1168">
        <f>LEN(AMAZON_FASHION_5__2[[#This Row],[reviewText]])</f>
        <v>106</v>
      </c>
      <c r="R1168" t="str">
        <f>IF(AMAZON_FASHION_5__2[[#This Row],[overall]]&gt;=4,"Positive",IF(AMAZON_FASHION_5__2[[#This Row],[overall]]&lt;=2,"Negative","Neutral"))</f>
        <v>Positive</v>
      </c>
      <c r="S11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69" spans="1:19" x14ac:dyDescent="0.25">
      <c r="A1169">
        <v>5</v>
      </c>
      <c r="B1169" t="b">
        <v>1</v>
      </c>
      <c r="C1169" s="1">
        <v>42658</v>
      </c>
      <c r="D1169">
        <f>YEAR(AMAZON_FASHION_5__2[[#This Row],[reviewDate]])</f>
        <v>2016</v>
      </c>
      <c r="E1169" s="1" t="str">
        <f>TEXT(AMAZON_FASHION_5__2[[#This Row],[reviewDate]], "mmmm")</f>
        <v>October</v>
      </c>
      <c r="F1169" t="s">
        <v>1244</v>
      </c>
      <c r="G1169" t="s">
        <v>1456</v>
      </c>
      <c r="H1169" t="s">
        <v>205</v>
      </c>
      <c r="I1169" t="s">
        <v>198</v>
      </c>
      <c r="J1169" t="s">
        <v>1245</v>
      </c>
      <c r="K1169" t="s">
        <v>1246</v>
      </c>
      <c r="L1169" t="s">
        <v>1247</v>
      </c>
      <c r="M1169">
        <v>1476489600</v>
      </c>
      <c r="N1169" t="s">
        <v>1628</v>
      </c>
      <c r="O1169" t="s">
        <v>1628</v>
      </c>
      <c r="P1169" t="s">
        <v>1628</v>
      </c>
      <c r="Q1169">
        <f>LEN(AMAZON_FASHION_5__2[[#This Row],[reviewText]])</f>
        <v>57</v>
      </c>
      <c r="R1169" t="str">
        <f>IF(AMAZON_FASHION_5__2[[#This Row],[overall]]&gt;=4,"Positive",IF(AMAZON_FASHION_5__2[[#This Row],[overall]]&lt;=2,"Negative","Neutral"))</f>
        <v>Positive</v>
      </c>
      <c r="S11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70" spans="1:19" x14ac:dyDescent="0.25">
      <c r="A1170">
        <v>4</v>
      </c>
      <c r="B1170" t="b">
        <v>1</v>
      </c>
      <c r="C1170" s="1">
        <v>42654</v>
      </c>
      <c r="D1170">
        <f>YEAR(AMAZON_FASHION_5__2[[#This Row],[reviewDate]])</f>
        <v>2016</v>
      </c>
      <c r="E1170" s="1" t="str">
        <f>TEXT(AMAZON_FASHION_5__2[[#This Row],[reviewDate]], "mmmm")</f>
        <v>October</v>
      </c>
      <c r="F1170" t="s">
        <v>1248</v>
      </c>
      <c r="G1170" t="s">
        <v>1456</v>
      </c>
      <c r="H1170" t="s">
        <v>201</v>
      </c>
      <c r="I1170" t="s">
        <v>827</v>
      </c>
      <c r="J1170" t="s">
        <v>1249</v>
      </c>
      <c r="K1170" t="s">
        <v>1250</v>
      </c>
      <c r="L1170" t="s">
        <v>1251</v>
      </c>
      <c r="M1170">
        <v>1476144000</v>
      </c>
      <c r="N1170" t="s">
        <v>1628</v>
      </c>
      <c r="O1170" t="s">
        <v>1628</v>
      </c>
      <c r="P1170" t="s">
        <v>1628</v>
      </c>
      <c r="Q1170">
        <f>LEN(AMAZON_FASHION_5__2[[#This Row],[reviewText]])</f>
        <v>181</v>
      </c>
      <c r="R1170" t="str">
        <f>IF(AMAZON_FASHION_5__2[[#This Row],[overall]]&gt;=4,"Positive",IF(AMAZON_FASHION_5__2[[#This Row],[overall]]&lt;=2,"Negative","Neutral"))</f>
        <v>Positive</v>
      </c>
      <c r="S11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71" spans="1:19" x14ac:dyDescent="0.25">
      <c r="A1171">
        <v>3</v>
      </c>
      <c r="B1171" t="b">
        <v>1</v>
      </c>
      <c r="C1171" s="1">
        <v>42652</v>
      </c>
      <c r="D1171">
        <f>YEAR(AMAZON_FASHION_5__2[[#This Row],[reviewDate]])</f>
        <v>2016</v>
      </c>
      <c r="E1171" s="1" t="str">
        <f>TEXT(AMAZON_FASHION_5__2[[#This Row],[reviewDate]], "mmmm")</f>
        <v>October</v>
      </c>
      <c r="F1171" t="s">
        <v>1252</v>
      </c>
      <c r="G1171" t="s">
        <v>1456</v>
      </c>
      <c r="H1171" t="s">
        <v>477</v>
      </c>
      <c r="I1171" t="s">
        <v>236</v>
      </c>
      <c r="J1171" t="s">
        <v>1253</v>
      </c>
      <c r="K1171" t="s">
        <v>1254</v>
      </c>
      <c r="L1171" t="s">
        <v>1255</v>
      </c>
      <c r="M1171">
        <v>1475971200</v>
      </c>
      <c r="N1171" t="s">
        <v>1628</v>
      </c>
      <c r="O1171" t="s">
        <v>1628</v>
      </c>
      <c r="P1171" t="s">
        <v>1628</v>
      </c>
      <c r="Q1171">
        <f>LEN(AMAZON_FASHION_5__2[[#This Row],[reviewText]])</f>
        <v>68</v>
      </c>
      <c r="R1171" t="str">
        <f>IF(AMAZON_FASHION_5__2[[#This Row],[overall]]&gt;=4,"Positive",IF(AMAZON_FASHION_5__2[[#This Row],[overall]]&lt;=2,"Negative","Neutral"))</f>
        <v>Neutral</v>
      </c>
      <c r="S11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72" spans="1:19" x14ac:dyDescent="0.25">
      <c r="A1172">
        <v>4</v>
      </c>
      <c r="B1172" t="b">
        <v>1</v>
      </c>
      <c r="C1172" s="1">
        <v>42648</v>
      </c>
      <c r="D1172">
        <f>YEAR(AMAZON_FASHION_5__2[[#This Row],[reviewDate]])</f>
        <v>2016</v>
      </c>
      <c r="E1172" s="1" t="str">
        <f>TEXT(AMAZON_FASHION_5__2[[#This Row],[reviewDate]], "mmmm")</f>
        <v>October</v>
      </c>
      <c r="F1172" t="s">
        <v>1256</v>
      </c>
      <c r="G1172" t="s">
        <v>1456</v>
      </c>
      <c r="H1172" t="s">
        <v>197</v>
      </c>
      <c r="I1172" t="s">
        <v>198</v>
      </c>
      <c r="J1172" t="s">
        <v>1257</v>
      </c>
      <c r="K1172" t="s">
        <v>1258</v>
      </c>
      <c r="L1172" t="s">
        <v>1259</v>
      </c>
      <c r="M1172">
        <v>1475625600</v>
      </c>
      <c r="N1172" t="s">
        <v>1628</v>
      </c>
      <c r="O1172" t="s">
        <v>1628</v>
      </c>
      <c r="P1172" t="s">
        <v>1628</v>
      </c>
      <c r="Q1172">
        <f>LEN(AMAZON_FASHION_5__2[[#This Row],[reviewText]])</f>
        <v>100</v>
      </c>
      <c r="R1172" t="str">
        <f>IF(AMAZON_FASHION_5__2[[#This Row],[overall]]&gt;=4,"Positive",IF(AMAZON_FASHION_5__2[[#This Row],[overall]]&lt;=2,"Negative","Neutral"))</f>
        <v>Positive</v>
      </c>
      <c r="S11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73" spans="1:19" x14ac:dyDescent="0.25">
      <c r="A1173">
        <v>3</v>
      </c>
      <c r="B1173" t="b">
        <v>1</v>
      </c>
      <c r="C1173" s="1">
        <v>42644</v>
      </c>
      <c r="D1173">
        <f>YEAR(AMAZON_FASHION_5__2[[#This Row],[reviewDate]])</f>
        <v>2016</v>
      </c>
      <c r="E1173" s="1" t="str">
        <f>TEXT(AMAZON_FASHION_5__2[[#This Row],[reviewDate]], "mmmm")</f>
        <v>October</v>
      </c>
      <c r="F1173" t="s">
        <v>1260</v>
      </c>
      <c r="G1173" t="s">
        <v>1456</v>
      </c>
      <c r="H1173" t="s">
        <v>205</v>
      </c>
      <c r="I1173" t="s">
        <v>236</v>
      </c>
      <c r="J1173" t="s">
        <v>1261</v>
      </c>
      <c r="K1173" t="s">
        <v>1262</v>
      </c>
      <c r="L1173" t="s">
        <v>1263</v>
      </c>
      <c r="M1173">
        <v>1475280000</v>
      </c>
      <c r="N1173" t="s">
        <v>1628</v>
      </c>
      <c r="O1173" t="s">
        <v>1628</v>
      </c>
      <c r="P1173" t="s">
        <v>1628</v>
      </c>
      <c r="Q1173">
        <f>LEN(AMAZON_FASHION_5__2[[#This Row],[reviewText]])</f>
        <v>59</v>
      </c>
      <c r="R1173" t="str">
        <f>IF(AMAZON_FASHION_5__2[[#This Row],[overall]]&gt;=4,"Positive",IF(AMAZON_FASHION_5__2[[#This Row],[overall]]&lt;=2,"Negative","Neutral"))</f>
        <v>Neutral</v>
      </c>
      <c r="S11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74" spans="1:19" x14ac:dyDescent="0.25">
      <c r="A1174">
        <v>5</v>
      </c>
      <c r="B1174" t="b">
        <v>1</v>
      </c>
      <c r="C1174" s="1">
        <v>42639</v>
      </c>
      <c r="D1174">
        <f>YEAR(AMAZON_FASHION_5__2[[#This Row],[reviewDate]])</f>
        <v>2016</v>
      </c>
      <c r="E1174" s="1" t="str">
        <f>TEXT(AMAZON_FASHION_5__2[[#This Row],[reviewDate]], "mmmm")</f>
        <v>September</v>
      </c>
      <c r="F1174" t="s">
        <v>1264</v>
      </c>
      <c r="G1174" t="s">
        <v>1456</v>
      </c>
      <c r="H1174" t="s">
        <v>477</v>
      </c>
      <c r="I1174" t="s">
        <v>211</v>
      </c>
      <c r="J1174" t="s">
        <v>1265</v>
      </c>
      <c r="K1174" t="s">
        <v>1266</v>
      </c>
      <c r="L1174" t="s">
        <v>704</v>
      </c>
      <c r="M1174">
        <v>1474848000</v>
      </c>
      <c r="N1174" t="s">
        <v>1628</v>
      </c>
      <c r="O1174" t="s">
        <v>1628</v>
      </c>
      <c r="P1174" t="s">
        <v>1628</v>
      </c>
      <c r="Q1174">
        <f>LEN(AMAZON_FASHION_5__2[[#This Row],[reviewText]])</f>
        <v>107</v>
      </c>
      <c r="R1174" t="str">
        <f>IF(AMAZON_FASHION_5__2[[#This Row],[overall]]&gt;=4,"Positive",IF(AMAZON_FASHION_5__2[[#This Row],[overall]]&lt;=2,"Negative","Neutral"))</f>
        <v>Positive</v>
      </c>
      <c r="S11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75" spans="1:19" x14ac:dyDescent="0.25">
      <c r="A1175">
        <v>5</v>
      </c>
      <c r="B1175" t="b">
        <v>1</v>
      </c>
      <c r="C1175" s="1">
        <v>42636</v>
      </c>
      <c r="D1175">
        <f>YEAR(AMAZON_FASHION_5__2[[#This Row],[reviewDate]])</f>
        <v>2016</v>
      </c>
      <c r="E1175" s="1" t="str">
        <f>TEXT(AMAZON_FASHION_5__2[[#This Row],[reviewDate]], "mmmm")</f>
        <v>September</v>
      </c>
      <c r="F1175" t="s">
        <v>1267</v>
      </c>
      <c r="G1175" t="s">
        <v>1456</v>
      </c>
      <c r="H1175" t="s">
        <v>197</v>
      </c>
      <c r="I1175" t="s">
        <v>524</v>
      </c>
      <c r="J1175" t="s">
        <v>1268</v>
      </c>
      <c r="K1175" t="s">
        <v>1269</v>
      </c>
      <c r="L1175" t="s">
        <v>17</v>
      </c>
      <c r="M1175">
        <v>1474588800</v>
      </c>
      <c r="N1175" t="s">
        <v>1628</v>
      </c>
      <c r="O1175" t="s">
        <v>1628</v>
      </c>
      <c r="P1175" t="s">
        <v>1628</v>
      </c>
      <c r="Q1175">
        <f>LEN(AMAZON_FASHION_5__2[[#This Row],[reviewText]])</f>
        <v>12</v>
      </c>
      <c r="R1175" t="str">
        <f>IF(AMAZON_FASHION_5__2[[#This Row],[overall]]&gt;=4,"Positive",IF(AMAZON_FASHION_5__2[[#This Row],[overall]]&lt;=2,"Negative","Neutral"))</f>
        <v>Positive</v>
      </c>
      <c r="S11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76" spans="1:19" x14ac:dyDescent="0.25">
      <c r="A1176">
        <v>5</v>
      </c>
      <c r="B1176" t="b">
        <v>1</v>
      </c>
      <c r="C1176" s="1">
        <v>42631</v>
      </c>
      <c r="D1176">
        <f>YEAR(AMAZON_FASHION_5__2[[#This Row],[reviewDate]])</f>
        <v>2016</v>
      </c>
      <c r="E1176" s="1" t="str">
        <f>TEXT(AMAZON_FASHION_5__2[[#This Row],[reviewDate]], "mmmm")</f>
        <v>September</v>
      </c>
      <c r="F1176" t="s">
        <v>1270</v>
      </c>
      <c r="G1176" t="s">
        <v>1456</v>
      </c>
      <c r="H1176" t="s">
        <v>1477</v>
      </c>
      <c r="I1176" t="s">
        <v>336</v>
      </c>
      <c r="J1176" t="s">
        <v>63</v>
      </c>
      <c r="K1176" t="s">
        <v>1271</v>
      </c>
      <c r="L1176" t="s">
        <v>1272</v>
      </c>
      <c r="M1176">
        <v>1474156800</v>
      </c>
      <c r="N1176" t="s">
        <v>1628</v>
      </c>
      <c r="O1176" t="s">
        <v>1628</v>
      </c>
      <c r="P1176">
        <v>3</v>
      </c>
      <c r="Q1176">
        <f>LEN(AMAZON_FASHION_5__2[[#This Row],[reviewText]])</f>
        <v>140</v>
      </c>
      <c r="R1176" t="str">
        <f>IF(AMAZON_FASHION_5__2[[#This Row],[overall]]&gt;=4,"Positive",IF(AMAZON_FASHION_5__2[[#This Row],[overall]]&lt;=2,"Negative","Neutral"))</f>
        <v>Positive</v>
      </c>
      <c r="S11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77" spans="1:19" x14ac:dyDescent="0.25">
      <c r="A1177">
        <v>1</v>
      </c>
      <c r="B1177" t="b">
        <v>1</v>
      </c>
      <c r="C1177" s="1">
        <v>42625</v>
      </c>
      <c r="D1177">
        <f>YEAR(AMAZON_FASHION_5__2[[#This Row],[reviewDate]])</f>
        <v>2016</v>
      </c>
      <c r="E1177" s="1" t="str">
        <f>TEXT(AMAZON_FASHION_5__2[[#This Row],[reviewDate]], "mmmm")</f>
        <v>September</v>
      </c>
      <c r="F1177" t="s">
        <v>1273</v>
      </c>
      <c r="G1177" t="s">
        <v>1456</v>
      </c>
      <c r="H1177" t="s">
        <v>230</v>
      </c>
      <c r="I1177" t="s">
        <v>274</v>
      </c>
      <c r="J1177" t="s">
        <v>1274</v>
      </c>
      <c r="K1177" t="s">
        <v>1275</v>
      </c>
      <c r="L1177" t="s">
        <v>1276</v>
      </c>
      <c r="M1177">
        <v>1473638400</v>
      </c>
      <c r="N1177" t="s">
        <v>1628</v>
      </c>
      <c r="O1177" t="s">
        <v>1628</v>
      </c>
      <c r="P1177" t="s">
        <v>1628</v>
      </c>
      <c r="Q1177">
        <f>LEN(AMAZON_FASHION_5__2[[#This Row],[reviewText]])</f>
        <v>148</v>
      </c>
      <c r="R1177" t="str">
        <f>IF(AMAZON_FASHION_5__2[[#This Row],[overall]]&gt;=4,"Positive",IF(AMAZON_FASHION_5__2[[#This Row],[overall]]&lt;=2,"Negative","Neutral"))</f>
        <v>Negative</v>
      </c>
      <c r="S11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78" spans="1:19" x14ac:dyDescent="0.25">
      <c r="A1178">
        <v>1</v>
      </c>
      <c r="B1178" t="b">
        <v>1</v>
      </c>
      <c r="C1178" s="1">
        <v>42624</v>
      </c>
      <c r="D1178">
        <f>YEAR(AMAZON_FASHION_5__2[[#This Row],[reviewDate]])</f>
        <v>2016</v>
      </c>
      <c r="E1178" s="1" t="str">
        <f>TEXT(AMAZON_FASHION_5__2[[#This Row],[reviewDate]], "mmmm")</f>
        <v>September</v>
      </c>
      <c r="F1178" t="s">
        <v>1277</v>
      </c>
      <c r="G1178" t="s">
        <v>1456</v>
      </c>
      <c r="H1178" t="s">
        <v>235</v>
      </c>
      <c r="I1178" t="s">
        <v>198</v>
      </c>
      <c r="J1178" t="s">
        <v>1278</v>
      </c>
      <c r="K1178" t="s">
        <v>1279</v>
      </c>
      <c r="L1178" t="s">
        <v>1280</v>
      </c>
      <c r="M1178">
        <v>1473552000</v>
      </c>
      <c r="N1178" t="s">
        <v>1628</v>
      </c>
      <c r="O1178" t="s">
        <v>1628</v>
      </c>
      <c r="P1178">
        <v>14</v>
      </c>
      <c r="Q1178">
        <f>LEN(AMAZON_FASHION_5__2[[#This Row],[reviewText]])</f>
        <v>258</v>
      </c>
      <c r="R1178" t="str">
        <f>IF(AMAZON_FASHION_5__2[[#This Row],[overall]]&gt;=4,"Positive",IF(AMAZON_FASHION_5__2[[#This Row],[overall]]&lt;=2,"Negative","Neutral"))</f>
        <v>Negative</v>
      </c>
      <c r="S11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79" spans="1:19" x14ac:dyDescent="0.25">
      <c r="A1179">
        <v>5</v>
      </c>
      <c r="B1179" t="b">
        <v>1</v>
      </c>
      <c r="C1179" s="1">
        <v>42622</v>
      </c>
      <c r="D1179">
        <f>YEAR(AMAZON_FASHION_5__2[[#This Row],[reviewDate]])</f>
        <v>2016</v>
      </c>
      <c r="E1179" s="1" t="str">
        <f>TEXT(AMAZON_FASHION_5__2[[#This Row],[reviewDate]], "mmmm")</f>
        <v>September</v>
      </c>
      <c r="F1179" t="s">
        <v>1281</v>
      </c>
      <c r="G1179" t="s">
        <v>1456</v>
      </c>
      <c r="H1179" t="s">
        <v>230</v>
      </c>
      <c r="I1179" t="s">
        <v>198</v>
      </c>
      <c r="J1179" t="s">
        <v>1282</v>
      </c>
      <c r="K1179" t="s">
        <v>1283</v>
      </c>
      <c r="L1179" t="s">
        <v>17</v>
      </c>
      <c r="M1179">
        <v>1473379200</v>
      </c>
      <c r="N1179" t="s">
        <v>1628</v>
      </c>
      <c r="O1179" t="s">
        <v>1628</v>
      </c>
      <c r="P1179" t="s">
        <v>1628</v>
      </c>
      <c r="Q1179">
        <f>LEN(AMAZON_FASHION_5__2[[#This Row],[reviewText]])</f>
        <v>49</v>
      </c>
      <c r="R1179" t="str">
        <f>IF(AMAZON_FASHION_5__2[[#This Row],[overall]]&gt;=4,"Positive",IF(AMAZON_FASHION_5__2[[#This Row],[overall]]&lt;=2,"Negative","Neutral"))</f>
        <v>Positive</v>
      </c>
      <c r="S11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80" spans="1:19" x14ac:dyDescent="0.25">
      <c r="A1180">
        <v>4</v>
      </c>
      <c r="B1180" t="b">
        <v>1</v>
      </c>
      <c r="C1180" s="1">
        <v>42619</v>
      </c>
      <c r="D1180">
        <f>YEAR(AMAZON_FASHION_5__2[[#This Row],[reviewDate]])</f>
        <v>2016</v>
      </c>
      <c r="E1180" s="1" t="str">
        <f>TEXT(AMAZON_FASHION_5__2[[#This Row],[reviewDate]], "mmmm")</f>
        <v>September</v>
      </c>
      <c r="F1180" t="s">
        <v>1284</v>
      </c>
      <c r="G1180" t="s">
        <v>1456</v>
      </c>
      <c r="H1180" t="s">
        <v>210</v>
      </c>
      <c r="I1180" t="s">
        <v>198</v>
      </c>
      <c r="J1180" t="s">
        <v>1285</v>
      </c>
      <c r="K1180" t="s">
        <v>1286</v>
      </c>
      <c r="L1180" t="s">
        <v>1287</v>
      </c>
      <c r="M1180">
        <v>1473120000</v>
      </c>
      <c r="N1180" t="s">
        <v>1628</v>
      </c>
      <c r="O1180" t="s">
        <v>1628</v>
      </c>
      <c r="P1180">
        <v>2</v>
      </c>
      <c r="Q1180">
        <f>LEN(AMAZON_FASHION_5__2[[#This Row],[reviewText]])</f>
        <v>248</v>
      </c>
      <c r="R1180" t="str">
        <f>IF(AMAZON_FASHION_5__2[[#This Row],[overall]]&gt;=4,"Positive",IF(AMAZON_FASHION_5__2[[#This Row],[overall]]&lt;=2,"Negative","Neutral"))</f>
        <v>Positive</v>
      </c>
      <c r="S11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81" spans="1:19" x14ac:dyDescent="0.25">
      <c r="A1181">
        <v>4</v>
      </c>
      <c r="B1181" t="b">
        <v>1</v>
      </c>
      <c r="C1181" s="1">
        <v>42615</v>
      </c>
      <c r="D1181">
        <f>YEAR(AMAZON_FASHION_5__2[[#This Row],[reviewDate]])</f>
        <v>2016</v>
      </c>
      <c r="E1181" s="1" t="str">
        <f>TEXT(AMAZON_FASHION_5__2[[#This Row],[reviewDate]], "mmmm")</f>
        <v>September</v>
      </c>
      <c r="F1181" t="s">
        <v>1288</v>
      </c>
      <c r="G1181" t="s">
        <v>1456</v>
      </c>
      <c r="H1181" t="s">
        <v>235</v>
      </c>
      <c r="I1181" t="s">
        <v>493</v>
      </c>
      <c r="J1181" t="s">
        <v>63</v>
      </c>
      <c r="K1181" t="s">
        <v>1289</v>
      </c>
      <c r="L1181" t="s">
        <v>1290</v>
      </c>
      <c r="M1181">
        <v>1472774400</v>
      </c>
      <c r="N1181" t="s">
        <v>1628</v>
      </c>
      <c r="O1181" t="s">
        <v>1628</v>
      </c>
      <c r="P1181" t="s">
        <v>1628</v>
      </c>
      <c r="Q1181">
        <f>LEN(AMAZON_FASHION_5__2[[#This Row],[reviewText]])</f>
        <v>177</v>
      </c>
      <c r="R1181" t="str">
        <f>IF(AMAZON_FASHION_5__2[[#This Row],[overall]]&gt;=4,"Positive",IF(AMAZON_FASHION_5__2[[#This Row],[overall]]&lt;=2,"Negative","Neutral"))</f>
        <v>Positive</v>
      </c>
      <c r="S11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82" spans="1:19" x14ac:dyDescent="0.25">
      <c r="A1182">
        <v>5</v>
      </c>
      <c r="B1182" t="b">
        <v>1</v>
      </c>
      <c r="C1182" s="1">
        <v>42611</v>
      </c>
      <c r="D1182">
        <f>YEAR(AMAZON_FASHION_5__2[[#This Row],[reviewDate]])</f>
        <v>2016</v>
      </c>
      <c r="E1182" s="1" t="str">
        <f>TEXT(AMAZON_FASHION_5__2[[#This Row],[reviewDate]], "mmmm")</f>
        <v>August</v>
      </c>
      <c r="F1182" t="s">
        <v>1291</v>
      </c>
      <c r="G1182" t="s">
        <v>1456</v>
      </c>
      <c r="H1182" t="s">
        <v>205</v>
      </c>
      <c r="I1182" t="s">
        <v>198</v>
      </c>
      <c r="J1182" t="s">
        <v>63</v>
      </c>
      <c r="K1182" t="s">
        <v>1292</v>
      </c>
      <c r="L1182" t="s">
        <v>17</v>
      </c>
      <c r="M1182">
        <v>1472428800</v>
      </c>
      <c r="N1182" t="s">
        <v>1628</v>
      </c>
      <c r="O1182" t="s">
        <v>1628</v>
      </c>
      <c r="P1182" t="s">
        <v>1628</v>
      </c>
      <c r="Q1182">
        <f>LEN(AMAZON_FASHION_5__2[[#This Row],[reviewText]])</f>
        <v>13</v>
      </c>
      <c r="R1182" t="str">
        <f>IF(AMAZON_FASHION_5__2[[#This Row],[overall]]&gt;=4,"Positive",IF(AMAZON_FASHION_5__2[[#This Row],[overall]]&lt;=2,"Negative","Neutral"))</f>
        <v>Positive</v>
      </c>
      <c r="S11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83" spans="1:19" x14ac:dyDescent="0.25">
      <c r="A1183">
        <v>5</v>
      </c>
      <c r="B1183" t="b">
        <v>1</v>
      </c>
      <c r="C1183" s="1">
        <v>42609</v>
      </c>
      <c r="D1183">
        <f>YEAR(AMAZON_FASHION_5__2[[#This Row],[reviewDate]])</f>
        <v>2016</v>
      </c>
      <c r="E1183" s="1" t="str">
        <f>TEXT(AMAZON_FASHION_5__2[[#This Row],[reviewDate]], "mmmm")</f>
        <v>August</v>
      </c>
      <c r="F1183" t="s">
        <v>1293</v>
      </c>
      <c r="G1183" t="s">
        <v>1456</v>
      </c>
      <c r="H1183" t="s">
        <v>230</v>
      </c>
      <c r="I1183" t="s">
        <v>419</v>
      </c>
      <c r="J1183" t="s">
        <v>63</v>
      </c>
      <c r="K1183" t="s">
        <v>1294</v>
      </c>
      <c r="L1183" t="s">
        <v>17</v>
      </c>
      <c r="M1183">
        <v>1472256000</v>
      </c>
      <c r="N1183" t="s">
        <v>1628</v>
      </c>
      <c r="O1183" t="s">
        <v>1628</v>
      </c>
      <c r="P1183" t="s">
        <v>1628</v>
      </c>
      <c r="Q1183">
        <f>LEN(AMAZON_FASHION_5__2[[#This Row],[reviewText]])</f>
        <v>62</v>
      </c>
      <c r="R1183" t="str">
        <f>IF(AMAZON_FASHION_5__2[[#This Row],[overall]]&gt;=4,"Positive",IF(AMAZON_FASHION_5__2[[#This Row],[overall]]&lt;=2,"Negative","Neutral"))</f>
        <v>Positive</v>
      </c>
      <c r="S11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84" spans="1:19" x14ac:dyDescent="0.25">
      <c r="A1184">
        <v>5</v>
      </c>
      <c r="B1184" t="b">
        <v>1</v>
      </c>
      <c r="C1184" s="1">
        <v>42609</v>
      </c>
      <c r="D1184">
        <f>YEAR(AMAZON_FASHION_5__2[[#This Row],[reviewDate]])</f>
        <v>2016</v>
      </c>
      <c r="E1184" s="1" t="str">
        <f>TEXT(AMAZON_FASHION_5__2[[#This Row],[reviewDate]], "mmmm")</f>
        <v>August</v>
      </c>
      <c r="F1184" t="s">
        <v>1295</v>
      </c>
      <c r="G1184" t="s">
        <v>1456</v>
      </c>
      <c r="H1184" t="s">
        <v>477</v>
      </c>
      <c r="I1184" t="s">
        <v>198</v>
      </c>
      <c r="J1184" t="s">
        <v>63</v>
      </c>
      <c r="K1184" t="s">
        <v>1296</v>
      </c>
      <c r="L1184" t="s">
        <v>1297</v>
      </c>
      <c r="M1184">
        <v>1472256000</v>
      </c>
      <c r="N1184" t="s">
        <v>1628</v>
      </c>
      <c r="O1184" t="s">
        <v>1628</v>
      </c>
      <c r="P1184">
        <v>5</v>
      </c>
      <c r="Q1184">
        <f>LEN(AMAZON_FASHION_5__2[[#This Row],[reviewText]])</f>
        <v>112</v>
      </c>
      <c r="R1184" t="str">
        <f>IF(AMAZON_FASHION_5__2[[#This Row],[overall]]&gt;=4,"Positive",IF(AMAZON_FASHION_5__2[[#This Row],[overall]]&lt;=2,"Negative","Neutral"))</f>
        <v>Positive</v>
      </c>
      <c r="S11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85" spans="1:19" x14ac:dyDescent="0.25">
      <c r="A1185">
        <v>3</v>
      </c>
      <c r="B1185" t="b">
        <v>1</v>
      </c>
      <c r="C1185" s="1">
        <v>42608</v>
      </c>
      <c r="D1185">
        <f>YEAR(AMAZON_FASHION_5__2[[#This Row],[reviewDate]])</f>
        <v>2016</v>
      </c>
      <c r="E1185" s="1" t="str">
        <f>TEXT(AMAZON_FASHION_5__2[[#This Row],[reviewDate]], "mmmm")</f>
        <v>August</v>
      </c>
      <c r="F1185" t="s">
        <v>1298</v>
      </c>
      <c r="G1185" t="s">
        <v>1456</v>
      </c>
      <c r="H1185" t="s">
        <v>230</v>
      </c>
      <c r="I1185" t="s">
        <v>198</v>
      </c>
      <c r="J1185" t="s">
        <v>63</v>
      </c>
      <c r="K1185" t="s">
        <v>1299</v>
      </c>
      <c r="L1185" t="s">
        <v>1300</v>
      </c>
      <c r="M1185">
        <v>1472169600</v>
      </c>
      <c r="N1185" t="s">
        <v>1628</v>
      </c>
      <c r="O1185" t="s">
        <v>1628</v>
      </c>
      <c r="P1185">
        <v>2</v>
      </c>
      <c r="Q1185">
        <f>LEN(AMAZON_FASHION_5__2[[#This Row],[reviewText]])</f>
        <v>256</v>
      </c>
      <c r="R1185" t="str">
        <f>IF(AMAZON_FASHION_5__2[[#This Row],[overall]]&gt;=4,"Positive",IF(AMAZON_FASHION_5__2[[#This Row],[overall]]&lt;=2,"Negative","Neutral"))</f>
        <v>Neutral</v>
      </c>
      <c r="S11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86" spans="1:19" x14ac:dyDescent="0.25">
      <c r="A1186">
        <v>5</v>
      </c>
      <c r="B1186" t="b">
        <v>1</v>
      </c>
      <c r="C1186" s="1">
        <v>42605</v>
      </c>
      <c r="D1186">
        <f>YEAR(AMAZON_FASHION_5__2[[#This Row],[reviewDate]])</f>
        <v>2016</v>
      </c>
      <c r="E1186" s="1" t="str">
        <f>TEXT(AMAZON_FASHION_5__2[[#This Row],[reviewDate]], "mmmm")</f>
        <v>August</v>
      </c>
      <c r="F1186" t="s">
        <v>1301</v>
      </c>
      <c r="G1186" t="s">
        <v>1456</v>
      </c>
      <c r="H1186" t="s">
        <v>230</v>
      </c>
      <c r="I1186" t="s">
        <v>493</v>
      </c>
      <c r="J1186" t="s">
        <v>1302</v>
      </c>
      <c r="K1186" t="s">
        <v>1303</v>
      </c>
      <c r="L1186" t="s">
        <v>1304</v>
      </c>
      <c r="M1186">
        <v>1471910400</v>
      </c>
      <c r="N1186" t="s">
        <v>1628</v>
      </c>
      <c r="O1186" t="s">
        <v>1628</v>
      </c>
      <c r="P1186" t="s">
        <v>1628</v>
      </c>
      <c r="Q1186">
        <f>LEN(AMAZON_FASHION_5__2[[#This Row],[reviewText]])</f>
        <v>93</v>
      </c>
      <c r="R1186" t="str">
        <f>IF(AMAZON_FASHION_5__2[[#This Row],[overall]]&gt;=4,"Positive",IF(AMAZON_FASHION_5__2[[#This Row],[overall]]&lt;=2,"Negative","Neutral"))</f>
        <v>Positive</v>
      </c>
      <c r="S11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87" spans="1:19" x14ac:dyDescent="0.25">
      <c r="A1187">
        <v>5</v>
      </c>
      <c r="B1187" t="b">
        <v>1</v>
      </c>
      <c r="C1187" s="1">
        <v>42602</v>
      </c>
      <c r="D1187">
        <f>YEAR(AMAZON_FASHION_5__2[[#This Row],[reviewDate]])</f>
        <v>2016</v>
      </c>
      <c r="E1187" s="1" t="str">
        <f>TEXT(AMAZON_FASHION_5__2[[#This Row],[reviewDate]], "mmmm")</f>
        <v>August</v>
      </c>
      <c r="F1187" t="s">
        <v>1305</v>
      </c>
      <c r="G1187" t="s">
        <v>1456</v>
      </c>
      <c r="H1187" t="s">
        <v>205</v>
      </c>
      <c r="I1187" t="s">
        <v>198</v>
      </c>
      <c r="J1187" t="s">
        <v>1306</v>
      </c>
      <c r="K1187" t="s">
        <v>1307</v>
      </c>
      <c r="L1187" t="s">
        <v>1308</v>
      </c>
      <c r="M1187">
        <v>1471651200</v>
      </c>
      <c r="N1187" t="s">
        <v>1628</v>
      </c>
      <c r="O1187" t="s">
        <v>1628</v>
      </c>
      <c r="P1187" t="s">
        <v>1628</v>
      </c>
      <c r="Q1187">
        <f>LEN(AMAZON_FASHION_5__2[[#This Row],[reviewText]])</f>
        <v>1225</v>
      </c>
      <c r="R1187" t="str">
        <f>IF(AMAZON_FASHION_5__2[[#This Row],[overall]]&gt;=4,"Positive",IF(AMAZON_FASHION_5__2[[#This Row],[overall]]&lt;=2,"Negative","Neutral"))</f>
        <v>Positive</v>
      </c>
      <c r="S11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88" spans="1:19" x14ac:dyDescent="0.25">
      <c r="A1188">
        <v>5</v>
      </c>
      <c r="B1188" t="b">
        <v>1</v>
      </c>
      <c r="C1188" s="1">
        <v>42597</v>
      </c>
      <c r="D1188">
        <f>YEAR(AMAZON_FASHION_5__2[[#This Row],[reviewDate]])</f>
        <v>2016</v>
      </c>
      <c r="E1188" s="1" t="str">
        <f>TEXT(AMAZON_FASHION_5__2[[#This Row],[reviewDate]], "mmmm")</f>
        <v>August</v>
      </c>
      <c r="F1188" t="s">
        <v>1309</v>
      </c>
      <c r="G1188" t="s">
        <v>1456</v>
      </c>
      <c r="H1188" t="s">
        <v>320</v>
      </c>
      <c r="I1188" t="s">
        <v>198</v>
      </c>
      <c r="J1188" t="s">
        <v>1310</v>
      </c>
      <c r="K1188" t="s">
        <v>1311</v>
      </c>
      <c r="L1188" t="s">
        <v>1312</v>
      </c>
      <c r="M1188">
        <v>1471219200</v>
      </c>
      <c r="N1188" t="s">
        <v>1628</v>
      </c>
      <c r="O1188" t="s">
        <v>1628</v>
      </c>
      <c r="P1188" t="s">
        <v>1628</v>
      </c>
      <c r="Q1188">
        <f>LEN(AMAZON_FASHION_5__2[[#This Row],[reviewText]])</f>
        <v>246</v>
      </c>
      <c r="R1188" t="str">
        <f>IF(AMAZON_FASHION_5__2[[#This Row],[overall]]&gt;=4,"Positive",IF(AMAZON_FASHION_5__2[[#This Row],[overall]]&lt;=2,"Negative","Neutral"))</f>
        <v>Positive</v>
      </c>
      <c r="S11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89" spans="1:19" x14ac:dyDescent="0.25">
      <c r="A1189">
        <v>5</v>
      </c>
      <c r="B1189" t="b">
        <v>1</v>
      </c>
      <c r="C1189" s="1">
        <v>42597</v>
      </c>
      <c r="D1189">
        <f>YEAR(AMAZON_FASHION_5__2[[#This Row],[reviewDate]])</f>
        <v>2016</v>
      </c>
      <c r="E1189" s="1" t="str">
        <f>TEXT(AMAZON_FASHION_5__2[[#This Row],[reviewDate]], "mmmm")</f>
        <v>August</v>
      </c>
      <c r="F1189" t="s">
        <v>1313</v>
      </c>
      <c r="G1189" t="s">
        <v>1456</v>
      </c>
      <c r="H1189" t="s">
        <v>261</v>
      </c>
      <c r="I1189" t="s">
        <v>1455</v>
      </c>
      <c r="J1189" t="s">
        <v>1314</v>
      </c>
      <c r="K1189" t="s">
        <v>1315</v>
      </c>
      <c r="L1189" t="s">
        <v>17</v>
      </c>
      <c r="M1189">
        <v>1471219200</v>
      </c>
      <c r="N1189" t="s">
        <v>1628</v>
      </c>
      <c r="O1189" t="s">
        <v>1628</v>
      </c>
      <c r="P1189" t="s">
        <v>1628</v>
      </c>
      <c r="Q1189">
        <f>LEN(AMAZON_FASHION_5__2[[#This Row],[reviewText]])</f>
        <v>40</v>
      </c>
      <c r="R1189" t="str">
        <f>IF(AMAZON_FASHION_5__2[[#This Row],[overall]]&gt;=4,"Positive",IF(AMAZON_FASHION_5__2[[#This Row],[overall]]&lt;=2,"Negative","Neutral"))</f>
        <v>Positive</v>
      </c>
      <c r="S11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90" spans="1:19" x14ac:dyDescent="0.25">
      <c r="A1190">
        <v>5</v>
      </c>
      <c r="B1190" t="b">
        <v>1</v>
      </c>
      <c r="C1190" s="1">
        <v>42596</v>
      </c>
      <c r="D1190">
        <f>YEAR(AMAZON_FASHION_5__2[[#This Row],[reviewDate]])</f>
        <v>2016</v>
      </c>
      <c r="E1190" s="1" t="str">
        <f>TEXT(AMAZON_FASHION_5__2[[#This Row],[reviewDate]], "mmmm")</f>
        <v>August</v>
      </c>
      <c r="F1190" t="s">
        <v>1316</v>
      </c>
      <c r="G1190" t="s">
        <v>1456</v>
      </c>
      <c r="H1190" t="s">
        <v>235</v>
      </c>
      <c r="I1190" t="s">
        <v>849</v>
      </c>
      <c r="J1190" t="s">
        <v>1317</v>
      </c>
      <c r="K1190" t="s">
        <v>1318</v>
      </c>
      <c r="L1190" t="s">
        <v>1319</v>
      </c>
      <c r="M1190">
        <v>1471132800</v>
      </c>
      <c r="N1190" t="s">
        <v>1628</v>
      </c>
      <c r="O1190" t="s">
        <v>1628</v>
      </c>
      <c r="P1190" t="s">
        <v>1628</v>
      </c>
      <c r="Q1190">
        <f>LEN(AMAZON_FASHION_5__2[[#This Row],[reviewText]])</f>
        <v>224</v>
      </c>
      <c r="R1190" t="str">
        <f>IF(AMAZON_FASHION_5__2[[#This Row],[overall]]&gt;=4,"Positive",IF(AMAZON_FASHION_5__2[[#This Row],[overall]]&lt;=2,"Negative","Neutral"))</f>
        <v>Positive</v>
      </c>
      <c r="S11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91" spans="1:19" x14ac:dyDescent="0.25">
      <c r="A1191">
        <v>5</v>
      </c>
      <c r="B1191" t="b">
        <v>1</v>
      </c>
      <c r="C1191" s="1">
        <v>42590</v>
      </c>
      <c r="D1191">
        <f>YEAR(AMAZON_FASHION_5__2[[#This Row],[reviewDate]])</f>
        <v>2016</v>
      </c>
      <c r="E1191" s="1" t="str">
        <f>TEXT(AMAZON_FASHION_5__2[[#This Row],[reviewDate]], "mmmm")</f>
        <v>August</v>
      </c>
      <c r="F1191" t="s">
        <v>1320</v>
      </c>
      <c r="G1191" t="s">
        <v>1456</v>
      </c>
      <c r="H1191" t="s">
        <v>235</v>
      </c>
      <c r="I1191" t="s">
        <v>198</v>
      </c>
      <c r="J1191" t="s">
        <v>1321</v>
      </c>
      <c r="K1191" t="s">
        <v>1322</v>
      </c>
      <c r="L1191" t="s">
        <v>1323</v>
      </c>
      <c r="M1191">
        <v>1470614400</v>
      </c>
      <c r="N1191" t="s">
        <v>1628</v>
      </c>
      <c r="O1191" t="s">
        <v>1628</v>
      </c>
      <c r="P1191" t="s">
        <v>1628</v>
      </c>
      <c r="Q1191">
        <f>LEN(AMAZON_FASHION_5__2[[#This Row],[reviewText]])</f>
        <v>105</v>
      </c>
      <c r="R1191" t="str">
        <f>IF(AMAZON_FASHION_5__2[[#This Row],[overall]]&gt;=4,"Positive",IF(AMAZON_FASHION_5__2[[#This Row],[overall]]&lt;=2,"Negative","Neutral"))</f>
        <v>Positive</v>
      </c>
      <c r="S11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92" spans="1:19" x14ac:dyDescent="0.25">
      <c r="A1192">
        <v>3</v>
      </c>
      <c r="B1192" t="b">
        <v>1</v>
      </c>
      <c r="C1192" s="1">
        <v>42587</v>
      </c>
      <c r="D1192">
        <f>YEAR(AMAZON_FASHION_5__2[[#This Row],[reviewDate]])</f>
        <v>2016</v>
      </c>
      <c r="E1192" s="1" t="str">
        <f>TEXT(AMAZON_FASHION_5__2[[#This Row],[reviewDate]], "mmmm")</f>
        <v>August</v>
      </c>
      <c r="F1192" t="s">
        <v>1324</v>
      </c>
      <c r="G1192" t="s">
        <v>1456</v>
      </c>
      <c r="H1192" t="s">
        <v>205</v>
      </c>
      <c r="I1192" t="s">
        <v>198</v>
      </c>
      <c r="J1192" t="s">
        <v>1325</v>
      </c>
      <c r="K1192" t="s">
        <v>1326</v>
      </c>
      <c r="L1192" t="s">
        <v>1327</v>
      </c>
      <c r="M1192">
        <v>1470355200</v>
      </c>
      <c r="N1192" t="s">
        <v>1628</v>
      </c>
      <c r="O1192" t="s">
        <v>1628</v>
      </c>
      <c r="P1192">
        <v>2</v>
      </c>
      <c r="Q1192">
        <f>LEN(AMAZON_FASHION_5__2[[#This Row],[reviewText]])</f>
        <v>772</v>
      </c>
      <c r="R1192" t="str">
        <f>IF(AMAZON_FASHION_5__2[[#This Row],[overall]]&gt;=4,"Positive",IF(AMAZON_FASHION_5__2[[#This Row],[overall]]&lt;=2,"Negative","Neutral"))</f>
        <v>Neutral</v>
      </c>
      <c r="S11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93" spans="1:19" x14ac:dyDescent="0.25">
      <c r="A1193">
        <v>5</v>
      </c>
      <c r="B1193" t="b">
        <v>1</v>
      </c>
      <c r="C1193" s="1">
        <v>42578</v>
      </c>
      <c r="D1193">
        <f>YEAR(AMAZON_FASHION_5__2[[#This Row],[reviewDate]])</f>
        <v>2016</v>
      </c>
      <c r="E1193" s="1" t="str">
        <f>TEXT(AMAZON_FASHION_5__2[[#This Row],[reviewDate]], "mmmm")</f>
        <v>July</v>
      </c>
      <c r="F1193" t="s">
        <v>1328</v>
      </c>
      <c r="G1193" t="s">
        <v>1456</v>
      </c>
      <c r="H1193" t="s">
        <v>677</v>
      </c>
      <c r="I1193" t="s">
        <v>198</v>
      </c>
      <c r="J1193" t="s">
        <v>1329</v>
      </c>
      <c r="K1193" t="s">
        <v>1330</v>
      </c>
      <c r="L1193" t="s">
        <v>1331</v>
      </c>
      <c r="M1193">
        <v>1469577600</v>
      </c>
      <c r="N1193" t="s">
        <v>1628</v>
      </c>
      <c r="O1193" t="s">
        <v>1628</v>
      </c>
      <c r="P1193" t="s">
        <v>1628</v>
      </c>
      <c r="Q1193">
        <f>LEN(AMAZON_FASHION_5__2[[#This Row],[reviewText]])</f>
        <v>37</v>
      </c>
      <c r="R1193" t="str">
        <f>IF(AMAZON_FASHION_5__2[[#This Row],[overall]]&gt;=4,"Positive",IF(AMAZON_FASHION_5__2[[#This Row],[overall]]&lt;=2,"Negative","Neutral"))</f>
        <v>Positive</v>
      </c>
      <c r="S11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94" spans="1:19" x14ac:dyDescent="0.25">
      <c r="A1194">
        <v>5</v>
      </c>
      <c r="B1194" t="b">
        <v>0</v>
      </c>
      <c r="C1194" s="1">
        <v>42573</v>
      </c>
      <c r="D1194">
        <f>YEAR(AMAZON_FASHION_5__2[[#This Row],[reviewDate]])</f>
        <v>2016</v>
      </c>
      <c r="E1194" s="1" t="str">
        <f>TEXT(AMAZON_FASHION_5__2[[#This Row],[reviewDate]], "mmmm")</f>
        <v>July</v>
      </c>
      <c r="F1194" t="s">
        <v>1332</v>
      </c>
      <c r="G1194" t="s">
        <v>1456</v>
      </c>
      <c r="H1194" t="s">
        <v>205</v>
      </c>
      <c r="I1194" t="s">
        <v>344</v>
      </c>
      <c r="J1194" t="s">
        <v>1333</v>
      </c>
      <c r="K1194" t="s">
        <v>1334</v>
      </c>
      <c r="L1194" t="s">
        <v>543</v>
      </c>
      <c r="M1194">
        <v>1469145600</v>
      </c>
      <c r="N1194" t="s">
        <v>1628</v>
      </c>
      <c r="O1194" t="s">
        <v>1628</v>
      </c>
      <c r="P1194" t="s">
        <v>1628</v>
      </c>
      <c r="Q1194">
        <f>LEN(AMAZON_FASHION_5__2[[#This Row],[reviewText]])</f>
        <v>427</v>
      </c>
      <c r="R1194" t="str">
        <f>IF(AMAZON_FASHION_5__2[[#This Row],[overall]]&gt;=4,"Positive",IF(AMAZON_FASHION_5__2[[#This Row],[overall]]&lt;=2,"Negative","Neutral"))</f>
        <v>Positive</v>
      </c>
      <c r="S11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95" spans="1:19" x14ac:dyDescent="0.25">
      <c r="A1195">
        <v>3</v>
      </c>
      <c r="B1195" t="b">
        <v>1</v>
      </c>
      <c r="C1195" s="1">
        <v>42572</v>
      </c>
      <c r="D1195">
        <f>YEAR(AMAZON_FASHION_5__2[[#This Row],[reviewDate]])</f>
        <v>2016</v>
      </c>
      <c r="E1195" s="1" t="str">
        <f>TEXT(AMAZON_FASHION_5__2[[#This Row],[reviewDate]], "mmmm")</f>
        <v>July</v>
      </c>
      <c r="F1195" t="s">
        <v>1335</v>
      </c>
      <c r="G1195" t="s">
        <v>1456</v>
      </c>
      <c r="H1195" t="s">
        <v>477</v>
      </c>
      <c r="I1195" t="s">
        <v>198</v>
      </c>
      <c r="J1195" t="s">
        <v>1336</v>
      </c>
      <c r="K1195" t="s">
        <v>1337</v>
      </c>
      <c r="L1195" t="s">
        <v>1338</v>
      </c>
      <c r="M1195">
        <v>1469059200</v>
      </c>
      <c r="N1195" t="s">
        <v>1628</v>
      </c>
      <c r="O1195" t="s">
        <v>1628</v>
      </c>
      <c r="P1195" t="s">
        <v>1628</v>
      </c>
      <c r="Q1195">
        <f>LEN(AMAZON_FASHION_5__2[[#This Row],[reviewText]])</f>
        <v>50</v>
      </c>
      <c r="R1195" t="str">
        <f>IF(AMAZON_FASHION_5__2[[#This Row],[overall]]&gt;=4,"Positive",IF(AMAZON_FASHION_5__2[[#This Row],[overall]]&lt;=2,"Negative","Neutral"))</f>
        <v>Neutral</v>
      </c>
      <c r="S11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96" spans="1:19" x14ac:dyDescent="0.25">
      <c r="A1196">
        <v>5</v>
      </c>
      <c r="B1196" t="b">
        <v>1</v>
      </c>
      <c r="C1196" s="1">
        <v>42570</v>
      </c>
      <c r="D1196">
        <f>YEAR(AMAZON_FASHION_5__2[[#This Row],[reviewDate]])</f>
        <v>2016</v>
      </c>
      <c r="E1196" s="1" t="str">
        <f>TEXT(AMAZON_FASHION_5__2[[#This Row],[reviewDate]], "mmmm")</f>
        <v>July</v>
      </c>
      <c r="F1196" t="s">
        <v>1339</v>
      </c>
      <c r="G1196" t="s">
        <v>1456</v>
      </c>
      <c r="H1196" t="s">
        <v>205</v>
      </c>
      <c r="I1196" t="s">
        <v>198</v>
      </c>
      <c r="J1196" t="s">
        <v>1340</v>
      </c>
      <c r="K1196" t="s">
        <v>1341</v>
      </c>
      <c r="L1196" t="s">
        <v>17</v>
      </c>
      <c r="M1196">
        <v>1468886400</v>
      </c>
      <c r="N1196" t="s">
        <v>1628</v>
      </c>
      <c r="O1196" t="s">
        <v>1628</v>
      </c>
      <c r="P1196" t="s">
        <v>1628</v>
      </c>
      <c r="Q1196">
        <f>LEN(AMAZON_FASHION_5__2[[#This Row],[reviewText]])</f>
        <v>20</v>
      </c>
      <c r="R1196" t="str">
        <f>IF(AMAZON_FASHION_5__2[[#This Row],[overall]]&gt;=4,"Positive",IF(AMAZON_FASHION_5__2[[#This Row],[overall]]&lt;=2,"Negative","Neutral"))</f>
        <v>Positive</v>
      </c>
      <c r="S11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97" spans="1:19" x14ac:dyDescent="0.25">
      <c r="A1197">
        <v>5</v>
      </c>
      <c r="B1197" t="b">
        <v>1</v>
      </c>
      <c r="C1197" s="1">
        <v>42569</v>
      </c>
      <c r="D1197">
        <f>YEAR(AMAZON_FASHION_5__2[[#This Row],[reviewDate]])</f>
        <v>2016</v>
      </c>
      <c r="E1197" s="1" t="str">
        <f>TEXT(AMAZON_FASHION_5__2[[#This Row],[reviewDate]], "mmmm")</f>
        <v>July</v>
      </c>
      <c r="F1197" t="s">
        <v>1342</v>
      </c>
      <c r="G1197" t="s">
        <v>1456</v>
      </c>
      <c r="H1197" t="s">
        <v>230</v>
      </c>
      <c r="I1197" t="s">
        <v>211</v>
      </c>
      <c r="J1197" t="s">
        <v>1343</v>
      </c>
      <c r="K1197" t="s">
        <v>1344</v>
      </c>
      <c r="L1197" t="s">
        <v>1345</v>
      </c>
      <c r="M1197">
        <v>1468800000</v>
      </c>
      <c r="N1197" t="s">
        <v>1628</v>
      </c>
      <c r="O1197" t="s">
        <v>1628</v>
      </c>
      <c r="P1197" t="s">
        <v>1628</v>
      </c>
      <c r="Q1197">
        <f>LEN(AMAZON_FASHION_5__2[[#This Row],[reviewText]])</f>
        <v>306</v>
      </c>
      <c r="R1197" t="str">
        <f>IF(AMAZON_FASHION_5__2[[#This Row],[overall]]&gt;=4,"Positive",IF(AMAZON_FASHION_5__2[[#This Row],[overall]]&lt;=2,"Negative","Neutral"))</f>
        <v>Positive</v>
      </c>
      <c r="S11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98" spans="1:19" x14ac:dyDescent="0.25">
      <c r="A1198">
        <v>5</v>
      </c>
      <c r="B1198" t="b">
        <v>1</v>
      </c>
      <c r="C1198" s="1">
        <v>42564</v>
      </c>
      <c r="D1198">
        <f>YEAR(AMAZON_FASHION_5__2[[#This Row],[reviewDate]])</f>
        <v>2016</v>
      </c>
      <c r="E1198" s="1" t="str">
        <f>TEXT(AMAZON_FASHION_5__2[[#This Row],[reviewDate]], "mmmm")</f>
        <v>July</v>
      </c>
      <c r="F1198" t="s">
        <v>1346</v>
      </c>
      <c r="G1198" t="s">
        <v>1456</v>
      </c>
      <c r="H1198" t="s">
        <v>210</v>
      </c>
      <c r="I1198" t="s">
        <v>198</v>
      </c>
      <c r="J1198" t="s">
        <v>1347</v>
      </c>
      <c r="K1198" t="s">
        <v>1348</v>
      </c>
      <c r="L1198" t="s">
        <v>1349</v>
      </c>
      <c r="M1198">
        <v>1468368000</v>
      </c>
      <c r="N1198" t="s">
        <v>1628</v>
      </c>
      <c r="O1198" t="s">
        <v>1628</v>
      </c>
      <c r="P1198" t="s">
        <v>1628</v>
      </c>
      <c r="Q1198">
        <f>LEN(AMAZON_FASHION_5__2[[#This Row],[reviewText]])</f>
        <v>188</v>
      </c>
      <c r="R1198" t="str">
        <f>IF(AMAZON_FASHION_5__2[[#This Row],[overall]]&gt;=4,"Positive",IF(AMAZON_FASHION_5__2[[#This Row],[overall]]&lt;=2,"Negative","Neutral"))</f>
        <v>Positive</v>
      </c>
      <c r="S11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199" spans="1:19" x14ac:dyDescent="0.25">
      <c r="A1199">
        <v>5</v>
      </c>
      <c r="B1199" t="b">
        <v>1</v>
      </c>
      <c r="C1199" s="1">
        <v>42552</v>
      </c>
      <c r="D1199">
        <f>YEAR(AMAZON_FASHION_5__2[[#This Row],[reviewDate]])</f>
        <v>2016</v>
      </c>
      <c r="E1199" s="1" t="str">
        <f>TEXT(AMAZON_FASHION_5__2[[#This Row],[reviewDate]], "mmmm")</f>
        <v>July</v>
      </c>
      <c r="F1199" t="s">
        <v>1350</v>
      </c>
      <c r="G1199" t="s">
        <v>1456</v>
      </c>
      <c r="H1199" t="s">
        <v>320</v>
      </c>
      <c r="I1199" t="s">
        <v>198</v>
      </c>
      <c r="J1199" t="s">
        <v>63</v>
      </c>
      <c r="K1199" t="s">
        <v>1351</v>
      </c>
      <c r="L1199" t="s">
        <v>1352</v>
      </c>
      <c r="M1199">
        <v>1467331200</v>
      </c>
      <c r="N1199" t="s">
        <v>1628</v>
      </c>
      <c r="O1199" t="s">
        <v>1628</v>
      </c>
      <c r="P1199" t="s">
        <v>1628</v>
      </c>
      <c r="Q1199">
        <f>LEN(AMAZON_FASHION_5__2[[#This Row],[reviewText]])</f>
        <v>62</v>
      </c>
      <c r="R1199" t="str">
        <f>IF(AMAZON_FASHION_5__2[[#This Row],[overall]]&gt;=4,"Positive",IF(AMAZON_FASHION_5__2[[#This Row],[overall]]&lt;=2,"Negative","Neutral"))</f>
        <v>Positive</v>
      </c>
      <c r="S11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00" spans="1:19" x14ac:dyDescent="0.25">
      <c r="A1200">
        <v>5</v>
      </c>
      <c r="B1200" t="b">
        <v>1</v>
      </c>
      <c r="C1200" s="1">
        <v>42552</v>
      </c>
      <c r="D1200">
        <f>YEAR(AMAZON_FASHION_5__2[[#This Row],[reviewDate]])</f>
        <v>2016</v>
      </c>
      <c r="E1200" s="1" t="str">
        <f>TEXT(AMAZON_FASHION_5__2[[#This Row],[reviewDate]], "mmmm")</f>
        <v>July</v>
      </c>
      <c r="F1200" t="s">
        <v>1353</v>
      </c>
      <c r="G1200" t="s">
        <v>1456</v>
      </c>
      <c r="H1200" t="s">
        <v>205</v>
      </c>
      <c r="I1200" t="s">
        <v>493</v>
      </c>
      <c r="J1200" t="s">
        <v>1354</v>
      </c>
      <c r="K1200" t="s">
        <v>1355</v>
      </c>
      <c r="L1200" t="s">
        <v>1356</v>
      </c>
      <c r="M1200">
        <v>1467331200</v>
      </c>
      <c r="N1200" t="s">
        <v>1628</v>
      </c>
      <c r="O1200" t="s">
        <v>1628</v>
      </c>
      <c r="P1200">
        <v>5</v>
      </c>
      <c r="Q1200">
        <f>LEN(AMAZON_FASHION_5__2[[#This Row],[reviewText]])</f>
        <v>378</v>
      </c>
      <c r="R1200" t="str">
        <f>IF(AMAZON_FASHION_5__2[[#This Row],[overall]]&gt;=4,"Positive",IF(AMAZON_FASHION_5__2[[#This Row],[overall]]&lt;=2,"Negative","Neutral"))</f>
        <v>Positive</v>
      </c>
      <c r="S12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01" spans="1:19" x14ac:dyDescent="0.25">
      <c r="A1201">
        <v>5</v>
      </c>
      <c r="B1201" t="b">
        <v>1</v>
      </c>
      <c r="C1201" s="1">
        <v>42549</v>
      </c>
      <c r="D1201">
        <f>YEAR(AMAZON_FASHION_5__2[[#This Row],[reviewDate]])</f>
        <v>2016</v>
      </c>
      <c r="E1201" s="1" t="str">
        <f>TEXT(AMAZON_FASHION_5__2[[#This Row],[reviewDate]], "mmmm")</f>
        <v>June</v>
      </c>
      <c r="F1201" t="s">
        <v>1357</v>
      </c>
      <c r="G1201" t="s">
        <v>1456</v>
      </c>
      <c r="H1201" t="s">
        <v>201</v>
      </c>
      <c r="I1201" t="s">
        <v>198</v>
      </c>
      <c r="J1201" t="s">
        <v>1358</v>
      </c>
      <c r="K1201" t="s">
        <v>1359</v>
      </c>
      <c r="L1201" t="s">
        <v>1360</v>
      </c>
      <c r="M1201">
        <v>1467072000</v>
      </c>
      <c r="N1201" t="s">
        <v>1628</v>
      </c>
      <c r="O1201" t="s">
        <v>1628</v>
      </c>
      <c r="P1201">
        <v>7</v>
      </c>
      <c r="Q1201">
        <f>LEN(AMAZON_FASHION_5__2[[#This Row],[reviewText]])</f>
        <v>288</v>
      </c>
      <c r="R1201" t="str">
        <f>IF(AMAZON_FASHION_5__2[[#This Row],[overall]]&gt;=4,"Positive",IF(AMAZON_FASHION_5__2[[#This Row],[overall]]&lt;=2,"Negative","Neutral"))</f>
        <v>Positive</v>
      </c>
      <c r="S12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02" spans="1:19" x14ac:dyDescent="0.25">
      <c r="A1202">
        <v>5</v>
      </c>
      <c r="B1202" t="b">
        <v>1</v>
      </c>
      <c r="C1202" s="1">
        <v>42546</v>
      </c>
      <c r="D1202">
        <f>YEAR(AMAZON_FASHION_5__2[[#This Row],[reviewDate]])</f>
        <v>2016</v>
      </c>
      <c r="E1202" s="1" t="str">
        <f>TEXT(AMAZON_FASHION_5__2[[#This Row],[reviewDate]], "mmmm")</f>
        <v>June</v>
      </c>
      <c r="F1202" t="s">
        <v>1361</v>
      </c>
      <c r="G1202" t="s">
        <v>1456</v>
      </c>
      <c r="H1202" t="s">
        <v>205</v>
      </c>
      <c r="I1202" t="s">
        <v>849</v>
      </c>
      <c r="J1202" t="s">
        <v>1362</v>
      </c>
      <c r="K1202" t="s">
        <v>1363</v>
      </c>
      <c r="L1202" t="s">
        <v>17</v>
      </c>
      <c r="M1202">
        <v>1466812800</v>
      </c>
      <c r="N1202" t="s">
        <v>1628</v>
      </c>
      <c r="O1202" t="s">
        <v>1628</v>
      </c>
      <c r="P1202" t="s">
        <v>1628</v>
      </c>
      <c r="Q1202">
        <f>LEN(AMAZON_FASHION_5__2[[#This Row],[reviewText]])</f>
        <v>60</v>
      </c>
      <c r="R1202" t="str">
        <f>IF(AMAZON_FASHION_5__2[[#This Row],[overall]]&gt;=4,"Positive",IF(AMAZON_FASHION_5__2[[#This Row],[overall]]&lt;=2,"Negative","Neutral"))</f>
        <v>Positive</v>
      </c>
      <c r="S12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03" spans="1:19" x14ac:dyDescent="0.25">
      <c r="A1203">
        <v>3</v>
      </c>
      <c r="B1203" t="b">
        <v>1</v>
      </c>
      <c r="C1203" s="1">
        <v>42542</v>
      </c>
      <c r="D1203">
        <f>YEAR(AMAZON_FASHION_5__2[[#This Row],[reviewDate]])</f>
        <v>2016</v>
      </c>
      <c r="E1203" s="1" t="str">
        <f>TEXT(AMAZON_FASHION_5__2[[#This Row],[reviewDate]], "mmmm")</f>
        <v>June</v>
      </c>
      <c r="F1203" t="s">
        <v>1364</v>
      </c>
      <c r="G1203" t="s">
        <v>1456</v>
      </c>
      <c r="H1203" t="s">
        <v>477</v>
      </c>
      <c r="I1203" t="s">
        <v>211</v>
      </c>
      <c r="J1203" t="s">
        <v>63</v>
      </c>
      <c r="K1203" t="s">
        <v>1365</v>
      </c>
      <c r="L1203" t="s">
        <v>1366</v>
      </c>
      <c r="M1203">
        <v>1466467200</v>
      </c>
      <c r="N1203" t="s">
        <v>1628</v>
      </c>
      <c r="O1203" t="s">
        <v>1628</v>
      </c>
      <c r="P1203">
        <v>2</v>
      </c>
      <c r="Q1203">
        <f>LEN(AMAZON_FASHION_5__2[[#This Row],[reviewText]])</f>
        <v>236</v>
      </c>
      <c r="R1203" t="str">
        <f>IF(AMAZON_FASHION_5__2[[#This Row],[overall]]&gt;=4,"Positive",IF(AMAZON_FASHION_5__2[[#This Row],[overall]]&lt;=2,"Negative","Neutral"))</f>
        <v>Neutral</v>
      </c>
      <c r="S12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04" spans="1:19" x14ac:dyDescent="0.25">
      <c r="A1204">
        <v>5</v>
      </c>
      <c r="B1204" t="b">
        <v>1</v>
      </c>
      <c r="C1204" s="1">
        <v>42540</v>
      </c>
      <c r="D1204">
        <f>YEAR(AMAZON_FASHION_5__2[[#This Row],[reviewDate]])</f>
        <v>2016</v>
      </c>
      <c r="E1204" s="1" t="str">
        <f>TEXT(AMAZON_FASHION_5__2[[#This Row],[reviewDate]], "mmmm")</f>
        <v>June</v>
      </c>
      <c r="F1204" t="s">
        <v>1367</v>
      </c>
      <c r="G1204" t="s">
        <v>1456</v>
      </c>
      <c r="H1204" t="s">
        <v>230</v>
      </c>
      <c r="I1204" t="s">
        <v>198</v>
      </c>
      <c r="J1204" t="s">
        <v>1368</v>
      </c>
      <c r="K1204" t="s">
        <v>1369</v>
      </c>
      <c r="L1204" t="s">
        <v>480</v>
      </c>
      <c r="M1204">
        <v>1466294400</v>
      </c>
      <c r="N1204" t="s">
        <v>1628</v>
      </c>
      <c r="O1204" t="s">
        <v>1628</v>
      </c>
      <c r="P1204">
        <v>3</v>
      </c>
      <c r="Q1204">
        <f>LEN(AMAZON_FASHION_5__2[[#This Row],[reviewText]])</f>
        <v>308</v>
      </c>
      <c r="R1204" t="str">
        <f>IF(AMAZON_FASHION_5__2[[#This Row],[overall]]&gt;=4,"Positive",IF(AMAZON_FASHION_5__2[[#This Row],[overall]]&lt;=2,"Negative","Neutral"))</f>
        <v>Positive</v>
      </c>
      <c r="S12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05" spans="1:19" x14ac:dyDescent="0.25">
      <c r="A1205">
        <v>5</v>
      </c>
      <c r="B1205" t="b">
        <v>0</v>
      </c>
      <c r="C1205" s="1">
        <v>42537</v>
      </c>
      <c r="D1205">
        <f>YEAR(AMAZON_FASHION_5__2[[#This Row],[reviewDate]])</f>
        <v>2016</v>
      </c>
      <c r="E1205" s="1" t="str">
        <f>TEXT(AMAZON_FASHION_5__2[[#This Row],[reviewDate]], "mmmm")</f>
        <v>June</v>
      </c>
      <c r="F1205" t="s">
        <v>1370</v>
      </c>
      <c r="G1205" t="s">
        <v>1456</v>
      </c>
      <c r="H1205" t="s">
        <v>230</v>
      </c>
      <c r="I1205" t="s">
        <v>236</v>
      </c>
      <c r="J1205" t="s">
        <v>63</v>
      </c>
      <c r="K1205" t="s">
        <v>1371</v>
      </c>
      <c r="L1205" t="s">
        <v>1372</v>
      </c>
      <c r="M1205">
        <v>1466035200</v>
      </c>
      <c r="N1205" t="s">
        <v>1628</v>
      </c>
      <c r="O1205" t="s">
        <v>1628</v>
      </c>
      <c r="P1205">
        <v>3</v>
      </c>
      <c r="Q1205">
        <f>LEN(AMAZON_FASHION_5__2[[#This Row],[reviewText]])</f>
        <v>370</v>
      </c>
      <c r="R1205" t="str">
        <f>IF(AMAZON_FASHION_5__2[[#This Row],[overall]]&gt;=4,"Positive",IF(AMAZON_FASHION_5__2[[#This Row],[overall]]&lt;=2,"Negative","Neutral"))</f>
        <v>Positive</v>
      </c>
      <c r="S12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06" spans="1:19" x14ac:dyDescent="0.25">
      <c r="A1206">
        <v>5</v>
      </c>
      <c r="B1206" t="b">
        <v>1</v>
      </c>
      <c r="C1206" s="1">
        <v>42531</v>
      </c>
      <c r="D1206">
        <f>YEAR(AMAZON_FASHION_5__2[[#This Row],[reviewDate]])</f>
        <v>2016</v>
      </c>
      <c r="E1206" s="1" t="str">
        <f>TEXT(AMAZON_FASHION_5__2[[#This Row],[reviewDate]], "mmmm")</f>
        <v>June</v>
      </c>
      <c r="F1206" t="s">
        <v>1373</v>
      </c>
      <c r="G1206" t="s">
        <v>1456</v>
      </c>
      <c r="H1206" t="s">
        <v>558</v>
      </c>
      <c r="I1206" t="s">
        <v>198</v>
      </c>
      <c r="J1206" t="s">
        <v>1374</v>
      </c>
      <c r="K1206" t="s">
        <v>1375</v>
      </c>
      <c r="L1206" t="s">
        <v>1376</v>
      </c>
      <c r="M1206">
        <v>1465516800</v>
      </c>
      <c r="N1206" t="s">
        <v>1628</v>
      </c>
      <c r="O1206" t="s">
        <v>1628</v>
      </c>
      <c r="P1206">
        <v>10</v>
      </c>
      <c r="Q1206">
        <f>LEN(AMAZON_FASHION_5__2[[#This Row],[reviewText]])</f>
        <v>204</v>
      </c>
      <c r="R1206" t="str">
        <f>IF(AMAZON_FASHION_5__2[[#This Row],[overall]]&gt;=4,"Positive",IF(AMAZON_FASHION_5__2[[#This Row],[overall]]&lt;=2,"Negative","Neutral"))</f>
        <v>Positive</v>
      </c>
      <c r="S12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07" spans="1:19" x14ac:dyDescent="0.25">
      <c r="A1207">
        <v>5</v>
      </c>
      <c r="B1207" t="b">
        <v>1</v>
      </c>
      <c r="C1207" s="1">
        <v>42526</v>
      </c>
      <c r="D1207">
        <f>YEAR(AMAZON_FASHION_5__2[[#This Row],[reviewDate]])</f>
        <v>2016</v>
      </c>
      <c r="E1207" s="1" t="str">
        <f>TEXT(AMAZON_FASHION_5__2[[#This Row],[reviewDate]], "mmmm")</f>
        <v>June</v>
      </c>
      <c r="F1207" t="s">
        <v>1377</v>
      </c>
      <c r="G1207" t="s">
        <v>1456</v>
      </c>
      <c r="H1207" t="s">
        <v>197</v>
      </c>
      <c r="I1207" t="s">
        <v>198</v>
      </c>
      <c r="J1207" t="s">
        <v>1378</v>
      </c>
      <c r="K1207" t="s">
        <v>1379</v>
      </c>
      <c r="L1207" t="s">
        <v>17</v>
      </c>
      <c r="M1207">
        <v>1465084800</v>
      </c>
      <c r="N1207" t="s">
        <v>1628</v>
      </c>
      <c r="O1207" t="s">
        <v>1628</v>
      </c>
      <c r="P1207" t="s">
        <v>1628</v>
      </c>
      <c r="Q1207">
        <f>LEN(AMAZON_FASHION_5__2[[#This Row],[reviewText]])</f>
        <v>9</v>
      </c>
      <c r="R1207" t="str">
        <f>IF(AMAZON_FASHION_5__2[[#This Row],[overall]]&gt;=4,"Positive",IF(AMAZON_FASHION_5__2[[#This Row],[overall]]&lt;=2,"Negative","Neutral"))</f>
        <v>Positive</v>
      </c>
      <c r="S12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08" spans="1:19" x14ac:dyDescent="0.25">
      <c r="A1208">
        <v>5</v>
      </c>
      <c r="B1208" t="b">
        <v>1</v>
      </c>
      <c r="C1208" s="1">
        <v>42523</v>
      </c>
      <c r="D1208">
        <f>YEAR(AMAZON_FASHION_5__2[[#This Row],[reviewDate]])</f>
        <v>2016</v>
      </c>
      <c r="E1208" s="1" t="str">
        <f>TEXT(AMAZON_FASHION_5__2[[#This Row],[reviewDate]], "mmmm")</f>
        <v>June</v>
      </c>
      <c r="F1208" t="s">
        <v>1380</v>
      </c>
      <c r="G1208" t="s">
        <v>1456</v>
      </c>
      <c r="H1208" t="s">
        <v>197</v>
      </c>
      <c r="I1208" t="s">
        <v>493</v>
      </c>
      <c r="J1208" t="s">
        <v>1381</v>
      </c>
      <c r="K1208" t="s">
        <v>1382</v>
      </c>
      <c r="L1208" t="s">
        <v>1383</v>
      </c>
      <c r="M1208">
        <v>1464825600</v>
      </c>
      <c r="N1208" t="s">
        <v>1628</v>
      </c>
      <c r="O1208" t="s">
        <v>1628</v>
      </c>
      <c r="P1208" t="s">
        <v>1628</v>
      </c>
      <c r="Q1208">
        <f>LEN(AMAZON_FASHION_5__2[[#This Row],[reviewText]])</f>
        <v>237</v>
      </c>
      <c r="R1208" t="str">
        <f>IF(AMAZON_FASHION_5__2[[#This Row],[overall]]&gt;=4,"Positive",IF(AMAZON_FASHION_5__2[[#This Row],[overall]]&lt;=2,"Negative","Neutral"))</f>
        <v>Positive</v>
      </c>
      <c r="S12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09" spans="1:19" x14ac:dyDescent="0.25">
      <c r="A1209">
        <v>5</v>
      </c>
      <c r="B1209" t="b">
        <v>1</v>
      </c>
      <c r="C1209" s="1">
        <v>42519</v>
      </c>
      <c r="D1209">
        <f>YEAR(AMAZON_FASHION_5__2[[#This Row],[reviewDate]])</f>
        <v>2016</v>
      </c>
      <c r="E1209" s="1" t="str">
        <f>TEXT(AMAZON_FASHION_5__2[[#This Row],[reviewDate]], "mmmm")</f>
        <v>May</v>
      </c>
      <c r="F1209" t="s">
        <v>1384</v>
      </c>
      <c r="G1209" t="s">
        <v>1456</v>
      </c>
      <c r="H1209" t="s">
        <v>210</v>
      </c>
      <c r="I1209" t="s">
        <v>211</v>
      </c>
      <c r="J1209" t="s">
        <v>1385</v>
      </c>
      <c r="K1209" t="s">
        <v>1386</v>
      </c>
      <c r="L1209" t="s">
        <v>17</v>
      </c>
      <c r="M1209">
        <v>1464480000</v>
      </c>
      <c r="N1209" t="s">
        <v>1628</v>
      </c>
      <c r="O1209" t="s">
        <v>1628</v>
      </c>
      <c r="P1209" t="s">
        <v>1628</v>
      </c>
      <c r="Q1209">
        <f>LEN(AMAZON_FASHION_5__2[[#This Row],[reviewText]])</f>
        <v>11</v>
      </c>
      <c r="R1209" t="str">
        <f>IF(AMAZON_FASHION_5__2[[#This Row],[overall]]&gt;=4,"Positive",IF(AMAZON_FASHION_5__2[[#This Row],[overall]]&lt;=2,"Negative","Neutral"))</f>
        <v>Positive</v>
      </c>
      <c r="S12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10" spans="1:19" x14ac:dyDescent="0.25">
      <c r="A1210">
        <v>5</v>
      </c>
      <c r="B1210" t="b">
        <v>1</v>
      </c>
      <c r="C1210" s="1">
        <v>42518</v>
      </c>
      <c r="D1210">
        <f>YEAR(AMAZON_FASHION_5__2[[#This Row],[reviewDate]])</f>
        <v>2016</v>
      </c>
      <c r="E1210" s="1" t="str">
        <f>TEXT(AMAZON_FASHION_5__2[[#This Row],[reviewDate]], "mmmm")</f>
        <v>May</v>
      </c>
      <c r="F1210" t="s">
        <v>1387</v>
      </c>
      <c r="G1210" t="s">
        <v>1456</v>
      </c>
      <c r="H1210" t="s">
        <v>1388</v>
      </c>
      <c r="I1210" t="s">
        <v>217</v>
      </c>
      <c r="J1210" t="s">
        <v>63</v>
      </c>
      <c r="K1210" t="s">
        <v>638</v>
      </c>
      <c r="L1210" t="s">
        <v>17</v>
      </c>
      <c r="M1210">
        <v>1464393600</v>
      </c>
      <c r="N1210" t="s">
        <v>1628</v>
      </c>
      <c r="O1210" t="s">
        <v>1628</v>
      </c>
      <c r="P1210" t="s">
        <v>1628</v>
      </c>
      <c r="Q1210">
        <f>LEN(AMAZON_FASHION_5__2[[#This Row],[reviewText]])</f>
        <v>7</v>
      </c>
      <c r="R1210" t="str">
        <f>IF(AMAZON_FASHION_5__2[[#This Row],[overall]]&gt;=4,"Positive",IF(AMAZON_FASHION_5__2[[#This Row],[overall]]&lt;=2,"Negative","Neutral"))</f>
        <v>Positive</v>
      </c>
      <c r="S12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11" spans="1:19" x14ac:dyDescent="0.25">
      <c r="A1211">
        <v>5</v>
      </c>
      <c r="B1211" t="b">
        <v>0</v>
      </c>
      <c r="C1211" s="1">
        <v>42514</v>
      </c>
      <c r="D1211">
        <f>YEAR(AMAZON_FASHION_5__2[[#This Row],[reviewDate]])</f>
        <v>2016</v>
      </c>
      <c r="E1211" s="1" t="str">
        <f>TEXT(AMAZON_FASHION_5__2[[#This Row],[reviewDate]], "mmmm")</f>
        <v>May</v>
      </c>
      <c r="F1211" t="s">
        <v>1389</v>
      </c>
      <c r="G1211" t="s">
        <v>1456</v>
      </c>
      <c r="H1211" t="s">
        <v>1628</v>
      </c>
      <c r="I1211" t="s">
        <v>1628</v>
      </c>
      <c r="J1211" t="s">
        <v>1390</v>
      </c>
      <c r="K1211" t="s">
        <v>1391</v>
      </c>
      <c r="L1211" t="s">
        <v>1392</v>
      </c>
      <c r="M1211">
        <v>1464048000</v>
      </c>
      <c r="N1211" t="s">
        <v>1628</v>
      </c>
      <c r="O1211" t="s">
        <v>1628</v>
      </c>
      <c r="P1211">
        <v>8</v>
      </c>
      <c r="Q1211">
        <f>LEN(AMAZON_FASHION_5__2[[#This Row],[reviewText]])</f>
        <v>629</v>
      </c>
      <c r="R1211" t="str">
        <f>IF(AMAZON_FASHION_5__2[[#This Row],[overall]]&gt;=4,"Positive",IF(AMAZON_FASHION_5__2[[#This Row],[overall]]&lt;=2,"Negative","Neutral"))</f>
        <v>Positive</v>
      </c>
      <c r="S12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12" spans="1:19" x14ac:dyDescent="0.25">
      <c r="A1212">
        <v>4</v>
      </c>
      <c r="B1212" t="b">
        <v>1</v>
      </c>
      <c r="C1212" s="1">
        <v>42514</v>
      </c>
      <c r="D1212">
        <f>YEAR(AMAZON_FASHION_5__2[[#This Row],[reviewDate]])</f>
        <v>2016</v>
      </c>
      <c r="E1212" s="1" t="str">
        <f>TEXT(AMAZON_FASHION_5__2[[#This Row],[reviewDate]], "mmmm")</f>
        <v>May</v>
      </c>
      <c r="F1212" t="s">
        <v>1393</v>
      </c>
      <c r="G1212" t="s">
        <v>1456</v>
      </c>
      <c r="H1212" t="s">
        <v>230</v>
      </c>
      <c r="I1212" t="s">
        <v>211</v>
      </c>
      <c r="J1212" t="s">
        <v>1394</v>
      </c>
      <c r="K1212" t="s">
        <v>1395</v>
      </c>
      <c r="L1212" t="s">
        <v>1396</v>
      </c>
      <c r="M1212">
        <v>1464048000</v>
      </c>
      <c r="N1212" t="s">
        <v>1628</v>
      </c>
      <c r="O1212" t="s">
        <v>1628</v>
      </c>
      <c r="P1212" t="s">
        <v>1628</v>
      </c>
      <c r="Q1212">
        <f>LEN(AMAZON_FASHION_5__2[[#This Row],[reviewText]])</f>
        <v>148</v>
      </c>
      <c r="R1212" t="str">
        <f>IF(AMAZON_FASHION_5__2[[#This Row],[overall]]&gt;=4,"Positive",IF(AMAZON_FASHION_5__2[[#This Row],[overall]]&lt;=2,"Negative","Neutral"))</f>
        <v>Positive</v>
      </c>
      <c r="S12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13" spans="1:19" x14ac:dyDescent="0.25">
      <c r="A1213">
        <v>5</v>
      </c>
      <c r="B1213" t="b">
        <v>1</v>
      </c>
      <c r="C1213" s="1">
        <v>42510</v>
      </c>
      <c r="D1213">
        <f>YEAR(AMAZON_FASHION_5__2[[#This Row],[reviewDate]])</f>
        <v>2016</v>
      </c>
      <c r="E1213" s="1" t="str">
        <f>TEXT(AMAZON_FASHION_5__2[[#This Row],[reviewDate]], "mmmm")</f>
        <v>May</v>
      </c>
      <c r="F1213" t="s">
        <v>1397</v>
      </c>
      <c r="G1213" t="s">
        <v>1456</v>
      </c>
      <c r="H1213" t="s">
        <v>320</v>
      </c>
      <c r="I1213" t="s">
        <v>198</v>
      </c>
      <c r="J1213" t="s">
        <v>1398</v>
      </c>
      <c r="K1213" t="s">
        <v>940</v>
      </c>
      <c r="L1213" t="s">
        <v>17</v>
      </c>
      <c r="M1213">
        <v>1463702400</v>
      </c>
      <c r="N1213" t="s">
        <v>1628</v>
      </c>
      <c r="O1213" t="s">
        <v>1628</v>
      </c>
      <c r="P1213" t="s">
        <v>1628</v>
      </c>
      <c r="Q1213">
        <f>LEN(AMAZON_FASHION_5__2[[#This Row],[reviewText]])</f>
        <v>10</v>
      </c>
      <c r="R1213" t="str">
        <f>IF(AMAZON_FASHION_5__2[[#This Row],[overall]]&gt;=4,"Positive",IF(AMAZON_FASHION_5__2[[#This Row],[overall]]&lt;=2,"Negative","Neutral"))</f>
        <v>Positive</v>
      </c>
      <c r="S12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14" spans="1:19" x14ac:dyDescent="0.25">
      <c r="A1214">
        <v>5</v>
      </c>
      <c r="B1214" t="b">
        <v>0</v>
      </c>
      <c r="C1214" s="1">
        <v>42508</v>
      </c>
      <c r="D1214">
        <f>YEAR(AMAZON_FASHION_5__2[[#This Row],[reviewDate]])</f>
        <v>2016</v>
      </c>
      <c r="E1214" s="1" t="str">
        <f>TEXT(AMAZON_FASHION_5__2[[#This Row],[reviewDate]], "mmmm")</f>
        <v>May</v>
      </c>
      <c r="F1214" t="s">
        <v>1399</v>
      </c>
      <c r="G1214" t="s">
        <v>1456</v>
      </c>
      <c r="H1214" t="s">
        <v>210</v>
      </c>
      <c r="I1214" t="s">
        <v>524</v>
      </c>
      <c r="J1214" t="s">
        <v>1400</v>
      </c>
      <c r="K1214" t="s">
        <v>1401</v>
      </c>
      <c r="L1214" t="s">
        <v>1402</v>
      </c>
      <c r="M1214">
        <v>1463529600</v>
      </c>
      <c r="N1214" t="s">
        <v>1628</v>
      </c>
      <c r="O1214" t="s">
        <v>1628</v>
      </c>
      <c r="P1214" t="s">
        <v>1628</v>
      </c>
      <c r="Q1214">
        <f>LEN(AMAZON_FASHION_5__2[[#This Row],[reviewText]])</f>
        <v>247</v>
      </c>
      <c r="R1214" t="str">
        <f>IF(AMAZON_FASHION_5__2[[#This Row],[overall]]&gt;=4,"Positive",IF(AMAZON_FASHION_5__2[[#This Row],[overall]]&lt;=2,"Negative","Neutral"))</f>
        <v>Positive</v>
      </c>
      <c r="S12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15" spans="1:19" x14ac:dyDescent="0.25">
      <c r="A1215">
        <v>5</v>
      </c>
      <c r="B1215" t="b">
        <v>1</v>
      </c>
      <c r="C1215" s="1">
        <v>42506</v>
      </c>
      <c r="D1215">
        <f>YEAR(AMAZON_FASHION_5__2[[#This Row],[reviewDate]])</f>
        <v>2016</v>
      </c>
      <c r="E1215" s="1" t="str">
        <f>TEXT(AMAZON_FASHION_5__2[[#This Row],[reviewDate]], "mmmm")</f>
        <v>May</v>
      </c>
      <c r="F1215" t="s">
        <v>1403</v>
      </c>
      <c r="G1215" t="s">
        <v>1456</v>
      </c>
      <c r="H1215" t="s">
        <v>235</v>
      </c>
      <c r="I1215" t="s">
        <v>236</v>
      </c>
      <c r="J1215" t="s">
        <v>63</v>
      </c>
      <c r="K1215" t="s">
        <v>1404</v>
      </c>
      <c r="L1215" t="s">
        <v>17</v>
      </c>
      <c r="M1215">
        <v>1463356800</v>
      </c>
      <c r="N1215" t="s">
        <v>1628</v>
      </c>
      <c r="O1215" t="s">
        <v>1628</v>
      </c>
      <c r="P1215" t="s">
        <v>1628</v>
      </c>
      <c r="Q1215">
        <f>LEN(AMAZON_FASHION_5__2[[#This Row],[reviewText]])</f>
        <v>76</v>
      </c>
      <c r="R1215" t="str">
        <f>IF(AMAZON_FASHION_5__2[[#This Row],[overall]]&gt;=4,"Positive",IF(AMAZON_FASHION_5__2[[#This Row],[overall]]&lt;=2,"Negative","Neutral"))</f>
        <v>Positive</v>
      </c>
      <c r="S12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16" spans="1:19" x14ac:dyDescent="0.25">
      <c r="A1216">
        <v>5</v>
      </c>
      <c r="B1216" t="b">
        <v>1</v>
      </c>
      <c r="C1216" s="1">
        <v>42505</v>
      </c>
      <c r="D1216">
        <f>YEAR(AMAZON_FASHION_5__2[[#This Row],[reviewDate]])</f>
        <v>2016</v>
      </c>
      <c r="E1216" s="1" t="str">
        <f>TEXT(AMAZON_FASHION_5__2[[#This Row],[reviewDate]], "mmmm")</f>
        <v>May</v>
      </c>
      <c r="F1216" t="s">
        <v>1405</v>
      </c>
      <c r="G1216" t="s">
        <v>1456</v>
      </c>
      <c r="H1216" t="s">
        <v>201</v>
      </c>
      <c r="I1216" t="s">
        <v>493</v>
      </c>
      <c r="J1216" t="s">
        <v>1406</v>
      </c>
      <c r="K1216" t="s">
        <v>1407</v>
      </c>
      <c r="L1216" t="s">
        <v>1408</v>
      </c>
      <c r="M1216">
        <v>1463270400</v>
      </c>
      <c r="N1216" t="s">
        <v>1628</v>
      </c>
      <c r="O1216" t="s">
        <v>1628</v>
      </c>
      <c r="P1216" t="s">
        <v>1628</v>
      </c>
      <c r="Q1216">
        <f>LEN(AMAZON_FASHION_5__2[[#This Row],[reviewText]])</f>
        <v>27</v>
      </c>
      <c r="R1216" t="str">
        <f>IF(AMAZON_FASHION_5__2[[#This Row],[overall]]&gt;=4,"Positive",IF(AMAZON_FASHION_5__2[[#This Row],[overall]]&lt;=2,"Negative","Neutral"))</f>
        <v>Positive</v>
      </c>
      <c r="S12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17" spans="1:19" x14ac:dyDescent="0.25">
      <c r="A1217">
        <v>4</v>
      </c>
      <c r="B1217" t="b">
        <v>1</v>
      </c>
      <c r="C1217" s="1">
        <v>42501</v>
      </c>
      <c r="D1217">
        <f>YEAR(AMAZON_FASHION_5__2[[#This Row],[reviewDate]])</f>
        <v>2016</v>
      </c>
      <c r="E1217" s="1" t="str">
        <f>TEXT(AMAZON_FASHION_5__2[[#This Row],[reviewDate]], "mmmm")</f>
        <v>May</v>
      </c>
      <c r="F1217" t="s">
        <v>1409</v>
      </c>
      <c r="G1217" t="s">
        <v>1456</v>
      </c>
      <c r="H1217" t="s">
        <v>1410</v>
      </c>
      <c r="I1217" t="s">
        <v>1411</v>
      </c>
      <c r="J1217" t="s">
        <v>1412</v>
      </c>
      <c r="K1217" t="s">
        <v>1413</v>
      </c>
      <c r="L1217" t="s">
        <v>1414</v>
      </c>
      <c r="M1217">
        <v>1462924800</v>
      </c>
      <c r="N1217" t="s">
        <v>1628</v>
      </c>
      <c r="O1217" t="s">
        <v>1628</v>
      </c>
      <c r="P1217" t="s">
        <v>1628</v>
      </c>
      <c r="Q1217">
        <f>LEN(AMAZON_FASHION_5__2[[#This Row],[reviewText]])</f>
        <v>468</v>
      </c>
      <c r="R1217" t="str">
        <f>IF(AMAZON_FASHION_5__2[[#This Row],[overall]]&gt;=4,"Positive",IF(AMAZON_FASHION_5__2[[#This Row],[overall]]&lt;=2,"Negative","Neutral"))</f>
        <v>Positive</v>
      </c>
      <c r="S12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18" spans="1:19" x14ac:dyDescent="0.25">
      <c r="A1218">
        <v>5</v>
      </c>
      <c r="B1218" t="b">
        <v>0</v>
      </c>
      <c r="C1218" s="1">
        <v>42500</v>
      </c>
      <c r="D1218">
        <f>YEAR(AMAZON_FASHION_5__2[[#This Row],[reviewDate]])</f>
        <v>2016</v>
      </c>
      <c r="E1218" s="1" t="str">
        <f>TEXT(AMAZON_FASHION_5__2[[#This Row],[reviewDate]], "mmmm")</f>
        <v>May</v>
      </c>
      <c r="F1218" t="s">
        <v>1415</v>
      </c>
      <c r="G1218" t="s">
        <v>1456</v>
      </c>
      <c r="H1218" t="s">
        <v>210</v>
      </c>
      <c r="I1218" t="s">
        <v>211</v>
      </c>
      <c r="J1218" t="s">
        <v>63</v>
      </c>
      <c r="K1218" t="s">
        <v>1416</v>
      </c>
      <c r="L1218" t="s">
        <v>735</v>
      </c>
      <c r="M1218">
        <v>1462838400</v>
      </c>
      <c r="N1218" t="s">
        <v>1628</v>
      </c>
      <c r="O1218" t="s">
        <v>1628</v>
      </c>
      <c r="P1218" t="s">
        <v>1628</v>
      </c>
      <c r="Q1218">
        <f>LEN(AMAZON_FASHION_5__2[[#This Row],[reviewText]])</f>
        <v>166</v>
      </c>
      <c r="R1218" t="str">
        <f>IF(AMAZON_FASHION_5__2[[#This Row],[overall]]&gt;=4,"Positive",IF(AMAZON_FASHION_5__2[[#This Row],[overall]]&lt;=2,"Negative","Neutral"))</f>
        <v>Positive</v>
      </c>
      <c r="S12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19" spans="1:19" x14ac:dyDescent="0.25">
      <c r="A1219">
        <v>5</v>
      </c>
      <c r="B1219" t="b">
        <v>1</v>
      </c>
      <c r="C1219" s="1">
        <v>42499</v>
      </c>
      <c r="D1219">
        <f>YEAR(AMAZON_FASHION_5__2[[#This Row],[reviewDate]])</f>
        <v>2016</v>
      </c>
      <c r="E1219" s="1" t="str">
        <f>TEXT(AMAZON_FASHION_5__2[[#This Row],[reviewDate]], "mmmm")</f>
        <v>May</v>
      </c>
      <c r="F1219" t="s">
        <v>1417</v>
      </c>
      <c r="G1219" t="s">
        <v>1456</v>
      </c>
      <c r="H1219" t="s">
        <v>230</v>
      </c>
      <c r="I1219" t="s">
        <v>198</v>
      </c>
      <c r="J1219" t="s">
        <v>1418</v>
      </c>
      <c r="K1219" t="s">
        <v>1419</v>
      </c>
      <c r="L1219" t="s">
        <v>17</v>
      </c>
      <c r="M1219">
        <v>1462752000</v>
      </c>
      <c r="N1219" t="s">
        <v>1628</v>
      </c>
      <c r="O1219" t="s">
        <v>1628</v>
      </c>
      <c r="P1219" t="s">
        <v>1628</v>
      </c>
      <c r="Q1219">
        <f>LEN(AMAZON_FASHION_5__2[[#This Row],[reviewText]])</f>
        <v>33</v>
      </c>
      <c r="R1219" t="str">
        <f>IF(AMAZON_FASHION_5__2[[#This Row],[overall]]&gt;=4,"Positive",IF(AMAZON_FASHION_5__2[[#This Row],[overall]]&lt;=2,"Negative","Neutral"))</f>
        <v>Positive</v>
      </c>
      <c r="S12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20" spans="1:19" x14ac:dyDescent="0.25">
      <c r="A1220">
        <v>5</v>
      </c>
      <c r="B1220" t="b">
        <v>1</v>
      </c>
      <c r="C1220" s="1">
        <v>42498</v>
      </c>
      <c r="D1220">
        <f>YEAR(AMAZON_FASHION_5__2[[#This Row],[reviewDate]])</f>
        <v>2016</v>
      </c>
      <c r="E1220" s="1" t="str">
        <f>TEXT(AMAZON_FASHION_5__2[[#This Row],[reviewDate]], "mmmm")</f>
        <v>May</v>
      </c>
      <c r="F1220" t="s">
        <v>1420</v>
      </c>
      <c r="G1220" t="s">
        <v>1456</v>
      </c>
      <c r="H1220" t="s">
        <v>320</v>
      </c>
      <c r="I1220" t="s">
        <v>198</v>
      </c>
      <c r="J1220" t="s">
        <v>1421</v>
      </c>
      <c r="K1220" t="s">
        <v>1422</v>
      </c>
      <c r="L1220" t="s">
        <v>1423</v>
      </c>
      <c r="M1220">
        <v>1462665600</v>
      </c>
      <c r="N1220" t="s">
        <v>1628</v>
      </c>
      <c r="O1220" t="s">
        <v>1628</v>
      </c>
      <c r="P1220" t="s">
        <v>1628</v>
      </c>
      <c r="Q1220">
        <f>LEN(AMAZON_FASHION_5__2[[#This Row],[reviewText]])</f>
        <v>62</v>
      </c>
      <c r="R1220" t="str">
        <f>IF(AMAZON_FASHION_5__2[[#This Row],[overall]]&gt;=4,"Positive",IF(AMAZON_FASHION_5__2[[#This Row],[overall]]&lt;=2,"Negative","Neutral"))</f>
        <v>Positive</v>
      </c>
      <c r="S12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21" spans="1:19" x14ac:dyDescent="0.25">
      <c r="A1221">
        <v>4</v>
      </c>
      <c r="B1221" t="b">
        <v>1</v>
      </c>
      <c r="C1221" s="1">
        <v>42497</v>
      </c>
      <c r="D1221">
        <f>YEAR(AMAZON_FASHION_5__2[[#This Row],[reviewDate]])</f>
        <v>2016</v>
      </c>
      <c r="E1221" s="1" t="str">
        <f>TEXT(AMAZON_FASHION_5__2[[#This Row],[reviewDate]], "mmmm")</f>
        <v>May</v>
      </c>
      <c r="F1221" t="s">
        <v>1424</v>
      </c>
      <c r="G1221" t="s">
        <v>1456</v>
      </c>
      <c r="H1221" t="s">
        <v>1425</v>
      </c>
      <c r="I1221" t="s">
        <v>217</v>
      </c>
      <c r="J1221" t="s">
        <v>1426</v>
      </c>
      <c r="K1221" t="s">
        <v>1427</v>
      </c>
      <c r="L1221" t="s">
        <v>103</v>
      </c>
      <c r="M1221">
        <v>1462579200</v>
      </c>
      <c r="N1221" t="s">
        <v>1628</v>
      </c>
      <c r="O1221" t="s">
        <v>1628</v>
      </c>
      <c r="P1221" t="s">
        <v>1628</v>
      </c>
      <c r="Q1221">
        <f>LEN(AMAZON_FASHION_5__2[[#This Row],[reviewText]])</f>
        <v>25</v>
      </c>
      <c r="R1221" t="str">
        <f>IF(AMAZON_FASHION_5__2[[#This Row],[overall]]&gt;=4,"Positive",IF(AMAZON_FASHION_5__2[[#This Row],[overall]]&lt;=2,"Negative","Neutral"))</f>
        <v>Positive</v>
      </c>
      <c r="S12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22" spans="1:19" x14ac:dyDescent="0.25">
      <c r="A1222">
        <v>4</v>
      </c>
      <c r="B1222" t="b">
        <v>1</v>
      </c>
      <c r="C1222" s="1">
        <v>42494</v>
      </c>
      <c r="D1222">
        <f>YEAR(AMAZON_FASHION_5__2[[#This Row],[reviewDate]])</f>
        <v>2016</v>
      </c>
      <c r="E1222" s="1" t="str">
        <f>TEXT(AMAZON_FASHION_5__2[[#This Row],[reviewDate]], "mmmm")</f>
        <v>May</v>
      </c>
      <c r="F1222" t="s">
        <v>1428</v>
      </c>
      <c r="G1222" t="s">
        <v>1456</v>
      </c>
      <c r="H1222" t="s">
        <v>230</v>
      </c>
      <c r="I1222" t="s">
        <v>198</v>
      </c>
      <c r="J1222" t="s">
        <v>1429</v>
      </c>
      <c r="K1222" t="s">
        <v>1430</v>
      </c>
      <c r="L1222" t="s">
        <v>1376</v>
      </c>
      <c r="M1222">
        <v>1462320000</v>
      </c>
      <c r="N1222" t="s">
        <v>1628</v>
      </c>
      <c r="O1222" t="s">
        <v>1628</v>
      </c>
      <c r="P1222">
        <v>20</v>
      </c>
      <c r="Q1222">
        <f>LEN(AMAZON_FASHION_5__2[[#This Row],[reviewText]])</f>
        <v>1368</v>
      </c>
      <c r="R1222" t="str">
        <f>IF(AMAZON_FASHION_5__2[[#This Row],[overall]]&gt;=4,"Positive",IF(AMAZON_FASHION_5__2[[#This Row],[overall]]&lt;=2,"Negative","Neutral"))</f>
        <v>Positive</v>
      </c>
      <c r="S12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23" spans="1:19" x14ac:dyDescent="0.25">
      <c r="A1223">
        <v>5</v>
      </c>
      <c r="B1223" t="b">
        <v>1</v>
      </c>
      <c r="C1223" s="1">
        <v>42494</v>
      </c>
      <c r="D1223">
        <f>YEAR(AMAZON_FASHION_5__2[[#This Row],[reviewDate]])</f>
        <v>2016</v>
      </c>
      <c r="E1223" s="1" t="str">
        <f>TEXT(AMAZON_FASHION_5__2[[#This Row],[reviewDate]], "mmmm")</f>
        <v>May</v>
      </c>
      <c r="F1223" t="s">
        <v>1431</v>
      </c>
      <c r="G1223" t="s">
        <v>1456</v>
      </c>
      <c r="H1223" t="s">
        <v>1425</v>
      </c>
      <c r="I1223" t="s">
        <v>217</v>
      </c>
      <c r="J1223" t="s">
        <v>1432</v>
      </c>
      <c r="K1223" t="s">
        <v>1433</v>
      </c>
      <c r="L1223" t="s">
        <v>1434</v>
      </c>
      <c r="M1223">
        <v>1462320000</v>
      </c>
      <c r="N1223" t="s">
        <v>1628</v>
      </c>
      <c r="O1223" t="s">
        <v>1628</v>
      </c>
      <c r="P1223" t="s">
        <v>1628</v>
      </c>
      <c r="Q1223">
        <f>LEN(AMAZON_FASHION_5__2[[#This Row],[reviewText]])</f>
        <v>57</v>
      </c>
      <c r="R1223" t="str">
        <f>IF(AMAZON_FASHION_5__2[[#This Row],[overall]]&gt;=4,"Positive",IF(AMAZON_FASHION_5__2[[#This Row],[overall]]&lt;=2,"Negative","Neutral"))</f>
        <v>Positive</v>
      </c>
      <c r="S12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24" spans="1:19" x14ac:dyDescent="0.25">
      <c r="A1224">
        <v>5</v>
      </c>
      <c r="B1224" t="b">
        <v>1</v>
      </c>
      <c r="C1224" s="1">
        <v>42483</v>
      </c>
      <c r="D1224">
        <f>YEAR(AMAZON_FASHION_5__2[[#This Row],[reviewDate]])</f>
        <v>2016</v>
      </c>
      <c r="E1224" s="1" t="str">
        <f>TEXT(AMAZON_FASHION_5__2[[#This Row],[reviewDate]], "mmmm")</f>
        <v>April</v>
      </c>
      <c r="F1224" t="s">
        <v>1435</v>
      </c>
      <c r="G1224" t="s">
        <v>1456</v>
      </c>
      <c r="H1224" t="s">
        <v>205</v>
      </c>
      <c r="I1224" t="s">
        <v>198</v>
      </c>
      <c r="J1224" t="s">
        <v>1436</v>
      </c>
      <c r="K1224" t="s">
        <v>1437</v>
      </c>
      <c r="L1224" t="s">
        <v>17</v>
      </c>
      <c r="M1224">
        <v>1461369600</v>
      </c>
      <c r="N1224" t="s">
        <v>1628</v>
      </c>
      <c r="O1224" t="s">
        <v>1628</v>
      </c>
      <c r="P1224" t="s">
        <v>1628</v>
      </c>
      <c r="Q1224">
        <f>LEN(AMAZON_FASHION_5__2[[#This Row],[reviewText]])</f>
        <v>50</v>
      </c>
      <c r="R1224" t="str">
        <f>IF(AMAZON_FASHION_5__2[[#This Row],[overall]]&gt;=4,"Positive",IF(AMAZON_FASHION_5__2[[#This Row],[overall]]&lt;=2,"Negative","Neutral"))</f>
        <v>Positive</v>
      </c>
      <c r="S12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25" spans="1:19" x14ac:dyDescent="0.25">
      <c r="A1225">
        <v>5</v>
      </c>
      <c r="B1225" t="b">
        <v>1</v>
      </c>
      <c r="C1225" s="1">
        <v>42481</v>
      </c>
      <c r="D1225">
        <f>YEAR(AMAZON_FASHION_5__2[[#This Row],[reviewDate]])</f>
        <v>2016</v>
      </c>
      <c r="E1225" s="1" t="str">
        <f>TEXT(AMAZON_FASHION_5__2[[#This Row],[reviewDate]], "mmmm")</f>
        <v>April</v>
      </c>
      <c r="F1225" t="s">
        <v>1438</v>
      </c>
      <c r="G1225" t="s">
        <v>1456</v>
      </c>
      <c r="H1225" t="s">
        <v>477</v>
      </c>
      <c r="I1225" t="s">
        <v>198</v>
      </c>
      <c r="J1225" t="s">
        <v>1439</v>
      </c>
      <c r="K1225" t="s">
        <v>1440</v>
      </c>
      <c r="L1225" t="s">
        <v>1441</v>
      </c>
      <c r="M1225">
        <v>1461196800</v>
      </c>
      <c r="N1225" t="s">
        <v>1628</v>
      </c>
      <c r="O1225" t="s">
        <v>1628</v>
      </c>
      <c r="P1225">
        <v>3</v>
      </c>
      <c r="Q1225">
        <f>LEN(AMAZON_FASHION_5__2[[#This Row],[reviewText]])</f>
        <v>371</v>
      </c>
      <c r="R1225" t="str">
        <f>IF(AMAZON_FASHION_5__2[[#This Row],[overall]]&gt;=4,"Positive",IF(AMAZON_FASHION_5__2[[#This Row],[overall]]&lt;=2,"Negative","Neutral"))</f>
        <v>Positive</v>
      </c>
      <c r="S12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26" spans="1:19" x14ac:dyDescent="0.25">
      <c r="A1226">
        <v>4</v>
      </c>
      <c r="B1226" t="b">
        <v>1</v>
      </c>
      <c r="C1226" s="1">
        <v>42480</v>
      </c>
      <c r="D1226">
        <f>YEAR(AMAZON_FASHION_5__2[[#This Row],[reviewDate]])</f>
        <v>2016</v>
      </c>
      <c r="E1226" s="1" t="str">
        <f>TEXT(AMAZON_FASHION_5__2[[#This Row],[reviewDate]], "mmmm")</f>
        <v>April</v>
      </c>
      <c r="F1226" t="s">
        <v>1442</v>
      </c>
      <c r="G1226" t="s">
        <v>1456</v>
      </c>
      <c r="H1226" t="s">
        <v>205</v>
      </c>
      <c r="I1226" t="s">
        <v>198</v>
      </c>
      <c r="J1226" t="s">
        <v>63</v>
      </c>
      <c r="K1226" t="s">
        <v>1443</v>
      </c>
      <c r="L1226" t="s">
        <v>103</v>
      </c>
      <c r="M1226">
        <v>1461110400</v>
      </c>
      <c r="N1226" t="s">
        <v>1628</v>
      </c>
      <c r="O1226" t="s">
        <v>1628</v>
      </c>
      <c r="P1226" t="s">
        <v>1628</v>
      </c>
      <c r="Q1226">
        <f>LEN(AMAZON_FASHION_5__2[[#This Row],[reviewText]])</f>
        <v>19</v>
      </c>
      <c r="R1226" t="str">
        <f>IF(AMAZON_FASHION_5__2[[#This Row],[overall]]&gt;=4,"Positive",IF(AMAZON_FASHION_5__2[[#This Row],[overall]]&lt;=2,"Negative","Neutral"))</f>
        <v>Positive</v>
      </c>
      <c r="S12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27" spans="1:19" x14ac:dyDescent="0.25">
      <c r="A1227">
        <v>4</v>
      </c>
      <c r="B1227" t="b">
        <v>1</v>
      </c>
      <c r="C1227" s="1">
        <v>42479</v>
      </c>
      <c r="D1227">
        <f>YEAR(AMAZON_FASHION_5__2[[#This Row],[reviewDate]])</f>
        <v>2016</v>
      </c>
      <c r="E1227" s="1" t="str">
        <f>TEXT(AMAZON_FASHION_5__2[[#This Row],[reviewDate]], "mmmm")</f>
        <v>April</v>
      </c>
      <c r="F1227" t="s">
        <v>195</v>
      </c>
      <c r="G1227" t="s">
        <v>1456</v>
      </c>
      <c r="H1227" t="s">
        <v>197</v>
      </c>
      <c r="I1227" t="s">
        <v>198</v>
      </c>
      <c r="J1227" t="s">
        <v>63</v>
      </c>
      <c r="K1227" t="s">
        <v>199</v>
      </c>
      <c r="L1227" t="s">
        <v>103</v>
      </c>
      <c r="M1227">
        <v>1461024000</v>
      </c>
      <c r="N1227" t="s">
        <v>1628</v>
      </c>
      <c r="O1227" t="s">
        <v>1628</v>
      </c>
      <c r="P1227">
        <v>2</v>
      </c>
      <c r="Q1227">
        <f>LEN(AMAZON_FASHION_5__2[[#This Row],[reviewText]])</f>
        <v>60</v>
      </c>
      <c r="R1227" t="str">
        <f>IF(AMAZON_FASHION_5__2[[#This Row],[overall]]&gt;=4,"Positive",IF(AMAZON_FASHION_5__2[[#This Row],[overall]]&lt;=2,"Negative","Neutral"))</f>
        <v>Positive</v>
      </c>
      <c r="S12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28" spans="1:19" x14ac:dyDescent="0.25">
      <c r="A1228">
        <v>5</v>
      </c>
      <c r="B1228" t="b">
        <v>1</v>
      </c>
      <c r="C1228" s="1">
        <v>42478</v>
      </c>
      <c r="D1228">
        <f>YEAR(AMAZON_FASHION_5__2[[#This Row],[reviewDate]])</f>
        <v>2016</v>
      </c>
      <c r="E1228" s="1" t="str">
        <f>TEXT(AMAZON_FASHION_5__2[[#This Row],[reviewDate]], "mmmm")</f>
        <v>April</v>
      </c>
      <c r="F1228" t="s">
        <v>200</v>
      </c>
      <c r="G1228" t="s">
        <v>1456</v>
      </c>
      <c r="H1228" t="s">
        <v>201</v>
      </c>
      <c r="I1228" t="s">
        <v>198</v>
      </c>
      <c r="J1228" t="s">
        <v>202</v>
      </c>
      <c r="K1228" t="s">
        <v>203</v>
      </c>
      <c r="L1228" t="s">
        <v>17</v>
      </c>
      <c r="M1228">
        <v>1460937600</v>
      </c>
      <c r="N1228" t="s">
        <v>1628</v>
      </c>
      <c r="O1228" t="s">
        <v>1628</v>
      </c>
      <c r="P1228" t="s">
        <v>1628</v>
      </c>
      <c r="Q1228">
        <f>LEN(AMAZON_FASHION_5__2[[#This Row],[reviewText]])</f>
        <v>22</v>
      </c>
      <c r="R1228" t="str">
        <f>IF(AMAZON_FASHION_5__2[[#This Row],[overall]]&gt;=4,"Positive",IF(AMAZON_FASHION_5__2[[#This Row],[overall]]&lt;=2,"Negative","Neutral"))</f>
        <v>Positive</v>
      </c>
      <c r="S12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29" spans="1:19" x14ac:dyDescent="0.25">
      <c r="A1229">
        <v>3</v>
      </c>
      <c r="B1229" t="b">
        <v>1</v>
      </c>
      <c r="C1229" s="1">
        <v>42464</v>
      </c>
      <c r="D1229">
        <f>YEAR(AMAZON_FASHION_5__2[[#This Row],[reviewDate]])</f>
        <v>2016</v>
      </c>
      <c r="E1229" s="1" t="str">
        <f>TEXT(AMAZON_FASHION_5__2[[#This Row],[reviewDate]], "mmmm")</f>
        <v>April</v>
      </c>
      <c r="F1229" t="s">
        <v>204</v>
      </c>
      <c r="G1229" t="s">
        <v>1456</v>
      </c>
      <c r="H1229" t="s">
        <v>205</v>
      </c>
      <c r="I1229" t="s">
        <v>198</v>
      </c>
      <c r="J1229" t="s">
        <v>206</v>
      </c>
      <c r="K1229" t="s">
        <v>207</v>
      </c>
      <c r="L1229" t="s">
        <v>208</v>
      </c>
      <c r="M1229">
        <v>1459728000</v>
      </c>
      <c r="N1229" t="s">
        <v>1628</v>
      </c>
      <c r="O1229" t="s">
        <v>1628</v>
      </c>
      <c r="P1229">
        <v>2</v>
      </c>
      <c r="Q1229">
        <f>LEN(AMAZON_FASHION_5__2[[#This Row],[reviewText]])</f>
        <v>272</v>
      </c>
      <c r="R1229" t="str">
        <f>IF(AMAZON_FASHION_5__2[[#This Row],[overall]]&gt;=4,"Positive",IF(AMAZON_FASHION_5__2[[#This Row],[overall]]&lt;=2,"Negative","Neutral"))</f>
        <v>Neutral</v>
      </c>
      <c r="S12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30" spans="1:19" x14ac:dyDescent="0.25">
      <c r="A1230">
        <v>5</v>
      </c>
      <c r="B1230" t="b">
        <v>1</v>
      </c>
      <c r="C1230" s="1">
        <v>42460</v>
      </c>
      <c r="D1230">
        <f>YEAR(AMAZON_FASHION_5__2[[#This Row],[reviewDate]])</f>
        <v>2016</v>
      </c>
      <c r="E1230" s="1" t="str">
        <f>TEXT(AMAZON_FASHION_5__2[[#This Row],[reviewDate]], "mmmm")</f>
        <v>March</v>
      </c>
      <c r="F1230" t="s">
        <v>209</v>
      </c>
      <c r="G1230" t="s">
        <v>1456</v>
      </c>
      <c r="H1230" t="s">
        <v>210</v>
      </c>
      <c r="I1230" t="s">
        <v>211</v>
      </c>
      <c r="J1230" t="s">
        <v>212</v>
      </c>
      <c r="K1230" t="s">
        <v>213</v>
      </c>
      <c r="L1230" t="s">
        <v>214</v>
      </c>
      <c r="M1230">
        <v>1459382400</v>
      </c>
      <c r="N1230" t="s">
        <v>1628</v>
      </c>
      <c r="O1230" t="s">
        <v>1628</v>
      </c>
      <c r="P1230" t="s">
        <v>1628</v>
      </c>
      <c r="Q1230">
        <f>LEN(AMAZON_FASHION_5__2[[#This Row],[reviewText]])</f>
        <v>123</v>
      </c>
      <c r="R1230" t="str">
        <f>IF(AMAZON_FASHION_5__2[[#This Row],[overall]]&gt;=4,"Positive",IF(AMAZON_FASHION_5__2[[#This Row],[overall]]&lt;=2,"Negative","Neutral"))</f>
        <v>Positive</v>
      </c>
      <c r="S12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31" spans="1:19" x14ac:dyDescent="0.25">
      <c r="A1231">
        <v>5</v>
      </c>
      <c r="B1231" t="b">
        <v>1</v>
      </c>
      <c r="C1231" s="1">
        <v>42457</v>
      </c>
      <c r="D1231">
        <f>YEAR(AMAZON_FASHION_5__2[[#This Row],[reviewDate]])</f>
        <v>2016</v>
      </c>
      <c r="E1231" s="1" t="str">
        <f>TEXT(AMAZON_FASHION_5__2[[#This Row],[reviewDate]], "mmmm")</f>
        <v>March</v>
      </c>
      <c r="F1231" t="s">
        <v>215</v>
      </c>
      <c r="G1231" t="s">
        <v>1456</v>
      </c>
      <c r="H1231" t="s">
        <v>216</v>
      </c>
      <c r="I1231" t="s">
        <v>217</v>
      </c>
      <c r="J1231" t="s">
        <v>218</v>
      </c>
      <c r="K1231" t="s">
        <v>219</v>
      </c>
      <c r="L1231" t="s">
        <v>17</v>
      </c>
      <c r="M1231">
        <v>1459123200</v>
      </c>
      <c r="N1231" t="s">
        <v>1628</v>
      </c>
      <c r="O1231" t="s">
        <v>1628</v>
      </c>
      <c r="P1231" t="s">
        <v>1628</v>
      </c>
      <c r="Q1231">
        <f>LEN(AMAZON_FASHION_5__2[[#This Row],[reviewText]])</f>
        <v>9</v>
      </c>
      <c r="R1231" t="str">
        <f>IF(AMAZON_FASHION_5__2[[#This Row],[overall]]&gt;=4,"Positive",IF(AMAZON_FASHION_5__2[[#This Row],[overall]]&lt;=2,"Negative","Neutral"))</f>
        <v>Positive</v>
      </c>
      <c r="S12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32" spans="1:19" x14ac:dyDescent="0.25">
      <c r="A1232">
        <v>2</v>
      </c>
      <c r="B1232" t="b">
        <v>1</v>
      </c>
      <c r="C1232" s="1">
        <v>42457</v>
      </c>
      <c r="D1232">
        <f>YEAR(AMAZON_FASHION_5__2[[#This Row],[reviewDate]])</f>
        <v>2016</v>
      </c>
      <c r="E1232" s="1" t="str">
        <f>TEXT(AMAZON_FASHION_5__2[[#This Row],[reviewDate]], "mmmm")</f>
        <v>March</v>
      </c>
      <c r="F1232" t="s">
        <v>220</v>
      </c>
      <c r="G1232" t="s">
        <v>1456</v>
      </c>
      <c r="H1232" t="s">
        <v>221</v>
      </c>
      <c r="I1232" t="s">
        <v>217</v>
      </c>
      <c r="J1232" t="s">
        <v>63</v>
      </c>
      <c r="K1232" t="s">
        <v>222</v>
      </c>
      <c r="L1232" t="s">
        <v>223</v>
      </c>
      <c r="M1232">
        <v>1459123200</v>
      </c>
      <c r="N1232" t="s">
        <v>1628</v>
      </c>
      <c r="O1232" t="s">
        <v>1628</v>
      </c>
      <c r="P1232" t="s">
        <v>1628</v>
      </c>
      <c r="Q1232">
        <f>LEN(AMAZON_FASHION_5__2[[#This Row],[reviewText]])</f>
        <v>167</v>
      </c>
      <c r="R1232" t="str">
        <f>IF(AMAZON_FASHION_5__2[[#This Row],[overall]]&gt;=4,"Positive",IF(AMAZON_FASHION_5__2[[#This Row],[overall]]&lt;=2,"Negative","Neutral"))</f>
        <v>Negative</v>
      </c>
      <c r="S12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33" spans="1:19" x14ac:dyDescent="0.25">
      <c r="A1233">
        <v>4</v>
      </c>
      <c r="B1233" t="b">
        <v>1</v>
      </c>
      <c r="C1233" s="1">
        <v>42453</v>
      </c>
      <c r="D1233">
        <f>YEAR(AMAZON_FASHION_5__2[[#This Row],[reviewDate]])</f>
        <v>2016</v>
      </c>
      <c r="E1233" s="1" t="str">
        <f>TEXT(AMAZON_FASHION_5__2[[#This Row],[reviewDate]], "mmmm")</f>
        <v>March</v>
      </c>
      <c r="F1233" t="s">
        <v>224</v>
      </c>
      <c r="G1233" t="s">
        <v>1456</v>
      </c>
      <c r="H1233" t="s">
        <v>225</v>
      </c>
      <c r="I1233" t="s">
        <v>217</v>
      </c>
      <c r="J1233" t="s">
        <v>226</v>
      </c>
      <c r="K1233" t="s">
        <v>227</v>
      </c>
      <c r="L1233" t="s">
        <v>228</v>
      </c>
      <c r="M1233">
        <v>1458777600</v>
      </c>
      <c r="N1233" t="s">
        <v>1628</v>
      </c>
      <c r="O1233" t="s">
        <v>1628</v>
      </c>
      <c r="P1233" t="s">
        <v>1628</v>
      </c>
      <c r="Q1233">
        <f>LEN(AMAZON_FASHION_5__2[[#This Row],[reviewText]])</f>
        <v>132</v>
      </c>
      <c r="R1233" t="str">
        <f>IF(AMAZON_FASHION_5__2[[#This Row],[overall]]&gt;=4,"Positive",IF(AMAZON_FASHION_5__2[[#This Row],[overall]]&lt;=2,"Negative","Neutral"))</f>
        <v>Positive</v>
      </c>
      <c r="S12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34" spans="1:19" x14ac:dyDescent="0.25">
      <c r="A1234">
        <v>3</v>
      </c>
      <c r="B1234" t="b">
        <v>1</v>
      </c>
      <c r="C1234" s="1">
        <v>42452</v>
      </c>
      <c r="D1234">
        <f>YEAR(AMAZON_FASHION_5__2[[#This Row],[reviewDate]])</f>
        <v>2016</v>
      </c>
      <c r="E1234" s="1" t="str">
        <f>TEXT(AMAZON_FASHION_5__2[[#This Row],[reviewDate]], "mmmm")</f>
        <v>March</v>
      </c>
      <c r="F1234" t="s">
        <v>229</v>
      </c>
      <c r="G1234" t="s">
        <v>1456</v>
      </c>
      <c r="H1234" t="s">
        <v>230</v>
      </c>
      <c r="I1234" t="s">
        <v>198</v>
      </c>
      <c r="J1234" t="s">
        <v>231</v>
      </c>
      <c r="K1234" t="s">
        <v>232</v>
      </c>
      <c r="L1234" t="s">
        <v>233</v>
      </c>
      <c r="M1234">
        <v>1458691200</v>
      </c>
      <c r="N1234" t="s">
        <v>1628</v>
      </c>
      <c r="O1234" t="s">
        <v>1628</v>
      </c>
      <c r="P1234">
        <v>7</v>
      </c>
      <c r="Q1234">
        <f>LEN(AMAZON_FASHION_5__2[[#This Row],[reviewText]])</f>
        <v>108</v>
      </c>
      <c r="R1234" t="str">
        <f>IF(AMAZON_FASHION_5__2[[#This Row],[overall]]&gt;=4,"Positive",IF(AMAZON_FASHION_5__2[[#This Row],[overall]]&lt;=2,"Negative","Neutral"))</f>
        <v>Neutral</v>
      </c>
      <c r="S12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35" spans="1:19" x14ac:dyDescent="0.25">
      <c r="A1235">
        <v>3</v>
      </c>
      <c r="B1235" t="b">
        <v>1</v>
      </c>
      <c r="C1235" s="1">
        <v>42452</v>
      </c>
      <c r="D1235">
        <f>YEAR(AMAZON_FASHION_5__2[[#This Row],[reviewDate]])</f>
        <v>2016</v>
      </c>
      <c r="E1235" s="1" t="str">
        <f>TEXT(AMAZON_FASHION_5__2[[#This Row],[reviewDate]], "mmmm")</f>
        <v>March</v>
      </c>
      <c r="F1235" t="s">
        <v>229</v>
      </c>
      <c r="G1235" t="s">
        <v>1479</v>
      </c>
      <c r="H1235" t="s">
        <v>230</v>
      </c>
      <c r="I1235" t="s">
        <v>198</v>
      </c>
      <c r="J1235" t="s">
        <v>231</v>
      </c>
      <c r="K1235" t="s">
        <v>232</v>
      </c>
      <c r="L1235" t="s">
        <v>233</v>
      </c>
      <c r="M1235">
        <v>1458691200</v>
      </c>
      <c r="N1235" t="s">
        <v>1628</v>
      </c>
      <c r="O1235" t="s">
        <v>1628</v>
      </c>
      <c r="P1235">
        <v>7</v>
      </c>
      <c r="Q1235">
        <f>LEN(AMAZON_FASHION_5__2[[#This Row],[reviewText]])</f>
        <v>108</v>
      </c>
      <c r="R1235" t="str">
        <f>IF(AMAZON_FASHION_5__2[[#This Row],[overall]]&gt;=4,"Positive",IF(AMAZON_FASHION_5__2[[#This Row],[overall]]&lt;=2,"Negative","Neutral"))</f>
        <v>Neutral</v>
      </c>
      <c r="S12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36" spans="1:19" x14ac:dyDescent="0.25">
      <c r="A1236">
        <v>5</v>
      </c>
      <c r="B1236" t="b">
        <v>1</v>
      </c>
      <c r="C1236" s="1">
        <v>42449</v>
      </c>
      <c r="D1236">
        <f>YEAR(AMAZON_FASHION_5__2[[#This Row],[reviewDate]])</f>
        <v>2016</v>
      </c>
      <c r="E1236" s="1" t="str">
        <f>TEXT(AMAZON_FASHION_5__2[[#This Row],[reviewDate]], "mmmm")</f>
        <v>March</v>
      </c>
      <c r="F1236" t="s">
        <v>234</v>
      </c>
      <c r="G1236" t="s">
        <v>1479</v>
      </c>
      <c r="H1236" t="s">
        <v>235</v>
      </c>
      <c r="I1236" t="s">
        <v>236</v>
      </c>
      <c r="J1236" t="s">
        <v>237</v>
      </c>
      <c r="K1236" t="s">
        <v>238</v>
      </c>
      <c r="L1236" t="s">
        <v>239</v>
      </c>
      <c r="M1236">
        <v>1458432000</v>
      </c>
      <c r="N1236" t="s">
        <v>1628</v>
      </c>
      <c r="O1236" t="s">
        <v>1628</v>
      </c>
      <c r="P1236" t="s">
        <v>1628</v>
      </c>
      <c r="Q1236">
        <f>LEN(AMAZON_FASHION_5__2[[#This Row],[reviewText]])</f>
        <v>75</v>
      </c>
      <c r="R1236" t="str">
        <f>IF(AMAZON_FASHION_5__2[[#This Row],[overall]]&gt;=4,"Positive",IF(AMAZON_FASHION_5__2[[#This Row],[overall]]&lt;=2,"Negative","Neutral"))</f>
        <v>Positive</v>
      </c>
      <c r="S12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37" spans="1:19" x14ac:dyDescent="0.25">
      <c r="A1237">
        <v>5</v>
      </c>
      <c r="B1237" t="b">
        <v>1</v>
      </c>
      <c r="C1237" s="1">
        <v>42447</v>
      </c>
      <c r="D1237">
        <f>YEAR(AMAZON_FASHION_5__2[[#This Row],[reviewDate]])</f>
        <v>2016</v>
      </c>
      <c r="E1237" s="1" t="str">
        <f>TEXT(AMAZON_FASHION_5__2[[#This Row],[reviewDate]], "mmmm")</f>
        <v>March</v>
      </c>
      <c r="F1237" t="s">
        <v>240</v>
      </c>
      <c r="G1237" t="s">
        <v>1479</v>
      </c>
      <c r="H1237" t="s">
        <v>241</v>
      </c>
      <c r="I1237" t="s">
        <v>217</v>
      </c>
      <c r="J1237" t="s">
        <v>242</v>
      </c>
      <c r="K1237" t="s">
        <v>243</v>
      </c>
      <c r="L1237" t="s">
        <v>17</v>
      </c>
      <c r="M1237">
        <v>1458259200</v>
      </c>
      <c r="N1237" t="s">
        <v>1628</v>
      </c>
      <c r="O1237" t="s">
        <v>1628</v>
      </c>
      <c r="P1237" t="s">
        <v>1628</v>
      </c>
      <c r="Q1237">
        <f>LEN(AMAZON_FASHION_5__2[[#This Row],[reviewText]])</f>
        <v>9</v>
      </c>
      <c r="R1237" t="str">
        <f>IF(AMAZON_FASHION_5__2[[#This Row],[overall]]&gt;=4,"Positive",IF(AMAZON_FASHION_5__2[[#This Row],[overall]]&lt;=2,"Negative","Neutral"))</f>
        <v>Positive</v>
      </c>
      <c r="S12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38" spans="1:19" x14ac:dyDescent="0.25">
      <c r="A1238">
        <v>4</v>
      </c>
      <c r="B1238" t="b">
        <v>1</v>
      </c>
      <c r="C1238" s="1">
        <v>42445</v>
      </c>
      <c r="D1238">
        <f>YEAR(AMAZON_FASHION_5__2[[#This Row],[reviewDate]])</f>
        <v>2016</v>
      </c>
      <c r="E1238" s="1" t="str">
        <f>TEXT(AMAZON_FASHION_5__2[[#This Row],[reviewDate]], "mmmm")</f>
        <v>March</v>
      </c>
      <c r="F1238" t="s">
        <v>1457</v>
      </c>
      <c r="G1238" t="s">
        <v>1479</v>
      </c>
      <c r="H1238" t="s">
        <v>230</v>
      </c>
      <c r="I1238" t="s">
        <v>198</v>
      </c>
      <c r="J1238" t="s">
        <v>1458</v>
      </c>
      <c r="K1238" t="s">
        <v>1459</v>
      </c>
      <c r="L1238" t="s">
        <v>1460</v>
      </c>
      <c r="M1238">
        <v>1458086400</v>
      </c>
      <c r="N1238" t="s">
        <v>1628</v>
      </c>
      <c r="O1238" t="s">
        <v>1628</v>
      </c>
      <c r="P1238" t="s">
        <v>1628</v>
      </c>
      <c r="Q1238">
        <f>LEN(AMAZON_FASHION_5__2[[#This Row],[reviewText]])</f>
        <v>213</v>
      </c>
      <c r="R1238" t="str">
        <f>IF(AMAZON_FASHION_5__2[[#This Row],[overall]]&gt;=4,"Positive",IF(AMAZON_FASHION_5__2[[#This Row],[overall]]&lt;=2,"Negative","Neutral"))</f>
        <v>Positive</v>
      </c>
      <c r="S12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39" spans="1:19" x14ac:dyDescent="0.25">
      <c r="A1239">
        <v>5</v>
      </c>
      <c r="B1239" t="b">
        <v>1</v>
      </c>
      <c r="C1239" s="1">
        <v>42442</v>
      </c>
      <c r="D1239">
        <f>YEAR(AMAZON_FASHION_5__2[[#This Row],[reviewDate]])</f>
        <v>2016</v>
      </c>
      <c r="E1239" s="1" t="str">
        <f>TEXT(AMAZON_FASHION_5__2[[#This Row],[reviewDate]], "mmmm")</f>
        <v>March</v>
      </c>
      <c r="F1239" t="s">
        <v>1461</v>
      </c>
      <c r="G1239" t="s">
        <v>1479</v>
      </c>
      <c r="H1239" t="s">
        <v>230</v>
      </c>
      <c r="I1239" t="s">
        <v>198</v>
      </c>
      <c r="J1239" t="s">
        <v>63</v>
      </c>
      <c r="K1239" t="s">
        <v>1462</v>
      </c>
      <c r="L1239" t="s">
        <v>1463</v>
      </c>
      <c r="M1239">
        <v>1457827200</v>
      </c>
      <c r="N1239" t="s">
        <v>1628</v>
      </c>
      <c r="O1239" t="s">
        <v>1628</v>
      </c>
      <c r="P1239">
        <v>22</v>
      </c>
      <c r="Q1239">
        <f>LEN(AMAZON_FASHION_5__2[[#This Row],[reviewText]])</f>
        <v>412</v>
      </c>
      <c r="R1239" t="str">
        <f>IF(AMAZON_FASHION_5__2[[#This Row],[overall]]&gt;=4,"Positive",IF(AMAZON_FASHION_5__2[[#This Row],[overall]]&lt;=2,"Negative","Neutral"))</f>
        <v>Positive</v>
      </c>
      <c r="S12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40" spans="1:19" x14ac:dyDescent="0.25">
      <c r="A1240">
        <v>5</v>
      </c>
      <c r="B1240" t="b">
        <v>1</v>
      </c>
      <c r="C1240" s="1">
        <v>42435</v>
      </c>
      <c r="D1240">
        <f>YEAR(AMAZON_FASHION_5__2[[#This Row],[reviewDate]])</f>
        <v>2016</v>
      </c>
      <c r="E1240" s="1" t="str">
        <f>TEXT(AMAZON_FASHION_5__2[[#This Row],[reviewDate]], "mmmm")</f>
        <v>March</v>
      </c>
      <c r="F1240" t="s">
        <v>1464</v>
      </c>
      <c r="G1240" t="s">
        <v>1479</v>
      </c>
      <c r="H1240" t="s">
        <v>320</v>
      </c>
      <c r="I1240" t="s">
        <v>198</v>
      </c>
      <c r="J1240" t="s">
        <v>63</v>
      </c>
      <c r="K1240" t="s">
        <v>1465</v>
      </c>
      <c r="L1240" t="s">
        <v>17</v>
      </c>
      <c r="M1240">
        <v>1457222400</v>
      </c>
      <c r="N1240" t="s">
        <v>1628</v>
      </c>
      <c r="O1240" t="s">
        <v>1628</v>
      </c>
      <c r="P1240" t="s">
        <v>1628</v>
      </c>
      <c r="Q1240">
        <f>LEN(AMAZON_FASHION_5__2[[#This Row],[reviewText]])</f>
        <v>17</v>
      </c>
      <c r="R1240" t="str">
        <f>IF(AMAZON_FASHION_5__2[[#This Row],[overall]]&gt;=4,"Positive",IF(AMAZON_FASHION_5__2[[#This Row],[overall]]&lt;=2,"Negative","Neutral"))</f>
        <v>Positive</v>
      </c>
      <c r="S12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41" spans="1:19" x14ac:dyDescent="0.25">
      <c r="A1241">
        <v>5</v>
      </c>
      <c r="B1241" t="b">
        <v>1</v>
      </c>
      <c r="C1241" s="1">
        <v>42431</v>
      </c>
      <c r="D1241">
        <f>YEAR(AMAZON_FASHION_5__2[[#This Row],[reviewDate]])</f>
        <v>2016</v>
      </c>
      <c r="E1241" s="1" t="str">
        <f>TEXT(AMAZON_FASHION_5__2[[#This Row],[reviewDate]], "mmmm")</f>
        <v>March</v>
      </c>
      <c r="F1241" t="s">
        <v>1466</v>
      </c>
      <c r="G1241" t="s">
        <v>1479</v>
      </c>
      <c r="H1241" t="s">
        <v>221</v>
      </c>
      <c r="I1241" t="s">
        <v>217</v>
      </c>
      <c r="J1241" t="s">
        <v>1467</v>
      </c>
      <c r="K1241" t="s">
        <v>1468</v>
      </c>
      <c r="L1241" t="s">
        <v>1469</v>
      </c>
      <c r="M1241">
        <v>1456876800</v>
      </c>
      <c r="N1241" t="s">
        <v>1628</v>
      </c>
      <c r="O1241" t="s">
        <v>1628</v>
      </c>
      <c r="P1241" t="s">
        <v>1628</v>
      </c>
      <c r="Q1241">
        <f>LEN(AMAZON_FASHION_5__2[[#This Row],[reviewText]])</f>
        <v>55</v>
      </c>
      <c r="R1241" t="str">
        <f>IF(AMAZON_FASHION_5__2[[#This Row],[overall]]&gt;=4,"Positive",IF(AMAZON_FASHION_5__2[[#This Row],[overall]]&lt;=2,"Negative","Neutral"))</f>
        <v>Positive</v>
      </c>
      <c r="S12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42" spans="1:19" x14ac:dyDescent="0.25">
      <c r="A1242">
        <v>5</v>
      </c>
      <c r="B1242" t="b">
        <v>1</v>
      </c>
      <c r="C1242" s="1">
        <v>43236</v>
      </c>
      <c r="D1242">
        <f>YEAR(AMAZON_FASHION_5__2[[#This Row],[reviewDate]])</f>
        <v>2018</v>
      </c>
      <c r="E1242" s="1" t="str">
        <f>TEXT(AMAZON_FASHION_5__2[[#This Row],[reviewDate]], "mmmm")</f>
        <v>May</v>
      </c>
      <c r="F1242" t="s">
        <v>1480</v>
      </c>
      <c r="G1242" t="s">
        <v>1479</v>
      </c>
      <c r="H1242" t="s">
        <v>558</v>
      </c>
      <c r="I1242" t="s">
        <v>198</v>
      </c>
      <c r="J1242" t="s">
        <v>1481</v>
      </c>
      <c r="K1242" t="s">
        <v>69</v>
      </c>
      <c r="L1242" t="s">
        <v>17</v>
      </c>
      <c r="M1242">
        <v>1526428800</v>
      </c>
      <c r="N1242" t="s">
        <v>1628</v>
      </c>
      <c r="O1242" t="s">
        <v>1628</v>
      </c>
      <c r="P1242" t="s">
        <v>1628</v>
      </c>
      <c r="Q1242">
        <f>LEN(AMAZON_FASHION_5__2[[#This Row],[reviewText]])</f>
        <v>11</v>
      </c>
      <c r="R1242" t="str">
        <f>IF(AMAZON_FASHION_5__2[[#This Row],[overall]]&gt;=4,"Positive",IF(AMAZON_FASHION_5__2[[#This Row],[overall]]&lt;=2,"Negative","Neutral"))</f>
        <v>Positive</v>
      </c>
      <c r="S12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43" spans="1:19" x14ac:dyDescent="0.25">
      <c r="A1243">
        <v>3</v>
      </c>
      <c r="B1243" t="b">
        <v>1</v>
      </c>
      <c r="C1243" s="1">
        <v>43235</v>
      </c>
      <c r="D1243">
        <f>YEAR(AMAZON_FASHION_5__2[[#This Row],[reviewDate]])</f>
        <v>2018</v>
      </c>
      <c r="E1243" s="1" t="str">
        <f>TEXT(AMAZON_FASHION_5__2[[#This Row],[reviewDate]], "mmmm")</f>
        <v>May</v>
      </c>
      <c r="F1243" t="s">
        <v>1482</v>
      </c>
      <c r="G1243" t="s">
        <v>1479</v>
      </c>
      <c r="H1243" t="s">
        <v>230</v>
      </c>
      <c r="I1243" t="s">
        <v>249</v>
      </c>
      <c r="J1243" t="s">
        <v>63</v>
      </c>
      <c r="K1243" t="s">
        <v>1483</v>
      </c>
      <c r="L1243" t="s">
        <v>101</v>
      </c>
      <c r="M1243">
        <v>1526342400</v>
      </c>
      <c r="N1243" t="s">
        <v>1628</v>
      </c>
      <c r="O1243" t="s">
        <v>1628</v>
      </c>
      <c r="P1243" t="s">
        <v>1628</v>
      </c>
      <c r="Q1243">
        <f>LEN(AMAZON_FASHION_5__2[[#This Row],[reviewText]])</f>
        <v>39</v>
      </c>
      <c r="R1243" t="str">
        <f>IF(AMAZON_FASHION_5__2[[#This Row],[overall]]&gt;=4,"Positive",IF(AMAZON_FASHION_5__2[[#This Row],[overall]]&lt;=2,"Negative","Neutral"))</f>
        <v>Neutral</v>
      </c>
      <c r="S12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44" spans="1:19" x14ac:dyDescent="0.25">
      <c r="A1244">
        <v>3</v>
      </c>
      <c r="B1244" t="b">
        <v>1</v>
      </c>
      <c r="C1244" s="1">
        <v>43235</v>
      </c>
      <c r="D1244">
        <f>YEAR(AMAZON_FASHION_5__2[[#This Row],[reviewDate]])</f>
        <v>2018</v>
      </c>
      <c r="E1244" s="1" t="str">
        <f>TEXT(AMAZON_FASHION_5__2[[#This Row],[reviewDate]], "mmmm")</f>
        <v>May</v>
      </c>
      <c r="F1244" t="s">
        <v>1484</v>
      </c>
      <c r="G1244" t="s">
        <v>1479</v>
      </c>
      <c r="H1244" t="s">
        <v>210</v>
      </c>
      <c r="I1244" t="s">
        <v>249</v>
      </c>
      <c r="J1244" t="s">
        <v>1485</v>
      </c>
      <c r="K1244" t="s">
        <v>1486</v>
      </c>
      <c r="L1244" t="s">
        <v>1487</v>
      </c>
      <c r="M1244">
        <v>1526342400</v>
      </c>
      <c r="N1244" t="s">
        <v>1628</v>
      </c>
      <c r="O1244" t="s">
        <v>1628</v>
      </c>
      <c r="P1244" t="s">
        <v>1628</v>
      </c>
      <c r="Q1244">
        <f>LEN(AMAZON_FASHION_5__2[[#This Row],[reviewText]])</f>
        <v>173</v>
      </c>
      <c r="R1244" t="str">
        <f>IF(AMAZON_FASHION_5__2[[#This Row],[overall]]&gt;=4,"Positive",IF(AMAZON_FASHION_5__2[[#This Row],[overall]]&lt;=2,"Negative","Neutral"))</f>
        <v>Neutral</v>
      </c>
      <c r="S12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45" spans="1:19" x14ac:dyDescent="0.25">
      <c r="A1245">
        <v>5</v>
      </c>
      <c r="B1245" t="b">
        <v>1</v>
      </c>
      <c r="C1245" s="1">
        <v>43225</v>
      </c>
      <c r="D1245">
        <f>YEAR(AMAZON_FASHION_5__2[[#This Row],[reviewDate]])</f>
        <v>2018</v>
      </c>
      <c r="E1245" s="1" t="str">
        <f>TEXT(AMAZON_FASHION_5__2[[#This Row],[reviewDate]], "mmmm")</f>
        <v>May</v>
      </c>
      <c r="F1245" t="s">
        <v>1470</v>
      </c>
      <c r="G1245" t="s">
        <v>1479</v>
      </c>
      <c r="H1245" t="s">
        <v>230</v>
      </c>
      <c r="I1245" t="s">
        <v>548</v>
      </c>
      <c r="J1245" t="s">
        <v>1471</v>
      </c>
      <c r="K1245" t="s">
        <v>1472</v>
      </c>
      <c r="L1245" t="s">
        <v>17</v>
      </c>
      <c r="M1245">
        <v>1525478400</v>
      </c>
      <c r="N1245" t="s">
        <v>1628</v>
      </c>
      <c r="O1245" t="s">
        <v>1628</v>
      </c>
      <c r="P1245" t="s">
        <v>1628</v>
      </c>
      <c r="Q1245">
        <f>LEN(AMAZON_FASHION_5__2[[#This Row],[reviewText]])</f>
        <v>71</v>
      </c>
      <c r="R1245" t="str">
        <f>IF(AMAZON_FASHION_5__2[[#This Row],[overall]]&gt;=4,"Positive",IF(AMAZON_FASHION_5__2[[#This Row],[overall]]&lt;=2,"Negative","Neutral"))</f>
        <v>Positive</v>
      </c>
      <c r="S12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46" spans="1:19" x14ac:dyDescent="0.25">
      <c r="A1246">
        <v>5</v>
      </c>
      <c r="B1246" t="b">
        <v>1</v>
      </c>
      <c r="C1246" s="1">
        <v>43223</v>
      </c>
      <c r="D1246">
        <f>YEAR(AMAZON_FASHION_5__2[[#This Row],[reviewDate]])</f>
        <v>2018</v>
      </c>
      <c r="E1246" s="1" t="str">
        <f>TEXT(AMAZON_FASHION_5__2[[#This Row],[reviewDate]], "mmmm")</f>
        <v>May</v>
      </c>
      <c r="F1246" t="s">
        <v>1473</v>
      </c>
      <c r="G1246" t="s">
        <v>1479</v>
      </c>
      <c r="H1246" t="s">
        <v>201</v>
      </c>
      <c r="I1246" t="s">
        <v>524</v>
      </c>
      <c r="J1246" t="s">
        <v>1474</v>
      </c>
      <c r="K1246" t="s">
        <v>1475</v>
      </c>
      <c r="L1246" t="s">
        <v>17</v>
      </c>
      <c r="M1246">
        <v>1525305600</v>
      </c>
      <c r="N1246" t="s">
        <v>1628</v>
      </c>
      <c r="O1246" t="s">
        <v>1628</v>
      </c>
      <c r="P1246" t="s">
        <v>1628</v>
      </c>
      <c r="Q1246">
        <f>LEN(AMAZON_FASHION_5__2[[#This Row],[reviewText]])</f>
        <v>90</v>
      </c>
      <c r="R1246" t="str">
        <f>IF(AMAZON_FASHION_5__2[[#This Row],[overall]]&gt;=4,"Positive",IF(AMAZON_FASHION_5__2[[#This Row],[overall]]&lt;=2,"Negative","Neutral"))</f>
        <v>Positive</v>
      </c>
      <c r="S12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47" spans="1:19" x14ac:dyDescent="0.25">
      <c r="A1247">
        <v>3</v>
      </c>
      <c r="B1247" t="b">
        <v>1</v>
      </c>
      <c r="C1247" s="1">
        <v>43220</v>
      </c>
      <c r="D1247">
        <f>YEAR(AMAZON_FASHION_5__2[[#This Row],[reviewDate]])</f>
        <v>2018</v>
      </c>
      <c r="E1247" s="1" t="str">
        <f>TEXT(AMAZON_FASHION_5__2[[#This Row],[reviewDate]], "mmmm")</f>
        <v>April</v>
      </c>
      <c r="F1247" t="s">
        <v>1446</v>
      </c>
      <c r="G1247" t="s">
        <v>1479</v>
      </c>
      <c r="H1247" t="s">
        <v>1145</v>
      </c>
      <c r="I1247" t="s">
        <v>411</v>
      </c>
      <c r="J1247" t="s">
        <v>63</v>
      </c>
      <c r="K1247" t="s">
        <v>1447</v>
      </c>
      <c r="L1247" t="s">
        <v>101</v>
      </c>
      <c r="M1247">
        <v>1525046400</v>
      </c>
      <c r="N1247" t="s">
        <v>1628</v>
      </c>
      <c r="O1247" t="s">
        <v>1628</v>
      </c>
      <c r="P1247" t="s">
        <v>1628</v>
      </c>
      <c r="Q1247">
        <f>LEN(AMAZON_FASHION_5__2[[#This Row],[reviewText]])</f>
        <v>14</v>
      </c>
      <c r="R1247" t="str">
        <f>IF(AMAZON_FASHION_5__2[[#This Row],[overall]]&gt;=4,"Positive",IF(AMAZON_FASHION_5__2[[#This Row],[overall]]&lt;=2,"Negative","Neutral"))</f>
        <v>Neutral</v>
      </c>
      <c r="S12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48" spans="1:19" x14ac:dyDescent="0.25">
      <c r="A1248">
        <v>5</v>
      </c>
      <c r="B1248" t="b">
        <v>1</v>
      </c>
      <c r="C1248" s="1">
        <v>43216</v>
      </c>
      <c r="D1248">
        <f>YEAR(AMAZON_FASHION_5__2[[#This Row],[reviewDate]])</f>
        <v>2018</v>
      </c>
      <c r="E1248" s="1" t="str">
        <f>TEXT(AMAZON_FASHION_5__2[[#This Row],[reviewDate]], "mmmm")</f>
        <v>April</v>
      </c>
      <c r="F1248" t="s">
        <v>1448</v>
      </c>
      <c r="G1248" t="s">
        <v>1479</v>
      </c>
      <c r="H1248" t="s">
        <v>205</v>
      </c>
      <c r="I1248" t="s">
        <v>435</v>
      </c>
      <c r="J1248" t="s">
        <v>1449</v>
      </c>
      <c r="K1248" t="s">
        <v>1450</v>
      </c>
      <c r="L1248" t="s">
        <v>17</v>
      </c>
      <c r="M1248">
        <v>1524700800</v>
      </c>
      <c r="N1248" t="s">
        <v>1628</v>
      </c>
      <c r="O1248" t="s">
        <v>1628</v>
      </c>
      <c r="P1248" t="s">
        <v>1628</v>
      </c>
      <c r="Q1248">
        <f>LEN(AMAZON_FASHION_5__2[[#This Row],[reviewText]])</f>
        <v>43</v>
      </c>
      <c r="R1248" t="str">
        <f>IF(AMAZON_FASHION_5__2[[#This Row],[overall]]&gt;=4,"Positive",IF(AMAZON_FASHION_5__2[[#This Row],[overall]]&lt;=2,"Negative","Neutral"))</f>
        <v>Positive</v>
      </c>
      <c r="S12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49" spans="1:19" x14ac:dyDescent="0.25">
      <c r="A1249">
        <v>5</v>
      </c>
      <c r="B1249" t="b">
        <v>1</v>
      </c>
      <c r="C1249" s="1">
        <v>43214</v>
      </c>
      <c r="D1249">
        <f>YEAR(AMAZON_FASHION_5__2[[#This Row],[reviewDate]])</f>
        <v>2018</v>
      </c>
      <c r="E1249" s="1" t="str">
        <f>TEXT(AMAZON_FASHION_5__2[[#This Row],[reviewDate]], "mmmm")</f>
        <v>April</v>
      </c>
      <c r="F1249" t="s">
        <v>1451</v>
      </c>
      <c r="G1249" t="s">
        <v>1479</v>
      </c>
      <c r="H1249" t="s">
        <v>205</v>
      </c>
      <c r="I1249" t="s">
        <v>198</v>
      </c>
      <c r="J1249" t="s">
        <v>1452</v>
      </c>
      <c r="K1249" t="s">
        <v>1453</v>
      </c>
      <c r="L1249" t="s">
        <v>1454</v>
      </c>
      <c r="M1249">
        <v>1524528000</v>
      </c>
      <c r="N1249" t="s">
        <v>1628</v>
      </c>
      <c r="O1249" t="s">
        <v>1628</v>
      </c>
      <c r="P1249" t="s">
        <v>1628</v>
      </c>
      <c r="Q1249">
        <f>LEN(AMAZON_FASHION_5__2[[#This Row],[reviewText]])</f>
        <v>160</v>
      </c>
      <c r="R1249" t="str">
        <f>IF(AMAZON_FASHION_5__2[[#This Row],[overall]]&gt;=4,"Positive",IF(AMAZON_FASHION_5__2[[#This Row],[overall]]&lt;=2,"Negative","Neutral"))</f>
        <v>Positive</v>
      </c>
      <c r="S12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50" spans="1:19" x14ac:dyDescent="0.25">
      <c r="A1250">
        <v>5</v>
      </c>
      <c r="B1250" t="b">
        <v>1</v>
      </c>
      <c r="C1250" s="1">
        <v>43212</v>
      </c>
      <c r="D1250">
        <f>YEAR(AMAZON_FASHION_5__2[[#This Row],[reviewDate]])</f>
        <v>2018</v>
      </c>
      <c r="E1250" s="1" t="str">
        <f>TEXT(AMAZON_FASHION_5__2[[#This Row],[reviewDate]], "mmmm")</f>
        <v>April</v>
      </c>
      <c r="F1250" t="s">
        <v>244</v>
      </c>
      <c r="G1250" t="s">
        <v>1479</v>
      </c>
      <c r="H1250" t="s">
        <v>197</v>
      </c>
      <c r="I1250" t="s">
        <v>198</v>
      </c>
      <c r="J1250" t="s">
        <v>245</v>
      </c>
      <c r="K1250" t="s">
        <v>246</v>
      </c>
      <c r="L1250" t="s">
        <v>247</v>
      </c>
      <c r="M1250">
        <v>1524355200</v>
      </c>
      <c r="N1250" t="s">
        <v>1628</v>
      </c>
      <c r="O1250" t="s">
        <v>1628</v>
      </c>
      <c r="P1250" t="s">
        <v>1628</v>
      </c>
      <c r="Q1250">
        <f>LEN(AMAZON_FASHION_5__2[[#This Row],[reviewText]])</f>
        <v>148</v>
      </c>
      <c r="R1250" t="str">
        <f>IF(AMAZON_FASHION_5__2[[#This Row],[overall]]&gt;=4,"Positive",IF(AMAZON_FASHION_5__2[[#This Row],[overall]]&lt;=2,"Negative","Neutral"))</f>
        <v>Positive</v>
      </c>
      <c r="S12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51" spans="1:19" x14ac:dyDescent="0.25">
      <c r="A1251">
        <v>3</v>
      </c>
      <c r="B1251" t="b">
        <v>1</v>
      </c>
      <c r="C1251" s="1">
        <v>43209</v>
      </c>
      <c r="D1251">
        <f>YEAR(AMAZON_FASHION_5__2[[#This Row],[reviewDate]])</f>
        <v>2018</v>
      </c>
      <c r="E1251" s="1" t="str">
        <f>TEXT(AMAZON_FASHION_5__2[[#This Row],[reviewDate]], "mmmm")</f>
        <v>April</v>
      </c>
      <c r="F1251" t="s">
        <v>248</v>
      </c>
      <c r="G1251" t="s">
        <v>1479</v>
      </c>
      <c r="H1251" t="s">
        <v>210</v>
      </c>
      <c r="I1251" t="s">
        <v>249</v>
      </c>
      <c r="J1251" t="s">
        <v>250</v>
      </c>
      <c r="K1251" t="s">
        <v>251</v>
      </c>
      <c r="L1251" t="s">
        <v>252</v>
      </c>
      <c r="M1251">
        <v>1524096000</v>
      </c>
      <c r="N1251" t="s">
        <v>1628</v>
      </c>
      <c r="O1251" t="s">
        <v>1628</v>
      </c>
      <c r="P1251" t="s">
        <v>1628</v>
      </c>
      <c r="Q1251">
        <f>LEN(AMAZON_FASHION_5__2[[#This Row],[reviewText]])</f>
        <v>125</v>
      </c>
      <c r="R1251" t="str">
        <f>IF(AMAZON_FASHION_5__2[[#This Row],[overall]]&gt;=4,"Positive",IF(AMAZON_FASHION_5__2[[#This Row],[overall]]&lt;=2,"Negative","Neutral"))</f>
        <v>Neutral</v>
      </c>
      <c r="S12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52" spans="1:19" x14ac:dyDescent="0.25">
      <c r="A1252">
        <v>5</v>
      </c>
      <c r="B1252" t="b">
        <v>1</v>
      </c>
      <c r="C1252" s="1">
        <v>43208</v>
      </c>
      <c r="D1252">
        <f>YEAR(AMAZON_FASHION_5__2[[#This Row],[reviewDate]])</f>
        <v>2018</v>
      </c>
      <c r="E1252" s="1" t="str">
        <f>TEXT(AMAZON_FASHION_5__2[[#This Row],[reviewDate]], "mmmm")</f>
        <v>April</v>
      </c>
      <c r="F1252" t="s">
        <v>253</v>
      </c>
      <c r="G1252" t="s">
        <v>1479</v>
      </c>
      <c r="H1252" t="s">
        <v>205</v>
      </c>
      <c r="I1252" t="s">
        <v>198</v>
      </c>
      <c r="J1252" t="s">
        <v>254</v>
      </c>
      <c r="K1252" t="s">
        <v>255</v>
      </c>
      <c r="L1252" t="s">
        <v>256</v>
      </c>
      <c r="M1252">
        <v>1524009600</v>
      </c>
      <c r="N1252" t="s">
        <v>1628</v>
      </c>
      <c r="O1252" t="s">
        <v>1628</v>
      </c>
      <c r="P1252" t="s">
        <v>1628</v>
      </c>
      <c r="Q1252">
        <f>LEN(AMAZON_FASHION_5__2[[#This Row],[reviewText]])</f>
        <v>123</v>
      </c>
      <c r="R1252" t="str">
        <f>IF(AMAZON_FASHION_5__2[[#This Row],[overall]]&gt;=4,"Positive",IF(AMAZON_FASHION_5__2[[#This Row],[overall]]&lt;=2,"Negative","Neutral"))</f>
        <v>Positive</v>
      </c>
      <c r="S12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53" spans="1:19" x14ac:dyDescent="0.25">
      <c r="A1253">
        <v>5</v>
      </c>
      <c r="B1253" t="b">
        <v>1</v>
      </c>
      <c r="C1253" s="1">
        <v>43208</v>
      </c>
      <c r="D1253">
        <f>YEAR(AMAZON_FASHION_5__2[[#This Row],[reviewDate]])</f>
        <v>2018</v>
      </c>
      <c r="E1253" s="1" t="str">
        <f>TEXT(AMAZON_FASHION_5__2[[#This Row],[reviewDate]], "mmmm")</f>
        <v>April</v>
      </c>
      <c r="F1253" t="s">
        <v>257</v>
      </c>
      <c r="G1253" t="s">
        <v>1479</v>
      </c>
      <c r="H1253" t="s">
        <v>197</v>
      </c>
      <c r="I1253" t="s">
        <v>249</v>
      </c>
      <c r="J1253" t="s">
        <v>63</v>
      </c>
      <c r="K1253" t="s">
        <v>258</v>
      </c>
      <c r="L1253" t="s">
        <v>259</v>
      </c>
      <c r="M1253">
        <v>1524009600</v>
      </c>
      <c r="N1253" t="s">
        <v>1628</v>
      </c>
      <c r="O1253" t="s">
        <v>1628</v>
      </c>
      <c r="P1253" t="s">
        <v>1628</v>
      </c>
      <c r="Q1253">
        <f>LEN(AMAZON_FASHION_5__2[[#This Row],[reviewText]])</f>
        <v>155</v>
      </c>
      <c r="R1253" t="str">
        <f>IF(AMAZON_FASHION_5__2[[#This Row],[overall]]&gt;=4,"Positive",IF(AMAZON_FASHION_5__2[[#This Row],[overall]]&lt;=2,"Negative","Neutral"))</f>
        <v>Positive</v>
      </c>
      <c r="S12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54" spans="1:19" x14ac:dyDescent="0.25">
      <c r="A1254">
        <v>5</v>
      </c>
      <c r="B1254" t="b">
        <v>1</v>
      </c>
      <c r="C1254" s="1">
        <v>43206</v>
      </c>
      <c r="D1254">
        <f>YEAR(AMAZON_FASHION_5__2[[#This Row],[reviewDate]])</f>
        <v>2018</v>
      </c>
      <c r="E1254" s="1" t="str">
        <f>TEXT(AMAZON_FASHION_5__2[[#This Row],[reviewDate]], "mmmm")</f>
        <v>April</v>
      </c>
      <c r="F1254" t="s">
        <v>260</v>
      </c>
      <c r="G1254" t="s">
        <v>1479</v>
      </c>
      <c r="H1254" t="s">
        <v>261</v>
      </c>
      <c r="I1254" t="s">
        <v>1455</v>
      </c>
      <c r="J1254" t="s">
        <v>263</v>
      </c>
      <c r="K1254" t="s">
        <v>264</v>
      </c>
      <c r="L1254" t="s">
        <v>265</v>
      </c>
      <c r="M1254">
        <v>1523836800</v>
      </c>
      <c r="N1254" t="s">
        <v>1628</v>
      </c>
      <c r="O1254" t="s">
        <v>1628</v>
      </c>
      <c r="P1254" t="s">
        <v>1628</v>
      </c>
      <c r="Q1254">
        <f>LEN(AMAZON_FASHION_5__2[[#This Row],[reviewText]])</f>
        <v>158</v>
      </c>
      <c r="R1254" t="str">
        <f>IF(AMAZON_FASHION_5__2[[#This Row],[overall]]&gt;=4,"Positive",IF(AMAZON_FASHION_5__2[[#This Row],[overall]]&lt;=2,"Negative","Neutral"))</f>
        <v>Positive</v>
      </c>
      <c r="S12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55" spans="1:19" x14ac:dyDescent="0.25">
      <c r="A1255">
        <v>5</v>
      </c>
      <c r="B1255" t="b">
        <v>1</v>
      </c>
      <c r="C1255" s="1">
        <v>43205</v>
      </c>
      <c r="D1255">
        <f>YEAR(AMAZON_FASHION_5__2[[#This Row],[reviewDate]])</f>
        <v>2018</v>
      </c>
      <c r="E1255" s="1" t="str">
        <f>TEXT(AMAZON_FASHION_5__2[[#This Row],[reviewDate]], "mmmm")</f>
        <v>April</v>
      </c>
      <c r="F1255" t="s">
        <v>266</v>
      </c>
      <c r="G1255" t="s">
        <v>1479</v>
      </c>
      <c r="H1255" t="s">
        <v>210</v>
      </c>
      <c r="I1255" t="s">
        <v>198</v>
      </c>
      <c r="J1255" t="s">
        <v>267</v>
      </c>
      <c r="K1255" t="s">
        <v>268</v>
      </c>
      <c r="L1255" t="s">
        <v>269</v>
      </c>
      <c r="M1255">
        <v>1523750400</v>
      </c>
      <c r="N1255" t="s">
        <v>1628</v>
      </c>
      <c r="O1255" t="s">
        <v>1628</v>
      </c>
      <c r="P1255" t="s">
        <v>1628</v>
      </c>
      <c r="Q1255">
        <f>LEN(AMAZON_FASHION_5__2[[#This Row],[reviewText]])</f>
        <v>774</v>
      </c>
      <c r="R1255" t="str">
        <f>IF(AMAZON_FASHION_5__2[[#This Row],[overall]]&gt;=4,"Positive",IF(AMAZON_FASHION_5__2[[#This Row],[overall]]&lt;=2,"Negative","Neutral"))</f>
        <v>Positive</v>
      </c>
      <c r="S12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56" spans="1:19" x14ac:dyDescent="0.25">
      <c r="A1256">
        <v>3</v>
      </c>
      <c r="B1256" t="b">
        <v>1</v>
      </c>
      <c r="C1256" s="1">
        <v>43203</v>
      </c>
      <c r="D1256">
        <f>YEAR(AMAZON_FASHION_5__2[[#This Row],[reviewDate]])</f>
        <v>2018</v>
      </c>
      <c r="E1256" s="1" t="str">
        <f>TEXT(AMAZON_FASHION_5__2[[#This Row],[reviewDate]], "mmmm")</f>
        <v>April</v>
      </c>
      <c r="F1256" t="s">
        <v>270</v>
      </c>
      <c r="G1256" t="s">
        <v>1479</v>
      </c>
      <c r="H1256" t="s">
        <v>201</v>
      </c>
      <c r="I1256" t="s">
        <v>249</v>
      </c>
      <c r="J1256" t="s">
        <v>271</v>
      </c>
      <c r="K1256" t="s">
        <v>272</v>
      </c>
      <c r="L1256" t="s">
        <v>101</v>
      </c>
      <c r="M1256">
        <v>1523577600</v>
      </c>
      <c r="N1256" t="s">
        <v>1628</v>
      </c>
      <c r="O1256" t="s">
        <v>1628</v>
      </c>
      <c r="P1256" t="s">
        <v>1628</v>
      </c>
      <c r="Q1256">
        <f>LEN(AMAZON_FASHION_5__2[[#This Row],[reviewText]])</f>
        <v>85</v>
      </c>
      <c r="R1256" t="str">
        <f>IF(AMAZON_FASHION_5__2[[#This Row],[overall]]&gt;=4,"Positive",IF(AMAZON_FASHION_5__2[[#This Row],[overall]]&lt;=2,"Negative","Neutral"))</f>
        <v>Neutral</v>
      </c>
      <c r="S12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57" spans="1:19" x14ac:dyDescent="0.25">
      <c r="A1257">
        <v>3</v>
      </c>
      <c r="B1257" t="b">
        <v>1</v>
      </c>
      <c r="C1257" s="1">
        <v>43199</v>
      </c>
      <c r="D1257">
        <f>YEAR(AMAZON_FASHION_5__2[[#This Row],[reviewDate]])</f>
        <v>2018</v>
      </c>
      <c r="E1257" s="1" t="str">
        <f>TEXT(AMAZON_FASHION_5__2[[#This Row],[reviewDate]], "mmmm")</f>
        <v>April</v>
      </c>
      <c r="F1257" t="s">
        <v>273</v>
      </c>
      <c r="G1257" t="s">
        <v>1479</v>
      </c>
      <c r="H1257" t="s">
        <v>197</v>
      </c>
      <c r="I1257" t="s">
        <v>274</v>
      </c>
      <c r="J1257" t="s">
        <v>275</v>
      </c>
      <c r="K1257" t="s">
        <v>276</v>
      </c>
      <c r="L1257" t="s">
        <v>101</v>
      </c>
      <c r="M1257">
        <v>1523232000</v>
      </c>
      <c r="N1257" t="s">
        <v>1628</v>
      </c>
      <c r="O1257" t="s">
        <v>1628</v>
      </c>
      <c r="P1257" t="s">
        <v>1628</v>
      </c>
      <c r="Q1257">
        <f>LEN(AMAZON_FASHION_5__2[[#This Row],[reviewText]])</f>
        <v>4</v>
      </c>
      <c r="R1257" t="str">
        <f>IF(AMAZON_FASHION_5__2[[#This Row],[overall]]&gt;=4,"Positive",IF(AMAZON_FASHION_5__2[[#This Row],[overall]]&lt;=2,"Negative","Neutral"))</f>
        <v>Neutral</v>
      </c>
      <c r="S12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58" spans="1:19" x14ac:dyDescent="0.25">
      <c r="A1258">
        <v>5</v>
      </c>
      <c r="B1258" t="b">
        <v>1</v>
      </c>
      <c r="C1258" s="1">
        <v>43199</v>
      </c>
      <c r="D1258">
        <f>YEAR(AMAZON_FASHION_5__2[[#This Row],[reviewDate]])</f>
        <v>2018</v>
      </c>
      <c r="E1258" s="1" t="str">
        <f>TEXT(AMAZON_FASHION_5__2[[#This Row],[reviewDate]], "mmmm")</f>
        <v>April</v>
      </c>
      <c r="F1258" t="s">
        <v>277</v>
      </c>
      <c r="G1258" t="s">
        <v>1479</v>
      </c>
      <c r="H1258" t="s">
        <v>197</v>
      </c>
      <c r="I1258" t="s">
        <v>198</v>
      </c>
      <c r="J1258" t="s">
        <v>278</v>
      </c>
      <c r="K1258" t="s">
        <v>279</v>
      </c>
      <c r="L1258" t="s">
        <v>17</v>
      </c>
      <c r="M1258">
        <v>1523232000</v>
      </c>
      <c r="N1258" t="s">
        <v>1628</v>
      </c>
      <c r="O1258" t="s">
        <v>1628</v>
      </c>
      <c r="P1258" t="s">
        <v>1628</v>
      </c>
      <c r="Q1258">
        <f>LEN(AMAZON_FASHION_5__2[[#This Row],[reviewText]])</f>
        <v>7</v>
      </c>
      <c r="R1258" t="str">
        <f>IF(AMAZON_FASHION_5__2[[#This Row],[overall]]&gt;=4,"Positive",IF(AMAZON_FASHION_5__2[[#This Row],[overall]]&lt;=2,"Negative","Neutral"))</f>
        <v>Positive</v>
      </c>
      <c r="S12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59" spans="1:19" x14ac:dyDescent="0.25">
      <c r="A1259">
        <v>5</v>
      </c>
      <c r="B1259" t="b">
        <v>1</v>
      </c>
      <c r="C1259" s="1">
        <v>43198</v>
      </c>
      <c r="D1259">
        <f>YEAR(AMAZON_FASHION_5__2[[#This Row],[reviewDate]])</f>
        <v>2018</v>
      </c>
      <c r="E1259" s="1" t="str">
        <f>TEXT(AMAZON_FASHION_5__2[[#This Row],[reviewDate]], "mmmm")</f>
        <v>April</v>
      </c>
      <c r="F1259" t="s">
        <v>280</v>
      </c>
      <c r="G1259" t="s">
        <v>1479</v>
      </c>
      <c r="H1259" t="s">
        <v>201</v>
      </c>
      <c r="I1259" t="s">
        <v>198</v>
      </c>
      <c r="J1259" t="s">
        <v>281</v>
      </c>
      <c r="K1259" t="s">
        <v>282</v>
      </c>
      <c r="L1259" t="s">
        <v>247</v>
      </c>
      <c r="M1259">
        <v>1523145600</v>
      </c>
      <c r="N1259" t="s">
        <v>1628</v>
      </c>
      <c r="O1259" t="s">
        <v>1628</v>
      </c>
      <c r="P1259" t="s">
        <v>1628</v>
      </c>
      <c r="Q1259">
        <f>LEN(AMAZON_FASHION_5__2[[#This Row],[reviewText]])</f>
        <v>157</v>
      </c>
      <c r="R1259" t="str">
        <f>IF(AMAZON_FASHION_5__2[[#This Row],[overall]]&gt;=4,"Positive",IF(AMAZON_FASHION_5__2[[#This Row],[overall]]&lt;=2,"Negative","Neutral"))</f>
        <v>Positive</v>
      </c>
      <c r="S12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60" spans="1:19" x14ac:dyDescent="0.25">
      <c r="A1260">
        <v>5</v>
      </c>
      <c r="B1260" t="b">
        <v>1</v>
      </c>
      <c r="C1260" s="1">
        <v>43197</v>
      </c>
      <c r="D1260">
        <f>YEAR(AMAZON_FASHION_5__2[[#This Row],[reviewDate]])</f>
        <v>2018</v>
      </c>
      <c r="E1260" s="1" t="str">
        <f>TEXT(AMAZON_FASHION_5__2[[#This Row],[reviewDate]], "mmmm")</f>
        <v>April</v>
      </c>
      <c r="F1260" t="s">
        <v>283</v>
      </c>
      <c r="G1260" t="s">
        <v>1479</v>
      </c>
      <c r="H1260" t="s">
        <v>284</v>
      </c>
      <c r="I1260" t="s">
        <v>274</v>
      </c>
      <c r="J1260" t="s">
        <v>285</v>
      </c>
      <c r="K1260" t="s">
        <v>18</v>
      </c>
      <c r="L1260" t="s">
        <v>17</v>
      </c>
      <c r="M1260">
        <v>1523059200</v>
      </c>
      <c r="N1260" t="s">
        <v>1628</v>
      </c>
      <c r="O1260" t="s">
        <v>1628</v>
      </c>
      <c r="P1260" t="s">
        <v>1628</v>
      </c>
      <c r="Q1260">
        <f>LEN(AMAZON_FASHION_5__2[[#This Row],[reviewText]])</f>
        <v>0</v>
      </c>
      <c r="R1260" t="str">
        <f>IF(AMAZON_FASHION_5__2[[#This Row],[overall]]&gt;=4,"Positive",IF(AMAZON_FASHION_5__2[[#This Row],[overall]]&lt;=2,"Negative","Neutral"))</f>
        <v>Positive</v>
      </c>
      <c r="S12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61" spans="1:19" x14ac:dyDescent="0.25">
      <c r="A1261">
        <v>5</v>
      </c>
      <c r="B1261" t="b">
        <v>1</v>
      </c>
      <c r="C1261" s="1">
        <v>43194</v>
      </c>
      <c r="D1261">
        <f>YEAR(AMAZON_FASHION_5__2[[#This Row],[reviewDate]])</f>
        <v>2018</v>
      </c>
      <c r="E1261" s="1" t="str">
        <f>TEXT(AMAZON_FASHION_5__2[[#This Row],[reviewDate]], "mmmm")</f>
        <v>April</v>
      </c>
      <c r="F1261" t="s">
        <v>286</v>
      </c>
      <c r="G1261" t="s">
        <v>1479</v>
      </c>
      <c r="H1261" t="s">
        <v>210</v>
      </c>
      <c r="I1261" t="s">
        <v>198</v>
      </c>
      <c r="J1261" t="s">
        <v>287</v>
      </c>
      <c r="K1261" t="s">
        <v>288</v>
      </c>
      <c r="L1261" t="s">
        <v>289</v>
      </c>
      <c r="M1261">
        <v>1522800000</v>
      </c>
      <c r="N1261" t="s">
        <v>1628</v>
      </c>
      <c r="O1261" t="s">
        <v>1628</v>
      </c>
      <c r="P1261" t="s">
        <v>1628</v>
      </c>
      <c r="Q1261">
        <f>LEN(AMAZON_FASHION_5__2[[#This Row],[reviewText]])</f>
        <v>35</v>
      </c>
      <c r="R1261" t="str">
        <f>IF(AMAZON_FASHION_5__2[[#This Row],[overall]]&gt;=4,"Positive",IF(AMAZON_FASHION_5__2[[#This Row],[overall]]&lt;=2,"Negative","Neutral"))</f>
        <v>Positive</v>
      </c>
      <c r="S12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62" spans="1:19" x14ac:dyDescent="0.25">
      <c r="A1262">
        <v>4</v>
      </c>
      <c r="B1262" t="b">
        <v>1</v>
      </c>
      <c r="C1262" s="1">
        <v>43193</v>
      </c>
      <c r="D1262">
        <f>YEAR(AMAZON_FASHION_5__2[[#This Row],[reviewDate]])</f>
        <v>2018</v>
      </c>
      <c r="E1262" s="1" t="str">
        <f>TEXT(AMAZON_FASHION_5__2[[#This Row],[reviewDate]], "mmmm")</f>
        <v>April</v>
      </c>
      <c r="F1262" t="s">
        <v>290</v>
      </c>
      <c r="G1262" t="s">
        <v>1479</v>
      </c>
      <c r="H1262" t="s">
        <v>230</v>
      </c>
      <c r="I1262" t="s">
        <v>274</v>
      </c>
      <c r="J1262" t="s">
        <v>291</v>
      </c>
      <c r="K1262" t="s">
        <v>292</v>
      </c>
      <c r="L1262" t="s">
        <v>293</v>
      </c>
      <c r="M1262">
        <v>1522713600</v>
      </c>
      <c r="N1262" t="s">
        <v>1628</v>
      </c>
      <c r="O1262" t="s">
        <v>1628</v>
      </c>
      <c r="P1262" t="s">
        <v>1628</v>
      </c>
      <c r="Q1262">
        <f>LEN(AMAZON_FASHION_5__2[[#This Row],[reviewText]])</f>
        <v>213</v>
      </c>
      <c r="R1262" t="str">
        <f>IF(AMAZON_FASHION_5__2[[#This Row],[overall]]&gt;=4,"Positive",IF(AMAZON_FASHION_5__2[[#This Row],[overall]]&lt;=2,"Negative","Neutral"))</f>
        <v>Positive</v>
      </c>
      <c r="S12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63" spans="1:19" x14ac:dyDescent="0.25">
      <c r="A1263">
        <v>5</v>
      </c>
      <c r="B1263" t="b">
        <v>1</v>
      </c>
      <c r="C1263" s="1">
        <v>43193</v>
      </c>
      <c r="D1263">
        <f>YEAR(AMAZON_FASHION_5__2[[#This Row],[reviewDate]])</f>
        <v>2018</v>
      </c>
      <c r="E1263" s="1" t="str">
        <f>TEXT(AMAZON_FASHION_5__2[[#This Row],[reviewDate]], "mmmm")</f>
        <v>April</v>
      </c>
      <c r="F1263" t="s">
        <v>294</v>
      </c>
      <c r="G1263" t="s">
        <v>1479</v>
      </c>
      <c r="H1263" t="s">
        <v>210</v>
      </c>
      <c r="I1263" t="s">
        <v>198</v>
      </c>
      <c r="J1263" t="s">
        <v>295</v>
      </c>
      <c r="K1263" t="s">
        <v>296</v>
      </c>
      <c r="L1263" t="s">
        <v>297</v>
      </c>
      <c r="M1263">
        <v>1522713600</v>
      </c>
      <c r="N1263" t="s">
        <v>1628</v>
      </c>
      <c r="O1263" t="s">
        <v>1628</v>
      </c>
      <c r="P1263" t="s">
        <v>1628</v>
      </c>
      <c r="Q1263">
        <f>LEN(AMAZON_FASHION_5__2[[#This Row],[reviewText]])</f>
        <v>105</v>
      </c>
      <c r="R1263" t="str">
        <f>IF(AMAZON_FASHION_5__2[[#This Row],[overall]]&gt;=4,"Positive",IF(AMAZON_FASHION_5__2[[#This Row],[overall]]&lt;=2,"Negative","Neutral"))</f>
        <v>Positive</v>
      </c>
      <c r="S12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64" spans="1:19" x14ac:dyDescent="0.25">
      <c r="A1264">
        <v>5</v>
      </c>
      <c r="B1264" t="b">
        <v>1</v>
      </c>
      <c r="C1264" s="1">
        <v>43190</v>
      </c>
      <c r="D1264">
        <f>YEAR(AMAZON_FASHION_5__2[[#This Row],[reviewDate]])</f>
        <v>2018</v>
      </c>
      <c r="E1264" s="1" t="str">
        <f>TEXT(AMAZON_FASHION_5__2[[#This Row],[reviewDate]], "mmmm")</f>
        <v>March</v>
      </c>
      <c r="F1264" t="s">
        <v>298</v>
      </c>
      <c r="G1264" t="s">
        <v>1479</v>
      </c>
      <c r="H1264" t="s">
        <v>230</v>
      </c>
      <c r="I1264" t="s">
        <v>198</v>
      </c>
      <c r="J1264" t="s">
        <v>299</v>
      </c>
      <c r="K1264" t="s">
        <v>300</v>
      </c>
      <c r="L1264" t="s">
        <v>301</v>
      </c>
      <c r="M1264">
        <v>1522454400</v>
      </c>
      <c r="N1264" t="s">
        <v>1628</v>
      </c>
      <c r="O1264" t="s">
        <v>1628</v>
      </c>
      <c r="P1264" t="s">
        <v>1628</v>
      </c>
      <c r="Q1264">
        <f>LEN(AMAZON_FASHION_5__2[[#This Row],[reviewText]])</f>
        <v>48</v>
      </c>
      <c r="R1264" t="str">
        <f>IF(AMAZON_FASHION_5__2[[#This Row],[overall]]&gt;=4,"Positive",IF(AMAZON_FASHION_5__2[[#This Row],[overall]]&lt;=2,"Negative","Neutral"))</f>
        <v>Positive</v>
      </c>
      <c r="S12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65" spans="1:19" x14ac:dyDescent="0.25">
      <c r="A1265">
        <v>5</v>
      </c>
      <c r="B1265" t="b">
        <v>1</v>
      </c>
      <c r="C1265" s="1">
        <v>43187</v>
      </c>
      <c r="D1265">
        <f>YEAR(AMAZON_FASHION_5__2[[#This Row],[reviewDate]])</f>
        <v>2018</v>
      </c>
      <c r="E1265" s="1" t="str">
        <f>TEXT(AMAZON_FASHION_5__2[[#This Row],[reviewDate]], "mmmm")</f>
        <v>March</v>
      </c>
      <c r="F1265" t="s">
        <v>302</v>
      </c>
      <c r="G1265" t="s">
        <v>1479</v>
      </c>
      <c r="H1265" t="s">
        <v>197</v>
      </c>
      <c r="I1265" t="s">
        <v>303</v>
      </c>
      <c r="J1265" t="s">
        <v>304</v>
      </c>
      <c r="K1265" t="s">
        <v>305</v>
      </c>
      <c r="L1265" t="s">
        <v>306</v>
      </c>
      <c r="M1265">
        <v>1522195200</v>
      </c>
      <c r="N1265" t="s">
        <v>1628</v>
      </c>
      <c r="O1265" t="s">
        <v>1628</v>
      </c>
      <c r="P1265" t="s">
        <v>1628</v>
      </c>
      <c r="Q1265">
        <f>LEN(AMAZON_FASHION_5__2[[#This Row],[reviewText]])</f>
        <v>90</v>
      </c>
      <c r="R1265" t="str">
        <f>IF(AMAZON_FASHION_5__2[[#This Row],[overall]]&gt;=4,"Positive",IF(AMAZON_FASHION_5__2[[#This Row],[overall]]&lt;=2,"Negative","Neutral"))</f>
        <v>Positive</v>
      </c>
      <c r="S12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66" spans="1:19" x14ac:dyDescent="0.25">
      <c r="A1266">
        <v>3</v>
      </c>
      <c r="B1266" t="b">
        <v>1</v>
      </c>
      <c r="C1266" s="1">
        <v>43186</v>
      </c>
      <c r="D1266">
        <f>YEAR(AMAZON_FASHION_5__2[[#This Row],[reviewDate]])</f>
        <v>2018</v>
      </c>
      <c r="E1266" s="1" t="str">
        <f>TEXT(AMAZON_FASHION_5__2[[#This Row],[reviewDate]], "mmmm")</f>
        <v>March</v>
      </c>
      <c r="F1266" t="s">
        <v>307</v>
      </c>
      <c r="G1266" t="s">
        <v>1479</v>
      </c>
      <c r="H1266" t="s">
        <v>230</v>
      </c>
      <c r="I1266" t="s">
        <v>274</v>
      </c>
      <c r="J1266" t="s">
        <v>308</v>
      </c>
      <c r="K1266" t="s">
        <v>309</v>
      </c>
      <c r="L1266" t="s">
        <v>310</v>
      </c>
      <c r="M1266">
        <v>1522108800</v>
      </c>
      <c r="N1266" t="s">
        <v>1628</v>
      </c>
      <c r="O1266" t="s">
        <v>1628</v>
      </c>
      <c r="P1266" t="s">
        <v>1628</v>
      </c>
      <c r="Q1266">
        <f>LEN(AMAZON_FASHION_5__2[[#This Row],[reviewText]])</f>
        <v>121</v>
      </c>
      <c r="R1266" t="str">
        <f>IF(AMAZON_FASHION_5__2[[#This Row],[overall]]&gt;=4,"Positive",IF(AMAZON_FASHION_5__2[[#This Row],[overall]]&lt;=2,"Negative","Neutral"))</f>
        <v>Neutral</v>
      </c>
      <c r="S12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67" spans="1:19" x14ac:dyDescent="0.25">
      <c r="A1267">
        <v>5</v>
      </c>
      <c r="B1267" t="b">
        <v>1</v>
      </c>
      <c r="C1267" s="1">
        <v>43181</v>
      </c>
      <c r="D1267">
        <f>YEAR(AMAZON_FASHION_5__2[[#This Row],[reviewDate]])</f>
        <v>2018</v>
      </c>
      <c r="E1267" s="1" t="str">
        <f>TEXT(AMAZON_FASHION_5__2[[#This Row],[reviewDate]], "mmmm")</f>
        <v>March</v>
      </c>
      <c r="F1267" t="s">
        <v>311</v>
      </c>
      <c r="G1267" t="s">
        <v>1479</v>
      </c>
      <c r="H1267" t="s">
        <v>210</v>
      </c>
      <c r="I1267" t="s">
        <v>249</v>
      </c>
      <c r="J1267" t="s">
        <v>312</v>
      </c>
      <c r="K1267" t="s">
        <v>313</v>
      </c>
      <c r="L1267" t="s">
        <v>314</v>
      </c>
      <c r="M1267">
        <v>1521676800</v>
      </c>
      <c r="N1267" t="s">
        <v>1628</v>
      </c>
      <c r="O1267" t="s">
        <v>1628</v>
      </c>
      <c r="P1267" t="s">
        <v>1628</v>
      </c>
      <c r="Q1267">
        <f>LEN(AMAZON_FASHION_5__2[[#This Row],[reviewText]])</f>
        <v>277</v>
      </c>
      <c r="R1267" t="str">
        <f>IF(AMAZON_FASHION_5__2[[#This Row],[overall]]&gt;=4,"Positive",IF(AMAZON_FASHION_5__2[[#This Row],[overall]]&lt;=2,"Negative","Neutral"))</f>
        <v>Positive</v>
      </c>
      <c r="S12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68" spans="1:19" x14ac:dyDescent="0.25">
      <c r="A1268">
        <v>5</v>
      </c>
      <c r="B1268" t="b">
        <v>1</v>
      </c>
      <c r="C1268" s="1">
        <v>43181</v>
      </c>
      <c r="D1268">
        <f>YEAR(AMAZON_FASHION_5__2[[#This Row],[reviewDate]])</f>
        <v>2018</v>
      </c>
      <c r="E1268" s="1" t="str">
        <f>TEXT(AMAZON_FASHION_5__2[[#This Row],[reviewDate]], "mmmm")</f>
        <v>March</v>
      </c>
      <c r="F1268" t="s">
        <v>315</v>
      </c>
      <c r="G1268" t="s">
        <v>1479</v>
      </c>
      <c r="H1268" t="s">
        <v>205</v>
      </c>
      <c r="I1268" t="s">
        <v>198</v>
      </c>
      <c r="J1268" t="s">
        <v>316</v>
      </c>
      <c r="K1268" t="s">
        <v>317</v>
      </c>
      <c r="L1268" t="s">
        <v>318</v>
      </c>
      <c r="M1268">
        <v>1521676800</v>
      </c>
      <c r="N1268" t="s">
        <v>1628</v>
      </c>
      <c r="O1268" t="s">
        <v>1628</v>
      </c>
      <c r="P1268" t="s">
        <v>1628</v>
      </c>
      <c r="Q1268">
        <f>LEN(AMAZON_FASHION_5__2[[#This Row],[reviewText]])</f>
        <v>129</v>
      </c>
      <c r="R1268" t="str">
        <f>IF(AMAZON_FASHION_5__2[[#This Row],[overall]]&gt;=4,"Positive",IF(AMAZON_FASHION_5__2[[#This Row],[overall]]&lt;=2,"Negative","Neutral"))</f>
        <v>Positive</v>
      </c>
      <c r="S12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69" spans="1:19" x14ac:dyDescent="0.25">
      <c r="A1269">
        <v>5</v>
      </c>
      <c r="B1269" t="b">
        <v>1</v>
      </c>
      <c r="C1269" s="1">
        <v>43180</v>
      </c>
      <c r="D1269">
        <f>YEAR(AMAZON_FASHION_5__2[[#This Row],[reviewDate]])</f>
        <v>2018</v>
      </c>
      <c r="E1269" s="1" t="str">
        <f>TEXT(AMAZON_FASHION_5__2[[#This Row],[reviewDate]], "mmmm")</f>
        <v>March</v>
      </c>
      <c r="F1269" t="s">
        <v>319</v>
      </c>
      <c r="G1269" t="s">
        <v>1479</v>
      </c>
      <c r="H1269" t="s">
        <v>320</v>
      </c>
      <c r="I1269" t="s">
        <v>274</v>
      </c>
      <c r="J1269" t="s">
        <v>321</v>
      </c>
      <c r="K1269" t="s">
        <v>322</v>
      </c>
      <c r="L1269" t="s">
        <v>17</v>
      </c>
      <c r="M1269">
        <v>1521590400</v>
      </c>
      <c r="N1269" t="s">
        <v>1628</v>
      </c>
      <c r="O1269" t="s">
        <v>1628</v>
      </c>
      <c r="P1269" t="s">
        <v>1628</v>
      </c>
      <c r="Q1269">
        <f>LEN(AMAZON_FASHION_5__2[[#This Row],[reviewText]])</f>
        <v>56</v>
      </c>
      <c r="R1269" t="str">
        <f>IF(AMAZON_FASHION_5__2[[#This Row],[overall]]&gt;=4,"Positive",IF(AMAZON_FASHION_5__2[[#This Row],[overall]]&lt;=2,"Negative","Neutral"))</f>
        <v>Positive</v>
      </c>
      <c r="S12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70" spans="1:19" x14ac:dyDescent="0.25">
      <c r="A1270">
        <v>5</v>
      </c>
      <c r="B1270" t="b">
        <v>1</v>
      </c>
      <c r="C1270" s="1">
        <v>43179</v>
      </c>
      <c r="D1270">
        <f>YEAR(AMAZON_FASHION_5__2[[#This Row],[reviewDate]])</f>
        <v>2018</v>
      </c>
      <c r="E1270" s="1" t="str">
        <f>TEXT(AMAZON_FASHION_5__2[[#This Row],[reviewDate]], "mmmm")</f>
        <v>March</v>
      </c>
      <c r="F1270" t="s">
        <v>323</v>
      </c>
      <c r="G1270" t="s">
        <v>1479</v>
      </c>
      <c r="H1270" t="s">
        <v>201</v>
      </c>
      <c r="I1270" t="s">
        <v>198</v>
      </c>
      <c r="J1270" t="s">
        <v>324</v>
      </c>
      <c r="K1270" t="s">
        <v>325</v>
      </c>
      <c r="L1270" t="s">
        <v>326</v>
      </c>
      <c r="M1270">
        <v>1521504000</v>
      </c>
      <c r="N1270" t="s">
        <v>1628</v>
      </c>
      <c r="O1270" t="s">
        <v>1628</v>
      </c>
      <c r="P1270" t="s">
        <v>1628</v>
      </c>
      <c r="Q1270">
        <f>LEN(AMAZON_FASHION_5__2[[#This Row],[reviewText]])</f>
        <v>137</v>
      </c>
      <c r="R1270" t="str">
        <f>IF(AMAZON_FASHION_5__2[[#This Row],[overall]]&gt;=4,"Positive",IF(AMAZON_FASHION_5__2[[#This Row],[overall]]&lt;=2,"Negative","Neutral"))</f>
        <v>Positive</v>
      </c>
      <c r="S12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71" spans="1:19" x14ac:dyDescent="0.25">
      <c r="A1271">
        <v>5</v>
      </c>
      <c r="B1271" t="b">
        <v>1</v>
      </c>
      <c r="C1271" s="1">
        <v>43178</v>
      </c>
      <c r="D1271">
        <f>YEAR(AMAZON_FASHION_5__2[[#This Row],[reviewDate]])</f>
        <v>2018</v>
      </c>
      <c r="E1271" s="1" t="str">
        <f>TEXT(AMAZON_FASHION_5__2[[#This Row],[reviewDate]], "mmmm")</f>
        <v>March</v>
      </c>
      <c r="F1271" t="s">
        <v>327</v>
      </c>
      <c r="G1271" t="s">
        <v>1479</v>
      </c>
      <c r="H1271" t="s">
        <v>230</v>
      </c>
      <c r="I1271" t="s">
        <v>198</v>
      </c>
      <c r="J1271" t="s">
        <v>328</v>
      </c>
      <c r="K1271" t="s">
        <v>329</v>
      </c>
      <c r="L1271" t="s">
        <v>330</v>
      </c>
      <c r="M1271">
        <v>1521417600</v>
      </c>
      <c r="N1271" t="s">
        <v>1628</v>
      </c>
      <c r="O1271" t="s">
        <v>1628</v>
      </c>
      <c r="P1271" t="s">
        <v>1628</v>
      </c>
      <c r="Q1271">
        <f>LEN(AMAZON_FASHION_5__2[[#This Row],[reviewText]])</f>
        <v>211</v>
      </c>
      <c r="R1271" t="str">
        <f>IF(AMAZON_FASHION_5__2[[#This Row],[overall]]&gt;=4,"Positive",IF(AMAZON_FASHION_5__2[[#This Row],[overall]]&lt;=2,"Negative","Neutral"))</f>
        <v>Positive</v>
      </c>
      <c r="S12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72" spans="1:19" x14ac:dyDescent="0.25">
      <c r="A1272">
        <v>5</v>
      </c>
      <c r="B1272" t="b">
        <v>1</v>
      </c>
      <c r="C1272" s="1">
        <v>43178</v>
      </c>
      <c r="D1272">
        <f>YEAR(AMAZON_FASHION_5__2[[#This Row],[reviewDate]])</f>
        <v>2018</v>
      </c>
      <c r="E1272" s="1" t="str">
        <f>TEXT(AMAZON_FASHION_5__2[[#This Row],[reviewDate]], "mmmm")</f>
        <v>March</v>
      </c>
      <c r="F1272" t="s">
        <v>331</v>
      </c>
      <c r="G1272" t="s">
        <v>1479</v>
      </c>
      <c r="H1272" t="s">
        <v>230</v>
      </c>
      <c r="I1272" t="s">
        <v>303</v>
      </c>
      <c r="J1272" t="s">
        <v>332</v>
      </c>
      <c r="K1272" t="s">
        <v>333</v>
      </c>
      <c r="L1272" t="s">
        <v>17</v>
      </c>
      <c r="M1272">
        <v>1521417600</v>
      </c>
      <c r="N1272" t="s">
        <v>1628</v>
      </c>
      <c r="O1272" t="s">
        <v>1628</v>
      </c>
      <c r="P1272" t="s">
        <v>1628</v>
      </c>
      <c r="Q1272">
        <f>LEN(AMAZON_FASHION_5__2[[#This Row],[reviewText]])</f>
        <v>15</v>
      </c>
      <c r="R1272" t="str">
        <f>IF(AMAZON_FASHION_5__2[[#This Row],[overall]]&gt;=4,"Positive",IF(AMAZON_FASHION_5__2[[#This Row],[overall]]&lt;=2,"Negative","Neutral"))</f>
        <v>Positive</v>
      </c>
      <c r="S12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73" spans="1:19" x14ac:dyDescent="0.25">
      <c r="A1273">
        <v>4</v>
      </c>
      <c r="B1273" t="b">
        <v>1</v>
      </c>
      <c r="C1273" s="1">
        <v>43176</v>
      </c>
      <c r="D1273">
        <f>YEAR(AMAZON_FASHION_5__2[[#This Row],[reviewDate]])</f>
        <v>2018</v>
      </c>
      <c r="E1273" s="1" t="str">
        <f>TEXT(AMAZON_FASHION_5__2[[#This Row],[reviewDate]], "mmmm")</f>
        <v>March</v>
      </c>
      <c r="F1273" t="s">
        <v>334</v>
      </c>
      <c r="G1273" t="s">
        <v>1479</v>
      </c>
      <c r="H1273" t="s">
        <v>335</v>
      </c>
      <c r="I1273" t="s">
        <v>336</v>
      </c>
      <c r="J1273" t="s">
        <v>337</v>
      </c>
      <c r="K1273" t="s">
        <v>338</v>
      </c>
      <c r="L1273" t="s">
        <v>339</v>
      </c>
      <c r="M1273">
        <v>1521244800</v>
      </c>
      <c r="N1273" t="s">
        <v>1628</v>
      </c>
      <c r="O1273" t="s">
        <v>1628</v>
      </c>
      <c r="P1273" t="s">
        <v>1628</v>
      </c>
      <c r="Q1273">
        <f>LEN(AMAZON_FASHION_5__2[[#This Row],[reviewText]])</f>
        <v>127</v>
      </c>
      <c r="R1273" t="str">
        <f>IF(AMAZON_FASHION_5__2[[#This Row],[overall]]&gt;=4,"Positive",IF(AMAZON_FASHION_5__2[[#This Row],[overall]]&lt;=2,"Negative","Neutral"))</f>
        <v>Positive</v>
      </c>
      <c r="S12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74" spans="1:19" x14ac:dyDescent="0.25">
      <c r="A1274">
        <v>5</v>
      </c>
      <c r="B1274" t="b">
        <v>1</v>
      </c>
      <c r="C1274" s="1">
        <v>43172</v>
      </c>
      <c r="D1274">
        <f>YEAR(AMAZON_FASHION_5__2[[#This Row],[reviewDate]])</f>
        <v>2018</v>
      </c>
      <c r="E1274" s="1" t="str">
        <f>TEXT(AMAZON_FASHION_5__2[[#This Row],[reviewDate]], "mmmm")</f>
        <v>March</v>
      </c>
      <c r="F1274" t="s">
        <v>340</v>
      </c>
      <c r="G1274" t="s">
        <v>1479</v>
      </c>
      <c r="H1274" t="s">
        <v>235</v>
      </c>
      <c r="I1274" t="s">
        <v>198</v>
      </c>
      <c r="J1274" t="s">
        <v>341</v>
      </c>
      <c r="K1274" t="s">
        <v>342</v>
      </c>
      <c r="L1274" t="s">
        <v>269</v>
      </c>
      <c r="M1274">
        <v>1520899200</v>
      </c>
      <c r="N1274" t="s">
        <v>1628</v>
      </c>
      <c r="O1274" t="s">
        <v>1628</v>
      </c>
      <c r="P1274" t="s">
        <v>1628</v>
      </c>
      <c r="Q1274">
        <f>LEN(AMAZON_FASHION_5__2[[#This Row],[reviewText]])</f>
        <v>174</v>
      </c>
      <c r="R1274" t="str">
        <f>IF(AMAZON_FASHION_5__2[[#This Row],[overall]]&gt;=4,"Positive",IF(AMAZON_FASHION_5__2[[#This Row],[overall]]&lt;=2,"Negative","Neutral"))</f>
        <v>Positive</v>
      </c>
      <c r="S12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75" spans="1:19" x14ac:dyDescent="0.25">
      <c r="A1275">
        <v>1</v>
      </c>
      <c r="B1275" t="b">
        <v>1</v>
      </c>
      <c r="C1275" s="1">
        <v>43170</v>
      </c>
      <c r="D1275">
        <f>YEAR(AMAZON_FASHION_5__2[[#This Row],[reviewDate]])</f>
        <v>2018</v>
      </c>
      <c r="E1275" s="1" t="str">
        <f>TEXT(AMAZON_FASHION_5__2[[#This Row],[reviewDate]], "mmmm")</f>
        <v>March</v>
      </c>
      <c r="F1275" t="s">
        <v>343</v>
      </c>
      <c r="G1275" t="s">
        <v>1479</v>
      </c>
      <c r="H1275" t="s">
        <v>205</v>
      </c>
      <c r="I1275" t="s">
        <v>344</v>
      </c>
      <c r="J1275" t="s">
        <v>345</v>
      </c>
      <c r="K1275" t="s">
        <v>346</v>
      </c>
      <c r="L1275" t="s">
        <v>347</v>
      </c>
      <c r="M1275">
        <v>1520726400</v>
      </c>
      <c r="N1275" t="s">
        <v>1628</v>
      </c>
      <c r="O1275" t="s">
        <v>1628</v>
      </c>
      <c r="P1275" t="s">
        <v>1628</v>
      </c>
      <c r="Q1275">
        <f>LEN(AMAZON_FASHION_5__2[[#This Row],[reviewText]])</f>
        <v>22</v>
      </c>
      <c r="R1275" t="str">
        <f>IF(AMAZON_FASHION_5__2[[#This Row],[overall]]&gt;=4,"Positive",IF(AMAZON_FASHION_5__2[[#This Row],[overall]]&lt;=2,"Negative","Neutral"))</f>
        <v>Negative</v>
      </c>
      <c r="S12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76" spans="1:19" x14ac:dyDescent="0.25">
      <c r="A1276">
        <v>5</v>
      </c>
      <c r="B1276" t="b">
        <v>1</v>
      </c>
      <c r="C1276" s="1">
        <v>43164</v>
      </c>
      <c r="D1276">
        <f>YEAR(AMAZON_FASHION_5__2[[#This Row],[reviewDate]])</f>
        <v>2018</v>
      </c>
      <c r="E1276" s="1" t="str">
        <f>TEXT(AMAZON_FASHION_5__2[[#This Row],[reviewDate]], "mmmm")</f>
        <v>March</v>
      </c>
      <c r="F1276" t="s">
        <v>348</v>
      </c>
      <c r="G1276" t="s">
        <v>1479</v>
      </c>
      <c r="H1276" t="s">
        <v>210</v>
      </c>
      <c r="I1276" t="s">
        <v>198</v>
      </c>
      <c r="J1276" t="s">
        <v>63</v>
      </c>
      <c r="K1276" t="s">
        <v>349</v>
      </c>
      <c r="L1276" t="s">
        <v>350</v>
      </c>
      <c r="M1276">
        <v>1520208000</v>
      </c>
      <c r="N1276" t="s">
        <v>1628</v>
      </c>
      <c r="O1276" t="s">
        <v>1628</v>
      </c>
      <c r="P1276" t="s">
        <v>1628</v>
      </c>
      <c r="Q1276">
        <f>LEN(AMAZON_FASHION_5__2[[#This Row],[reviewText]])</f>
        <v>22</v>
      </c>
      <c r="R1276" t="str">
        <f>IF(AMAZON_FASHION_5__2[[#This Row],[overall]]&gt;=4,"Positive",IF(AMAZON_FASHION_5__2[[#This Row],[overall]]&lt;=2,"Negative","Neutral"))</f>
        <v>Positive</v>
      </c>
      <c r="S12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77" spans="1:19" x14ac:dyDescent="0.25">
      <c r="A1277">
        <v>5</v>
      </c>
      <c r="B1277" t="b">
        <v>1</v>
      </c>
      <c r="C1277" s="1">
        <v>43161</v>
      </c>
      <c r="D1277">
        <f>YEAR(AMAZON_FASHION_5__2[[#This Row],[reviewDate]])</f>
        <v>2018</v>
      </c>
      <c r="E1277" s="1" t="str">
        <f>TEXT(AMAZON_FASHION_5__2[[#This Row],[reviewDate]], "mmmm")</f>
        <v>March</v>
      </c>
      <c r="F1277" t="s">
        <v>351</v>
      </c>
      <c r="G1277" t="s">
        <v>1479</v>
      </c>
      <c r="H1277" t="s">
        <v>284</v>
      </c>
      <c r="I1277" t="s">
        <v>198</v>
      </c>
      <c r="J1277" t="s">
        <v>352</v>
      </c>
      <c r="K1277" t="s">
        <v>353</v>
      </c>
      <c r="L1277" t="s">
        <v>354</v>
      </c>
      <c r="M1277">
        <v>1519948800</v>
      </c>
      <c r="N1277" t="s">
        <v>1628</v>
      </c>
      <c r="O1277" t="s">
        <v>1628</v>
      </c>
      <c r="P1277" t="s">
        <v>1628</v>
      </c>
      <c r="Q1277">
        <f>LEN(AMAZON_FASHION_5__2[[#This Row],[reviewText]])</f>
        <v>100</v>
      </c>
      <c r="R1277" t="str">
        <f>IF(AMAZON_FASHION_5__2[[#This Row],[overall]]&gt;=4,"Positive",IF(AMAZON_FASHION_5__2[[#This Row],[overall]]&lt;=2,"Negative","Neutral"))</f>
        <v>Positive</v>
      </c>
      <c r="S12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78" spans="1:19" x14ac:dyDescent="0.25">
      <c r="A1278">
        <v>5</v>
      </c>
      <c r="B1278" t="b">
        <v>1</v>
      </c>
      <c r="C1278" s="1">
        <v>43159</v>
      </c>
      <c r="D1278">
        <f>YEAR(AMAZON_FASHION_5__2[[#This Row],[reviewDate]])</f>
        <v>2018</v>
      </c>
      <c r="E1278" s="1" t="str">
        <f>TEXT(AMAZON_FASHION_5__2[[#This Row],[reviewDate]], "mmmm")</f>
        <v>February</v>
      </c>
      <c r="F1278" t="s">
        <v>355</v>
      </c>
      <c r="G1278" t="s">
        <v>1479</v>
      </c>
      <c r="H1278" t="s">
        <v>235</v>
      </c>
      <c r="I1278" t="s">
        <v>198</v>
      </c>
      <c r="J1278" t="s">
        <v>356</v>
      </c>
      <c r="K1278" t="s">
        <v>357</v>
      </c>
      <c r="L1278" t="s">
        <v>358</v>
      </c>
      <c r="M1278">
        <v>1519776000</v>
      </c>
      <c r="N1278" t="s">
        <v>1628</v>
      </c>
      <c r="O1278" t="s">
        <v>1628</v>
      </c>
      <c r="P1278" t="s">
        <v>1628</v>
      </c>
      <c r="Q1278">
        <f>LEN(AMAZON_FASHION_5__2[[#This Row],[reviewText]])</f>
        <v>58</v>
      </c>
      <c r="R1278" t="str">
        <f>IF(AMAZON_FASHION_5__2[[#This Row],[overall]]&gt;=4,"Positive",IF(AMAZON_FASHION_5__2[[#This Row],[overall]]&lt;=2,"Negative","Neutral"))</f>
        <v>Positive</v>
      </c>
      <c r="S12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79" spans="1:19" x14ac:dyDescent="0.25">
      <c r="A1279">
        <v>5</v>
      </c>
      <c r="B1279" t="b">
        <v>1</v>
      </c>
      <c r="C1279" s="1">
        <v>43158</v>
      </c>
      <c r="D1279">
        <f>YEAR(AMAZON_FASHION_5__2[[#This Row],[reviewDate]])</f>
        <v>2018</v>
      </c>
      <c r="E1279" s="1" t="str">
        <f>TEXT(AMAZON_FASHION_5__2[[#This Row],[reviewDate]], "mmmm")</f>
        <v>February</v>
      </c>
      <c r="F1279" t="s">
        <v>359</v>
      </c>
      <c r="G1279" t="s">
        <v>1479</v>
      </c>
      <c r="H1279" t="s">
        <v>230</v>
      </c>
      <c r="I1279" t="s">
        <v>198</v>
      </c>
      <c r="J1279" t="s">
        <v>63</v>
      </c>
      <c r="K1279" t="s">
        <v>360</v>
      </c>
      <c r="L1279" t="s">
        <v>361</v>
      </c>
      <c r="M1279">
        <v>1519689600</v>
      </c>
      <c r="N1279" t="s">
        <v>1628</v>
      </c>
      <c r="O1279" t="s">
        <v>1628</v>
      </c>
      <c r="P1279" t="s">
        <v>1628</v>
      </c>
      <c r="Q1279">
        <f>LEN(AMAZON_FASHION_5__2[[#This Row],[reviewText]])</f>
        <v>269</v>
      </c>
      <c r="R1279" t="str">
        <f>IF(AMAZON_FASHION_5__2[[#This Row],[overall]]&gt;=4,"Positive",IF(AMAZON_FASHION_5__2[[#This Row],[overall]]&lt;=2,"Negative","Neutral"))</f>
        <v>Positive</v>
      </c>
      <c r="S12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80" spans="1:19" x14ac:dyDescent="0.25">
      <c r="A1280">
        <v>5</v>
      </c>
      <c r="B1280" t="b">
        <v>1</v>
      </c>
      <c r="C1280" s="1">
        <v>43158</v>
      </c>
      <c r="D1280">
        <f>YEAR(AMAZON_FASHION_5__2[[#This Row],[reviewDate]])</f>
        <v>2018</v>
      </c>
      <c r="E1280" s="1" t="str">
        <f>TEXT(AMAZON_FASHION_5__2[[#This Row],[reviewDate]], "mmmm")</f>
        <v>February</v>
      </c>
      <c r="F1280" t="s">
        <v>362</v>
      </c>
      <c r="G1280" t="s">
        <v>1479</v>
      </c>
      <c r="H1280" t="s">
        <v>230</v>
      </c>
      <c r="I1280" t="s">
        <v>249</v>
      </c>
      <c r="J1280" t="s">
        <v>363</v>
      </c>
      <c r="K1280" t="s">
        <v>364</v>
      </c>
      <c r="L1280" t="s">
        <v>365</v>
      </c>
      <c r="M1280">
        <v>1519689600</v>
      </c>
      <c r="N1280" t="s">
        <v>1628</v>
      </c>
      <c r="O1280" t="s">
        <v>1628</v>
      </c>
      <c r="P1280" t="s">
        <v>1628</v>
      </c>
      <c r="Q1280">
        <f>LEN(AMAZON_FASHION_5__2[[#This Row],[reviewText]])</f>
        <v>152</v>
      </c>
      <c r="R1280" t="str">
        <f>IF(AMAZON_FASHION_5__2[[#This Row],[overall]]&gt;=4,"Positive",IF(AMAZON_FASHION_5__2[[#This Row],[overall]]&lt;=2,"Negative","Neutral"))</f>
        <v>Positive</v>
      </c>
      <c r="S12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81" spans="1:19" x14ac:dyDescent="0.25">
      <c r="A1281">
        <v>5</v>
      </c>
      <c r="B1281" t="b">
        <v>1</v>
      </c>
      <c r="C1281" s="1">
        <v>43158</v>
      </c>
      <c r="D1281">
        <f>YEAR(AMAZON_FASHION_5__2[[#This Row],[reviewDate]])</f>
        <v>2018</v>
      </c>
      <c r="E1281" s="1" t="str">
        <f>TEXT(AMAZON_FASHION_5__2[[#This Row],[reviewDate]], "mmmm")</f>
        <v>February</v>
      </c>
      <c r="F1281" t="s">
        <v>366</v>
      </c>
      <c r="G1281" t="s">
        <v>1479</v>
      </c>
      <c r="H1281" t="s">
        <v>205</v>
      </c>
      <c r="I1281" t="s">
        <v>198</v>
      </c>
      <c r="J1281" t="s">
        <v>367</v>
      </c>
      <c r="K1281" t="s">
        <v>368</v>
      </c>
      <c r="L1281" t="s">
        <v>369</v>
      </c>
      <c r="M1281">
        <v>1519689600</v>
      </c>
      <c r="N1281" t="s">
        <v>1628</v>
      </c>
      <c r="O1281" t="s">
        <v>1628</v>
      </c>
      <c r="P1281" t="s">
        <v>1628</v>
      </c>
      <c r="Q1281">
        <f>LEN(AMAZON_FASHION_5__2[[#This Row],[reviewText]])</f>
        <v>46</v>
      </c>
      <c r="R1281" t="str">
        <f>IF(AMAZON_FASHION_5__2[[#This Row],[overall]]&gt;=4,"Positive",IF(AMAZON_FASHION_5__2[[#This Row],[overall]]&lt;=2,"Negative","Neutral"))</f>
        <v>Positive</v>
      </c>
      <c r="S12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82" spans="1:19" x14ac:dyDescent="0.25">
      <c r="A1282">
        <v>1</v>
      </c>
      <c r="B1282" t="b">
        <v>1</v>
      </c>
      <c r="C1282" s="1">
        <v>43156</v>
      </c>
      <c r="D1282">
        <f>YEAR(AMAZON_FASHION_5__2[[#This Row],[reviewDate]])</f>
        <v>2018</v>
      </c>
      <c r="E1282" s="1" t="str">
        <f>TEXT(AMAZON_FASHION_5__2[[#This Row],[reviewDate]], "mmmm")</f>
        <v>February</v>
      </c>
      <c r="F1282" t="s">
        <v>370</v>
      </c>
      <c r="G1282" t="s">
        <v>1479</v>
      </c>
      <c r="H1282" t="s">
        <v>230</v>
      </c>
      <c r="I1282" t="s">
        <v>198</v>
      </c>
      <c r="J1282" t="s">
        <v>371</v>
      </c>
      <c r="K1282" t="s">
        <v>372</v>
      </c>
      <c r="L1282" t="s">
        <v>373</v>
      </c>
      <c r="M1282">
        <v>1519516800</v>
      </c>
      <c r="N1282" t="s">
        <v>1628</v>
      </c>
      <c r="O1282" t="s">
        <v>1628</v>
      </c>
      <c r="P1282" t="s">
        <v>1628</v>
      </c>
      <c r="Q1282">
        <f>LEN(AMAZON_FASHION_5__2[[#This Row],[reviewText]])</f>
        <v>282</v>
      </c>
      <c r="R1282" t="str">
        <f>IF(AMAZON_FASHION_5__2[[#This Row],[overall]]&gt;=4,"Positive",IF(AMAZON_FASHION_5__2[[#This Row],[overall]]&lt;=2,"Negative","Neutral"))</f>
        <v>Negative</v>
      </c>
      <c r="S12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83" spans="1:19" x14ac:dyDescent="0.25">
      <c r="A1283">
        <v>2</v>
      </c>
      <c r="B1283" t="b">
        <v>1</v>
      </c>
      <c r="C1283" s="1">
        <v>43156</v>
      </c>
      <c r="D1283">
        <f>YEAR(AMAZON_FASHION_5__2[[#This Row],[reviewDate]])</f>
        <v>2018</v>
      </c>
      <c r="E1283" s="1" t="str">
        <f>TEXT(AMAZON_FASHION_5__2[[#This Row],[reviewDate]], "mmmm")</f>
        <v>February</v>
      </c>
      <c r="F1283" t="s">
        <v>374</v>
      </c>
      <c r="G1283" t="s">
        <v>1479</v>
      </c>
      <c r="H1283" t="s">
        <v>210</v>
      </c>
      <c r="I1283" t="s">
        <v>198</v>
      </c>
      <c r="J1283" t="s">
        <v>63</v>
      </c>
      <c r="K1283" t="s">
        <v>375</v>
      </c>
      <c r="L1283" t="s">
        <v>376</v>
      </c>
      <c r="M1283">
        <v>1519516800</v>
      </c>
      <c r="N1283" t="s">
        <v>1628</v>
      </c>
      <c r="O1283" t="s">
        <v>1628</v>
      </c>
      <c r="P1283" t="s">
        <v>1628</v>
      </c>
      <c r="Q1283">
        <f>LEN(AMAZON_FASHION_5__2[[#This Row],[reviewText]])</f>
        <v>89</v>
      </c>
      <c r="R1283" t="str">
        <f>IF(AMAZON_FASHION_5__2[[#This Row],[overall]]&gt;=4,"Positive",IF(AMAZON_FASHION_5__2[[#This Row],[overall]]&lt;=2,"Negative","Neutral"))</f>
        <v>Negative</v>
      </c>
      <c r="S12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84" spans="1:19" x14ac:dyDescent="0.25">
      <c r="A1284">
        <v>5</v>
      </c>
      <c r="B1284" t="b">
        <v>1</v>
      </c>
      <c r="C1284" s="1">
        <v>43152</v>
      </c>
      <c r="D1284">
        <f>YEAR(AMAZON_FASHION_5__2[[#This Row],[reviewDate]])</f>
        <v>2018</v>
      </c>
      <c r="E1284" s="1" t="str">
        <f>TEXT(AMAZON_FASHION_5__2[[#This Row],[reviewDate]], "mmmm")</f>
        <v>February</v>
      </c>
      <c r="F1284" t="s">
        <v>377</v>
      </c>
      <c r="G1284" t="s">
        <v>1479</v>
      </c>
      <c r="H1284" t="s">
        <v>201</v>
      </c>
      <c r="I1284" t="s">
        <v>198</v>
      </c>
      <c r="J1284" t="s">
        <v>378</v>
      </c>
      <c r="K1284" t="s">
        <v>379</v>
      </c>
      <c r="L1284" t="s">
        <v>380</v>
      </c>
      <c r="M1284">
        <v>1519171200</v>
      </c>
      <c r="N1284" t="s">
        <v>1628</v>
      </c>
      <c r="O1284" t="s">
        <v>1628</v>
      </c>
      <c r="P1284" t="s">
        <v>1628</v>
      </c>
      <c r="Q1284">
        <f>LEN(AMAZON_FASHION_5__2[[#This Row],[reviewText]])</f>
        <v>45</v>
      </c>
      <c r="R1284" t="str">
        <f>IF(AMAZON_FASHION_5__2[[#This Row],[overall]]&gt;=4,"Positive",IF(AMAZON_FASHION_5__2[[#This Row],[overall]]&lt;=2,"Negative","Neutral"))</f>
        <v>Positive</v>
      </c>
      <c r="S12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85" spans="1:19" x14ac:dyDescent="0.25">
      <c r="A1285">
        <v>5</v>
      </c>
      <c r="B1285" t="b">
        <v>1</v>
      </c>
      <c r="C1285" s="1">
        <v>43151</v>
      </c>
      <c r="D1285">
        <f>YEAR(AMAZON_FASHION_5__2[[#This Row],[reviewDate]])</f>
        <v>2018</v>
      </c>
      <c r="E1285" s="1" t="str">
        <f>TEXT(AMAZON_FASHION_5__2[[#This Row],[reviewDate]], "mmmm")</f>
        <v>February</v>
      </c>
      <c r="F1285" t="s">
        <v>381</v>
      </c>
      <c r="G1285" t="s">
        <v>1479</v>
      </c>
      <c r="H1285" t="s">
        <v>235</v>
      </c>
      <c r="I1285" t="s">
        <v>274</v>
      </c>
      <c r="J1285" t="s">
        <v>382</v>
      </c>
      <c r="K1285" t="s">
        <v>383</v>
      </c>
      <c r="L1285" t="s">
        <v>384</v>
      </c>
      <c r="M1285">
        <v>1519084800</v>
      </c>
      <c r="N1285" t="s">
        <v>1628</v>
      </c>
      <c r="O1285" t="s">
        <v>1628</v>
      </c>
      <c r="P1285" t="s">
        <v>1628</v>
      </c>
      <c r="Q1285">
        <f>LEN(AMAZON_FASHION_5__2[[#This Row],[reviewText]])</f>
        <v>47</v>
      </c>
      <c r="R1285" t="str">
        <f>IF(AMAZON_FASHION_5__2[[#This Row],[overall]]&gt;=4,"Positive",IF(AMAZON_FASHION_5__2[[#This Row],[overall]]&lt;=2,"Negative","Neutral"))</f>
        <v>Positive</v>
      </c>
      <c r="S12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86" spans="1:19" x14ac:dyDescent="0.25">
      <c r="A1286">
        <v>5</v>
      </c>
      <c r="B1286" t="b">
        <v>1</v>
      </c>
      <c r="C1286" s="1">
        <v>43145</v>
      </c>
      <c r="D1286">
        <f>YEAR(AMAZON_FASHION_5__2[[#This Row],[reviewDate]])</f>
        <v>2018</v>
      </c>
      <c r="E1286" s="1" t="str">
        <f>TEXT(AMAZON_FASHION_5__2[[#This Row],[reviewDate]], "mmmm")</f>
        <v>February</v>
      </c>
      <c r="F1286" t="s">
        <v>385</v>
      </c>
      <c r="G1286" t="s">
        <v>1479</v>
      </c>
      <c r="H1286" t="s">
        <v>230</v>
      </c>
      <c r="I1286" t="s">
        <v>249</v>
      </c>
      <c r="J1286" t="s">
        <v>386</v>
      </c>
      <c r="K1286" t="s">
        <v>387</v>
      </c>
      <c r="L1286" t="s">
        <v>17</v>
      </c>
      <c r="M1286">
        <v>1518566400</v>
      </c>
      <c r="N1286" t="s">
        <v>1628</v>
      </c>
      <c r="O1286" t="s">
        <v>1628</v>
      </c>
      <c r="P1286" t="s">
        <v>1628</v>
      </c>
      <c r="Q1286">
        <f>LEN(AMAZON_FASHION_5__2[[#This Row],[reviewText]])</f>
        <v>46</v>
      </c>
      <c r="R1286" t="str">
        <f>IF(AMAZON_FASHION_5__2[[#This Row],[overall]]&gt;=4,"Positive",IF(AMAZON_FASHION_5__2[[#This Row],[overall]]&lt;=2,"Negative","Neutral"))</f>
        <v>Positive</v>
      </c>
      <c r="S12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87" spans="1:19" x14ac:dyDescent="0.25">
      <c r="A1287">
        <v>5</v>
      </c>
      <c r="B1287" t="b">
        <v>1</v>
      </c>
      <c r="C1287" s="1">
        <v>43145</v>
      </c>
      <c r="D1287">
        <f>YEAR(AMAZON_FASHION_5__2[[#This Row],[reviewDate]])</f>
        <v>2018</v>
      </c>
      <c r="E1287" s="1" t="str">
        <f>TEXT(AMAZON_FASHION_5__2[[#This Row],[reviewDate]], "mmmm")</f>
        <v>February</v>
      </c>
      <c r="F1287" t="s">
        <v>388</v>
      </c>
      <c r="G1287" t="s">
        <v>1479</v>
      </c>
      <c r="H1287" t="s">
        <v>197</v>
      </c>
      <c r="I1287" t="s">
        <v>198</v>
      </c>
      <c r="J1287" t="s">
        <v>63</v>
      </c>
      <c r="K1287" t="s">
        <v>389</v>
      </c>
      <c r="L1287" t="s">
        <v>390</v>
      </c>
      <c r="M1287">
        <v>1518566400</v>
      </c>
      <c r="N1287" t="s">
        <v>1628</v>
      </c>
      <c r="O1287" t="s">
        <v>1628</v>
      </c>
      <c r="P1287" t="s">
        <v>1628</v>
      </c>
      <c r="Q1287">
        <f>LEN(AMAZON_FASHION_5__2[[#This Row],[reviewText]])</f>
        <v>17</v>
      </c>
      <c r="R1287" t="str">
        <f>IF(AMAZON_FASHION_5__2[[#This Row],[overall]]&gt;=4,"Positive",IF(AMAZON_FASHION_5__2[[#This Row],[overall]]&lt;=2,"Negative","Neutral"))</f>
        <v>Positive</v>
      </c>
      <c r="S12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88" spans="1:19" x14ac:dyDescent="0.25">
      <c r="A1288">
        <v>5</v>
      </c>
      <c r="B1288" t="b">
        <v>1</v>
      </c>
      <c r="C1288" s="1">
        <v>43143</v>
      </c>
      <c r="D1288">
        <f>YEAR(AMAZON_FASHION_5__2[[#This Row],[reviewDate]])</f>
        <v>2018</v>
      </c>
      <c r="E1288" s="1" t="str">
        <f>TEXT(AMAZON_FASHION_5__2[[#This Row],[reviewDate]], "mmmm")</f>
        <v>February</v>
      </c>
      <c r="F1288" t="s">
        <v>391</v>
      </c>
      <c r="G1288" t="s">
        <v>1479</v>
      </c>
      <c r="H1288" t="s">
        <v>201</v>
      </c>
      <c r="I1288" t="s">
        <v>392</v>
      </c>
      <c r="J1288" t="s">
        <v>393</v>
      </c>
      <c r="K1288" t="s">
        <v>394</v>
      </c>
      <c r="L1288" t="s">
        <v>17</v>
      </c>
      <c r="M1288">
        <v>1518393600</v>
      </c>
      <c r="N1288" t="s">
        <v>1628</v>
      </c>
      <c r="O1288" t="s">
        <v>1628</v>
      </c>
      <c r="P1288" t="s">
        <v>1628</v>
      </c>
      <c r="Q1288">
        <f>LEN(AMAZON_FASHION_5__2[[#This Row],[reviewText]])</f>
        <v>19</v>
      </c>
      <c r="R1288" t="str">
        <f>IF(AMAZON_FASHION_5__2[[#This Row],[overall]]&gt;=4,"Positive",IF(AMAZON_FASHION_5__2[[#This Row],[overall]]&lt;=2,"Negative","Neutral"))</f>
        <v>Positive</v>
      </c>
      <c r="S12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89" spans="1:19" x14ac:dyDescent="0.25">
      <c r="A1289">
        <v>5</v>
      </c>
      <c r="B1289" t="b">
        <v>1</v>
      </c>
      <c r="C1289" s="1">
        <v>43132</v>
      </c>
      <c r="D1289">
        <f>YEAR(AMAZON_FASHION_5__2[[#This Row],[reviewDate]])</f>
        <v>2018</v>
      </c>
      <c r="E1289" s="1" t="str">
        <f>TEXT(AMAZON_FASHION_5__2[[#This Row],[reviewDate]], "mmmm")</f>
        <v>February</v>
      </c>
      <c r="F1289" t="s">
        <v>395</v>
      </c>
      <c r="G1289" t="s">
        <v>1479</v>
      </c>
      <c r="H1289" t="s">
        <v>230</v>
      </c>
      <c r="I1289" t="s">
        <v>1476</v>
      </c>
      <c r="J1289" t="s">
        <v>397</v>
      </c>
      <c r="K1289" t="s">
        <v>398</v>
      </c>
      <c r="L1289" t="s">
        <v>399</v>
      </c>
      <c r="M1289">
        <v>1517443200</v>
      </c>
      <c r="N1289" t="s">
        <v>1628</v>
      </c>
      <c r="O1289" t="s">
        <v>1628</v>
      </c>
      <c r="P1289" t="s">
        <v>1628</v>
      </c>
      <c r="Q1289">
        <f>LEN(AMAZON_FASHION_5__2[[#This Row],[reviewText]])</f>
        <v>102</v>
      </c>
      <c r="R1289" t="str">
        <f>IF(AMAZON_FASHION_5__2[[#This Row],[overall]]&gt;=4,"Positive",IF(AMAZON_FASHION_5__2[[#This Row],[overall]]&lt;=2,"Negative","Neutral"))</f>
        <v>Positive</v>
      </c>
      <c r="S12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90" spans="1:19" x14ac:dyDescent="0.25">
      <c r="A1290">
        <v>5</v>
      </c>
      <c r="B1290" t="b">
        <v>1</v>
      </c>
      <c r="C1290" s="1">
        <v>43132</v>
      </c>
      <c r="D1290">
        <f>YEAR(AMAZON_FASHION_5__2[[#This Row],[reviewDate]])</f>
        <v>2018</v>
      </c>
      <c r="E1290" s="1" t="str">
        <f>TEXT(AMAZON_FASHION_5__2[[#This Row],[reviewDate]], "mmmm")</f>
        <v>February</v>
      </c>
      <c r="F1290" t="s">
        <v>400</v>
      </c>
      <c r="G1290" t="s">
        <v>1479</v>
      </c>
      <c r="H1290" t="s">
        <v>197</v>
      </c>
      <c r="I1290" t="s">
        <v>198</v>
      </c>
      <c r="J1290" t="s">
        <v>401</v>
      </c>
      <c r="K1290" t="s">
        <v>402</v>
      </c>
      <c r="L1290" t="s">
        <v>17</v>
      </c>
      <c r="M1290">
        <v>1517443200</v>
      </c>
      <c r="N1290" t="s">
        <v>1628</v>
      </c>
      <c r="O1290" t="s">
        <v>1628</v>
      </c>
      <c r="P1290" t="s">
        <v>1628</v>
      </c>
      <c r="Q1290">
        <f>LEN(AMAZON_FASHION_5__2[[#This Row],[reviewText]])</f>
        <v>19</v>
      </c>
      <c r="R1290" t="str">
        <f>IF(AMAZON_FASHION_5__2[[#This Row],[overall]]&gt;=4,"Positive",IF(AMAZON_FASHION_5__2[[#This Row],[overall]]&lt;=2,"Negative","Neutral"))</f>
        <v>Positive</v>
      </c>
      <c r="S12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91" spans="1:19" x14ac:dyDescent="0.25">
      <c r="A1291">
        <v>5</v>
      </c>
      <c r="B1291" t="b">
        <v>1</v>
      </c>
      <c r="C1291" s="1">
        <v>43129</v>
      </c>
      <c r="D1291">
        <f>YEAR(AMAZON_FASHION_5__2[[#This Row],[reviewDate]])</f>
        <v>2018</v>
      </c>
      <c r="E1291" s="1" t="str">
        <f>TEXT(AMAZON_FASHION_5__2[[#This Row],[reviewDate]], "mmmm")</f>
        <v>January</v>
      </c>
      <c r="F1291" t="s">
        <v>403</v>
      </c>
      <c r="G1291" t="s">
        <v>1479</v>
      </c>
      <c r="H1291" t="s">
        <v>320</v>
      </c>
      <c r="I1291" t="s">
        <v>396</v>
      </c>
      <c r="J1291" t="s">
        <v>404</v>
      </c>
      <c r="K1291" t="s">
        <v>405</v>
      </c>
      <c r="L1291" t="s">
        <v>406</v>
      </c>
      <c r="M1291">
        <v>1517184000</v>
      </c>
      <c r="N1291" t="s">
        <v>1628</v>
      </c>
      <c r="O1291" t="s">
        <v>1628</v>
      </c>
      <c r="P1291" t="s">
        <v>1628</v>
      </c>
      <c r="Q1291">
        <f>LEN(AMAZON_FASHION_5__2[[#This Row],[reviewText]])</f>
        <v>132</v>
      </c>
      <c r="R1291" t="str">
        <f>IF(AMAZON_FASHION_5__2[[#This Row],[overall]]&gt;=4,"Positive",IF(AMAZON_FASHION_5__2[[#This Row],[overall]]&lt;=2,"Negative","Neutral"))</f>
        <v>Positive</v>
      </c>
      <c r="S12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92" spans="1:19" x14ac:dyDescent="0.25">
      <c r="A1292">
        <v>4</v>
      </c>
      <c r="B1292" t="b">
        <v>1</v>
      </c>
      <c r="C1292" s="1">
        <v>43125</v>
      </c>
      <c r="D1292">
        <f>YEAR(AMAZON_FASHION_5__2[[#This Row],[reviewDate]])</f>
        <v>2018</v>
      </c>
      <c r="E1292" s="1" t="str">
        <f>TEXT(AMAZON_FASHION_5__2[[#This Row],[reviewDate]], "mmmm")</f>
        <v>January</v>
      </c>
      <c r="F1292" t="s">
        <v>407</v>
      </c>
      <c r="G1292" t="s">
        <v>1479</v>
      </c>
      <c r="H1292" t="s">
        <v>205</v>
      </c>
      <c r="I1292" t="s">
        <v>198</v>
      </c>
      <c r="J1292" t="s">
        <v>408</v>
      </c>
      <c r="K1292" t="s">
        <v>409</v>
      </c>
      <c r="L1292" t="s">
        <v>406</v>
      </c>
      <c r="M1292">
        <v>1516838400</v>
      </c>
      <c r="N1292" t="s">
        <v>1628</v>
      </c>
      <c r="O1292" t="s">
        <v>1628</v>
      </c>
      <c r="P1292" t="s">
        <v>1628</v>
      </c>
      <c r="Q1292">
        <f>LEN(AMAZON_FASHION_5__2[[#This Row],[reviewText]])</f>
        <v>860</v>
      </c>
      <c r="R1292" t="str">
        <f>IF(AMAZON_FASHION_5__2[[#This Row],[overall]]&gt;=4,"Positive",IF(AMAZON_FASHION_5__2[[#This Row],[overall]]&lt;=2,"Negative","Neutral"))</f>
        <v>Positive</v>
      </c>
      <c r="S12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93" spans="1:19" x14ac:dyDescent="0.25">
      <c r="A1293">
        <v>5</v>
      </c>
      <c r="B1293" t="b">
        <v>1</v>
      </c>
      <c r="C1293" s="1">
        <v>43118</v>
      </c>
      <c r="D1293">
        <f>YEAR(AMAZON_FASHION_5__2[[#This Row],[reviewDate]])</f>
        <v>2018</v>
      </c>
      <c r="E1293" s="1" t="str">
        <f>TEXT(AMAZON_FASHION_5__2[[#This Row],[reviewDate]], "mmmm")</f>
        <v>January</v>
      </c>
      <c r="F1293" t="s">
        <v>410</v>
      </c>
      <c r="G1293" t="s">
        <v>1479</v>
      </c>
      <c r="H1293" t="s">
        <v>235</v>
      </c>
      <c r="I1293" t="s">
        <v>411</v>
      </c>
      <c r="J1293" t="s">
        <v>412</v>
      </c>
      <c r="K1293" t="s">
        <v>413</v>
      </c>
      <c r="L1293" t="s">
        <v>17</v>
      </c>
      <c r="M1293">
        <v>1516233600</v>
      </c>
      <c r="N1293" t="s">
        <v>1628</v>
      </c>
      <c r="O1293" t="s">
        <v>1628</v>
      </c>
      <c r="P1293" t="s">
        <v>1628</v>
      </c>
      <c r="Q1293">
        <f>LEN(AMAZON_FASHION_5__2[[#This Row],[reviewText]])</f>
        <v>16</v>
      </c>
      <c r="R1293" t="str">
        <f>IF(AMAZON_FASHION_5__2[[#This Row],[overall]]&gt;=4,"Positive",IF(AMAZON_FASHION_5__2[[#This Row],[overall]]&lt;=2,"Negative","Neutral"))</f>
        <v>Positive</v>
      </c>
      <c r="S12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94" spans="1:19" x14ac:dyDescent="0.25">
      <c r="A1294">
        <v>5</v>
      </c>
      <c r="B1294" t="b">
        <v>1</v>
      </c>
      <c r="C1294" s="1">
        <v>43111</v>
      </c>
      <c r="D1294">
        <f>YEAR(AMAZON_FASHION_5__2[[#This Row],[reviewDate]])</f>
        <v>2018</v>
      </c>
      <c r="E1294" s="1" t="str">
        <f>TEXT(AMAZON_FASHION_5__2[[#This Row],[reviewDate]], "mmmm")</f>
        <v>January</v>
      </c>
      <c r="F1294" t="s">
        <v>414</v>
      </c>
      <c r="G1294" t="s">
        <v>1479</v>
      </c>
      <c r="H1294" t="s">
        <v>1488</v>
      </c>
      <c r="I1294" t="s">
        <v>336</v>
      </c>
      <c r="J1294" t="s">
        <v>416</v>
      </c>
      <c r="K1294" t="s">
        <v>417</v>
      </c>
      <c r="L1294" t="s">
        <v>17</v>
      </c>
      <c r="M1294">
        <v>1515628800</v>
      </c>
      <c r="N1294" t="s">
        <v>1628</v>
      </c>
      <c r="O1294" t="s">
        <v>1628</v>
      </c>
      <c r="P1294" t="s">
        <v>1628</v>
      </c>
      <c r="Q1294">
        <f>LEN(AMAZON_FASHION_5__2[[#This Row],[reviewText]])</f>
        <v>81</v>
      </c>
      <c r="R1294" t="str">
        <f>IF(AMAZON_FASHION_5__2[[#This Row],[overall]]&gt;=4,"Positive",IF(AMAZON_FASHION_5__2[[#This Row],[overall]]&lt;=2,"Negative","Neutral"))</f>
        <v>Positive</v>
      </c>
      <c r="S12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95" spans="1:19" x14ac:dyDescent="0.25">
      <c r="A1295">
        <v>1</v>
      </c>
      <c r="B1295" t="b">
        <v>1</v>
      </c>
      <c r="C1295" s="1">
        <v>43110</v>
      </c>
      <c r="D1295">
        <f>YEAR(AMAZON_FASHION_5__2[[#This Row],[reviewDate]])</f>
        <v>2018</v>
      </c>
      <c r="E1295" s="1" t="str">
        <f>TEXT(AMAZON_FASHION_5__2[[#This Row],[reviewDate]], "mmmm")</f>
        <v>January</v>
      </c>
      <c r="F1295" t="s">
        <v>418</v>
      </c>
      <c r="G1295" t="s">
        <v>1479</v>
      </c>
      <c r="H1295" t="s">
        <v>261</v>
      </c>
      <c r="I1295" t="s">
        <v>419</v>
      </c>
      <c r="J1295" t="s">
        <v>420</v>
      </c>
      <c r="K1295" t="s">
        <v>421</v>
      </c>
      <c r="L1295" t="s">
        <v>65</v>
      </c>
      <c r="M1295">
        <v>1515542400</v>
      </c>
      <c r="N1295" t="s">
        <v>1628</v>
      </c>
      <c r="O1295" t="s">
        <v>1628</v>
      </c>
      <c r="P1295" t="s">
        <v>1628</v>
      </c>
      <c r="Q1295">
        <f>LEN(AMAZON_FASHION_5__2[[#This Row],[reviewText]])</f>
        <v>27</v>
      </c>
      <c r="R1295" t="str">
        <f>IF(AMAZON_FASHION_5__2[[#This Row],[overall]]&gt;=4,"Positive",IF(AMAZON_FASHION_5__2[[#This Row],[overall]]&lt;=2,"Negative","Neutral"))</f>
        <v>Negative</v>
      </c>
      <c r="S12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96" spans="1:19" x14ac:dyDescent="0.25">
      <c r="A1296">
        <v>5</v>
      </c>
      <c r="B1296" t="b">
        <v>1</v>
      </c>
      <c r="C1296" s="1">
        <v>43110</v>
      </c>
      <c r="D1296">
        <f>YEAR(AMAZON_FASHION_5__2[[#This Row],[reviewDate]])</f>
        <v>2018</v>
      </c>
      <c r="E1296" s="1" t="str">
        <f>TEXT(AMAZON_FASHION_5__2[[#This Row],[reviewDate]], "mmmm")</f>
        <v>January</v>
      </c>
      <c r="F1296" t="s">
        <v>422</v>
      </c>
      <c r="G1296" t="s">
        <v>1479</v>
      </c>
      <c r="H1296" t="s">
        <v>205</v>
      </c>
      <c r="I1296" t="s">
        <v>198</v>
      </c>
      <c r="J1296" t="s">
        <v>423</v>
      </c>
      <c r="K1296" t="s">
        <v>424</v>
      </c>
      <c r="L1296" t="s">
        <v>425</v>
      </c>
      <c r="M1296">
        <v>1515542400</v>
      </c>
      <c r="N1296" t="s">
        <v>1628</v>
      </c>
      <c r="O1296" t="s">
        <v>1628</v>
      </c>
      <c r="P1296">
        <v>2</v>
      </c>
      <c r="Q1296">
        <f>LEN(AMAZON_FASHION_5__2[[#This Row],[reviewText]])</f>
        <v>617</v>
      </c>
      <c r="R1296" t="str">
        <f>IF(AMAZON_FASHION_5__2[[#This Row],[overall]]&gt;=4,"Positive",IF(AMAZON_FASHION_5__2[[#This Row],[overall]]&lt;=2,"Negative","Neutral"))</f>
        <v>Positive</v>
      </c>
      <c r="S12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97" spans="1:19" x14ac:dyDescent="0.25">
      <c r="A1297">
        <v>3</v>
      </c>
      <c r="B1297" t="b">
        <v>1</v>
      </c>
      <c r="C1297" s="1">
        <v>43109</v>
      </c>
      <c r="D1297">
        <f>YEAR(AMAZON_FASHION_5__2[[#This Row],[reviewDate]])</f>
        <v>2018</v>
      </c>
      <c r="E1297" s="1" t="str">
        <f>TEXT(AMAZON_FASHION_5__2[[#This Row],[reviewDate]], "mmmm")</f>
        <v>January</v>
      </c>
      <c r="F1297" t="s">
        <v>426</v>
      </c>
      <c r="G1297" t="s">
        <v>1479</v>
      </c>
      <c r="H1297" t="s">
        <v>205</v>
      </c>
      <c r="I1297" t="s">
        <v>249</v>
      </c>
      <c r="J1297" t="s">
        <v>427</v>
      </c>
      <c r="K1297" t="s">
        <v>428</v>
      </c>
      <c r="L1297" t="s">
        <v>429</v>
      </c>
      <c r="M1297">
        <v>1515456000</v>
      </c>
      <c r="N1297" t="s">
        <v>1628</v>
      </c>
      <c r="O1297" t="s">
        <v>1628</v>
      </c>
      <c r="P1297" t="s">
        <v>1628</v>
      </c>
      <c r="Q1297">
        <f>LEN(AMAZON_FASHION_5__2[[#This Row],[reviewText]])</f>
        <v>54</v>
      </c>
      <c r="R1297" t="str">
        <f>IF(AMAZON_FASHION_5__2[[#This Row],[overall]]&gt;=4,"Positive",IF(AMAZON_FASHION_5__2[[#This Row],[overall]]&lt;=2,"Negative","Neutral"))</f>
        <v>Neutral</v>
      </c>
      <c r="S12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98" spans="1:19" x14ac:dyDescent="0.25">
      <c r="A1298">
        <v>5</v>
      </c>
      <c r="B1298" t="b">
        <v>1</v>
      </c>
      <c r="C1298" s="1">
        <v>43108</v>
      </c>
      <c r="D1298">
        <f>YEAR(AMAZON_FASHION_5__2[[#This Row],[reviewDate]])</f>
        <v>2018</v>
      </c>
      <c r="E1298" s="1" t="str">
        <f>TEXT(AMAZON_FASHION_5__2[[#This Row],[reviewDate]], "mmmm")</f>
        <v>January</v>
      </c>
      <c r="F1298" t="s">
        <v>430</v>
      </c>
      <c r="G1298" t="s">
        <v>1479</v>
      </c>
      <c r="H1298" t="s">
        <v>210</v>
      </c>
      <c r="I1298" t="s">
        <v>198</v>
      </c>
      <c r="J1298" t="s">
        <v>431</v>
      </c>
      <c r="K1298" t="s">
        <v>432</v>
      </c>
      <c r="L1298" t="s">
        <v>433</v>
      </c>
      <c r="M1298">
        <v>1515369600</v>
      </c>
      <c r="N1298" t="s">
        <v>1628</v>
      </c>
      <c r="O1298" t="s">
        <v>1628</v>
      </c>
      <c r="P1298" t="s">
        <v>1628</v>
      </c>
      <c r="Q1298">
        <f>LEN(AMAZON_FASHION_5__2[[#This Row],[reviewText]])</f>
        <v>715</v>
      </c>
      <c r="R1298" t="str">
        <f>IF(AMAZON_FASHION_5__2[[#This Row],[overall]]&gt;=4,"Positive",IF(AMAZON_FASHION_5__2[[#This Row],[overall]]&lt;=2,"Negative","Neutral"))</f>
        <v>Positive</v>
      </c>
      <c r="S12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299" spans="1:19" x14ac:dyDescent="0.25">
      <c r="A1299">
        <v>5</v>
      </c>
      <c r="B1299" t="b">
        <v>1</v>
      </c>
      <c r="C1299" s="1">
        <v>43108</v>
      </c>
      <c r="D1299">
        <f>YEAR(AMAZON_FASHION_5__2[[#This Row],[reviewDate]])</f>
        <v>2018</v>
      </c>
      <c r="E1299" s="1" t="str">
        <f>TEXT(AMAZON_FASHION_5__2[[#This Row],[reviewDate]], "mmmm")</f>
        <v>January</v>
      </c>
      <c r="F1299" t="s">
        <v>434</v>
      </c>
      <c r="G1299" t="s">
        <v>1479</v>
      </c>
      <c r="H1299" t="s">
        <v>261</v>
      </c>
      <c r="I1299" t="s">
        <v>435</v>
      </c>
      <c r="J1299" t="s">
        <v>436</v>
      </c>
      <c r="K1299" t="s">
        <v>437</v>
      </c>
      <c r="L1299" t="s">
        <v>438</v>
      </c>
      <c r="M1299">
        <v>1515369600</v>
      </c>
      <c r="N1299" t="s">
        <v>1628</v>
      </c>
      <c r="O1299" t="s">
        <v>1628</v>
      </c>
      <c r="P1299" t="s">
        <v>1628</v>
      </c>
      <c r="Q1299">
        <f>LEN(AMAZON_FASHION_5__2[[#This Row],[reviewText]])</f>
        <v>1003</v>
      </c>
      <c r="R1299" t="str">
        <f>IF(AMAZON_FASHION_5__2[[#This Row],[overall]]&gt;=4,"Positive",IF(AMAZON_FASHION_5__2[[#This Row],[overall]]&lt;=2,"Negative","Neutral"))</f>
        <v>Positive</v>
      </c>
      <c r="S12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00" spans="1:19" x14ac:dyDescent="0.25">
      <c r="A1300">
        <v>5</v>
      </c>
      <c r="B1300" t="b">
        <v>1</v>
      </c>
      <c r="C1300" s="1">
        <v>43107</v>
      </c>
      <c r="D1300">
        <f>YEAR(AMAZON_FASHION_5__2[[#This Row],[reviewDate]])</f>
        <v>2018</v>
      </c>
      <c r="E1300" s="1" t="str">
        <f>TEXT(AMAZON_FASHION_5__2[[#This Row],[reviewDate]], "mmmm")</f>
        <v>January</v>
      </c>
      <c r="F1300" t="s">
        <v>439</v>
      </c>
      <c r="G1300" t="s">
        <v>1479</v>
      </c>
      <c r="H1300" t="s">
        <v>230</v>
      </c>
      <c r="I1300" t="s">
        <v>274</v>
      </c>
      <c r="J1300" t="s">
        <v>440</v>
      </c>
      <c r="K1300" t="s">
        <v>441</v>
      </c>
      <c r="L1300" t="s">
        <v>17</v>
      </c>
      <c r="M1300">
        <v>1515283200</v>
      </c>
      <c r="N1300" t="s">
        <v>1628</v>
      </c>
      <c r="O1300" t="s">
        <v>1628</v>
      </c>
      <c r="P1300" t="s">
        <v>1628</v>
      </c>
      <c r="Q1300">
        <f>LEN(AMAZON_FASHION_5__2[[#This Row],[reviewText]])</f>
        <v>51</v>
      </c>
      <c r="R1300" t="str">
        <f>IF(AMAZON_FASHION_5__2[[#This Row],[overall]]&gt;=4,"Positive",IF(AMAZON_FASHION_5__2[[#This Row],[overall]]&lt;=2,"Negative","Neutral"))</f>
        <v>Positive</v>
      </c>
      <c r="S13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01" spans="1:19" x14ac:dyDescent="0.25">
      <c r="A1301">
        <v>5</v>
      </c>
      <c r="B1301" t="b">
        <v>1</v>
      </c>
      <c r="C1301" s="1">
        <v>43098</v>
      </c>
      <c r="D1301">
        <f>YEAR(AMAZON_FASHION_5__2[[#This Row],[reviewDate]])</f>
        <v>2017</v>
      </c>
      <c r="E1301" s="1" t="str">
        <f>TEXT(AMAZON_FASHION_5__2[[#This Row],[reviewDate]], "mmmm")</f>
        <v>December</v>
      </c>
      <c r="F1301" t="s">
        <v>442</v>
      </c>
      <c r="G1301" t="s">
        <v>1479</v>
      </c>
      <c r="H1301" t="s">
        <v>1477</v>
      </c>
      <c r="I1301" t="s">
        <v>336</v>
      </c>
      <c r="J1301" t="s">
        <v>63</v>
      </c>
      <c r="K1301" t="s">
        <v>444</v>
      </c>
      <c r="L1301" t="s">
        <v>445</v>
      </c>
      <c r="M1301">
        <v>1514505600</v>
      </c>
      <c r="N1301" t="s">
        <v>1628</v>
      </c>
      <c r="O1301" t="s">
        <v>1628</v>
      </c>
      <c r="P1301" t="s">
        <v>1628</v>
      </c>
      <c r="Q1301">
        <f>LEN(AMAZON_FASHION_5__2[[#This Row],[reviewText]])</f>
        <v>240</v>
      </c>
      <c r="R1301" t="str">
        <f>IF(AMAZON_FASHION_5__2[[#This Row],[overall]]&gt;=4,"Positive",IF(AMAZON_FASHION_5__2[[#This Row],[overall]]&lt;=2,"Negative","Neutral"))</f>
        <v>Positive</v>
      </c>
      <c r="S13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02" spans="1:19" x14ac:dyDescent="0.25">
      <c r="A1302">
        <v>5</v>
      </c>
      <c r="B1302" t="b">
        <v>1</v>
      </c>
      <c r="C1302" s="1">
        <v>43097</v>
      </c>
      <c r="D1302">
        <f>YEAR(AMAZON_FASHION_5__2[[#This Row],[reviewDate]])</f>
        <v>2017</v>
      </c>
      <c r="E1302" s="1" t="str">
        <f>TEXT(AMAZON_FASHION_5__2[[#This Row],[reviewDate]], "mmmm")</f>
        <v>December</v>
      </c>
      <c r="F1302" t="s">
        <v>446</v>
      </c>
      <c r="G1302" t="s">
        <v>1479</v>
      </c>
      <c r="H1302" t="s">
        <v>201</v>
      </c>
      <c r="I1302" t="s">
        <v>392</v>
      </c>
      <c r="J1302" t="s">
        <v>447</v>
      </c>
      <c r="K1302" t="s">
        <v>448</v>
      </c>
      <c r="L1302" t="s">
        <v>449</v>
      </c>
      <c r="M1302">
        <v>1514419200</v>
      </c>
      <c r="N1302" t="s">
        <v>1628</v>
      </c>
      <c r="O1302" t="s">
        <v>1628</v>
      </c>
      <c r="P1302" t="s">
        <v>1628</v>
      </c>
      <c r="Q1302">
        <f>LEN(AMAZON_FASHION_5__2[[#This Row],[reviewText]])</f>
        <v>68</v>
      </c>
      <c r="R1302" t="str">
        <f>IF(AMAZON_FASHION_5__2[[#This Row],[overall]]&gt;=4,"Positive",IF(AMAZON_FASHION_5__2[[#This Row],[overall]]&lt;=2,"Negative","Neutral"))</f>
        <v>Positive</v>
      </c>
      <c r="S13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03" spans="1:19" x14ac:dyDescent="0.25">
      <c r="A1303">
        <v>2</v>
      </c>
      <c r="B1303" t="b">
        <v>1</v>
      </c>
      <c r="C1303" s="1">
        <v>43086</v>
      </c>
      <c r="D1303">
        <f>YEAR(AMAZON_FASHION_5__2[[#This Row],[reviewDate]])</f>
        <v>2017</v>
      </c>
      <c r="E1303" s="1" t="str">
        <f>TEXT(AMAZON_FASHION_5__2[[#This Row],[reviewDate]], "mmmm")</f>
        <v>December</v>
      </c>
      <c r="F1303" t="s">
        <v>450</v>
      </c>
      <c r="G1303" t="s">
        <v>1479</v>
      </c>
      <c r="H1303" t="s">
        <v>284</v>
      </c>
      <c r="I1303" t="s">
        <v>411</v>
      </c>
      <c r="J1303" t="s">
        <v>451</v>
      </c>
      <c r="K1303" t="s">
        <v>452</v>
      </c>
      <c r="L1303" t="s">
        <v>453</v>
      </c>
      <c r="M1303">
        <v>1513468800</v>
      </c>
      <c r="N1303" t="s">
        <v>1628</v>
      </c>
      <c r="O1303" t="s">
        <v>1628</v>
      </c>
      <c r="P1303" t="s">
        <v>1628</v>
      </c>
      <c r="Q1303">
        <f>LEN(AMAZON_FASHION_5__2[[#This Row],[reviewText]])</f>
        <v>263</v>
      </c>
      <c r="R1303" t="str">
        <f>IF(AMAZON_FASHION_5__2[[#This Row],[overall]]&gt;=4,"Positive",IF(AMAZON_FASHION_5__2[[#This Row],[overall]]&lt;=2,"Negative","Neutral"))</f>
        <v>Negative</v>
      </c>
      <c r="S13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04" spans="1:19" x14ac:dyDescent="0.25">
      <c r="A1304">
        <v>5</v>
      </c>
      <c r="B1304" t="b">
        <v>1</v>
      </c>
      <c r="C1304" s="1">
        <v>43086</v>
      </c>
      <c r="D1304">
        <f>YEAR(AMAZON_FASHION_5__2[[#This Row],[reviewDate]])</f>
        <v>2017</v>
      </c>
      <c r="E1304" s="1" t="str">
        <f>TEXT(AMAZON_FASHION_5__2[[#This Row],[reviewDate]], "mmmm")</f>
        <v>December</v>
      </c>
      <c r="F1304" t="s">
        <v>454</v>
      </c>
      <c r="G1304" t="s">
        <v>1479</v>
      </c>
      <c r="H1304" t="s">
        <v>230</v>
      </c>
      <c r="I1304" t="s">
        <v>198</v>
      </c>
      <c r="J1304" t="s">
        <v>455</v>
      </c>
      <c r="K1304" t="s">
        <v>456</v>
      </c>
      <c r="L1304" t="s">
        <v>17</v>
      </c>
      <c r="M1304">
        <v>1513468800</v>
      </c>
      <c r="N1304" t="s">
        <v>1628</v>
      </c>
      <c r="O1304" t="s">
        <v>1628</v>
      </c>
      <c r="P1304" t="s">
        <v>1628</v>
      </c>
      <c r="Q1304">
        <f>LEN(AMAZON_FASHION_5__2[[#This Row],[reviewText]])</f>
        <v>14</v>
      </c>
      <c r="R1304" t="str">
        <f>IF(AMAZON_FASHION_5__2[[#This Row],[overall]]&gt;=4,"Positive",IF(AMAZON_FASHION_5__2[[#This Row],[overall]]&lt;=2,"Negative","Neutral"))</f>
        <v>Positive</v>
      </c>
      <c r="S13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05" spans="1:19" x14ac:dyDescent="0.25">
      <c r="A1305">
        <v>3</v>
      </c>
      <c r="B1305" t="b">
        <v>1</v>
      </c>
      <c r="C1305" s="1">
        <v>43074</v>
      </c>
      <c r="D1305">
        <f>YEAR(AMAZON_FASHION_5__2[[#This Row],[reviewDate]])</f>
        <v>2017</v>
      </c>
      <c r="E1305" s="1" t="str">
        <f>TEXT(AMAZON_FASHION_5__2[[#This Row],[reviewDate]], "mmmm")</f>
        <v>December</v>
      </c>
      <c r="F1305" t="s">
        <v>457</v>
      </c>
      <c r="G1305" t="s">
        <v>1479</v>
      </c>
      <c r="H1305" t="s">
        <v>210</v>
      </c>
      <c r="I1305" t="s">
        <v>274</v>
      </c>
      <c r="J1305" t="s">
        <v>458</v>
      </c>
      <c r="K1305" t="s">
        <v>459</v>
      </c>
      <c r="L1305" t="s">
        <v>460</v>
      </c>
      <c r="M1305">
        <v>1512432000</v>
      </c>
      <c r="N1305" t="s">
        <v>1628</v>
      </c>
      <c r="O1305" t="s">
        <v>1628</v>
      </c>
      <c r="P1305" t="s">
        <v>1628</v>
      </c>
      <c r="Q1305">
        <f>LEN(AMAZON_FASHION_5__2[[#This Row],[reviewText]])</f>
        <v>757</v>
      </c>
      <c r="R1305" t="str">
        <f>IF(AMAZON_FASHION_5__2[[#This Row],[overall]]&gt;=4,"Positive",IF(AMAZON_FASHION_5__2[[#This Row],[overall]]&lt;=2,"Negative","Neutral"))</f>
        <v>Neutral</v>
      </c>
      <c r="S13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06" spans="1:19" x14ac:dyDescent="0.25">
      <c r="A1306">
        <v>5</v>
      </c>
      <c r="B1306" t="b">
        <v>1</v>
      </c>
      <c r="C1306" s="1">
        <v>43074</v>
      </c>
      <c r="D1306">
        <f>YEAR(AMAZON_FASHION_5__2[[#This Row],[reviewDate]])</f>
        <v>2017</v>
      </c>
      <c r="E1306" s="1" t="str">
        <f>TEXT(AMAZON_FASHION_5__2[[#This Row],[reviewDate]], "mmmm")</f>
        <v>December</v>
      </c>
      <c r="F1306" t="s">
        <v>461</v>
      </c>
      <c r="G1306" t="s">
        <v>1479</v>
      </c>
      <c r="H1306" t="s">
        <v>230</v>
      </c>
      <c r="I1306" t="s">
        <v>303</v>
      </c>
      <c r="J1306" t="s">
        <v>462</v>
      </c>
      <c r="K1306" t="s">
        <v>463</v>
      </c>
      <c r="L1306" t="s">
        <v>17</v>
      </c>
      <c r="M1306">
        <v>1512432000</v>
      </c>
      <c r="N1306" t="s">
        <v>1628</v>
      </c>
      <c r="O1306" t="s">
        <v>1628</v>
      </c>
      <c r="P1306" t="s">
        <v>1628</v>
      </c>
      <c r="Q1306">
        <f>LEN(AMAZON_FASHION_5__2[[#This Row],[reviewText]])</f>
        <v>5</v>
      </c>
      <c r="R1306" t="str">
        <f>IF(AMAZON_FASHION_5__2[[#This Row],[overall]]&gt;=4,"Positive",IF(AMAZON_FASHION_5__2[[#This Row],[overall]]&lt;=2,"Negative","Neutral"))</f>
        <v>Positive</v>
      </c>
      <c r="S13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07" spans="1:19" x14ac:dyDescent="0.25">
      <c r="A1307">
        <v>5</v>
      </c>
      <c r="B1307" t="b">
        <v>1</v>
      </c>
      <c r="C1307" s="1">
        <v>43073</v>
      </c>
      <c r="D1307">
        <f>YEAR(AMAZON_FASHION_5__2[[#This Row],[reviewDate]])</f>
        <v>2017</v>
      </c>
      <c r="E1307" s="1" t="str">
        <f>TEXT(AMAZON_FASHION_5__2[[#This Row],[reviewDate]], "mmmm")</f>
        <v>December</v>
      </c>
      <c r="F1307" t="s">
        <v>464</v>
      </c>
      <c r="G1307" t="s">
        <v>1479</v>
      </c>
      <c r="H1307" t="s">
        <v>320</v>
      </c>
      <c r="I1307" t="s">
        <v>303</v>
      </c>
      <c r="J1307" t="s">
        <v>63</v>
      </c>
      <c r="K1307" t="s">
        <v>465</v>
      </c>
      <c r="L1307" t="s">
        <v>17</v>
      </c>
      <c r="M1307">
        <v>1512345600</v>
      </c>
      <c r="N1307" t="s">
        <v>1628</v>
      </c>
      <c r="O1307" t="s">
        <v>1628</v>
      </c>
      <c r="P1307" t="s">
        <v>1628</v>
      </c>
      <c r="Q1307">
        <f>LEN(AMAZON_FASHION_5__2[[#This Row],[reviewText]])</f>
        <v>1</v>
      </c>
      <c r="R1307" t="str">
        <f>IF(AMAZON_FASHION_5__2[[#This Row],[overall]]&gt;=4,"Positive",IF(AMAZON_FASHION_5__2[[#This Row],[overall]]&lt;=2,"Negative","Neutral"))</f>
        <v>Positive</v>
      </c>
      <c r="S13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08" spans="1:19" x14ac:dyDescent="0.25">
      <c r="A1308">
        <v>5</v>
      </c>
      <c r="B1308" t="b">
        <v>1</v>
      </c>
      <c r="C1308" s="1">
        <v>43069</v>
      </c>
      <c r="D1308">
        <f>YEAR(AMAZON_FASHION_5__2[[#This Row],[reviewDate]])</f>
        <v>2017</v>
      </c>
      <c r="E1308" s="1" t="str">
        <f>TEXT(AMAZON_FASHION_5__2[[#This Row],[reviewDate]], "mmmm")</f>
        <v>November</v>
      </c>
      <c r="F1308" t="s">
        <v>466</v>
      </c>
      <c r="G1308" t="s">
        <v>1479</v>
      </c>
      <c r="H1308" t="s">
        <v>210</v>
      </c>
      <c r="I1308" t="s">
        <v>274</v>
      </c>
      <c r="J1308" t="s">
        <v>467</v>
      </c>
      <c r="K1308" t="s">
        <v>468</v>
      </c>
      <c r="L1308" t="s">
        <v>17</v>
      </c>
      <c r="M1308">
        <v>1512000000</v>
      </c>
      <c r="N1308" t="s">
        <v>1628</v>
      </c>
      <c r="O1308" t="s">
        <v>1628</v>
      </c>
      <c r="P1308" t="s">
        <v>1628</v>
      </c>
      <c r="Q1308">
        <f>LEN(AMAZON_FASHION_5__2[[#This Row],[reviewText]])</f>
        <v>10</v>
      </c>
      <c r="R1308" t="str">
        <f>IF(AMAZON_FASHION_5__2[[#This Row],[overall]]&gt;=4,"Positive",IF(AMAZON_FASHION_5__2[[#This Row],[overall]]&lt;=2,"Negative","Neutral"))</f>
        <v>Positive</v>
      </c>
      <c r="S13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09" spans="1:19" x14ac:dyDescent="0.25">
      <c r="A1309">
        <v>3</v>
      </c>
      <c r="B1309" t="b">
        <v>1</v>
      </c>
      <c r="C1309" s="1">
        <v>43069</v>
      </c>
      <c r="D1309">
        <f>YEAR(AMAZON_FASHION_5__2[[#This Row],[reviewDate]])</f>
        <v>2017</v>
      </c>
      <c r="E1309" s="1" t="str">
        <f>TEXT(AMAZON_FASHION_5__2[[#This Row],[reviewDate]], "mmmm")</f>
        <v>November</v>
      </c>
      <c r="F1309" t="s">
        <v>469</v>
      </c>
      <c r="G1309" t="s">
        <v>1479</v>
      </c>
      <c r="H1309" t="s">
        <v>210</v>
      </c>
      <c r="I1309" t="s">
        <v>198</v>
      </c>
      <c r="J1309" t="s">
        <v>63</v>
      </c>
      <c r="K1309" t="s">
        <v>470</v>
      </c>
      <c r="L1309" t="s">
        <v>471</v>
      </c>
      <c r="M1309">
        <v>1512000000</v>
      </c>
      <c r="N1309" t="s">
        <v>1628</v>
      </c>
      <c r="O1309" t="s">
        <v>1628</v>
      </c>
      <c r="P1309" t="s">
        <v>1628</v>
      </c>
      <c r="Q1309">
        <f>LEN(AMAZON_FASHION_5__2[[#This Row],[reviewText]])</f>
        <v>192</v>
      </c>
      <c r="R1309" t="str">
        <f>IF(AMAZON_FASHION_5__2[[#This Row],[overall]]&gt;=4,"Positive",IF(AMAZON_FASHION_5__2[[#This Row],[overall]]&lt;=2,"Negative","Neutral"))</f>
        <v>Neutral</v>
      </c>
      <c r="S13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10" spans="1:19" x14ac:dyDescent="0.25">
      <c r="A1310">
        <v>3</v>
      </c>
      <c r="B1310" t="b">
        <v>1</v>
      </c>
      <c r="C1310" s="1">
        <v>43067</v>
      </c>
      <c r="D1310">
        <f>YEAR(AMAZON_FASHION_5__2[[#This Row],[reviewDate]])</f>
        <v>2017</v>
      </c>
      <c r="E1310" s="1" t="str">
        <f>TEXT(AMAZON_FASHION_5__2[[#This Row],[reviewDate]], "mmmm")</f>
        <v>November</v>
      </c>
      <c r="F1310" t="s">
        <v>472</v>
      </c>
      <c r="G1310" t="s">
        <v>1479</v>
      </c>
      <c r="H1310" t="s">
        <v>261</v>
      </c>
      <c r="I1310" t="s">
        <v>1455</v>
      </c>
      <c r="J1310" t="s">
        <v>473</v>
      </c>
      <c r="K1310" t="s">
        <v>474</v>
      </c>
      <c r="L1310" t="s">
        <v>475</v>
      </c>
      <c r="M1310">
        <v>1511827200</v>
      </c>
      <c r="N1310" t="s">
        <v>1628</v>
      </c>
      <c r="O1310" t="s">
        <v>1628</v>
      </c>
      <c r="P1310" t="s">
        <v>1628</v>
      </c>
      <c r="Q1310">
        <f>LEN(AMAZON_FASHION_5__2[[#This Row],[reviewText]])</f>
        <v>194</v>
      </c>
      <c r="R1310" t="str">
        <f>IF(AMAZON_FASHION_5__2[[#This Row],[overall]]&gt;=4,"Positive",IF(AMAZON_FASHION_5__2[[#This Row],[overall]]&lt;=2,"Negative","Neutral"))</f>
        <v>Neutral</v>
      </c>
      <c r="S13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11" spans="1:19" x14ac:dyDescent="0.25">
      <c r="A1311">
        <v>4</v>
      </c>
      <c r="B1311" t="b">
        <v>1</v>
      </c>
      <c r="C1311" s="1">
        <v>43067</v>
      </c>
      <c r="D1311">
        <f>YEAR(AMAZON_FASHION_5__2[[#This Row],[reviewDate]])</f>
        <v>2017</v>
      </c>
      <c r="E1311" s="1" t="str">
        <f>TEXT(AMAZON_FASHION_5__2[[#This Row],[reviewDate]], "mmmm")</f>
        <v>November</v>
      </c>
      <c r="F1311" t="s">
        <v>476</v>
      </c>
      <c r="G1311" t="s">
        <v>1479</v>
      </c>
      <c r="H1311" t="s">
        <v>477</v>
      </c>
      <c r="I1311" t="s">
        <v>396</v>
      </c>
      <c r="J1311" t="s">
        <v>478</v>
      </c>
      <c r="K1311" t="s">
        <v>479</v>
      </c>
      <c r="L1311" t="s">
        <v>480</v>
      </c>
      <c r="M1311">
        <v>1511827200</v>
      </c>
      <c r="N1311" t="s">
        <v>1628</v>
      </c>
      <c r="O1311" t="s">
        <v>1628</v>
      </c>
      <c r="P1311" t="s">
        <v>1628</v>
      </c>
      <c r="Q1311">
        <f>LEN(AMAZON_FASHION_5__2[[#This Row],[reviewText]])</f>
        <v>27</v>
      </c>
      <c r="R1311" t="str">
        <f>IF(AMAZON_FASHION_5__2[[#This Row],[overall]]&gt;=4,"Positive",IF(AMAZON_FASHION_5__2[[#This Row],[overall]]&lt;=2,"Negative","Neutral"))</f>
        <v>Positive</v>
      </c>
      <c r="S13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12" spans="1:19" x14ac:dyDescent="0.25">
      <c r="A1312">
        <v>5</v>
      </c>
      <c r="B1312" t="b">
        <v>1</v>
      </c>
      <c r="C1312" s="1">
        <v>43066</v>
      </c>
      <c r="D1312">
        <f>YEAR(AMAZON_FASHION_5__2[[#This Row],[reviewDate]])</f>
        <v>2017</v>
      </c>
      <c r="E1312" s="1" t="str">
        <f>TEXT(AMAZON_FASHION_5__2[[#This Row],[reviewDate]], "mmmm")</f>
        <v>November</v>
      </c>
      <c r="F1312" t="s">
        <v>481</v>
      </c>
      <c r="G1312" t="s">
        <v>1479</v>
      </c>
      <c r="H1312" t="s">
        <v>210</v>
      </c>
      <c r="I1312" t="s">
        <v>303</v>
      </c>
      <c r="J1312" t="s">
        <v>482</v>
      </c>
      <c r="K1312" t="s">
        <v>483</v>
      </c>
      <c r="L1312" t="s">
        <v>17</v>
      </c>
      <c r="M1312">
        <v>1511740800</v>
      </c>
      <c r="N1312" t="s">
        <v>1628</v>
      </c>
      <c r="O1312" t="s">
        <v>1628</v>
      </c>
      <c r="P1312" t="s">
        <v>1628</v>
      </c>
      <c r="Q1312">
        <f>LEN(AMAZON_FASHION_5__2[[#This Row],[reviewText]])</f>
        <v>8</v>
      </c>
      <c r="R1312" t="str">
        <f>IF(AMAZON_FASHION_5__2[[#This Row],[overall]]&gt;=4,"Positive",IF(AMAZON_FASHION_5__2[[#This Row],[overall]]&lt;=2,"Negative","Neutral"))</f>
        <v>Positive</v>
      </c>
      <c r="S13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13" spans="1:19" x14ac:dyDescent="0.25">
      <c r="A1313">
        <v>5</v>
      </c>
      <c r="B1313" t="b">
        <v>1</v>
      </c>
      <c r="C1313" s="1">
        <v>43066</v>
      </c>
      <c r="D1313">
        <f>YEAR(AMAZON_FASHION_5__2[[#This Row],[reviewDate]])</f>
        <v>2017</v>
      </c>
      <c r="E1313" s="1" t="str">
        <f>TEXT(AMAZON_FASHION_5__2[[#This Row],[reviewDate]], "mmmm")</f>
        <v>November</v>
      </c>
      <c r="F1313" t="s">
        <v>481</v>
      </c>
      <c r="G1313" t="s">
        <v>1479</v>
      </c>
      <c r="H1313" t="s">
        <v>210</v>
      </c>
      <c r="I1313" t="s">
        <v>392</v>
      </c>
      <c r="J1313" t="s">
        <v>482</v>
      </c>
      <c r="K1313" t="s">
        <v>483</v>
      </c>
      <c r="L1313" t="s">
        <v>17</v>
      </c>
      <c r="M1313">
        <v>1511740800</v>
      </c>
      <c r="N1313" t="s">
        <v>1628</v>
      </c>
      <c r="O1313" t="s">
        <v>1628</v>
      </c>
      <c r="P1313" t="s">
        <v>1628</v>
      </c>
      <c r="Q1313">
        <f>LEN(AMAZON_FASHION_5__2[[#This Row],[reviewText]])</f>
        <v>8</v>
      </c>
      <c r="R1313" t="str">
        <f>IF(AMAZON_FASHION_5__2[[#This Row],[overall]]&gt;=4,"Positive",IF(AMAZON_FASHION_5__2[[#This Row],[overall]]&lt;=2,"Negative","Neutral"))</f>
        <v>Positive</v>
      </c>
      <c r="S13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14" spans="1:19" x14ac:dyDescent="0.25">
      <c r="A1314">
        <v>1</v>
      </c>
      <c r="B1314" t="b">
        <v>1</v>
      </c>
      <c r="C1314" s="1">
        <v>43058</v>
      </c>
      <c r="D1314">
        <f>YEAR(AMAZON_FASHION_5__2[[#This Row],[reviewDate]])</f>
        <v>2017</v>
      </c>
      <c r="E1314" s="1" t="str">
        <f>TEXT(AMAZON_FASHION_5__2[[#This Row],[reviewDate]], "mmmm")</f>
        <v>November</v>
      </c>
      <c r="F1314" t="s">
        <v>484</v>
      </c>
      <c r="G1314" t="s">
        <v>1479</v>
      </c>
      <c r="H1314" t="s">
        <v>201</v>
      </c>
      <c r="I1314" t="s">
        <v>198</v>
      </c>
      <c r="J1314" t="s">
        <v>485</v>
      </c>
      <c r="K1314" t="s">
        <v>486</v>
      </c>
      <c r="L1314" t="s">
        <v>487</v>
      </c>
      <c r="M1314">
        <v>1511049600</v>
      </c>
      <c r="N1314" t="s">
        <v>1628</v>
      </c>
      <c r="O1314" t="s">
        <v>1628</v>
      </c>
      <c r="P1314" t="s">
        <v>1628</v>
      </c>
      <c r="Q1314">
        <f>LEN(AMAZON_FASHION_5__2[[#This Row],[reviewText]])</f>
        <v>133</v>
      </c>
      <c r="R1314" t="str">
        <f>IF(AMAZON_FASHION_5__2[[#This Row],[overall]]&gt;=4,"Positive",IF(AMAZON_FASHION_5__2[[#This Row],[overall]]&lt;=2,"Negative","Neutral"))</f>
        <v>Negative</v>
      </c>
      <c r="S13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15" spans="1:19" x14ac:dyDescent="0.25">
      <c r="A1315">
        <v>5</v>
      </c>
      <c r="B1315" t="b">
        <v>1</v>
      </c>
      <c r="C1315" s="1">
        <v>43053</v>
      </c>
      <c r="D1315">
        <f>YEAR(AMAZON_FASHION_5__2[[#This Row],[reviewDate]])</f>
        <v>2017</v>
      </c>
      <c r="E1315" s="1" t="str">
        <f>TEXT(AMAZON_FASHION_5__2[[#This Row],[reviewDate]], "mmmm")</f>
        <v>November</v>
      </c>
      <c r="F1315" t="s">
        <v>488</v>
      </c>
      <c r="G1315" t="s">
        <v>1479</v>
      </c>
      <c r="H1315" t="s">
        <v>210</v>
      </c>
      <c r="I1315" t="s">
        <v>303</v>
      </c>
      <c r="J1315" t="s">
        <v>489</v>
      </c>
      <c r="K1315" t="s">
        <v>490</v>
      </c>
      <c r="L1315" t="s">
        <v>491</v>
      </c>
      <c r="M1315">
        <v>1510617600</v>
      </c>
      <c r="N1315" t="s">
        <v>1628</v>
      </c>
      <c r="O1315" t="s">
        <v>1628</v>
      </c>
      <c r="P1315" t="s">
        <v>1628</v>
      </c>
      <c r="Q1315">
        <f>LEN(AMAZON_FASHION_5__2[[#This Row],[reviewText]])</f>
        <v>232</v>
      </c>
      <c r="R1315" t="str">
        <f>IF(AMAZON_FASHION_5__2[[#This Row],[overall]]&gt;=4,"Positive",IF(AMAZON_FASHION_5__2[[#This Row],[overall]]&lt;=2,"Negative","Neutral"))</f>
        <v>Positive</v>
      </c>
      <c r="S13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16" spans="1:19" x14ac:dyDescent="0.25">
      <c r="A1316">
        <v>4</v>
      </c>
      <c r="B1316" t="b">
        <v>1</v>
      </c>
      <c r="C1316" s="1">
        <v>43050</v>
      </c>
      <c r="D1316">
        <f>YEAR(AMAZON_FASHION_5__2[[#This Row],[reviewDate]])</f>
        <v>2017</v>
      </c>
      <c r="E1316" s="1" t="str">
        <f>TEXT(AMAZON_FASHION_5__2[[#This Row],[reviewDate]], "mmmm")</f>
        <v>November</v>
      </c>
      <c r="F1316" t="s">
        <v>492</v>
      </c>
      <c r="G1316" t="s">
        <v>1479</v>
      </c>
      <c r="H1316" t="s">
        <v>230</v>
      </c>
      <c r="I1316" t="s">
        <v>493</v>
      </c>
      <c r="J1316" t="s">
        <v>494</v>
      </c>
      <c r="K1316" t="s">
        <v>495</v>
      </c>
      <c r="L1316" t="s">
        <v>496</v>
      </c>
      <c r="M1316">
        <v>1510358400</v>
      </c>
      <c r="N1316" t="s">
        <v>1628</v>
      </c>
      <c r="O1316" t="s">
        <v>1628</v>
      </c>
      <c r="P1316" t="s">
        <v>1628</v>
      </c>
      <c r="Q1316">
        <f>LEN(AMAZON_FASHION_5__2[[#This Row],[reviewText]])</f>
        <v>104</v>
      </c>
      <c r="R1316" t="str">
        <f>IF(AMAZON_FASHION_5__2[[#This Row],[overall]]&gt;=4,"Positive",IF(AMAZON_FASHION_5__2[[#This Row],[overall]]&lt;=2,"Negative","Neutral"))</f>
        <v>Positive</v>
      </c>
      <c r="S13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17" spans="1:19" x14ac:dyDescent="0.25">
      <c r="A1317">
        <v>5</v>
      </c>
      <c r="B1317" t="b">
        <v>1</v>
      </c>
      <c r="C1317" s="1">
        <v>43049</v>
      </c>
      <c r="D1317">
        <f>YEAR(AMAZON_FASHION_5__2[[#This Row],[reviewDate]])</f>
        <v>2017</v>
      </c>
      <c r="E1317" s="1" t="str">
        <f>TEXT(AMAZON_FASHION_5__2[[#This Row],[reviewDate]], "mmmm")</f>
        <v>November</v>
      </c>
      <c r="F1317" t="s">
        <v>497</v>
      </c>
      <c r="G1317" t="s">
        <v>1479</v>
      </c>
      <c r="H1317" t="s">
        <v>477</v>
      </c>
      <c r="I1317" t="s">
        <v>396</v>
      </c>
      <c r="J1317" t="s">
        <v>498</v>
      </c>
      <c r="K1317" t="s">
        <v>499</v>
      </c>
      <c r="L1317" t="s">
        <v>17</v>
      </c>
      <c r="M1317">
        <v>1510272000</v>
      </c>
      <c r="N1317" t="s">
        <v>1628</v>
      </c>
      <c r="O1317" t="s">
        <v>1628</v>
      </c>
      <c r="P1317" t="s">
        <v>1628</v>
      </c>
      <c r="Q1317">
        <f>LEN(AMAZON_FASHION_5__2[[#This Row],[reviewText]])</f>
        <v>15</v>
      </c>
      <c r="R1317" t="str">
        <f>IF(AMAZON_FASHION_5__2[[#This Row],[overall]]&gt;=4,"Positive",IF(AMAZON_FASHION_5__2[[#This Row],[overall]]&lt;=2,"Negative","Neutral"))</f>
        <v>Positive</v>
      </c>
      <c r="S13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18" spans="1:19" x14ac:dyDescent="0.25">
      <c r="A1318">
        <v>5</v>
      </c>
      <c r="B1318" t="b">
        <v>1</v>
      </c>
      <c r="C1318" s="1">
        <v>43048</v>
      </c>
      <c r="D1318">
        <f>YEAR(AMAZON_FASHION_5__2[[#This Row],[reviewDate]])</f>
        <v>2017</v>
      </c>
      <c r="E1318" s="1" t="str">
        <f>TEXT(AMAZON_FASHION_5__2[[#This Row],[reviewDate]], "mmmm")</f>
        <v>November</v>
      </c>
      <c r="F1318" t="s">
        <v>500</v>
      </c>
      <c r="G1318" t="s">
        <v>1479</v>
      </c>
      <c r="H1318" t="s">
        <v>197</v>
      </c>
      <c r="I1318" t="s">
        <v>198</v>
      </c>
      <c r="J1318" t="s">
        <v>63</v>
      </c>
      <c r="K1318" t="s">
        <v>501</v>
      </c>
      <c r="L1318" t="s">
        <v>502</v>
      </c>
      <c r="M1318">
        <v>1510185600</v>
      </c>
      <c r="N1318" t="s">
        <v>1628</v>
      </c>
      <c r="O1318" t="s">
        <v>1628</v>
      </c>
      <c r="P1318" t="s">
        <v>1628</v>
      </c>
      <c r="Q1318">
        <f>LEN(AMAZON_FASHION_5__2[[#This Row],[reviewText]])</f>
        <v>278</v>
      </c>
      <c r="R1318" t="str">
        <f>IF(AMAZON_FASHION_5__2[[#This Row],[overall]]&gt;=4,"Positive",IF(AMAZON_FASHION_5__2[[#This Row],[overall]]&lt;=2,"Negative","Neutral"))</f>
        <v>Positive</v>
      </c>
      <c r="S13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19" spans="1:19" x14ac:dyDescent="0.25">
      <c r="A1319">
        <v>4</v>
      </c>
      <c r="B1319" t="b">
        <v>1</v>
      </c>
      <c r="C1319" s="1">
        <v>43046</v>
      </c>
      <c r="D1319">
        <f>YEAR(AMAZON_FASHION_5__2[[#This Row],[reviewDate]])</f>
        <v>2017</v>
      </c>
      <c r="E1319" s="1" t="str">
        <f>TEXT(AMAZON_FASHION_5__2[[#This Row],[reviewDate]], "mmmm")</f>
        <v>November</v>
      </c>
      <c r="F1319" t="s">
        <v>503</v>
      </c>
      <c r="G1319" t="s">
        <v>1479</v>
      </c>
      <c r="H1319" t="s">
        <v>210</v>
      </c>
      <c r="I1319" t="s">
        <v>274</v>
      </c>
      <c r="J1319" t="s">
        <v>504</v>
      </c>
      <c r="K1319" t="s">
        <v>505</v>
      </c>
      <c r="L1319" t="s">
        <v>103</v>
      </c>
      <c r="M1319">
        <v>1510012800</v>
      </c>
      <c r="N1319" t="s">
        <v>1628</v>
      </c>
      <c r="O1319" t="s">
        <v>1628</v>
      </c>
      <c r="P1319" t="s">
        <v>1628</v>
      </c>
      <c r="Q1319">
        <f>LEN(AMAZON_FASHION_5__2[[#This Row],[reviewText]])</f>
        <v>8</v>
      </c>
      <c r="R1319" t="str">
        <f>IF(AMAZON_FASHION_5__2[[#This Row],[overall]]&gt;=4,"Positive",IF(AMAZON_FASHION_5__2[[#This Row],[overall]]&lt;=2,"Negative","Neutral"))</f>
        <v>Positive</v>
      </c>
      <c r="S13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20" spans="1:19" x14ac:dyDescent="0.25">
      <c r="A1320">
        <v>2</v>
      </c>
      <c r="B1320" t="b">
        <v>1</v>
      </c>
      <c r="C1320" s="1">
        <v>43044</v>
      </c>
      <c r="D1320">
        <f>YEAR(AMAZON_FASHION_5__2[[#This Row],[reviewDate]])</f>
        <v>2017</v>
      </c>
      <c r="E1320" s="1" t="str">
        <f>TEXT(AMAZON_FASHION_5__2[[#This Row],[reviewDate]], "mmmm")</f>
        <v>November</v>
      </c>
      <c r="F1320" t="s">
        <v>506</v>
      </c>
      <c r="G1320" t="s">
        <v>1479</v>
      </c>
      <c r="H1320" t="s">
        <v>197</v>
      </c>
      <c r="I1320" t="s">
        <v>507</v>
      </c>
      <c r="J1320" t="s">
        <v>63</v>
      </c>
      <c r="K1320" t="s">
        <v>508</v>
      </c>
      <c r="L1320" t="s">
        <v>509</v>
      </c>
      <c r="M1320">
        <v>1509840000</v>
      </c>
      <c r="N1320" t="s">
        <v>1628</v>
      </c>
      <c r="O1320" t="s">
        <v>1628</v>
      </c>
      <c r="P1320">
        <v>6</v>
      </c>
      <c r="Q1320">
        <f>LEN(AMAZON_FASHION_5__2[[#This Row],[reviewText]])</f>
        <v>467</v>
      </c>
      <c r="R1320" t="str">
        <f>IF(AMAZON_FASHION_5__2[[#This Row],[overall]]&gt;=4,"Positive",IF(AMAZON_FASHION_5__2[[#This Row],[overall]]&lt;=2,"Negative","Neutral"))</f>
        <v>Negative</v>
      </c>
      <c r="S13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21" spans="1:19" x14ac:dyDescent="0.25">
      <c r="A1321">
        <v>5</v>
      </c>
      <c r="B1321" t="b">
        <v>1</v>
      </c>
      <c r="C1321" s="1">
        <v>43043</v>
      </c>
      <c r="D1321">
        <f>YEAR(AMAZON_FASHION_5__2[[#This Row],[reviewDate]])</f>
        <v>2017</v>
      </c>
      <c r="E1321" s="1" t="str">
        <f>TEXT(AMAZON_FASHION_5__2[[#This Row],[reviewDate]], "mmmm")</f>
        <v>November</v>
      </c>
      <c r="F1321" t="s">
        <v>510</v>
      </c>
      <c r="G1321" t="s">
        <v>1479</v>
      </c>
      <c r="H1321" t="s">
        <v>235</v>
      </c>
      <c r="I1321" t="s">
        <v>274</v>
      </c>
      <c r="J1321" t="s">
        <v>511</v>
      </c>
      <c r="K1321" t="s">
        <v>512</v>
      </c>
      <c r="L1321" t="s">
        <v>17</v>
      </c>
      <c r="M1321">
        <v>1509753600</v>
      </c>
      <c r="N1321" t="s">
        <v>1628</v>
      </c>
      <c r="O1321" t="s">
        <v>1628</v>
      </c>
      <c r="P1321" t="s">
        <v>1628</v>
      </c>
      <c r="Q1321">
        <f>LEN(AMAZON_FASHION_5__2[[#This Row],[reviewText]])</f>
        <v>39</v>
      </c>
      <c r="R1321" t="str">
        <f>IF(AMAZON_FASHION_5__2[[#This Row],[overall]]&gt;=4,"Positive",IF(AMAZON_FASHION_5__2[[#This Row],[overall]]&lt;=2,"Negative","Neutral"))</f>
        <v>Positive</v>
      </c>
      <c r="S13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22" spans="1:19" x14ac:dyDescent="0.25">
      <c r="A1322">
        <v>3</v>
      </c>
      <c r="B1322" t="b">
        <v>1</v>
      </c>
      <c r="C1322" s="1">
        <v>43043</v>
      </c>
      <c r="D1322">
        <f>YEAR(AMAZON_FASHION_5__2[[#This Row],[reviewDate]])</f>
        <v>2017</v>
      </c>
      <c r="E1322" s="1" t="str">
        <f>TEXT(AMAZON_FASHION_5__2[[#This Row],[reviewDate]], "mmmm")</f>
        <v>November</v>
      </c>
      <c r="F1322" t="s">
        <v>513</v>
      </c>
      <c r="G1322" t="s">
        <v>1479</v>
      </c>
      <c r="H1322" t="s">
        <v>205</v>
      </c>
      <c r="I1322" t="s">
        <v>507</v>
      </c>
      <c r="J1322" t="s">
        <v>514</v>
      </c>
      <c r="K1322" t="s">
        <v>515</v>
      </c>
      <c r="L1322" t="s">
        <v>101</v>
      </c>
      <c r="M1322">
        <v>1509753600</v>
      </c>
      <c r="N1322" t="s">
        <v>1628</v>
      </c>
      <c r="O1322" t="s">
        <v>1628</v>
      </c>
      <c r="P1322" t="s">
        <v>1628</v>
      </c>
      <c r="Q1322">
        <f>LEN(AMAZON_FASHION_5__2[[#This Row],[reviewText]])</f>
        <v>38</v>
      </c>
      <c r="R1322" t="str">
        <f>IF(AMAZON_FASHION_5__2[[#This Row],[overall]]&gt;=4,"Positive",IF(AMAZON_FASHION_5__2[[#This Row],[overall]]&lt;=2,"Negative","Neutral"))</f>
        <v>Neutral</v>
      </c>
      <c r="S13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23" spans="1:19" x14ac:dyDescent="0.25">
      <c r="A1323">
        <v>4</v>
      </c>
      <c r="B1323" t="b">
        <v>1</v>
      </c>
      <c r="C1323" s="1">
        <v>43042</v>
      </c>
      <c r="D1323">
        <f>YEAR(AMAZON_FASHION_5__2[[#This Row],[reviewDate]])</f>
        <v>2017</v>
      </c>
      <c r="E1323" s="1" t="str">
        <f>TEXT(AMAZON_FASHION_5__2[[#This Row],[reviewDate]], "mmmm")</f>
        <v>November</v>
      </c>
      <c r="F1323" t="s">
        <v>516</v>
      </c>
      <c r="G1323" t="s">
        <v>1479</v>
      </c>
      <c r="H1323" t="s">
        <v>230</v>
      </c>
      <c r="I1323" t="s">
        <v>274</v>
      </c>
      <c r="J1323" t="s">
        <v>517</v>
      </c>
      <c r="K1323" t="s">
        <v>518</v>
      </c>
      <c r="L1323" t="s">
        <v>519</v>
      </c>
      <c r="M1323">
        <v>1509667200</v>
      </c>
      <c r="N1323" t="s">
        <v>1628</v>
      </c>
      <c r="O1323" t="s">
        <v>1628</v>
      </c>
      <c r="P1323" t="s">
        <v>1628</v>
      </c>
      <c r="Q1323">
        <f>LEN(AMAZON_FASHION_5__2[[#This Row],[reviewText]])</f>
        <v>23</v>
      </c>
      <c r="R1323" t="str">
        <f>IF(AMAZON_FASHION_5__2[[#This Row],[overall]]&gt;=4,"Positive",IF(AMAZON_FASHION_5__2[[#This Row],[overall]]&lt;=2,"Negative","Neutral"))</f>
        <v>Positive</v>
      </c>
      <c r="S13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24" spans="1:19" x14ac:dyDescent="0.25">
      <c r="A1324">
        <v>5</v>
      </c>
      <c r="B1324" t="b">
        <v>1</v>
      </c>
      <c r="C1324" s="1">
        <v>43041</v>
      </c>
      <c r="D1324">
        <f>YEAR(AMAZON_FASHION_5__2[[#This Row],[reviewDate]])</f>
        <v>2017</v>
      </c>
      <c r="E1324" s="1" t="str">
        <f>TEXT(AMAZON_FASHION_5__2[[#This Row],[reviewDate]], "mmmm")</f>
        <v>November</v>
      </c>
      <c r="F1324" t="s">
        <v>520</v>
      </c>
      <c r="G1324" t="s">
        <v>1479</v>
      </c>
      <c r="H1324" t="s">
        <v>230</v>
      </c>
      <c r="I1324" t="s">
        <v>303</v>
      </c>
      <c r="J1324" t="s">
        <v>521</v>
      </c>
      <c r="K1324" t="s">
        <v>522</v>
      </c>
      <c r="L1324" t="s">
        <v>17</v>
      </c>
      <c r="M1324">
        <v>1509580800</v>
      </c>
      <c r="N1324" t="s">
        <v>1628</v>
      </c>
      <c r="O1324" t="s">
        <v>1628</v>
      </c>
      <c r="P1324" t="s">
        <v>1628</v>
      </c>
      <c r="Q1324">
        <f>LEN(AMAZON_FASHION_5__2[[#This Row],[reviewText]])</f>
        <v>10</v>
      </c>
      <c r="R1324" t="str">
        <f>IF(AMAZON_FASHION_5__2[[#This Row],[overall]]&gt;=4,"Positive",IF(AMAZON_FASHION_5__2[[#This Row],[overall]]&lt;=2,"Negative","Neutral"))</f>
        <v>Positive</v>
      </c>
      <c r="S13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25" spans="1:19" x14ac:dyDescent="0.25">
      <c r="A1325">
        <v>4</v>
      </c>
      <c r="B1325" t="b">
        <v>1</v>
      </c>
      <c r="C1325" s="1">
        <v>43039</v>
      </c>
      <c r="D1325">
        <f>YEAR(AMAZON_FASHION_5__2[[#This Row],[reviewDate]])</f>
        <v>2017</v>
      </c>
      <c r="E1325" s="1" t="str">
        <f>TEXT(AMAZON_FASHION_5__2[[#This Row],[reviewDate]], "mmmm")</f>
        <v>October</v>
      </c>
      <c r="F1325" t="s">
        <v>523</v>
      </c>
      <c r="G1325" t="s">
        <v>1479</v>
      </c>
      <c r="H1325" t="s">
        <v>201</v>
      </c>
      <c r="I1325" t="s">
        <v>524</v>
      </c>
      <c r="J1325" t="s">
        <v>525</v>
      </c>
      <c r="K1325" t="s">
        <v>526</v>
      </c>
      <c r="L1325" t="s">
        <v>527</v>
      </c>
      <c r="M1325">
        <v>1509408000</v>
      </c>
      <c r="N1325" t="s">
        <v>1628</v>
      </c>
      <c r="O1325" t="s">
        <v>1628</v>
      </c>
      <c r="P1325" t="s">
        <v>1628</v>
      </c>
      <c r="Q1325">
        <f>LEN(AMAZON_FASHION_5__2[[#This Row],[reviewText]])</f>
        <v>152</v>
      </c>
      <c r="R1325" t="str">
        <f>IF(AMAZON_FASHION_5__2[[#This Row],[overall]]&gt;=4,"Positive",IF(AMAZON_FASHION_5__2[[#This Row],[overall]]&lt;=2,"Negative","Neutral"))</f>
        <v>Positive</v>
      </c>
      <c r="S13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26" spans="1:19" x14ac:dyDescent="0.25">
      <c r="A1326">
        <v>5</v>
      </c>
      <c r="B1326" t="b">
        <v>1</v>
      </c>
      <c r="C1326" s="1">
        <v>43037</v>
      </c>
      <c r="D1326">
        <f>YEAR(AMAZON_FASHION_5__2[[#This Row],[reviewDate]])</f>
        <v>2017</v>
      </c>
      <c r="E1326" s="1" t="str">
        <f>TEXT(AMAZON_FASHION_5__2[[#This Row],[reviewDate]], "mmmm")</f>
        <v>October</v>
      </c>
      <c r="F1326" t="s">
        <v>528</v>
      </c>
      <c r="G1326" t="s">
        <v>1479</v>
      </c>
      <c r="H1326" t="s">
        <v>235</v>
      </c>
      <c r="I1326" t="s">
        <v>274</v>
      </c>
      <c r="J1326" t="s">
        <v>529</v>
      </c>
      <c r="K1326" t="s">
        <v>530</v>
      </c>
      <c r="L1326" t="s">
        <v>531</v>
      </c>
      <c r="M1326">
        <v>1509235200</v>
      </c>
      <c r="N1326" t="s">
        <v>1628</v>
      </c>
      <c r="O1326" t="s">
        <v>1628</v>
      </c>
      <c r="P1326" t="s">
        <v>1628</v>
      </c>
      <c r="Q1326">
        <f>LEN(AMAZON_FASHION_5__2[[#This Row],[reviewText]])</f>
        <v>21</v>
      </c>
      <c r="R1326" t="str">
        <f>IF(AMAZON_FASHION_5__2[[#This Row],[overall]]&gt;=4,"Positive",IF(AMAZON_FASHION_5__2[[#This Row],[overall]]&lt;=2,"Negative","Neutral"))</f>
        <v>Positive</v>
      </c>
      <c r="S13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27" spans="1:19" x14ac:dyDescent="0.25">
      <c r="A1327">
        <v>5</v>
      </c>
      <c r="B1327" t="b">
        <v>1</v>
      </c>
      <c r="C1327" s="1">
        <v>43034</v>
      </c>
      <c r="D1327">
        <f>YEAR(AMAZON_FASHION_5__2[[#This Row],[reviewDate]])</f>
        <v>2017</v>
      </c>
      <c r="E1327" s="1" t="str">
        <f>TEXT(AMAZON_FASHION_5__2[[#This Row],[reviewDate]], "mmmm")</f>
        <v>October</v>
      </c>
      <c r="F1327" t="s">
        <v>532</v>
      </c>
      <c r="G1327" t="s">
        <v>1479</v>
      </c>
      <c r="H1327" t="s">
        <v>477</v>
      </c>
      <c r="I1327" t="s">
        <v>198</v>
      </c>
      <c r="J1327" t="s">
        <v>533</v>
      </c>
      <c r="K1327" t="s">
        <v>534</v>
      </c>
      <c r="L1327" t="s">
        <v>535</v>
      </c>
      <c r="M1327">
        <v>1508976000</v>
      </c>
      <c r="N1327" t="s">
        <v>1628</v>
      </c>
      <c r="O1327" t="s">
        <v>1628</v>
      </c>
      <c r="P1327" t="s">
        <v>1628</v>
      </c>
      <c r="Q1327">
        <f>LEN(AMAZON_FASHION_5__2[[#This Row],[reviewText]])</f>
        <v>185</v>
      </c>
      <c r="R1327" t="str">
        <f>IF(AMAZON_FASHION_5__2[[#This Row],[overall]]&gt;=4,"Positive",IF(AMAZON_FASHION_5__2[[#This Row],[overall]]&lt;=2,"Negative","Neutral"))</f>
        <v>Positive</v>
      </c>
      <c r="S13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28" spans="1:19" x14ac:dyDescent="0.25">
      <c r="A1328">
        <v>5</v>
      </c>
      <c r="B1328" t="b">
        <v>1</v>
      </c>
      <c r="C1328" s="1">
        <v>43034</v>
      </c>
      <c r="D1328">
        <f>YEAR(AMAZON_FASHION_5__2[[#This Row],[reviewDate]])</f>
        <v>2017</v>
      </c>
      <c r="E1328" s="1" t="str">
        <f>TEXT(AMAZON_FASHION_5__2[[#This Row],[reviewDate]], "mmmm")</f>
        <v>October</v>
      </c>
      <c r="F1328" t="s">
        <v>536</v>
      </c>
      <c r="G1328" t="s">
        <v>1479</v>
      </c>
      <c r="H1328" t="s">
        <v>197</v>
      </c>
      <c r="I1328" t="s">
        <v>303</v>
      </c>
      <c r="J1328" t="s">
        <v>537</v>
      </c>
      <c r="K1328" t="s">
        <v>538</v>
      </c>
      <c r="L1328" t="s">
        <v>539</v>
      </c>
      <c r="M1328">
        <v>1508976000</v>
      </c>
      <c r="N1328" t="s">
        <v>1628</v>
      </c>
      <c r="O1328" t="s">
        <v>1628</v>
      </c>
      <c r="P1328" t="s">
        <v>1628</v>
      </c>
      <c r="Q1328">
        <f>LEN(AMAZON_FASHION_5__2[[#This Row],[reviewText]])</f>
        <v>351</v>
      </c>
      <c r="R1328" t="str">
        <f>IF(AMAZON_FASHION_5__2[[#This Row],[overall]]&gt;=4,"Positive",IF(AMAZON_FASHION_5__2[[#This Row],[overall]]&lt;=2,"Negative","Neutral"))</f>
        <v>Positive</v>
      </c>
      <c r="S13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29" spans="1:19" x14ac:dyDescent="0.25">
      <c r="A1329">
        <v>5</v>
      </c>
      <c r="B1329" t="b">
        <v>1</v>
      </c>
      <c r="C1329" s="1">
        <v>43033</v>
      </c>
      <c r="D1329">
        <f>YEAR(AMAZON_FASHION_5__2[[#This Row],[reviewDate]])</f>
        <v>2017</v>
      </c>
      <c r="E1329" s="1" t="str">
        <f>TEXT(AMAZON_FASHION_5__2[[#This Row],[reviewDate]], "mmmm")</f>
        <v>October</v>
      </c>
      <c r="F1329" t="s">
        <v>540</v>
      </c>
      <c r="G1329" t="s">
        <v>1479</v>
      </c>
      <c r="H1329" t="s">
        <v>230</v>
      </c>
      <c r="I1329" t="s">
        <v>541</v>
      </c>
      <c r="J1329" t="s">
        <v>542</v>
      </c>
      <c r="K1329" t="s">
        <v>543</v>
      </c>
      <c r="L1329" t="s">
        <v>17</v>
      </c>
      <c r="M1329">
        <v>1508889600</v>
      </c>
      <c r="N1329" t="s">
        <v>1628</v>
      </c>
      <c r="O1329" t="s">
        <v>1628</v>
      </c>
      <c r="P1329" t="s">
        <v>1628</v>
      </c>
      <c r="Q1329">
        <f>LEN(AMAZON_FASHION_5__2[[#This Row],[reviewText]])</f>
        <v>11</v>
      </c>
      <c r="R1329" t="str">
        <f>IF(AMAZON_FASHION_5__2[[#This Row],[overall]]&gt;=4,"Positive",IF(AMAZON_FASHION_5__2[[#This Row],[overall]]&lt;=2,"Negative","Neutral"))</f>
        <v>Positive</v>
      </c>
      <c r="S13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30" spans="1:19" x14ac:dyDescent="0.25">
      <c r="A1330">
        <v>5</v>
      </c>
      <c r="B1330" t="b">
        <v>1</v>
      </c>
      <c r="C1330" s="1">
        <v>43032</v>
      </c>
      <c r="D1330">
        <f>YEAR(AMAZON_FASHION_5__2[[#This Row],[reviewDate]])</f>
        <v>2017</v>
      </c>
      <c r="E1330" s="1" t="str">
        <f>TEXT(AMAZON_FASHION_5__2[[#This Row],[reviewDate]], "mmmm")</f>
        <v>October</v>
      </c>
      <c r="F1330" t="s">
        <v>544</v>
      </c>
      <c r="G1330" t="s">
        <v>1479</v>
      </c>
      <c r="H1330" t="s">
        <v>201</v>
      </c>
      <c r="I1330" t="s">
        <v>507</v>
      </c>
      <c r="J1330" t="s">
        <v>545</v>
      </c>
      <c r="K1330" t="s">
        <v>546</v>
      </c>
      <c r="L1330" t="s">
        <v>17</v>
      </c>
      <c r="M1330">
        <v>1508803200</v>
      </c>
      <c r="N1330" t="s">
        <v>1628</v>
      </c>
      <c r="O1330" t="s">
        <v>1628</v>
      </c>
      <c r="P1330" t="s">
        <v>1628</v>
      </c>
      <c r="Q1330">
        <f>LEN(AMAZON_FASHION_5__2[[#This Row],[reviewText]])</f>
        <v>35</v>
      </c>
      <c r="R1330" t="str">
        <f>IF(AMAZON_FASHION_5__2[[#This Row],[overall]]&gt;=4,"Positive",IF(AMAZON_FASHION_5__2[[#This Row],[overall]]&lt;=2,"Negative","Neutral"))</f>
        <v>Positive</v>
      </c>
      <c r="S13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31" spans="1:19" x14ac:dyDescent="0.25">
      <c r="A1331">
        <v>5</v>
      </c>
      <c r="B1331" t="b">
        <v>1</v>
      </c>
      <c r="C1331" s="1">
        <v>43030</v>
      </c>
      <c r="D1331">
        <f>YEAR(AMAZON_FASHION_5__2[[#This Row],[reviewDate]])</f>
        <v>2017</v>
      </c>
      <c r="E1331" s="1" t="str">
        <f>TEXT(AMAZON_FASHION_5__2[[#This Row],[reviewDate]], "mmmm")</f>
        <v>October</v>
      </c>
      <c r="F1331" t="s">
        <v>547</v>
      </c>
      <c r="G1331" t="s">
        <v>1479</v>
      </c>
      <c r="H1331" t="s">
        <v>230</v>
      </c>
      <c r="I1331" t="s">
        <v>548</v>
      </c>
      <c r="J1331" t="s">
        <v>549</v>
      </c>
      <c r="K1331" t="s">
        <v>550</v>
      </c>
      <c r="L1331" t="s">
        <v>17</v>
      </c>
      <c r="M1331">
        <v>1508630400</v>
      </c>
      <c r="N1331" t="s">
        <v>1628</v>
      </c>
      <c r="O1331" t="s">
        <v>1628</v>
      </c>
      <c r="P1331" t="s">
        <v>1628</v>
      </c>
      <c r="Q1331">
        <f>LEN(AMAZON_FASHION_5__2[[#This Row],[reviewText]])</f>
        <v>14</v>
      </c>
      <c r="R1331" t="str">
        <f>IF(AMAZON_FASHION_5__2[[#This Row],[overall]]&gt;=4,"Positive",IF(AMAZON_FASHION_5__2[[#This Row],[overall]]&lt;=2,"Negative","Neutral"))</f>
        <v>Positive</v>
      </c>
      <c r="S13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32" spans="1:19" x14ac:dyDescent="0.25">
      <c r="A1332">
        <v>3</v>
      </c>
      <c r="B1332" t="b">
        <v>1</v>
      </c>
      <c r="C1332" s="1">
        <v>43026</v>
      </c>
      <c r="D1332">
        <f>YEAR(AMAZON_FASHION_5__2[[#This Row],[reviewDate]])</f>
        <v>2017</v>
      </c>
      <c r="E1332" s="1" t="str">
        <f>TEXT(AMAZON_FASHION_5__2[[#This Row],[reviewDate]], "mmmm")</f>
        <v>October</v>
      </c>
      <c r="F1332" t="s">
        <v>551</v>
      </c>
      <c r="G1332" t="s">
        <v>1479</v>
      </c>
      <c r="H1332" t="s">
        <v>210</v>
      </c>
      <c r="I1332" t="s">
        <v>274</v>
      </c>
      <c r="J1332" t="s">
        <v>552</v>
      </c>
      <c r="K1332" t="s">
        <v>553</v>
      </c>
      <c r="L1332" t="s">
        <v>554</v>
      </c>
      <c r="M1332">
        <v>1508284800</v>
      </c>
      <c r="N1332" t="s">
        <v>1628</v>
      </c>
      <c r="O1332" t="s">
        <v>1628</v>
      </c>
      <c r="P1332" t="s">
        <v>1628</v>
      </c>
      <c r="Q1332">
        <f>LEN(AMAZON_FASHION_5__2[[#This Row],[reviewText]])</f>
        <v>201</v>
      </c>
      <c r="R1332" t="str">
        <f>IF(AMAZON_FASHION_5__2[[#This Row],[overall]]&gt;=4,"Positive",IF(AMAZON_FASHION_5__2[[#This Row],[overall]]&lt;=2,"Negative","Neutral"))</f>
        <v>Neutral</v>
      </c>
      <c r="S13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33" spans="1:19" x14ac:dyDescent="0.25">
      <c r="A1333">
        <v>5</v>
      </c>
      <c r="B1333" t="b">
        <v>1</v>
      </c>
      <c r="C1333" s="1">
        <v>43021</v>
      </c>
      <c r="D1333">
        <f>YEAR(AMAZON_FASHION_5__2[[#This Row],[reviewDate]])</f>
        <v>2017</v>
      </c>
      <c r="E1333" s="1" t="str">
        <f>TEXT(AMAZON_FASHION_5__2[[#This Row],[reviewDate]], "mmmm")</f>
        <v>October</v>
      </c>
      <c r="F1333" t="s">
        <v>555</v>
      </c>
      <c r="G1333" t="s">
        <v>1479</v>
      </c>
      <c r="H1333" t="s">
        <v>201</v>
      </c>
      <c r="I1333" t="s">
        <v>303</v>
      </c>
      <c r="J1333" t="s">
        <v>63</v>
      </c>
      <c r="K1333" t="s">
        <v>556</v>
      </c>
      <c r="L1333" t="s">
        <v>17</v>
      </c>
      <c r="M1333">
        <v>1507852800</v>
      </c>
      <c r="N1333" t="s">
        <v>1628</v>
      </c>
      <c r="O1333" t="s">
        <v>1628</v>
      </c>
      <c r="P1333" t="s">
        <v>1628</v>
      </c>
      <c r="Q1333">
        <f>LEN(AMAZON_FASHION_5__2[[#This Row],[reviewText]])</f>
        <v>25</v>
      </c>
      <c r="R1333" t="str">
        <f>IF(AMAZON_FASHION_5__2[[#This Row],[overall]]&gt;=4,"Positive",IF(AMAZON_FASHION_5__2[[#This Row],[overall]]&lt;=2,"Negative","Neutral"))</f>
        <v>Positive</v>
      </c>
      <c r="S13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34" spans="1:19" x14ac:dyDescent="0.25">
      <c r="A1334">
        <v>3</v>
      </c>
      <c r="B1334" t="b">
        <v>1</v>
      </c>
      <c r="C1334" s="1">
        <v>43018</v>
      </c>
      <c r="D1334">
        <f>YEAR(AMAZON_FASHION_5__2[[#This Row],[reviewDate]])</f>
        <v>2017</v>
      </c>
      <c r="E1334" s="1" t="str">
        <f>TEXT(AMAZON_FASHION_5__2[[#This Row],[reviewDate]], "mmmm")</f>
        <v>October</v>
      </c>
      <c r="F1334" t="s">
        <v>557</v>
      </c>
      <c r="G1334" t="s">
        <v>1479</v>
      </c>
      <c r="H1334" t="s">
        <v>558</v>
      </c>
      <c r="I1334" t="s">
        <v>198</v>
      </c>
      <c r="J1334" t="s">
        <v>559</v>
      </c>
      <c r="K1334" t="s">
        <v>560</v>
      </c>
      <c r="L1334" t="s">
        <v>561</v>
      </c>
      <c r="M1334">
        <v>1507593600</v>
      </c>
      <c r="N1334" t="s">
        <v>1628</v>
      </c>
      <c r="O1334" t="s">
        <v>1628</v>
      </c>
      <c r="P1334" t="s">
        <v>1628</v>
      </c>
      <c r="Q1334">
        <f>LEN(AMAZON_FASHION_5__2[[#This Row],[reviewText]])</f>
        <v>192</v>
      </c>
      <c r="R1334" t="str">
        <f>IF(AMAZON_FASHION_5__2[[#This Row],[overall]]&gt;=4,"Positive",IF(AMAZON_FASHION_5__2[[#This Row],[overall]]&lt;=2,"Negative","Neutral"))</f>
        <v>Neutral</v>
      </c>
      <c r="S13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35" spans="1:19" x14ac:dyDescent="0.25">
      <c r="A1335">
        <v>5</v>
      </c>
      <c r="B1335" t="b">
        <v>1</v>
      </c>
      <c r="C1335" s="1">
        <v>43011</v>
      </c>
      <c r="D1335">
        <f>YEAR(AMAZON_FASHION_5__2[[#This Row],[reviewDate]])</f>
        <v>2017</v>
      </c>
      <c r="E1335" s="1" t="str">
        <f>TEXT(AMAZON_FASHION_5__2[[#This Row],[reviewDate]], "mmmm")</f>
        <v>October</v>
      </c>
      <c r="F1335" t="s">
        <v>562</v>
      </c>
      <c r="G1335" t="s">
        <v>1479</v>
      </c>
      <c r="H1335" t="s">
        <v>261</v>
      </c>
      <c r="I1335" t="s">
        <v>99</v>
      </c>
      <c r="J1335" t="s">
        <v>563</v>
      </c>
      <c r="K1335" t="s">
        <v>564</v>
      </c>
      <c r="L1335" t="s">
        <v>565</v>
      </c>
      <c r="M1335">
        <v>1506988800</v>
      </c>
      <c r="N1335" t="s">
        <v>1628</v>
      </c>
      <c r="O1335" t="s">
        <v>1628</v>
      </c>
      <c r="P1335" t="s">
        <v>1628</v>
      </c>
      <c r="Q1335">
        <f>LEN(AMAZON_FASHION_5__2[[#This Row],[reviewText]])</f>
        <v>230</v>
      </c>
      <c r="R1335" t="str">
        <f>IF(AMAZON_FASHION_5__2[[#This Row],[overall]]&gt;=4,"Positive",IF(AMAZON_FASHION_5__2[[#This Row],[overall]]&lt;=2,"Negative","Neutral"))</f>
        <v>Positive</v>
      </c>
      <c r="S13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36" spans="1:19" x14ac:dyDescent="0.25">
      <c r="A1336">
        <v>5</v>
      </c>
      <c r="B1336" t="b">
        <v>1</v>
      </c>
      <c r="C1336" s="1">
        <v>43010</v>
      </c>
      <c r="D1336">
        <f>YEAR(AMAZON_FASHION_5__2[[#This Row],[reviewDate]])</f>
        <v>2017</v>
      </c>
      <c r="E1336" s="1" t="str">
        <f>TEXT(AMAZON_FASHION_5__2[[#This Row],[reviewDate]], "mmmm")</f>
        <v>October</v>
      </c>
      <c r="F1336" t="s">
        <v>566</v>
      </c>
      <c r="G1336" t="s">
        <v>1479</v>
      </c>
      <c r="H1336" t="s">
        <v>201</v>
      </c>
      <c r="I1336" t="s">
        <v>303</v>
      </c>
      <c r="J1336" t="s">
        <v>63</v>
      </c>
      <c r="K1336" t="s">
        <v>567</v>
      </c>
      <c r="L1336" t="s">
        <v>568</v>
      </c>
      <c r="M1336">
        <v>1506902400</v>
      </c>
      <c r="N1336" t="s">
        <v>1628</v>
      </c>
      <c r="O1336" t="s">
        <v>1628</v>
      </c>
      <c r="P1336" t="s">
        <v>1628</v>
      </c>
      <c r="Q1336">
        <f>LEN(AMAZON_FASHION_5__2[[#This Row],[reviewText]])</f>
        <v>171</v>
      </c>
      <c r="R1336" t="str">
        <f>IF(AMAZON_FASHION_5__2[[#This Row],[overall]]&gt;=4,"Positive",IF(AMAZON_FASHION_5__2[[#This Row],[overall]]&lt;=2,"Negative","Neutral"))</f>
        <v>Positive</v>
      </c>
      <c r="S13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37" spans="1:19" x14ac:dyDescent="0.25">
      <c r="A1337">
        <v>5</v>
      </c>
      <c r="B1337" t="b">
        <v>1</v>
      </c>
      <c r="C1337" s="1">
        <v>43005</v>
      </c>
      <c r="D1337">
        <f>YEAR(AMAZON_FASHION_5__2[[#This Row],[reviewDate]])</f>
        <v>2017</v>
      </c>
      <c r="E1337" s="1" t="str">
        <f>TEXT(AMAZON_FASHION_5__2[[#This Row],[reviewDate]], "mmmm")</f>
        <v>September</v>
      </c>
      <c r="F1337" t="s">
        <v>569</v>
      </c>
      <c r="G1337" t="s">
        <v>1479</v>
      </c>
      <c r="H1337" t="s">
        <v>210</v>
      </c>
      <c r="I1337" t="s">
        <v>99</v>
      </c>
      <c r="J1337" t="s">
        <v>570</v>
      </c>
      <c r="K1337" t="s">
        <v>571</v>
      </c>
      <c r="L1337" t="s">
        <v>17</v>
      </c>
      <c r="M1337">
        <v>1506470400</v>
      </c>
      <c r="N1337" t="s">
        <v>1628</v>
      </c>
      <c r="O1337" t="s">
        <v>1628</v>
      </c>
      <c r="P1337" t="s">
        <v>1628</v>
      </c>
      <c r="Q1337">
        <f>LEN(AMAZON_FASHION_5__2[[#This Row],[reviewText]])</f>
        <v>12</v>
      </c>
      <c r="R1337" t="str">
        <f>IF(AMAZON_FASHION_5__2[[#This Row],[overall]]&gt;=4,"Positive",IF(AMAZON_FASHION_5__2[[#This Row],[overall]]&lt;=2,"Negative","Neutral"))</f>
        <v>Positive</v>
      </c>
      <c r="S13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38" spans="1:19" x14ac:dyDescent="0.25">
      <c r="A1338">
        <v>5</v>
      </c>
      <c r="B1338" t="b">
        <v>1</v>
      </c>
      <c r="C1338" s="1">
        <v>43005</v>
      </c>
      <c r="D1338">
        <f>YEAR(AMAZON_FASHION_5__2[[#This Row],[reviewDate]])</f>
        <v>2017</v>
      </c>
      <c r="E1338" s="1" t="str">
        <f>TEXT(AMAZON_FASHION_5__2[[#This Row],[reviewDate]], "mmmm")</f>
        <v>September</v>
      </c>
      <c r="F1338" t="s">
        <v>572</v>
      </c>
      <c r="G1338" t="s">
        <v>1479</v>
      </c>
      <c r="H1338" t="s">
        <v>573</v>
      </c>
      <c r="I1338" t="s">
        <v>574</v>
      </c>
      <c r="J1338" t="s">
        <v>575</v>
      </c>
      <c r="K1338" t="s">
        <v>576</v>
      </c>
      <c r="L1338" t="s">
        <v>577</v>
      </c>
      <c r="M1338">
        <v>1506470400</v>
      </c>
      <c r="N1338" t="s">
        <v>1628</v>
      </c>
      <c r="O1338" t="s">
        <v>1628</v>
      </c>
      <c r="P1338" t="s">
        <v>1628</v>
      </c>
      <c r="Q1338">
        <f>LEN(AMAZON_FASHION_5__2[[#This Row],[reviewText]])</f>
        <v>70</v>
      </c>
      <c r="R1338" t="str">
        <f>IF(AMAZON_FASHION_5__2[[#This Row],[overall]]&gt;=4,"Positive",IF(AMAZON_FASHION_5__2[[#This Row],[overall]]&lt;=2,"Negative","Neutral"))</f>
        <v>Positive</v>
      </c>
      <c r="S13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39" spans="1:19" x14ac:dyDescent="0.25">
      <c r="A1339">
        <v>5</v>
      </c>
      <c r="B1339" t="b">
        <v>1</v>
      </c>
      <c r="C1339" s="1">
        <v>43004</v>
      </c>
      <c r="D1339">
        <f>YEAR(AMAZON_FASHION_5__2[[#This Row],[reviewDate]])</f>
        <v>2017</v>
      </c>
      <c r="E1339" s="1" t="str">
        <f>TEXT(AMAZON_FASHION_5__2[[#This Row],[reviewDate]], "mmmm")</f>
        <v>September</v>
      </c>
      <c r="F1339" t="s">
        <v>578</v>
      </c>
      <c r="G1339" t="s">
        <v>1479</v>
      </c>
      <c r="H1339" t="s">
        <v>205</v>
      </c>
      <c r="I1339" t="s">
        <v>198</v>
      </c>
      <c r="J1339" t="s">
        <v>579</v>
      </c>
      <c r="K1339" t="s">
        <v>580</v>
      </c>
      <c r="L1339" t="s">
        <v>17</v>
      </c>
      <c r="M1339">
        <v>1506384000</v>
      </c>
      <c r="N1339" t="s">
        <v>1628</v>
      </c>
      <c r="O1339" t="s">
        <v>1628</v>
      </c>
      <c r="P1339" t="s">
        <v>1628</v>
      </c>
      <c r="Q1339">
        <f>LEN(AMAZON_FASHION_5__2[[#This Row],[reviewText]])</f>
        <v>9</v>
      </c>
      <c r="R1339" t="str">
        <f>IF(AMAZON_FASHION_5__2[[#This Row],[overall]]&gt;=4,"Positive",IF(AMAZON_FASHION_5__2[[#This Row],[overall]]&lt;=2,"Negative","Neutral"))</f>
        <v>Positive</v>
      </c>
      <c r="S13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40" spans="1:19" x14ac:dyDescent="0.25">
      <c r="A1340">
        <v>5</v>
      </c>
      <c r="B1340" t="b">
        <v>1</v>
      </c>
      <c r="C1340" s="1">
        <v>43003</v>
      </c>
      <c r="D1340">
        <f>YEAR(AMAZON_FASHION_5__2[[#This Row],[reviewDate]])</f>
        <v>2017</v>
      </c>
      <c r="E1340" s="1" t="str">
        <f>TEXT(AMAZON_FASHION_5__2[[#This Row],[reviewDate]], "mmmm")</f>
        <v>September</v>
      </c>
      <c r="F1340" t="s">
        <v>581</v>
      </c>
      <c r="G1340" t="s">
        <v>1479</v>
      </c>
      <c r="H1340" t="s">
        <v>235</v>
      </c>
      <c r="I1340" t="s">
        <v>198</v>
      </c>
      <c r="J1340" t="s">
        <v>582</v>
      </c>
      <c r="K1340" t="s">
        <v>583</v>
      </c>
      <c r="L1340" t="s">
        <v>17</v>
      </c>
      <c r="M1340">
        <v>1506297600</v>
      </c>
      <c r="N1340" t="s">
        <v>1628</v>
      </c>
      <c r="O1340" t="s">
        <v>1628</v>
      </c>
      <c r="P1340" t="s">
        <v>1628</v>
      </c>
      <c r="Q1340">
        <f>LEN(AMAZON_FASHION_5__2[[#This Row],[reviewText]])</f>
        <v>50</v>
      </c>
      <c r="R1340" t="str">
        <f>IF(AMAZON_FASHION_5__2[[#This Row],[overall]]&gt;=4,"Positive",IF(AMAZON_FASHION_5__2[[#This Row],[overall]]&lt;=2,"Negative","Neutral"))</f>
        <v>Positive</v>
      </c>
      <c r="S13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41" spans="1:19" x14ac:dyDescent="0.25">
      <c r="A1341">
        <v>5</v>
      </c>
      <c r="B1341" t="b">
        <v>1</v>
      </c>
      <c r="C1341" s="1">
        <v>42998</v>
      </c>
      <c r="D1341">
        <f>YEAR(AMAZON_FASHION_5__2[[#This Row],[reviewDate]])</f>
        <v>2017</v>
      </c>
      <c r="E1341" s="1" t="str">
        <f>TEXT(AMAZON_FASHION_5__2[[#This Row],[reviewDate]], "mmmm")</f>
        <v>September</v>
      </c>
      <c r="F1341" t="s">
        <v>584</v>
      </c>
      <c r="G1341" t="s">
        <v>1479</v>
      </c>
      <c r="H1341" t="s">
        <v>235</v>
      </c>
      <c r="I1341" t="s">
        <v>99</v>
      </c>
      <c r="J1341" t="s">
        <v>63</v>
      </c>
      <c r="K1341" t="s">
        <v>585</v>
      </c>
      <c r="L1341" t="s">
        <v>586</v>
      </c>
      <c r="M1341">
        <v>1505865600</v>
      </c>
      <c r="N1341" t="s">
        <v>1628</v>
      </c>
      <c r="O1341" t="s">
        <v>1628</v>
      </c>
      <c r="P1341" t="s">
        <v>1628</v>
      </c>
      <c r="Q1341">
        <f>LEN(AMAZON_FASHION_5__2[[#This Row],[reviewText]])</f>
        <v>370</v>
      </c>
      <c r="R1341" t="str">
        <f>IF(AMAZON_FASHION_5__2[[#This Row],[overall]]&gt;=4,"Positive",IF(AMAZON_FASHION_5__2[[#This Row],[overall]]&lt;=2,"Negative","Neutral"))</f>
        <v>Positive</v>
      </c>
      <c r="S13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42" spans="1:19" x14ac:dyDescent="0.25">
      <c r="A1342">
        <v>5</v>
      </c>
      <c r="B1342" t="b">
        <v>1</v>
      </c>
      <c r="C1342" s="1">
        <v>42996</v>
      </c>
      <c r="D1342">
        <f>YEAR(AMAZON_FASHION_5__2[[#This Row],[reviewDate]])</f>
        <v>2017</v>
      </c>
      <c r="E1342" s="1" t="str">
        <f>TEXT(AMAZON_FASHION_5__2[[#This Row],[reviewDate]], "mmmm")</f>
        <v>September</v>
      </c>
      <c r="F1342" t="s">
        <v>587</v>
      </c>
      <c r="G1342" t="s">
        <v>1479</v>
      </c>
      <c r="H1342" t="s">
        <v>230</v>
      </c>
      <c r="I1342" t="s">
        <v>198</v>
      </c>
      <c r="J1342" t="s">
        <v>588</v>
      </c>
      <c r="K1342" t="s">
        <v>589</v>
      </c>
      <c r="L1342" t="s">
        <v>590</v>
      </c>
      <c r="M1342">
        <v>1505692800</v>
      </c>
      <c r="N1342" t="s">
        <v>1628</v>
      </c>
      <c r="O1342" t="s">
        <v>1628</v>
      </c>
      <c r="P1342" t="s">
        <v>1628</v>
      </c>
      <c r="Q1342">
        <f>LEN(AMAZON_FASHION_5__2[[#This Row],[reviewText]])</f>
        <v>49</v>
      </c>
      <c r="R1342" t="str">
        <f>IF(AMAZON_FASHION_5__2[[#This Row],[overall]]&gt;=4,"Positive",IF(AMAZON_FASHION_5__2[[#This Row],[overall]]&lt;=2,"Negative","Neutral"))</f>
        <v>Positive</v>
      </c>
      <c r="S13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43" spans="1:19" x14ac:dyDescent="0.25">
      <c r="A1343">
        <v>5</v>
      </c>
      <c r="B1343" t="b">
        <v>1</v>
      </c>
      <c r="C1343" s="1">
        <v>42994</v>
      </c>
      <c r="D1343">
        <f>YEAR(AMAZON_FASHION_5__2[[#This Row],[reviewDate]])</f>
        <v>2017</v>
      </c>
      <c r="E1343" s="1" t="str">
        <f>TEXT(AMAZON_FASHION_5__2[[#This Row],[reviewDate]], "mmmm")</f>
        <v>September</v>
      </c>
      <c r="F1343" t="s">
        <v>591</v>
      </c>
      <c r="G1343" t="s">
        <v>1479</v>
      </c>
      <c r="H1343" t="s">
        <v>235</v>
      </c>
      <c r="I1343" t="s">
        <v>507</v>
      </c>
      <c r="J1343" t="s">
        <v>63</v>
      </c>
      <c r="K1343" t="s">
        <v>592</v>
      </c>
      <c r="L1343" t="s">
        <v>593</v>
      </c>
      <c r="M1343">
        <v>1505520000</v>
      </c>
      <c r="N1343" t="s">
        <v>1628</v>
      </c>
      <c r="O1343" t="s">
        <v>1628</v>
      </c>
      <c r="P1343" t="s">
        <v>1628</v>
      </c>
      <c r="Q1343">
        <f>LEN(AMAZON_FASHION_5__2[[#This Row],[reviewText]])</f>
        <v>40</v>
      </c>
      <c r="R1343" t="str">
        <f>IF(AMAZON_FASHION_5__2[[#This Row],[overall]]&gt;=4,"Positive",IF(AMAZON_FASHION_5__2[[#This Row],[overall]]&lt;=2,"Negative","Neutral"))</f>
        <v>Positive</v>
      </c>
      <c r="S13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44" spans="1:19" x14ac:dyDescent="0.25">
      <c r="A1344">
        <v>5</v>
      </c>
      <c r="B1344" t="b">
        <v>1</v>
      </c>
      <c r="C1344" s="1">
        <v>42992</v>
      </c>
      <c r="D1344">
        <f>YEAR(AMAZON_FASHION_5__2[[#This Row],[reviewDate]])</f>
        <v>2017</v>
      </c>
      <c r="E1344" s="1" t="str">
        <f>TEXT(AMAZON_FASHION_5__2[[#This Row],[reviewDate]], "mmmm")</f>
        <v>September</v>
      </c>
      <c r="F1344" t="s">
        <v>594</v>
      </c>
      <c r="G1344" t="s">
        <v>1479</v>
      </c>
      <c r="H1344" t="s">
        <v>201</v>
      </c>
      <c r="I1344" t="s">
        <v>524</v>
      </c>
      <c r="J1344" t="s">
        <v>595</v>
      </c>
      <c r="K1344" t="s">
        <v>596</v>
      </c>
      <c r="L1344" t="s">
        <v>597</v>
      </c>
      <c r="M1344">
        <v>1505347200</v>
      </c>
      <c r="N1344" t="s">
        <v>1628</v>
      </c>
      <c r="O1344" t="s">
        <v>1628</v>
      </c>
      <c r="P1344" t="s">
        <v>1628</v>
      </c>
      <c r="Q1344">
        <f>LEN(AMAZON_FASHION_5__2[[#This Row],[reviewText]])</f>
        <v>23</v>
      </c>
      <c r="R1344" t="str">
        <f>IF(AMAZON_FASHION_5__2[[#This Row],[overall]]&gt;=4,"Positive",IF(AMAZON_FASHION_5__2[[#This Row],[overall]]&lt;=2,"Negative","Neutral"))</f>
        <v>Positive</v>
      </c>
      <c r="S13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45" spans="1:19" x14ac:dyDescent="0.25">
      <c r="A1345">
        <v>5</v>
      </c>
      <c r="B1345" t="b">
        <v>1</v>
      </c>
      <c r="C1345" s="1">
        <v>42991</v>
      </c>
      <c r="D1345">
        <f>YEAR(AMAZON_FASHION_5__2[[#This Row],[reviewDate]])</f>
        <v>2017</v>
      </c>
      <c r="E1345" s="1" t="str">
        <f>TEXT(AMAZON_FASHION_5__2[[#This Row],[reviewDate]], "mmmm")</f>
        <v>September</v>
      </c>
      <c r="F1345" t="s">
        <v>598</v>
      </c>
      <c r="G1345" t="s">
        <v>1479</v>
      </c>
      <c r="H1345" t="s">
        <v>230</v>
      </c>
      <c r="I1345" t="s">
        <v>599</v>
      </c>
      <c r="J1345" t="s">
        <v>600</v>
      </c>
      <c r="K1345" t="s">
        <v>601</v>
      </c>
      <c r="L1345" t="s">
        <v>17</v>
      </c>
      <c r="M1345">
        <v>1505260800</v>
      </c>
      <c r="N1345" t="s">
        <v>1628</v>
      </c>
      <c r="O1345" t="s">
        <v>1628</v>
      </c>
      <c r="P1345" t="s">
        <v>1628</v>
      </c>
      <c r="Q1345">
        <f>LEN(AMAZON_FASHION_5__2[[#This Row],[reviewText]])</f>
        <v>28</v>
      </c>
      <c r="R1345" t="str">
        <f>IF(AMAZON_FASHION_5__2[[#This Row],[overall]]&gt;=4,"Positive",IF(AMAZON_FASHION_5__2[[#This Row],[overall]]&lt;=2,"Negative","Neutral"))</f>
        <v>Positive</v>
      </c>
      <c r="S13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46" spans="1:19" x14ac:dyDescent="0.25">
      <c r="A1346">
        <v>5</v>
      </c>
      <c r="B1346" t="b">
        <v>1</v>
      </c>
      <c r="C1346" s="1">
        <v>42988</v>
      </c>
      <c r="D1346">
        <f>YEAR(AMAZON_FASHION_5__2[[#This Row],[reviewDate]])</f>
        <v>2017</v>
      </c>
      <c r="E1346" s="1" t="str">
        <f>TEXT(AMAZON_FASHION_5__2[[#This Row],[reviewDate]], "mmmm")</f>
        <v>September</v>
      </c>
      <c r="F1346" t="s">
        <v>602</v>
      </c>
      <c r="G1346" t="s">
        <v>1479</v>
      </c>
      <c r="H1346" t="s">
        <v>210</v>
      </c>
      <c r="I1346" t="s">
        <v>274</v>
      </c>
      <c r="J1346" t="s">
        <v>63</v>
      </c>
      <c r="K1346" t="s">
        <v>603</v>
      </c>
      <c r="L1346" t="s">
        <v>17</v>
      </c>
      <c r="M1346">
        <v>1505001600</v>
      </c>
      <c r="N1346" t="s">
        <v>1628</v>
      </c>
      <c r="O1346" t="s">
        <v>1628</v>
      </c>
      <c r="P1346" t="s">
        <v>1628</v>
      </c>
      <c r="Q1346">
        <f>LEN(AMAZON_FASHION_5__2[[#This Row],[reviewText]])</f>
        <v>48</v>
      </c>
      <c r="R1346" t="str">
        <f>IF(AMAZON_FASHION_5__2[[#This Row],[overall]]&gt;=4,"Positive",IF(AMAZON_FASHION_5__2[[#This Row],[overall]]&lt;=2,"Negative","Neutral"))</f>
        <v>Positive</v>
      </c>
      <c r="S13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47" spans="1:19" x14ac:dyDescent="0.25">
      <c r="A1347">
        <v>5</v>
      </c>
      <c r="B1347" t="b">
        <v>1</v>
      </c>
      <c r="C1347" s="1">
        <v>42985</v>
      </c>
      <c r="D1347">
        <f>YEAR(AMAZON_FASHION_5__2[[#This Row],[reviewDate]])</f>
        <v>2017</v>
      </c>
      <c r="E1347" s="1" t="str">
        <f>TEXT(AMAZON_FASHION_5__2[[#This Row],[reviewDate]], "mmmm")</f>
        <v>September</v>
      </c>
      <c r="F1347" t="s">
        <v>604</v>
      </c>
      <c r="G1347" t="s">
        <v>1479</v>
      </c>
      <c r="H1347" t="s">
        <v>230</v>
      </c>
      <c r="I1347" t="s">
        <v>507</v>
      </c>
      <c r="J1347" t="s">
        <v>605</v>
      </c>
      <c r="K1347" t="s">
        <v>606</v>
      </c>
      <c r="L1347" t="s">
        <v>607</v>
      </c>
      <c r="M1347">
        <v>1504742400</v>
      </c>
      <c r="N1347" t="s">
        <v>1628</v>
      </c>
      <c r="O1347" t="s">
        <v>1628</v>
      </c>
      <c r="P1347" t="s">
        <v>1628</v>
      </c>
      <c r="Q1347">
        <f>LEN(AMAZON_FASHION_5__2[[#This Row],[reviewText]])</f>
        <v>119</v>
      </c>
      <c r="R1347" t="str">
        <f>IF(AMAZON_FASHION_5__2[[#This Row],[overall]]&gt;=4,"Positive",IF(AMAZON_FASHION_5__2[[#This Row],[overall]]&lt;=2,"Negative","Neutral"))</f>
        <v>Positive</v>
      </c>
      <c r="S13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48" spans="1:19" x14ac:dyDescent="0.25">
      <c r="A1348">
        <v>5</v>
      </c>
      <c r="B1348" t="b">
        <v>1</v>
      </c>
      <c r="C1348" s="1">
        <v>42983</v>
      </c>
      <c r="D1348">
        <f>YEAR(AMAZON_FASHION_5__2[[#This Row],[reviewDate]])</f>
        <v>2017</v>
      </c>
      <c r="E1348" s="1" t="str">
        <f>TEXT(AMAZON_FASHION_5__2[[#This Row],[reviewDate]], "mmmm")</f>
        <v>September</v>
      </c>
      <c r="F1348" t="s">
        <v>608</v>
      </c>
      <c r="G1348" t="s">
        <v>1479</v>
      </c>
      <c r="H1348" t="s">
        <v>235</v>
      </c>
      <c r="I1348" t="s">
        <v>274</v>
      </c>
      <c r="J1348" t="s">
        <v>609</v>
      </c>
      <c r="K1348" t="s">
        <v>610</v>
      </c>
      <c r="L1348" t="s">
        <v>17</v>
      </c>
      <c r="M1348">
        <v>1504569600</v>
      </c>
      <c r="N1348" t="s">
        <v>1628</v>
      </c>
      <c r="O1348" t="s">
        <v>1628</v>
      </c>
      <c r="P1348" t="s">
        <v>1628</v>
      </c>
      <c r="Q1348">
        <f>LEN(AMAZON_FASHION_5__2[[#This Row],[reviewText]])</f>
        <v>16</v>
      </c>
      <c r="R1348" t="str">
        <f>IF(AMAZON_FASHION_5__2[[#This Row],[overall]]&gt;=4,"Positive",IF(AMAZON_FASHION_5__2[[#This Row],[overall]]&lt;=2,"Negative","Neutral"))</f>
        <v>Positive</v>
      </c>
      <c r="S13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49" spans="1:19" x14ac:dyDescent="0.25">
      <c r="A1349">
        <v>5</v>
      </c>
      <c r="B1349" t="b">
        <v>1</v>
      </c>
      <c r="C1349" s="1">
        <v>42982</v>
      </c>
      <c r="D1349">
        <f>YEAR(AMAZON_FASHION_5__2[[#This Row],[reviewDate]])</f>
        <v>2017</v>
      </c>
      <c r="E1349" s="1" t="str">
        <f>TEXT(AMAZON_FASHION_5__2[[#This Row],[reviewDate]], "mmmm")</f>
        <v>September</v>
      </c>
      <c r="F1349" t="s">
        <v>611</v>
      </c>
      <c r="G1349" t="s">
        <v>1479</v>
      </c>
      <c r="H1349" t="s">
        <v>235</v>
      </c>
      <c r="I1349" t="s">
        <v>198</v>
      </c>
      <c r="J1349" t="s">
        <v>612</v>
      </c>
      <c r="K1349" t="s">
        <v>613</v>
      </c>
      <c r="L1349" t="s">
        <v>17</v>
      </c>
      <c r="M1349">
        <v>1504483200</v>
      </c>
      <c r="N1349" t="s">
        <v>1628</v>
      </c>
      <c r="O1349" t="s">
        <v>1628</v>
      </c>
      <c r="P1349" t="s">
        <v>1628</v>
      </c>
      <c r="Q1349">
        <f>LEN(AMAZON_FASHION_5__2[[#This Row],[reviewText]])</f>
        <v>12</v>
      </c>
      <c r="R1349" t="str">
        <f>IF(AMAZON_FASHION_5__2[[#This Row],[overall]]&gt;=4,"Positive",IF(AMAZON_FASHION_5__2[[#This Row],[overall]]&lt;=2,"Negative","Neutral"))</f>
        <v>Positive</v>
      </c>
      <c r="S13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50" spans="1:19" x14ac:dyDescent="0.25">
      <c r="A1350">
        <v>4</v>
      </c>
      <c r="B1350" t="b">
        <v>1</v>
      </c>
      <c r="C1350" s="1">
        <v>42976</v>
      </c>
      <c r="D1350">
        <f>YEAR(AMAZON_FASHION_5__2[[#This Row],[reviewDate]])</f>
        <v>2017</v>
      </c>
      <c r="E1350" s="1" t="str">
        <f>TEXT(AMAZON_FASHION_5__2[[#This Row],[reviewDate]], "mmmm")</f>
        <v>August</v>
      </c>
      <c r="F1350" t="s">
        <v>614</v>
      </c>
      <c r="G1350" t="s">
        <v>1479</v>
      </c>
      <c r="H1350" t="s">
        <v>230</v>
      </c>
      <c r="I1350" t="s">
        <v>507</v>
      </c>
      <c r="J1350" t="s">
        <v>615</v>
      </c>
      <c r="K1350" t="s">
        <v>616</v>
      </c>
      <c r="L1350" t="s">
        <v>617</v>
      </c>
      <c r="M1350">
        <v>1503964800</v>
      </c>
      <c r="N1350" t="s">
        <v>1628</v>
      </c>
      <c r="O1350" t="s">
        <v>1628</v>
      </c>
      <c r="P1350" t="s">
        <v>1628</v>
      </c>
      <c r="Q1350">
        <f>LEN(AMAZON_FASHION_5__2[[#This Row],[reviewText]])</f>
        <v>118</v>
      </c>
      <c r="R1350" t="str">
        <f>IF(AMAZON_FASHION_5__2[[#This Row],[overall]]&gt;=4,"Positive",IF(AMAZON_FASHION_5__2[[#This Row],[overall]]&lt;=2,"Negative","Neutral"))</f>
        <v>Positive</v>
      </c>
      <c r="S13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51" spans="1:19" x14ac:dyDescent="0.25">
      <c r="A1351">
        <v>1</v>
      </c>
      <c r="B1351" t="b">
        <v>1</v>
      </c>
      <c r="C1351" s="1">
        <v>42976</v>
      </c>
      <c r="D1351">
        <f>YEAR(AMAZON_FASHION_5__2[[#This Row],[reviewDate]])</f>
        <v>2017</v>
      </c>
      <c r="E1351" s="1" t="str">
        <f>TEXT(AMAZON_FASHION_5__2[[#This Row],[reviewDate]], "mmmm")</f>
        <v>August</v>
      </c>
      <c r="F1351" t="s">
        <v>618</v>
      </c>
      <c r="G1351" t="s">
        <v>1479</v>
      </c>
      <c r="H1351" t="s">
        <v>558</v>
      </c>
      <c r="I1351" t="s">
        <v>198</v>
      </c>
      <c r="J1351" t="s">
        <v>619</v>
      </c>
      <c r="K1351" t="s">
        <v>620</v>
      </c>
      <c r="L1351" t="s">
        <v>65</v>
      </c>
      <c r="M1351">
        <v>1503964800</v>
      </c>
      <c r="N1351" t="s">
        <v>1628</v>
      </c>
      <c r="O1351" t="s">
        <v>1628</v>
      </c>
      <c r="P1351" t="s">
        <v>1628</v>
      </c>
      <c r="Q1351">
        <f>LEN(AMAZON_FASHION_5__2[[#This Row],[reviewText]])</f>
        <v>52</v>
      </c>
      <c r="R1351" t="str">
        <f>IF(AMAZON_FASHION_5__2[[#This Row],[overall]]&gt;=4,"Positive",IF(AMAZON_FASHION_5__2[[#This Row],[overall]]&lt;=2,"Negative","Neutral"))</f>
        <v>Negative</v>
      </c>
      <c r="S13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52" spans="1:19" x14ac:dyDescent="0.25">
      <c r="A1352">
        <v>5</v>
      </c>
      <c r="B1352" t="b">
        <v>1</v>
      </c>
      <c r="C1352" s="1">
        <v>42976</v>
      </c>
      <c r="D1352">
        <f>YEAR(AMAZON_FASHION_5__2[[#This Row],[reviewDate]])</f>
        <v>2017</v>
      </c>
      <c r="E1352" s="1" t="str">
        <f>TEXT(AMAZON_FASHION_5__2[[#This Row],[reviewDate]], "mmmm")</f>
        <v>August</v>
      </c>
      <c r="F1352" t="s">
        <v>621</v>
      </c>
      <c r="G1352" t="s">
        <v>1479</v>
      </c>
      <c r="H1352" t="s">
        <v>210</v>
      </c>
      <c r="I1352" t="s">
        <v>198</v>
      </c>
      <c r="J1352" t="s">
        <v>622</v>
      </c>
      <c r="K1352" t="s">
        <v>623</v>
      </c>
      <c r="L1352" t="s">
        <v>17</v>
      </c>
      <c r="M1352">
        <v>1503964800</v>
      </c>
      <c r="N1352" t="s">
        <v>1628</v>
      </c>
      <c r="O1352" t="s">
        <v>1628</v>
      </c>
      <c r="P1352" t="s">
        <v>1628</v>
      </c>
      <c r="Q1352">
        <f>LEN(AMAZON_FASHION_5__2[[#This Row],[reviewText]])</f>
        <v>30</v>
      </c>
      <c r="R1352" t="str">
        <f>IF(AMAZON_FASHION_5__2[[#This Row],[overall]]&gt;=4,"Positive",IF(AMAZON_FASHION_5__2[[#This Row],[overall]]&lt;=2,"Negative","Neutral"))</f>
        <v>Positive</v>
      </c>
      <c r="S13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53" spans="1:19" x14ac:dyDescent="0.25">
      <c r="A1353">
        <v>5</v>
      </c>
      <c r="B1353" t="b">
        <v>1</v>
      </c>
      <c r="C1353" s="1">
        <v>42974</v>
      </c>
      <c r="D1353">
        <f>YEAR(AMAZON_FASHION_5__2[[#This Row],[reviewDate]])</f>
        <v>2017</v>
      </c>
      <c r="E1353" s="1" t="str">
        <f>TEXT(AMAZON_FASHION_5__2[[#This Row],[reviewDate]], "mmmm")</f>
        <v>August</v>
      </c>
      <c r="F1353" t="s">
        <v>624</v>
      </c>
      <c r="G1353" t="s">
        <v>1479</v>
      </c>
      <c r="H1353" t="s">
        <v>201</v>
      </c>
      <c r="I1353" t="s">
        <v>99</v>
      </c>
      <c r="J1353" t="s">
        <v>625</v>
      </c>
      <c r="K1353" t="s">
        <v>626</v>
      </c>
      <c r="L1353" t="s">
        <v>627</v>
      </c>
      <c r="M1353">
        <v>1503792000</v>
      </c>
      <c r="N1353" t="s">
        <v>1628</v>
      </c>
      <c r="O1353" t="s">
        <v>1628</v>
      </c>
      <c r="P1353" t="s">
        <v>1628</v>
      </c>
      <c r="Q1353">
        <f>LEN(AMAZON_FASHION_5__2[[#This Row],[reviewText]])</f>
        <v>17</v>
      </c>
      <c r="R1353" t="str">
        <f>IF(AMAZON_FASHION_5__2[[#This Row],[overall]]&gt;=4,"Positive",IF(AMAZON_FASHION_5__2[[#This Row],[overall]]&lt;=2,"Negative","Neutral"))</f>
        <v>Positive</v>
      </c>
      <c r="S13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54" spans="1:19" x14ac:dyDescent="0.25">
      <c r="A1354">
        <v>4</v>
      </c>
      <c r="B1354" t="b">
        <v>1</v>
      </c>
      <c r="C1354" s="1">
        <v>42971</v>
      </c>
      <c r="D1354">
        <f>YEAR(AMAZON_FASHION_5__2[[#This Row],[reviewDate]])</f>
        <v>2017</v>
      </c>
      <c r="E1354" s="1" t="str">
        <f>TEXT(AMAZON_FASHION_5__2[[#This Row],[reviewDate]], "mmmm")</f>
        <v>August</v>
      </c>
      <c r="F1354" t="s">
        <v>628</v>
      </c>
      <c r="G1354" t="s">
        <v>1479</v>
      </c>
      <c r="H1354" t="s">
        <v>210</v>
      </c>
      <c r="I1354" t="s">
        <v>435</v>
      </c>
      <c r="J1354" t="s">
        <v>629</v>
      </c>
      <c r="K1354" t="s">
        <v>630</v>
      </c>
      <c r="L1354" t="s">
        <v>247</v>
      </c>
      <c r="M1354">
        <v>1503532800</v>
      </c>
      <c r="N1354" t="s">
        <v>1628</v>
      </c>
      <c r="O1354" t="s">
        <v>1628</v>
      </c>
      <c r="P1354" t="s">
        <v>1628</v>
      </c>
      <c r="Q1354">
        <f>LEN(AMAZON_FASHION_5__2[[#This Row],[reviewText]])</f>
        <v>225</v>
      </c>
      <c r="R1354" t="str">
        <f>IF(AMAZON_FASHION_5__2[[#This Row],[overall]]&gt;=4,"Positive",IF(AMAZON_FASHION_5__2[[#This Row],[overall]]&lt;=2,"Negative","Neutral"))</f>
        <v>Positive</v>
      </c>
      <c r="S13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55" spans="1:19" x14ac:dyDescent="0.25">
      <c r="A1355">
        <v>1</v>
      </c>
      <c r="B1355" t="b">
        <v>1</v>
      </c>
      <c r="C1355" s="1">
        <v>42971</v>
      </c>
      <c r="D1355">
        <f>YEAR(AMAZON_FASHION_5__2[[#This Row],[reviewDate]])</f>
        <v>2017</v>
      </c>
      <c r="E1355" s="1" t="str">
        <f>TEXT(AMAZON_FASHION_5__2[[#This Row],[reviewDate]], "mmmm")</f>
        <v>August</v>
      </c>
      <c r="F1355" t="s">
        <v>631</v>
      </c>
      <c r="G1355" t="s">
        <v>1479</v>
      </c>
      <c r="H1355" t="s">
        <v>235</v>
      </c>
      <c r="I1355" t="s">
        <v>411</v>
      </c>
      <c r="J1355" t="s">
        <v>632</v>
      </c>
      <c r="K1355" t="s">
        <v>633</v>
      </c>
      <c r="L1355" t="s">
        <v>634</v>
      </c>
      <c r="M1355">
        <v>1503532800</v>
      </c>
      <c r="N1355" t="s">
        <v>1628</v>
      </c>
      <c r="O1355" t="s">
        <v>1628</v>
      </c>
      <c r="P1355" t="s">
        <v>1628</v>
      </c>
      <c r="Q1355">
        <f>LEN(AMAZON_FASHION_5__2[[#This Row],[reviewText]])</f>
        <v>213</v>
      </c>
      <c r="R1355" t="str">
        <f>IF(AMAZON_FASHION_5__2[[#This Row],[overall]]&gt;=4,"Positive",IF(AMAZON_FASHION_5__2[[#This Row],[overall]]&lt;=2,"Negative","Neutral"))</f>
        <v>Negative</v>
      </c>
      <c r="S13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56" spans="1:19" x14ac:dyDescent="0.25">
      <c r="A1356">
        <v>5</v>
      </c>
      <c r="B1356" t="b">
        <v>1</v>
      </c>
      <c r="C1356" s="1">
        <v>42968</v>
      </c>
      <c r="D1356">
        <f>YEAR(AMAZON_FASHION_5__2[[#This Row],[reviewDate]])</f>
        <v>2017</v>
      </c>
      <c r="E1356" s="1" t="str">
        <f>TEXT(AMAZON_FASHION_5__2[[#This Row],[reviewDate]], "mmmm")</f>
        <v>August</v>
      </c>
      <c r="F1356" t="s">
        <v>635</v>
      </c>
      <c r="G1356" t="s">
        <v>1479</v>
      </c>
      <c r="H1356" t="s">
        <v>477</v>
      </c>
      <c r="I1356" t="s">
        <v>303</v>
      </c>
      <c r="J1356" t="s">
        <v>636</v>
      </c>
      <c r="K1356" t="s">
        <v>637</v>
      </c>
      <c r="L1356" t="s">
        <v>638</v>
      </c>
      <c r="M1356">
        <v>1503273600</v>
      </c>
      <c r="N1356" t="s">
        <v>1628</v>
      </c>
      <c r="O1356" t="s">
        <v>1628</v>
      </c>
      <c r="P1356" t="s">
        <v>1628</v>
      </c>
      <c r="Q1356">
        <f>LEN(AMAZON_FASHION_5__2[[#This Row],[reviewText]])</f>
        <v>55</v>
      </c>
      <c r="R1356" t="str">
        <f>IF(AMAZON_FASHION_5__2[[#This Row],[overall]]&gt;=4,"Positive",IF(AMAZON_FASHION_5__2[[#This Row],[overall]]&lt;=2,"Negative","Neutral"))</f>
        <v>Positive</v>
      </c>
      <c r="S13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57" spans="1:19" x14ac:dyDescent="0.25">
      <c r="A1357">
        <v>5</v>
      </c>
      <c r="B1357" t="b">
        <v>1</v>
      </c>
      <c r="C1357" s="1">
        <v>42967</v>
      </c>
      <c r="D1357">
        <f>YEAR(AMAZON_FASHION_5__2[[#This Row],[reviewDate]])</f>
        <v>2017</v>
      </c>
      <c r="E1357" s="1" t="str">
        <f>TEXT(AMAZON_FASHION_5__2[[#This Row],[reviewDate]], "mmmm")</f>
        <v>August</v>
      </c>
      <c r="F1357" t="s">
        <v>639</v>
      </c>
      <c r="G1357" t="s">
        <v>1479</v>
      </c>
      <c r="H1357" t="s">
        <v>197</v>
      </c>
      <c r="I1357" t="s">
        <v>198</v>
      </c>
      <c r="J1357" t="s">
        <v>640</v>
      </c>
      <c r="K1357" t="s">
        <v>406</v>
      </c>
      <c r="L1357" t="s">
        <v>17</v>
      </c>
      <c r="M1357">
        <v>1503187200</v>
      </c>
      <c r="N1357" t="s">
        <v>1628</v>
      </c>
      <c r="O1357" t="s">
        <v>1628</v>
      </c>
      <c r="P1357" t="s">
        <v>1628</v>
      </c>
      <c r="Q1357">
        <f>LEN(AMAZON_FASHION_5__2[[#This Row],[reviewText]])</f>
        <v>10</v>
      </c>
      <c r="R1357" t="str">
        <f>IF(AMAZON_FASHION_5__2[[#This Row],[overall]]&gt;=4,"Positive",IF(AMAZON_FASHION_5__2[[#This Row],[overall]]&lt;=2,"Negative","Neutral"))</f>
        <v>Positive</v>
      </c>
      <c r="S13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58" spans="1:19" x14ac:dyDescent="0.25">
      <c r="A1358">
        <v>3</v>
      </c>
      <c r="B1358" t="b">
        <v>1</v>
      </c>
      <c r="C1358" s="1">
        <v>42964</v>
      </c>
      <c r="D1358">
        <f>YEAR(AMAZON_FASHION_5__2[[#This Row],[reviewDate]])</f>
        <v>2017</v>
      </c>
      <c r="E1358" s="1" t="str">
        <f>TEXT(AMAZON_FASHION_5__2[[#This Row],[reviewDate]], "mmmm")</f>
        <v>August</v>
      </c>
      <c r="F1358" t="s">
        <v>641</v>
      </c>
      <c r="G1358" t="s">
        <v>1479</v>
      </c>
      <c r="H1358" t="s">
        <v>477</v>
      </c>
      <c r="I1358" t="s">
        <v>642</v>
      </c>
      <c r="J1358" t="s">
        <v>643</v>
      </c>
      <c r="K1358" t="s">
        <v>644</v>
      </c>
      <c r="L1358" t="s">
        <v>645</v>
      </c>
      <c r="M1358">
        <v>1502928000</v>
      </c>
      <c r="N1358" t="s">
        <v>1628</v>
      </c>
      <c r="O1358" t="s">
        <v>1628</v>
      </c>
      <c r="P1358" t="s">
        <v>1628</v>
      </c>
      <c r="Q1358">
        <f>LEN(AMAZON_FASHION_5__2[[#This Row],[reviewText]])</f>
        <v>50</v>
      </c>
      <c r="R1358" t="str">
        <f>IF(AMAZON_FASHION_5__2[[#This Row],[overall]]&gt;=4,"Positive",IF(AMAZON_FASHION_5__2[[#This Row],[overall]]&lt;=2,"Negative","Neutral"))</f>
        <v>Neutral</v>
      </c>
      <c r="S13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59" spans="1:19" x14ac:dyDescent="0.25">
      <c r="A1359">
        <v>5</v>
      </c>
      <c r="B1359" t="b">
        <v>1</v>
      </c>
      <c r="C1359" s="1">
        <v>42964</v>
      </c>
      <c r="D1359">
        <f>YEAR(AMAZON_FASHION_5__2[[#This Row],[reviewDate]])</f>
        <v>2017</v>
      </c>
      <c r="E1359" s="1" t="str">
        <f>TEXT(AMAZON_FASHION_5__2[[#This Row],[reviewDate]], "mmmm")</f>
        <v>August</v>
      </c>
      <c r="F1359" t="s">
        <v>646</v>
      </c>
      <c r="G1359" t="s">
        <v>1479</v>
      </c>
      <c r="H1359" t="s">
        <v>201</v>
      </c>
      <c r="I1359" t="s">
        <v>198</v>
      </c>
      <c r="J1359" t="s">
        <v>647</v>
      </c>
      <c r="K1359" t="s">
        <v>648</v>
      </c>
      <c r="L1359" t="s">
        <v>17</v>
      </c>
      <c r="M1359">
        <v>1502928000</v>
      </c>
      <c r="N1359" t="s">
        <v>1628</v>
      </c>
      <c r="O1359" t="s">
        <v>1628</v>
      </c>
      <c r="P1359" t="s">
        <v>1628</v>
      </c>
      <c r="Q1359">
        <f>LEN(AMAZON_FASHION_5__2[[#This Row],[reviewText]])</f>
        <v>37</v>
      </c>
      <c r="R1359" t="str">
        <f>IF(AMAZON_FASHION_5__2[[#This Row],[overall]]&gt;=4,"Positive",IF(AMAZON_FASHION_5__2[[#This Row],[overall]]&lt;=2,"Negative","Neutral"))</f>
        <v>Positive</v>
      </c>
      <c r="S13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60" spans="1:19" x14ac:dyDescent="0.25">
      <c r="A1360">
        <v>5</v>
      </c>
      <c r="B1360" t="b">
        <v>1</v>
      </c>
      <c r="C1360" s="1">
        <v>42962</v>
      </c>
      <c r="D1360">
        <f>YEAR(AMAZON_FASHION_5__2[[#This Row],[reviewDate]])</f>
        <v>2017</v>
      </c>
      <c r="E1360" s="1" t="str">
        <f>TEXT(AMAZON_FASHION_5__2[[#This Row],[reviewDate]], "mmmm")</f>
        <v>August</v>
      </c>
      <c r="F1360" t="s">
        <v>649</v>
      </c>
      <c r="G1360" t="s">
        <v>1479</v>
      </c>
      <c r="H1360" t="s">
        <v>61</v>
      </c>
      <c r="I1360" t="s">
        <v>344</v>
      </c>
      <c r="J1360" t="s">
        <v>63</v>
      </c>
      <c r="K1360" t="s">
        <v>650</v>
      </c>
      <c r="L1360" t="s">
        <v>17</v>
      </c>
      <c r="M1360">
        <v>1502755200</v>
      </c>
      <c r="N1360" t="s">
        <v>1628</v>
      </c>
      <c r="O1360" t="s">
        <v>1628</v>
      </c>
      <c r="P1360" t="s">
        <v>1628</v>
      </c>
      <c r="Q1360">
        <f>LEN(AMAZON_FASHION_5__2[[#This Row],[reviewText]])</f>
        <v>16</v>
      </c>
      <c r="R1360" t="str">
        <f>IF(AMAZON_FASHION_5__2[[#This Row],[overall]]&gt;=4,"Positive",IF(AMAZON_FASHION_5__2[[#This Row],[overall]]&lt;=2,"Negative","Neutral"))</f>
        <v>Positive</v>
      </c>
      <c r="S13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61" spans="1:19" x14ac:dyDescent="0.25">
      <c r="A1361">
        <v>5</v>
      </c>
      <c r="B1361" t="b">
        <v>1</v>
      </c>
      <c r="C1361" s="1">
        <v>42961</v>
      </c>
      <c r="D1361">
        <f>YEAR(AMAZON_FASHION_5__2[[#This Row],[reviewDate]])</f>
        <v>2017</v>
      </c>
      <c r="E1361" s="1" t="str">
        <f>TEXT(AMAZON_FASHION_5__2[[#This Row],[reviewDate]], "mmmm")</f>
        <v>August</v>
      </c>
      <c r="F1361" t="s">
        <v>651</v>
      </c>
      <c r="G1361" t="s">
        <v>1479</v>
      </c>
      <c r="H1361" t="s">
        <v>230</v>
      </c>
      <c r="I1361" t="s">
        <v>198</v>
      </c>
      <c r="J1361" t="s">
        <v>652</v>
      </c>
      <c r="K1361" t="s">
        <v>653</v>
      </c>
      <c r="L1361" t="s">
        <v>654</v>
      </c>
      <c r="M1361">
        <v>1502668800</v>
      </c>
      <c r="N1361" t="s">
        <v>1628</v>
      </c>
      <c r="O1361" t="s">
        <v>1628</v>
      </c>
      <c r="P1361" t="s">
        <v>1628</v>
      </c>
      <c r="Q1361">
        <f>LEN(AMAZON_FASHION_5__2[[#This Row],[reviewText]])</f>
        <v>145</v>
      </c>
      <c r="R1361" t="str">
        <f>IF(AMAZON_FASHION_5__2[[#This Row],[overall]]&gt;=4,"Positive",IF(AMAZON_FASHION_5__2[[#This Row],[overall]]&lt;=2,"Negative","Neutral"))</f>
        <v>Positive</v>
      </c>
      <c r="S13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62" spans="1:19" x14ac:dyDescent="0.25">
      <c r="A1362">
        <v>5</v>
      </c>
      <c r="B1362" t="b">
        <v>1</v>
      </c>
      <c r="C1362" s="1">
        <v>42959</v>
      </c>
      <c r="D1362">
        <f>YEAR(AMAZON_FASHION_5__2[[#This Row],[reviewDate]])</f>
        <v>2017</v>
      </c>
      <c r="E1362" s="1" t="str">
        <f>TEXT(AMAZON_FASHION_5__2[[#This Row],[reviewDate]], "mmmm")</f>
        <v>August</v>
      </c>
      <c r="F1362" t="s">
        <v>655</v>
      </c>
      <c r="G1362" t="s">
        <v>1479</v>
      </c>
      <c r="H1362" t="s">
        <v>210</v>
      </c>
      <c r="I1362" t="s">
        <v>198</v>
      </c>
      <c r="J1362" t="s">
        <v>656</v>
      </c>
      <c r="K1362" t="s">
        <v>657</v>
      </c>
      <c r="L1362" t="s">
        <v>658</v>
      </c>
      <c r="M1362">
        <v>1502496000</v>
      </c>
      <c r="N1362" t="s">
        <v>1628</v>
      </c>
      <c r="O1362" t="s">
        <v>1628</v>
      </c>
      <c r="P1362" t="s">
        <v>1628</v>
      </c>
      <c r="Q1362">
        <f>LEN(AMAZON_FASHION_5__2[[#This Row],[reviewText]])</f>
        <v>230</v>
      </c>
      <c r="R1362" t="str">
        <f>IF(AMAZON_FASHION_5__2[[#This Row],[overall]]&gt;=4,"Positive",IF(AMAZON_FASHION_5__2[[#This Row],[overall]]&lt;=2,"Negative","Neutral"))</f>
        <v>Positive</v>
      </c>
      <c r="S13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63" spans="1:19" x14ac:dyDescent="0.25">
      <c r="A1363">
        <v>4</v>
      </c>
      <c r="B1363" t="b">
        <v>1</v>
      </c>
      <c r="C1363" s="1">
        <v>42958</v>
      </c>
      <c r="D1363">
        <f>YEAR(AMAZON_FASHION_5__2[[#This Row],[reviewDate]])</f>
        <v>2017</v>
      </c>
      <c r="E1363" s="1" t="str">
        <f>TEXT(AMAZON_FASHION_5__2[[#This Row],[reviewDate]], "mmmm")</f>
        <v>August</v>
      </c>
      <c r="F1363" t="s">
        <v>659</v>
      </c>
      <c r="G1363" t="s">
        <v>1479</v>
      </c>
      <c r="H1363" t="s">
        <v>477</v>
      </c>
      <c r="I1363" t="s">
        <v>198</v>
      </c>
      <c r="J1363" t="s">
        <v>660</v>
      </c>
      <c r="K1363" t="s">
        <v>661</v>
      </c>
      <c r="L1363" t="s">
        <v>103</v>
      </c>
      <c r="M1363">
        <v>1502409600</v>
      </c>
      <c r="N1363" t="s">
        <v>1628</v>
      </c>
      <c r="O1363" t="s">
        <v>1628</v>
      </c>
      <c r="P1363" t="s">
        <v>1628</v>
      </c>
      <c r="Q1363">
        <f>LEN(AMAZON_FASHION_5__2[[#This Row],[reviewText]])</f>
        <v>59</v>
      </c>
      <c r="R1363" t="str">
        <f>IF(AMAZON_FASHION_5__2[[#This Row],[overall]]&gt;=4,"Positive",IF(AMAZON_FASHION_5__2[[#This Row],[overall]]&lt;=2,"Negative","Neutral"))</f>
        <v>Positive</v>
      </c>
      <c r="S13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64" spans="1:19" x14ac:dyDescent="0.25">
      <c r="A1364">
        <v>3</v>
      </c>
      <c r="B1364" t="b">
        <v>1</v>
      </c>
      <c r="C1364" s="1">
        <v>42955</v>
      </c>
      <c r="D1364">
        <f>YEAR(AMAZON_FASHION_5__2[[#This Row],[reviewDate]])</f>
        <v>2017</v>
      </c>
      <c r="E1364" s="1" t="str">
        <f>TEXT(AMAZON_FASHION_5__2[[#This Row],[reviewDate]], "mmmm")</f>
        <v>August</v>
      </c>
      <c r="F1364" t="s">
        <v>662</v>
      </c>
      <c r="G1364" t="s">
        <v>1479</v>
      </c>
      <c r="H1364" t="s">
        <v>210</v>
      </c>
      <c r="I1364" t="s">
        <v>198</v>
      </c>
      <c r="J1364" t="s">
        <v>663</v>
      </c>
      <c r="K1364" t="s">
        <v>664</v>
      </c>
      <c r="L1364" t="s">
        <v>665</v>
      </c>
      <c r="M1364">
        <v>1502150400</v>
      </c>
      <c r="N1364" t="s">
        <v>1628</v>
      </c>
      <c r="O1364" t="s">
        <v>1628</v>
      </c>
      <c r="P1364" t="s">
        <v>1628</v>
      </c>
      <c r="Q1364">
        <f>LEN(AMAZON_FASHION_5__2[[#This Row],[reviewText]])</f>
        <v>138</v>
      </c>
      <c r="R1364" t="str">
        <f>IF(AMAZON_FASHION_5__2[[#This Row],[overall]]&gt;=4,"Positive",IF(AMAZON_FASHION_5__2[[#This Row],[overall]]&lt;=2,"Negative","Neutral"))</f>
        <v>Neutral</v>
      </c>
      <c r="S13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65" spans="1:19" x14ac:dyDescent="0.25">
      <c r="A1365">
        <v>5</v>
      </c>
      <c r="B1365" t="b">
        <v>1</v>
      </c>
      <c r="C1365" s="1">
        <v>42955</v>
      </c>
      <c r="D1365">
        <f>YEAR(AMAZON_FASHION_5__2[[#This Row],[reviewDate]])</f>
        <v>2017</v>
      </c>
      <c r="E1365" s="1" t="str">
        <f>TEXT(AMAZON_FASHION_5__2[[#This Row],[reviewDate]], "mmmm")</f>
        <v>August</v>
      </c>
      <c r="F1365" t="s">
        <v>666</v>
      </c>
      <c r="G1365" t="s">
        <v>1479</v>
      </c>
      <c r="H1365" t="s">
        <v>284</v>
      </c>
      <c r="I1365" t="s">
        <v>198</v>
      </c>
      <c r="J1365" t="s">
        <v>667</v>
      </c>
      <c r="K1365" t="s">
        <v>668</v>
      </c>
      <c r="L1365" t="s">
        <v>17</v>
      </c>
      <c r="M1365">
        <v>1502150400</v>
      </c>
      <c r="N1365" t="s">
        <v>1628</v>
      </c>
      <c r="O1365" t="s">
        <v>1628</v>
      </c>
      <c r="P1365" t="s">
        <v>1628</v>
      </c>
      <c r="Q1365">
        <f>LEN(AMAZON_FASHION_5__2[[#This Row],[reviewText]])</f>
        <v>27</v>
      </c>
      <c r="R1365" t="str">
        <f>IF(AMAZON_FASHION_5__2[[#This Row],[overall]]&gt;=4,"Positive",IF(AMAZON_FASHION_5__2[[#This Row],[overall]]&lt;=2,"Negative","Neutral"))</f>
        <v>Positive</v>
      </c>
      <c r="S13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66" spans="1:19" x14ac:dyDescent="0.25">
      <c r="A1366">
        <v>5</v>
      </c>
      <c r="B1366" t="b">
        <v>1</v>
      </c>
      <c r="C1366" s="1">
        <v>42954</v>
      </c>
      <c r="D1366">
        <f>YEAR(AMAZON_FASHION_5__2[[#This Row],[reviewDate]])</f>
        <v>2017</v>
      </c>
      <c r="E1366" s="1" t="str">
        <f>TEXT(AMAZON_FASHION_5__2[[#This Row],[reviewDate]], "mmmm")</f>
        <v>August</v>
      </c>
      <c r="F1366" t="s">
        <v>669</v>
      </c>
      <c r="G1366" t="s">
        <v>1479</v>
      </c>
      <c r="H1366" t="s">
        <v>230</v>
      </c>
      <c r="I1366" t="s">
        <v>1476</v>
      </c>
      <c r="J1366" t="s">
        <v>670</v>
      </c>
      <c r="K1366" t="s">
        <v>671</v>
      </c>
      <c r="L1366" t="s">
        <v>17</v>
      </c>
      <c r="M1366">
        <v>1502064000</v>
      </c>
      <c r="N1366" t="s">
        <v>1628</v>
      </c>
      <c r="O1366" t="s">
        <v>1628</v>
      </c>
      <c r="P1366" t="s">
        <v>1628</v>
      </c>
      <c r="Q1366">
        <f>LEN(AMAZON_FASHION_5__2[[#This Row],[reviewText]])</f>
        <v>10</v>
      </c>
      <c r="R1366" t="str">
        <f>IF(AMAZON_FASHION_5__2[[#This Row],[overall]]&gt;=4,"Positive",IF(AMAZON_FASHION_5__2[[#This Row],[overall]]&lt;=2,"Negative","Neutral"))</f>
        <v>Positive</v>
      </c>
      <c r="S13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67" spans="1:19" x14ac:dyDescent="0.25">
      <c r="A1367">
        <v>5</v>
      </c>
      <c r="B1367" t="b">
        <v>1</v>
      </c>
      <c r="C1367" s="1">
        <v>42951</v>
      </c>
      <c r="D1367">
        <f>YEAR(AMAZON_FASHION_5__2[[#This Row],[reviewDate]])</f>
        <v>2017</v>
      </c>
      <c r="E1367" s="1" t="str">
        <f>TEXT(AMAZON_FASHION_5__2[[#This Row],[reviewDate]], "mmmm")</f>
        <v>August</v>
      </c>
      <c r="F1367" t="s">
        <v>672</v>
      </c>
      <c r="G1367" t="s">
        <v>1479</v>
      </c>
      <c r="H1367" t="s">
        <v>235</v>
      </c>
      <c r="I1367" t="s">
        <v>274</v>
      </c>
      <c r="J1367" t="s">
        <v>673</v>
      </c>
      <c r="K1367" t="s">
        <v>674</v>
      </c>
      <c r="L1367" t="s">
        <v>675</v>
      </c>
      <c r="M1367">
        <v>1501804800</v>
      </c>
      <c r="N1367" t="s">
        <v>1628</v>
      </c>
      <c r="O1367" t="s">
        <v>1628</v>
      </c>
      <c r="P1367" t="s">
        <v>1628</v>
      </c>
      <c r="Q1367">
        <f>LEN(AMAZON_FASHION_5__2[[#This Row],[reviewText]])</f>
        <v>114</v>
      </c>
      <c r="R1367" t="str">
        <f>IF(AMAZON_FASHION_5__2[[#This Row],[overall]]&gt;=4,"Positive",IF(AMAZON_FASHION_5__2[[#This Row],[overall]]&lt;=2,"Negative","Neutral"))</f>
        <v>Positive</v>
      </c>
      <c r="S13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68" spans="1:19" x14ac:dyDescent="0.25">
      <c r="A1368">
        <v>3</v>
      </c>
      <c r="B1368" t="b">
        <v>1</v>
      </c>
      <c r="C1368" s="1">
        <v>42949</v>
      </c>
      <c r="D1368">
        <f>YEAR(AMAZON_FASHION_5__2[[#This Row],[reviewDate]])</f>
        <v>2017</v>
      </c>
      <c r="E1368" s="1" t="str">
        <f>TEXT(AMAZON_FASHION_5__2[[#This Row],[reviewDate]], "mmmm")</f>
        <v>August</v>
      </c>
      <c r="F1368" t="s">
        <v>676</v>
      </c>
      <c r="G1368" t="s">
        <v>1479</v>
      </c>
      <c r="H1368" t="s">
        <v>677</v>
      </c>
      <c r="I1368" t="s">
        <v>198</v>
      </c>
      <c r="J1368" t="s">
        <v>678</v>
      </c>
      <c r="K1368" t="s">
        <v>679</v>
      </c>
      <c r="L1368" t="s">
        <v>680</v>
      </c>
      <c r="M1368">
        <v>1501632000</v>
      </c>
      <c r="N1368" t="s">
        <v>1628</v>
      </c>
      <c r="O1368" t="s">
        <v>1628</v>
      </c>
      <c r="P1368" t="s">
        <v>1628</v>
      </c>
      <c r="Q1368">
        <f>LEN(AMAZON_FASHION_5__2[[#This Row],[reviewText]])</f>
        <v>264</v>
      </c>
      <c r="R1368" t="str">
        <f>IF(AMAZON_FASHION_5__2[[#This Row],[overall]]&gt;=4,"Positive",IF(AMAZON_FASHION_5__2[[#This Row],[overall]]&lt;=2,"Negative","Neutral"))</f>
        <v>Neutral</v>
      </c>
      <c r="S13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69" spans="1:19" x14ac:dyDescent="0.25">
      <c r="A1369">
        <v>5</v>
      </c>
      <c r="B1369" t="b">
        <v>1</v>
      </c>
      <c r="C1369" s="1">
        <v>42936</v>
      </c>
      <c r="D1369">
        <f>YEAR(AMAZON_FASHION_5__2[[#This Row],[reviewDate]])</f>
        <v>2017</v>
      </c>
      <c r="E1369" s="1" t="str">
        <f>TEXT(AMAZON_FASHION_5__2[[#This Row],[reviewDate]], "mmmm")</f>
        <v>July</v>
      </c>
      <c r="F1369" t="s">
        <v>681</v>
      </c>
      <c r="G1369" t="s">
        <v>1479</v>
      </c>
      <c r="H1369" t="s">
        <v>210</v>
      </c>
      <c r="I1369" t="s">
        <v>198</v>
      </c>
      <c r="J1369" t="s">
        <v>63</v>
      </c>
      <c r="K1369" t="s">
        <v>682</v>
      </c>
      <c r="L1369" t="s">
        <v>365</v>
      </c>
      <c r="M1369">
        <v>1500508800</v>
      </c>
      <c r="N1369" t="s">
        <v>1628</v>
      </c>
      <c r="O1369" t="s">
        <v>1628</v>
      </c>
      <c r="P1369" t="s">
        <v>1628</v>
      </c>
      <c r="Q1369">
        <f>LEN(AMAZON_FASHION_5__2[[#This Row],[reviewText]])</f>
        <v>34</v>
      </c>
      <c r="R1369" t="str">
        <f>IF(AMAZON_FASHION_5__2[[#This Row],[overall]]&gt;=4,"Positive",IF(AMAZON_FASHION_5__2[[#This Row],[overall]]&lt;=2,"Negative","Neutral"))</f>
        <v>Positive</v>
      </c>
      <c r="S13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70" spans="1:19" x14ac:dyDescent="0.25">
      <c r="A1370">
        <v>5</v>
      </c>
      <c r="B1370" t="b">
        <v>1</v>
      </c>
      <c r="C1370" s="1">
        <v>42934</v>
      </c>
      <c r="D1370">
        <f>YEAR(AMAZON_FASHION_5__2[[#This Row],[reviewDate]])</f>
        <v>2017</v>
      </c>
      <c r="E1370" s="1" t="str">
        <f>TEXT(AMAZON_FASHION_5__2[[#This Row],[reviewDate]], "mmmm")</f>
        <v>July</v>
      </c>
      <c r="F1370" t="s">
        <v>683</v>
      </c>
      <c r="G1370" t="s">
        <v>1479</v>
      </c>
      <c r="H1370" t="s">
        <v>230</v>
      </c>
      <c r="I1370" t="s">
        <v>507</v>
      </c>
      <c r="J1370" t="s">
        <v>684</v>
      </c>
      <c r="K1370" t="s">
        <v>685</v>
      </c>
      <c r="L1370" t="s">
        <v>686</v>
      </c>
      <c r="M1370">
        <v>1500336000</v>
      </c>
      <c r="N1370" t="s">
        <v>1628</v>
      </c>
      <c r="O1370" t="s">
        <v>1628</v>
      </c>
      <c r="P1370" t="s">
        <v>1628</v>
      </c>
      <c r="Q1370">
        <f>LEN(AMAZON_FASHION_5__2[[#This Row],[reviewText]])</f>
        <v>124</v>
      </c>
      <c r="R1370" t="str">
        <f>IF(AMAZON_FASHION_5__2[[#This Row],[overall]]&gt;=4,"Positive",IF(AMAZON_FASHION_5__2[[#This Row],[overall]]&lt;=2,"Negative","Neutral"))</f>
        <v>Positive</v>
      </c>
      <c r="S13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71" spans="1:19" x14ac:dyDescent="0.25">
      <c r="A1371">
        <v>4</v>
      </c>
      <c r="B1371" t="b">
        <v>1</v>
      </c>
      <c r="C1371" s="1">
        <v>42934</v>
      </c>
      <c r="D1371">
        <f>YEAR(AMAZON_FASHION_5__2[[#This Row],[reviewDate]])</f>
        <v>2017</v>
      </c>
      <c r="E1371" s="1" t="str">
        <f>TEXT(AMAZON_FASHION_5__2[[#This Row],[reviewDate]], "mmmm")</f>
        <v>July</v>
      </c>
      <c r="F1371" t="s">
        <v>687</v>
      </c>
      <c r="G1371" t="s">
        <v>1479</v>
      </c>
      <c r="H1371" t="s">
        <v>235</v>
      </c>
      <c r="I1371" t="s">
        <v>344</v>
      </c>
      <c r="J1371" t="s">
        <v>688</v>
      </c>
      <c r="K1371" t="s">
        <v>689</v>
      </c>
      <c r="L1371" t="s">
        <v>103</v>
      </c>
      <c r="M1371">
        <v>1500336000</v>
      </c>
      <c r="N1371" t="s">
        <v>1628</v>
      </c>
      <c r="O1371" t="s">
        <v>1628</v>
      </c>
      <c r="P1371" t="s">
        <v>1628</v>
      </c>
      <c r="Q1371">
        <f>LEN(AMAZON_FASHION_5__2[[#This Row],[reviewText]])</f>
        <v>28</v>
      </c>
      <c r="R1371" t="str">
        <f>IF(AMAZON_FASHION_5__2[[#This Row],[overall]]&gt;=4,"Positive",IF(AMAZON_FASHION_5__2[[#This Row],[overall]]&lt;=2,"Negative","Neutral"))</f>
        <v>Positive</v>
      </c>
      <c r="S13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72" spans="1:19" x14ac:dyDescent="0.25">
      <c r="A1372">
        <v>5</v>
      </c>
      <c r="B1372" t="b">
        <v>1</v>
      </c>
      <c r="C1372" s="1">
        <v>42934</v>
      </c>
      <c r="D1372">
        <f>YEAR(AMAZON_FASHION_5__2[[#This Row],[reviewDate]])</f>
        <v>2017</v>
      </c>
      <c r="E1372" s="1" t="str">
        <f>TEXT(AMAZON_FASHION_5__2[[#This Row],[reviewDate]], "mmmm")</f>
        <v>July</v>
      </c>
      <c r="F1372" t="s">
        <v>690</v>
      </c>
      <c r="G1372" t="s">
        <v>1479</v>
      </c>
      <c r="H1372" t="s">
        <v>197</v>
      </c>
      <c r="I1372" t="s">
        <v>198</v>
      </c>
      <c r="J1372" t="s">
        <v>691</v>
      </c>
      <c r="K1372" t="s">
        <v>692</v>
      </c>
      <c r="L1372" t="s">
        <v>693</v>
      </c>
      <c r="M1372">
        <v>1500336000</v>
      </c>
      <c r="N1372" t="s">
        <v>1628</v>
      </c>
      <c r="O1372" t="s">
        <v>1628</v>
      </c>
      <c r="P1372" t="s">
        <v>1628</v>
      </c>
      <c r="Q1372">
        <f>LEN(AMAZON_FASHION_5__2[[#This Row],[reviewText]])</f>
        <v>184</v>
      </c>
      <c r="R1372" t="str">
        <f>IF(AMAZON_FASHION_5__2[[#This Row],[overall]]&gt;=4,"Positive",IF(AMAZON_FASHION_5__2[[#This Row],[overall]]&lt;=2,"Negative","Neutral"))</f>
        <v>Positive</v>
      </c>
      <c r="S13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73" spans="1:19" x14ac:dyDescent="0.25">
      <c r="A1373">
        <v>5</v>
      </c>
      <c r="B1373" t="b">
        <v>1</v>
      </c>
      <c r="C1373" s="1">
        <v>42934</v>
      </c>
      <c r="D1373">
        <f>YEAR(AMAZON_FASHION_5__2[[#This Row],[reviewDate]])</f>
        <v>2017</v>
      </c>
      <c r="E1373" s="1" t="str">
        <f>TEXT(AMAZON_FASHION_5__2[[#This Row],[reviewDate]], "mmmm")</f>
        <v>July</v>
      </c>
      <c r="F1373" t="s">
        <v>694</v>
      </c>
      <c r="G1373" t="s">
        <v>1479</v>
      </c>
      <c r="H1373" t="s">
        <v>205</v>
      </c>
      <c r="I1373" t="s">
        <v>198</v>
      </c>
      <c r="J1373" t="s">
        <v>695</v>
      </c>
      <c r="K1373" t="s">
        <v>18</v>
      </c>
      <c r="L1373" t="s">
        <v>17</v>
      </c>
      <c r="M1373">
        <v>1500336000</v>
      </c>
      <c r="N1373" t="s">
        <v>1628</v>
      </c>
      <c r="O1373" t="s">
        <v>1628</v>
      </c>
      <c r="P1373" t="s">
        <v>1628</v>
      </c>
      <c r="Q1373">
        <f>LEN(AMAZON_FASHION_5__2[[#This Row],[reviewText]])</f>
        <v>0</v>
      </c>
      <c r="R1373" t="str">
        <f>IF(AMAZON_FASHION_5__2[[#This Row],[overall]]&gt;=4,"Positive",IF(AMAZON_FASHION_5__2[[#This Row],[overall]]&lt;=2,"Negative","Neutral"))</f>
        <v>Positive</v>
      </c>
      <c r="S13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74" spans="1:19" x14ac:dyDescent="0.25">
      <c r="A1374">
        <v>5</v>
      </c>
      <c r="B1374" t="b">
        <v>1</v>
      </c>
      <c r="C1374" s="1">
        <v>42934</v>
      </c>
      <c r="D1374">
        <f>YEAR(AMAZON_FASHION_5__2[[#This Row],[reviewDate]])</f>
        <v>2017</v>
      </c>
      <c r="E1374" s="1" t="str">
        <f>TEXT(AMAZON_FASHION_5__2[[#This Row],[reviewDate]], "mmmm")</f>
        <v>July</v>
      </c>
      <c r="F1374" t="s">
        <v>696</v>
      </c>
      <c r="G1374" t="s">
        <v>1479</v>
      </c>
      <c r="H1374" t="s">
        <v>210</v>
      </c>
      <c r="I1374" t="s">
        <v>99</v>
      </c>
      <c r="J1374" t="s">
        <v>697</v>
      </c>
      <c r="K1374" t="s">
        <v>276</v>
      </c>
      <c r="L1374" t="s">
        <v>17</v>
      </c>
      <c r="M1374">
        <v>1500336000</v>
      </c>
      <c r="N1374" t="s">
        <v>1628</v>
      </c>
      <c r="O1374" t="s">
        <v>1628</v>
      </c>
      <c r="P1374" t="s">
        <v>1628</v>
      </c>
      <c r="Q1374">
        <f>LEN(AMAZON_FASHION_5__2[[#This Row],[reviewText]])</f>
        <v>4</v>
      </c>
      <c r="R1374" t="str">
        <f>IF(AMAZON_FASHION_5__2[[#This Row],[overall]]&gt;=4,"Positive",IF(AMAZON_FASHION_5__2[[#This Row],[overall]]&lt;=2,"Negative","Neutral"))</f>
        <v>Positive</v>
      </c>
      <c r="S13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75" spans="1:19" x14ac:dyDescent="0.25">
      <c r="A1375">
        <v>5</v>
      </c>
      <c r="B1375" t="b">
        <v>1</v>
      </c>
      <c r="C1375" s="1">
        <v>42934</v>
      </c>
      <c r="D1375">
        <f>YEAR(AMAZON_FASHION_5__2[[#This Row],[reviewDate]])</f>
        <v>2017</v>
      </c>
      <c r="E1375" s="1" t="str">
        <f>TEXT(AMAZON_FASHION_5__2[[#This Row],[reviewDate]], "mmmm")</f>
        <v>July</v>
      </c>
      <c r="F1375" t="s">
        <v>698</v>
      </c>
      <c r="G1375" t="s">
        <v>1479</v>
      </c>
      <c r="H1375" t="s">
        <v>210</v>
      </c>
      <c r="I1375" t="s">
        <v>642</v>
      </c>
      <c r="J1375" t="s">
        <v>63</v>
      </c>
      <c r="K1375" t="s">
        <v>699</v>
      </c>
      <c r="L1375" t="s">
        <v>700</v>
      </c>
      <c r="M1375">
        <v>1500336000</v>
      </c>
      <c r="N1375" t="s">
        <v>1628</v>
      </c>
      <c r="O1375" t="s">
        <v>1628</v>
      </c>
      <c r="P1375" t="s">
        <v>1628</v>
      </c>
      <c r="Q1375">
        <f>LEN(AMAZON_FASHION_5__2[[#This Row],[reviewText]])</f>
        <v>99</v>
      </c>
      <c r="R1375" t="str">
        <f>IF(AMAZON_FASHION_5__2[[#This Row],[overall]]&gt;=4,"Positive",IF(AMAZON_FASHION_5__2[[#This Row],[overall]]&lt;=2,"Negative","Neutral"))</f>
        <v>Positive</v>
      </c>
      <c r="S13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76" spans="1:19" x14ac:dyDescent="0.25">
      <c r="A1376">
        <v>5</v>
      </c>
      <c r="B1376" t="b">
        <v>1</v>
      </c>
      <c r="C1376" s="1">
        <v>42934</v>
      </c>
      <c r="D1376">
        <f>YEAR(AMAZON_FASHION_5__2[[#This Row],[reviewDate]])</f>
        <v>2017</v>
      </c>
      <c r="E1376" s="1" t="str">
        <f>TEXT(AMAZON_FASHION_5__2[[#This Row],[reviewDate]], "mmmm")</f>
        <v>July</v>
      </c>
      <c r="F1376" t="s">
        <v>701</v>
      </c>
      <c r="G1376" t="s">
        <v>1479</v>
      </c>
      <c r="H1376" t="s">
        <v>201</v>
      </c>
      <c r="I1376" t="s">
        <v>198</v>
      </c>
      <c r="J1376" t="s">
        <v>702</v>
      </c>
      <c r="K1376" t="s">
        <v>703</v>
      </c>
      <c r="L1376" t="s">
        <v>704</v>
      </c>
      <c r="M1376">
        <v>1500336000</v>
      </c>
      <c r="N1376" t="s">
        <v>1628</v>
      </c>
      <c r="O1376" t="s">
        <v>1628</v>
      </c>
      <c r="P1376" t="s">
        <v>1628</v>
      </c>
      <c r="Q1376">
        <f>LEN(AMAZON_FASHION_5__2[[#This Row],[reviewText]])</f>
        <v>178</v>
      </c>
      <c r="R1376" t="str">
        <f>IF(AMAZON_FASHION_5__2[[#This Row],[overall]]&gt;=4,"Positive",IF(AMAZON_FASHION_5__2[[#This Row],[overall]]&lt;=2,"Negative","Neutral"))</f>
        <v>Positive</v>
      </c>
      <c r="S13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77" spans="1:19" x14ac:dyDescent="0.25">
      <c r="A1377">
        <v>5</v>
      </c>
      <c r="B1377" t="b">
        <v>1</v>
      </c>
      <c r="C1377" s="1">
        <v>42931</v>
      </c>
      <c r="D1377">
        <f>YEAR(AMAZON_FASHION_5__2[[#This Row],[reviewDate]])</f>
        <v>2017</v>
      </c>
      <c r="E1377" s="1" t="str">
        <f>TEXT(AMAZON_FASHION_5__2[[#This Row],[reviewDate]], "mmmm")</f>
        <v>July</v>
      </c>
      <c r="F1377" t="s">
        <v>705</v>
      </c>
      <c r="G1377" t="s">
        <v>1479</v>
      </c>
      <c r="H1377" t="s">
        <v>205</v>
      </c>
      <c r="I1377" t="s">
        <v>396</v>
      </c>
      <c r="J1377" t="s">
        <v>706</v>
      </c>
      <c r="K1377" t="s">
        <v>707</v>
      </c>
      <c r="L1377" t="s">
        <v>17</v>
      </c>
      <c r="M1377">
        <v>1500076800</v>
      </c>
      <c r="N1377" t="s">
        <v>1628</v>
      </c>
      <c r="O1377" t="s">
        <v>1628</v>
      </c>
      <c r="P1377" t="s">
        <v>1628</v>
      </c>
      <c r="Q1377">
        <f>LEN(AMAZON_FASHION_5__2[[#This Row],[reviewText]])</f>
        <v>30</v>
      </c>
      <c r="R1377" t="str">
        <f>IF(AMAZON_FASHION_5__2[[#This Row],[overall]]&gt;=4,"Positive",IF(AMAZON_FASHION_5__2[[#This Row],[overall]]&lt;=2,"Negative","Neutral"))</f>
        <v>Positive</v>
      </c>
      <c r="S13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78" spans="1:19" x14ac:dyDescent="0.25">
      <c r="A1378">
        <v>3</v>
      </c>
      <c r="B1378" t="b">
        <v>1</v>
      </c>
      <c r="C1378" s="1">
        <v>42931</v>
      </c>
      <c r="D1378">
        <f>YEAR(AMAZON_FASHION_5__2[[#This Row],[reviewDate]])</f>
        <v>2017</v>
      </c>
      <c r="E1378" s="1" t="str">
        <f>TEXT(AMAZON_FASHION_5__2[[#This Row],[reviewDate]], "mmmm")</f>
        <v>July</v>
      </c>
      <c r="F1378" t="s">
        <v>708</v>
      </c>
      <c r="G1378" t="s">
        <v>1479</v>
      </c>
      <c r="H1378" t="s">
        <v>230</v>
      </c>
      <c r="I1378" t="s">
        <v>274</v>
      </c>
      <c r="J1378" t="s">
        <v>709</v>
      </c>
      <c r="K1378" t="s">
        <v>710</v>
      </c>
      <c r="L1378" t="s">
        <v>711</v>
      </c>
      <c r="M1378">
        <v>1500076800</v>
      </c>
      <c r="N1378" t="s">
        <v>1628</v>
      </c>
      <c r="O1378" t="s">
        <v>1628</v>
      </c>
      <c r="P1378" t="s">
        <v>1628</v>
      </c>
      <c r="Q1378">
        <f>LEN(AMAZON_FASHION_5__2[[#This Row],[reviewText]])</f>
        <v>130</v>
      </c>
      <c r="R1378" t="str">
        <f>IF(AMAZON_FASHION_5__2[[#This Row],[overall]]&gt;=4,"Positive",IF(AMAZON_FASHION_5__2[[#This Row],[overall]]&lt;=2,"Negative","Neutral"))</f>
        <v>Neutral</v>
      </c>
      <c r="S13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79" spans="1:19" x14ac:dyDescent="0.25">
      <c r="A1379">
        <v>5</v>
      </c>
      <c r="B1379" t="b">
        <v>1</v>
      </c>
      <c r="C1379" s="1">
        <v>42925</v>
      </c>
      <c r="D1379">
        <f>YEAR(AMAZON_FASHION_5__2[[#This Row],[reviewDate]])</f>
        <v>2017</v>
      </c>
      <c r="E1379" s="1" t="str">
        <f>TEXT(AMAZON_FASHION_5__2[[#This Row],[reviewDate]], "mmmm")</f>
        <v>July</v>
      </c>
      <c r="F1379" t="s">
        <v>712</v>
      </c>
      <c r="G1379" t="s">
        <v>1479</v>
      </c>
      <c r="H1379" t="s">
        <v>477</v>
      </c>
      <c r="I1379" t="s">
        <v>419</v>
      </c>
      <c r="J1379" t="s">
        <v>713</v>
      </c>
      <c r="K1379" t="s">
        <v>714</v>
      </c>
      <c r="L1379" t="s">
        <v>715</v>
      </c>
      <c r="M1379">
        <v>1499558400</v>
      </c>
      <c r="N1379" t="s">
        <v>1628</v>
      </c>
      <c r="O1379" t="s">
        <v>1628</v>
      </c>
      <c r="P1379" t="s">
        <v>1628</v>
      </c>
      <c r="Q1379">
        <f>LEN(AMAZON_FASHION_5__2[[#This Row],[reviewText]])</f>
        <v>112</v>
      </c>
      <c r="R1379" t="str">
        <f>IF(AMAZON_FASHION_5__2[[#This Row],[overall]]&gt;=4,"Positive",IF(AMAZON_FASHION_5__2[[#This Row],[overall]]&lt;=2,"Negative","Neutral"))</f>
        <v>Positive</v>
      </c>
      <c r="S13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80" spans="1:19" x14ac:dyDescent="0.25">
      <c r="A1380">
        <v>5</v>
      </c>
      <c r="B1380" t="b">
        <v>1</v>
      </c>
      <c r="C1380" s="1">
        <v>42924</v>
      </c>
      <c r="D1380">
        <f>YEAR(AMAZON_FASHION_5__2[[#This Row],[reviewDate]])</f>
        <v>2017</v>
      </c>
      <c r="E1380" s="1" t="str">
        <f>TEXT(AMAZON_FASHION_5__2[[#This Row],[reviewDate]], "mmmm")</f>
        <v>July</v>
      </c>
      <c r="F1380" t="s">
        <v>716</v>
      </c>
      <c r="G1380" t="s">
        <v>1479</v>
      </c>
      <c r="H1380" t="s">
        <v>717</v>
      </c>
      <c r="I1380" t="s">
        <v>336</v>
      </c>
      <c r="J1380" t="s">
        <v>718</v>
      </c>
      <c r="K1380" t="s">
        <v>719</v>
      </c>
      <c r="L1380" t="s">
        <v>720</v>
      </c>
      <c r="M1380">
        <v>1499472000</v>
      </c>
      <c r="N1380" t="s">
        <v>1628</v>
      </c>
      <c r="O1380" t="s">
        <v>1628</v>
      </c>
      <c r="P1380" t="s">
        <v>1628</v>
      </c>
      <c r="Q1380">
        <f>LEN(AMAZON_FASHION_5__2[[#This Row],[reviewText]])</f>
        <v>22</v>
      </c>
      <c r="R1380" t="str">
        <f>IF(AMAZON_FASHION_5__2[[#This Row],[overall]]&gt;=4,"Positive",IF(AMAZON_FASHION_5__2[[#This Row],[overall]]&lt;=2,"Negative","Neutral"))</f>
        <v>Positive</v>
      </c>
      <c r="S13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81" spans="1:19" x14ac:dyDescent="0.25">
      <c r="A1381">
        <v>4</v>
      </c>
      <c r="B1381" t="b">
        <v>1</v>
      </c>
      <c r="C1381" s="1">
        <v>42923</v>
      </c>
      <c r="D1381">
        <f>YEAR(AMAZON_FASHION_5__2[[#This Row],[reviewDate]])</f>
        <v>2017</v>
      </c>
      <c r="E1381" s="1" t="str">
        <f>TEXT(AMAZON_FASHION_5__2[[#This Row],[reviewDate]], "mmmm")</f>
        <v>July</v>
      </c>
      <c r="F1381" t="s">
        <v>721</v>
      </c>
      <c r="G1381" t="s">
        <v>1479</v>
      </c>
      <c r="H1381" t="s">
        <v>201</v>
      </c>
      <c r="I1381" t="s">
        <v>198</v>
      </c>
      <c r="J1381" t="s">
        <v>722</v>
      </c>
      <c r="K1381" t="s">
        <v>723</v>
      </c>
      <c r="L1381" t="s">
        <v>724</v>
      </c>
      <c r="M1381">
        <v>1499385600</v>
      </c>
      <c r="N1381" t="s">
        <v>1628</v>
      </c>
      <c r="O1381" t="s">
        <v>1628</v>
      </c>
      <c r="P1381" t="s">
        <v>1628</v>
      </c>
      <c r="Q1381">
        <f>LEN(AMAZON_FASHION_5__2[[#This Row],[reviewText]])</f>
        <v>453</v>
      </c>
      <c r="R1381" t="str">
        <f>IF(AMAZON_FASHION_5__2[[#This Row],[overall]]&gt;=4,"Positive",IF(AMAZON_FASHION_5__2[[#This Row],[overall]]&lt;=2,"Negative","Neutral"))</f>
        <v>Positive</v>
      </c>
      <c r="S13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82" spans="1:19" x14ac:dyDescent="0.25">
      <c r="A1382">
        <v>3</v>
      </c>
      <c r="B1382" t="b">
        <v>0</v>
      </c>
      <c r="C1382" s="1">
        <v>42917</v>
      </c>
      <c r="D1382">
        <f>YEAR(AMAZON_FASHION_5__2[[#This Row],[reviewDate]])</f>
        <v>2017</v>
      </c>
      <c r="E1382" s="1" t="str">
        <f>TEXT(AMAZON_FASHION_5__2[[#This Row],[reviewDate]], "mmmm")</f>
        <v>July</v>
      </c>
      <c r="F1382" t="s">
        <v>725</v>
      </c>
      <c r="G1382" t="s">
        <v>1479</v>
      </c>
      <c r="H1382" t="s">
        <v>261</v>
      </c>
      <c r="I1382" t="s">
        <v>99</v>
      </c>
      <c r="J1382" t="s">
        <v>726</v>
      </c>
      <c r="K1382" t="s">
        <v>727</v>
      </c>
      <c r="L1382" t="s">
        <v>728</v>
      </c>
      <c r="M1382">
        <v>1498867200</v>
      </c>
      <c r="N1382" t="s">
        <v>1628</v>
      </c>
      <c r="O1382" t="s">
        <v>1628</v>
      </c>
      <c r="P1382" t="s">
        <v>1628</v>
      </c>
      <c r="Q1382">
        <f>LEN(AMAZON_FASHION_5__2[[#This Row],[reviewText]])</f>
        <v>566</v>
      </c>
      <c r="R1382" t="str">
        <f>IF(AMAZON_FASHION_5__2[[#This Row],[overall]]&gt;=4,"Positive",IF(AMAZON_FASHION_5__2[[#This Row],[overall]]&lt;=2,"Negative","Neutral"))</f>
        <v>Neutral</v>
      </c>
      <c r="S13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83" spans="1:19" x14ac:dyDescent="0.25">
      <c r="A1383">
        <v>5</v>
      </c>
      <c r="B1383" t="b">
        <v>1</v>
      </c>
      <c r="C1383" s="1">
        <v>42916</v>
      </c>
      <c r="D1383">
        <f>YEAR(AMAZON_FASHION_5__2[[#This Row],[reviewDate]])</f>
        <v>2017</v>
      </c>
      <c r="E1383" s="1" t="str">
        <f>TEXT(AMAZON_FASHION_5__2[[#This Row],[reviewDate]], "mmmm")</f>
        <v>June</v>
      </c>
      <c r="F1383" t="s">
        <v>729</v>
      </c>
      <c r="G1383" t="s">
        <v>1479</v>
      </c>
      <c r="H1383" t="s">
        <v>201</v>
      </c>
      <c r="I1383" t="s">
        <v>198</v>
      </c>
      <c r="J1383" t="s">
        <v>730</v>
      </c>
      <c r="K1383" t="s">
        <v>731</v>
      </c>
      <c r="L1383" t="s">
        <v>732</v>
      </c>
      <c r="M1383">
        <v>1498780800</v>
      </c>
      <c r="N1383" t="s">
        <v>1628</v>
      </c>
      <c r="O1383" t="s">
        <v>1628</v>
      </c>
      <c r="P1383" t="s">
        <v>1628</v>
      </c>
      <c r="Q1383">
        <f>LEN(AMAZON_FASHION_5__2[[#This Row],[reviewText]])</f>
        <v>5</v>
      </c>
      <c r="R1383" t="str">
        <f>IF(AMAZON_FASHION_5__2[[#This Row],[overall]]&gt;=4,"Positive",IF(AMAZON_FASHION_5__2[[#This Row],[overall]]&lt;=2,"Negative","Neutral"))</f>
        <v>Positive</v>
      </c>
      <c r="S13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84" spans="1:19" x14ac:dyDescent="0.25">
      <c r="A1384">
        <v>5</v>
      </c>
      <c r="B1384" t="b">
        <v>1</v>
      </c>
      <c r="C1384" s="1">
        <v>42914</v>
      </c>
      <c r="D1384">
        <f>YEAR(AMAZON_FASHION_5__2[[#This Row],[reviewDate]])</f>
        <v>2017</v>
      </c>
      <c r="E1384" s="1" t="str">
        <f>TEXT(AMAZON_FASHION_5__2[[#This Row],[reviewDate]], "mmmm")</f>
        <v>June</v>
      </c>
      <c r="F1384" t="s">
        <v>733</v>
      </c>
      <c r="G1384" t="s">
        <v>1479</v>
      </c>
      <c r="H1384" t="s">
        <v>235</v>
      </c>
      <c r="I1384" t="s">
        <v>493</v>
      </c>
      <c r="J1384" t="s">
        <v>734</v>
      </c>
      <c r="K1384" t="s">
        <v>735</v>
      </c>
      <c r="L1384" t="s">
        <v>17</v>
      </c>
      <c r="M1384">
        <v>1498608000</v>
      </c>
      <c r="N1384" t="s">
        <v>1628</v>
      </c>
      <c r="O1384" t="s">
        <v>1628</v>
      </c>
      <c r="P1384" t="s">
        <v>1628</v>
      </c>
      <c r="Q1384">
        <f>LEN(AMAZON_FASHION_5__2[[#This Row],[reviewText]])</f>
        <v>18</v>
      </c>
      <c r="R1384" t="str">
        <f>IF(AMAZON_FASHION_5__2[[#This Row],[overall]]&gt;=4,"Positive",IF(AMAZON_FASHION_5__2[[#This Row],[overall]]&lt;=2,"Negative","Neutral"))</f>
        <v>Positive</v>
      </c>
      <c r="S13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85" spans="1:19" x14ac:dyDescent="0.25">
      <c r="A1385">
        <v>5</v>
      </c>
      <c r="B1385" t="b">
        <v>1</v>
      </c>
      <c r="C1385" s="1">
        <v>42912</v>
      </c>
      <c r="D1385">
        <f>YEAR(AMAZON_FASHION_5__2[[#This Row],[reviewDate]])</f>
        <v>2017</v>
      </c>
      <c r="E1385" s="1" t="str">
        <f>TEXT(AMAZON_FASHION_5__2[[#This Row],[reviewDate]], "mmmm")</f>
        <v>June</v>
      </c>
      <c r="F1385" t="s">
        <v>736</v>
      </c>
      <c r="G1385" t="s">
        <v>1479</v>
      </c>
      <c r="H1385" t="s">
        <v>201</v>
      </c>
      <c r="I1385" t="s">
        <v>524</v>
      </c>
      <c r="J1385" t="s">
        <v>737</v>
      </c>
      <c r="K1385" t="s">
        <v>738</v>
      </c>
      <c r="L1385" t="s">
        <v>17</v>
      </c>
      <c r="M1385">
        <v>1498435200</v>
      </c>
      <c r="N1385" t="s">
        <v>1628</v>
      </c>
      <c r="O1385" t="s">
        <v>1628</v>
      </c>
      <c r="P1385" t="s">
        <v>1628</v>
      </c>
      <c r="Q1385">
        <f>LEN(AMAZON_FASHION_5__2[[#This Row],[reviewText]])</f>
        <v>8</v>
      </c>
      <c r="R1385" t="str">
        <f>IF(AMAZON_FASHION_5__2[[#This Row],[overall]]&gt;=4,"Positive",IF(AMAZON_FASHION_5__2[[#This Row],[overall]]&lt;=2,"Negative","Neutral"))</f>
        <v>Positive</v>
      </c>
      <c r="S13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86" spans="1:19" x14ac:dyDescent="0.25">
      <c r="A1386">
        <v>5</v>
      </c>
      <c r="B1386" t="b">
        <v>1</v>
      </c>
      <c r="C1386" s="1">
        <v>42907</v>
      </c>
      <c r="D1386">
        <f>YEAR(AMAZON_FASHION_5__2[[#This Row],[reviewDate]])</f>
        <v>2017</v>
      </c>
      <c r="E1386" s="1" t="str">
        <f>TEXT(AMAZON_FASHION_5__2[[#This Row],[reviewDate]], "mmmm")</f>
        <v>June</v>
      </c>
      <c r="F1386" t="s">
        <v>739</v>
      </c>
      <c r="G1386" t="s">
        <v>1479</v>
      </c>
      <c r="H1386" t="s">
        <v>210</v>
      </c>
      <c r="I1386" t="s">
        <v>303</v>
      </c>
      <c r="J1386" t="s">
        <v>63</v>
      </c>
      <c r="K1386" t="s">
        <v>740</v>
      </c>
      <c r="L1386" t="s">
        <v>741</v>
      </c>
      <c r="M1386">
        <v>1498003200</v>
      </c>
      <c r="N1386" t="s">
        <v>1628</v>
      </c>
      <c r="O1386" t="s">
        <v>1628</v>
      </c>
      <c r="P1386" t="s">
        <v>1628</v>
      </c>
      <c r="Q1386">
        <f>LEN(AMAZON_FASHION_5__2[[#This Row],[reviewText]])</f>
        <v>141</v>
      </c>
      <c r="R1386" t="str">
        <f>IF(AMAZON_FASHION_5__2[[#This Row],[overall]]&gt;=4,"Positive",IF(AMAZON_FASHION_5__2[[#This Row],[overall]]&lt;=2,"Negative","Neutral"))</f>
        <v>Positive</v>
      </c>
      <c r="S13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87" spans="1:19" x14ac:dyDescent="0.25">
      <c r="A1387">
        <v>5</v>
      </c>
      <c r="B1387" t="b">
        <v>1</v>
      </c>
      <c r="C1387" s="1">
        <v>42906</v>
      </c>
      <c r="D1387">
        <f>YEAR(AMAZON_FASHION_5__2[[#This Row],[reviewDate]])</f>
        <v>2017</v>
      </c>
      <c r="E1387" s="1" t="str">
        <f>TEXT(AMAZON_FASHION_5__2[[#This Row],[reviewDate]], "mmmm")</f>
        <v>June</v>
      </c>
      <c r="F1387" t="s">
        <v>742</v>
      </c>
      <c r="G1387" t="s">
        <v>1479</v>
      </c>
      <c r="H1387" t="s">
        <v>1488</v>
      </c>
      <c r="I1387" t="s">
        <v>336</v>
      </c>
      <c r="J1387" t="s">
        <v>743</v>
      </c>
      <c r="K1387" t="s">
        <v>744</v>
      </c>
      <c r="L1387" t="s">
        <v>745</v>
      </c>
      <c r="M1387">
        <v>1497916800</v>
      </c>
      <c r="N1387" t="s">
        <v>1628</v>
      </c>
      <c r="O1387" t="s">
        <v>1628</v>
      </c>
      <c r="P1387" t="s">
        <v>1628</v>
      </c>
      <c r="Q1387">
        <f>LEN(AMAZON_FASHION_5__2[[#This Row],[reviewText]])</f>
        <v>275</v>
      </c>
      <c r="R1387" t="str">
        <f>IF(AMAZON_FASHION_5__2[[#This Row],[overall]]&gt;=4,"Positive",IF(AMAZON_FASHION_5__2[[#This Row],[overall]]&lt;=2,"Negative","Neutral"))</f>
        <v>Positive</v>
      </c>
      <c r="S13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88" spans="1:19" x14ac:dyDescent="0.25">
      <c r="A1388">
        <v>5</v>
      </c>
      <c r="B1388" t="b">
        <v>1</v>
      </c>
      <c r="C1388" s="1">
        <v>42906</v>
      </c>
      <c r="D1388">
        <f>YEAR(AMAZON_FASHION_5__2[[#This Row],[reviewDate]])</f>
        <v>2017</v>
      </c>
      <c r="E1388" s="1" t="str">
        <f>TEXT(AMAZON_FASHION_5__2[[#This Row],[reviewDate]], "mmmm")</f>
        <v>June</v>
      </c>
      <c r="F1388" t="s">
        <v>746</v>
      </c>
      <c r="G1388" t="s">
        <v>1479</v>
      </c>
      <c r="H1388" t="s">
        <v>201</v>
      </c>
      <c r="I1388" t="s">
        <v>198</v>
      </c>
      <c r="J1388" t="s">
        <v>747</v>
      </c>
      <c r="K1388" t="s">
        <v>748</v>
      </c>
      <c r="L1388" t="s">
        <v>749</v>
      </c>
      <c r="M1388">
        <v>1497916800</v>
      </c>
      <c r="N1388" t="s">
        <v>1628</v>
      </c>
      <c r="O1388" t="s">
        <v>1628</v>
      </c>
      <c r="P1388" t="s">
        <v>1628</v>
      </c>
      <c r="Q1388">
        <f>LEN(AMAZON_FASHION_5__2[[#This Row],[reviewText]])</f>
        <v>69</v>
      </c>
      <c r="R1388" t="str">
        <f>IF(AMAZON_FASHION_5__2[[#This Row],[overall]]&gt;=4,"Positive",IF(AMAZON_FASHION_5__2[[#This Row],[overall]]&lt;=2,"Negative","Neutral"))</f>
        <v>Positive</v>
      </c>
      <c r="S13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89" spans="1:19" x14ac:dyDescent="0.25">
      <c r="A1389">
        <v>4</v>
      </c>
      <c r="B1389" t="b">
        <v>1</v>
      </c>
      <c r="C1389" s="1">
        <v>42905</v>
      </c>
      <c r="D1389">
        <f>YEAR(AMAZON_FASHION_5__2[[#This Row],[reviewDate]])</f>
        <v>2017</v>
      </c>
      <c r="E1389" s="1" t="str">
        <f>TEXT(AMAZON_FASHION_5__2[[#This Row],[reviewDate]], "mmmm")</f>
        <v>June</v>
      </c>
      <c r="F1389" t="s">
        <v>750</v>
      </c>
      <c r="G1389" t="s">
        <v>1479</v>
      </c>
      <c r="H1389" t="s">
        <v>201</v>
      </c>
      <c r="I1389" t="s">
        <v>198</v>
      </c>
      <c r="J1389" t="s">
        <v>751</v>
      </c>
      <c r="K1389" t="s">
        <v>752</v>
      </c>
      <c r="L1389" t="s">
        <v>103</v>
      </c>
      <c r="M1389">
        <v>1497830400</v>
      </c>
      <c r="N1389" t="s">
        <v>1628</v>
      </c>
      <c r="O1389" t="s">
        <v>1628</v>
      </c>
      <c r="P1389" t="s">
        <v>1628</v>
      </c>
      <c r="Q1389">
        <f>LEN(AMAZON_FASHION_5__2[[#This Row],[reviewText]])</f>
        <v>12</v>
      </c>
      <c r="R1389" t="str">
        <f>IF(AMAZON_FASHION_5__2[[#This Row],[overall]]&gt;=4,"Positive",IF(AMAZON_FASHION_5__2[[#This Row],[overall]]&lt;=2,"Negative","Neutral"))</f>
        <v>Positive</v>
      </c>
      <c r="S13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90" spans="1:19" x14ac:dyDescent="0.25">
      <c r="A1390">
        <v>5</v>
      </c>
      <c r="B1390" t="b">
        <v>1</v>
      </c>
      <c r="C1390" s="1">
        <v>42905</v>
      </c>
      <c r="D1390">
        <f>YEAR(AMAZON_FASHION_5__2[[#This Row],[reviewDate]])</f>
        <v>2017</v>
      </c>
      <c r="E1390" s="1" t="str">
        <f>TEXT(AMAZON_FASHION_5__2[[#This Row],[reviewDate]], "mmmm")</f>
        <v>June</v>
      </c>
      <c r="F1390" t="s">
        <v>753</v>
      </c>
      <c r="G1390" t="s">
        <v>1479</v>
      </c>
      <c r="H1390" t="s">
        <v>284</v>
      </c>
      <c r="I1390" t="s">
        <v>198</v>
      </c>
      <c r="J1390" t="s">
        <v>754</v>
      </c>
      <c r="K1390" t="s">
        <v>755</v>
      </c>
      <c r="L1390" t="s">
        <v>756</v>
      </c>
      <c r="M1390">
        <v>1497830400</v>
      </c>
      <c r="N1390" t="s">
        <v>1628</v>
      </c>
      <c r="O1390" t="s">
        <v>1628</v>
      </c>
      <c r="P1390" t="s">
        <v>1628</v>
      </c>
      <c r="Q1390">
        <f>LEN(AMAZON_FASHION_5__2[[#This Row],[reviewText]])</f>
        <v>108</v>
      </c>
      <c r="R1390" t="str">
        <f>IF(AMAZON_FASHION_5__2[[#This Row],[overall]]&gt;=4,"Positive",IF(AMAZON_FASHION_5__2[[#This Row],[overall]]&lt;=2,"Negative","Neutral"))</f>
        <v>Positive</v>
      </c>
      <c r="S13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91" spans="1:19" x14ac:dyDescent="0.25">
      <c r="A1391">
        <v>5</v>
      </c>
      <c r="B1391" t="b">
        <v>1</v>
      </c>
      <c r="C1391" s="1">
        <v>42905</v>
      </c>
      <c r="D1391">
        <f>YEAR(AMAZON_FASHION_5__2[[#This Row],[reviewDate]])</f>
        <v>2017</v>
      </c>
      <c r="E1391" s="1" t="str">
        <f>TEXT(AMAZON_FASHION_5__2[[#This Row],[reviewDate]], "mmmm")</f>
        <v>June</v>
      </c>
      <c r="F1391" t="s">
        <v>757</v>
      </c>
      <c r="G1391" t="s">
        <v>1479</v>
      </c>
      <c r="H1391" t="s">
        <v>210</v>
      </c>
      <c r="I1391" t="s">
        <v>198</v>
      </c>
      <c r="J1391" t="s">
        <v>63</v>
      </c>
      <c r="K1391" t="s">
        <v>758</v>
      </c>
      <c r="L1391" t="s">
        <v>759</v>
      </c>
      <c r="M1391">
        <v>1497830400</v>
      </c>
      <c r="N1391" t="s">
        <v>1628</v>
      </c>
      <c r="O1391" t="s">
        <v>1628</v>
      </c>
      <c r="P1391" t="s">
        <v>1628</v>
      </c>
      <c r="Q1391">
        <f>LEN(AMAZON_FASHION_5__2[[#This Row],[reviewText]])</f>
        <v>76</v>
      </c>
      <c r="R1391" t="str">
        <f>IF(AMAZON_FASHION_5__2[[#This Row],[overall]]&gt;=4,"Positive",IF(AMAZON_FASHION_5__2[[#This Row],[overall]]&lt;=2,"Negative","Neutral"))</f>
        <v>Positive</v>
      </c>
      <c r="S13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92" spans="1:19" x14ac:dyDescent="0.25">
      <c r="A1392">
        <v>3</v>
      </c>
      <c r="B1392" t="b">
        <v>1</v>
      </c>
      <c r="C1392" s="1">
        <v>42902</v>
      </c>
      <c r="D1392">
        <f>YEAR(AMAZON_FASHION_5__2[[#This Row],[reviewDate]])</f>
        <v>2017</v>
      </c>
      <c r="E1392" s="1" t="str">
        <f>TEXT(AMAZON_FASHION_5__2[[#This Row],[reviewDate]], "mmmm")</f>
        <v>June</v>
      </c>
      <c r="F1392" t="s">
        <v>760</v>
      </c>
      <c r="G1392" t="s">
        <v>1479</v>
      </c>
      <c r="H1392" t="s">
        <v>205</v>
      </c>
      <c r="I1392" t="s">
        <v>198</v>
      </c>
      <c r="J1392" t="s">
        <v>761</v>
      </c>
      <c r="K1392" t="s">
        <v>762</v>
      </c>
      <c r="L1392" t="s">
        <v>763</v>
      </c>
      <c r="M1392">
        <v>1497571200</v>
      </c>
      <c r="N1392" t="s">
        <v>1628</v>
      </c>
      <c r="O1392" t="s">
        <v>1628</v>
      </c>
      <c r="P1392" t="s">
        <v>1628</v>
      </c>
      <c r="Q1392">
        <f>LEN(AMAZON_FASHION_5__2[[#This Row],[reviewText]])</f>
        <v>468</v>
      </c>
      <c r="R1392" t="str">
        <f>IF(AMAZON_FASHION_5__2[[#This Row],[overall]]&gt;=4,"Positive",IF(AMAZON_FASHION_5__2[[#This Row],[overall]]&lt;=2,"Negative","Neutral"))</f>
        <v>Neutral</v>
      </c>
      <c r="S13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93" spans="1:19" x14ac:dyDescent="0.25">
      <c r="A1393">
        <v>5</v>
      </c>
      <c r="B1393" t="b">
        <v>1</v>
      </c>
      <c r="C1393" s="1">
        <v>42901</v>
      </c>
      <c r="D1393">
        <f>YEAR(AMAZON_FASHION_5__2[[#This Row],[reviewDate]])</f>
        <v>2017</v>
      </c>
      <c r="E1393" s="1" t="str">
        <f>TEXT(AMAZON_FASHION_5__2[[#This Row],[reviewDate]], "mmmm")</f>
        <v>June</v>
      </c>
      <c r="F1393" t="s">
        <v>764</v>
      </c>
      <c r="G1393" t="s">
        <v>1479</v>
      </c>
      <c r="H1393" t="s">
        <v>235</v>
      </c>
      <c r="I1393" t="s">
        <v>198</v>
      </c>
      <c r="J1393" t="s">
        <v>765</v>
      </c>
      <c r="K1393" t="s">
        <v>766</v>
      </c>
      <c r="L1393" t="s">
        <v>767</v>
      </c>
      <c r="M1393">
        <v>1497484800</v>
      </c>
      <c r="N1393" t="s">
        <v>1628</v>
      </c>
      <c r="O1393" t="s">
        <v>1628</v>
      </c>
      <c r="P1393" t="s">
        <v>1628</v>
      </c>
      <c r="Q1393">
        <f>LEN(AMAZON_FASHION_5__2[[#This Row],[reviewText]])</f>
        <v>125</v>
      </c>
      <c r="R1393" t="str">
        <f>IF(AMAZON_FASHION_5__2[[#This Row],[overall]]&gt;=4,"Positive",IF(AMAZON_FASHION_5__2[[#This Row],[overall]]&lt;=2,"Negative","Neutral"))</f>
        <v>Positive</v>
      </c>
      <c r="S13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94" spans="1:19" x14ac:dyDescent="0.25">
      <c r="A1394">
        <v>5</v>
      </c>
      <c r="B1394" t="b">
        <v>1</v>
      </c>
      <c r="C1394" s="1">
        <v>42901</v>
      </c>
      <c r="D1394">
        <f>YEAR(AMAZON_FASHION_5__2[[#This Row],[reviewDate]])</f>
        <v>2017</v>
      </c>
      <c r="E1394" s="1" t="str">
        <f>TEXT(AMAZON_FASHION_5__2[[#This Row],[reviewDate]], "mmmm")</f>
        <v>June</v>
      </c>
      <c r="F1394" t="s">
        <v>768</v>
      </c>
      <c r="G1394" t="s">
        <v>1479</v>
      </c>
      <c r="H1394" t="s">
        <v>210</v>
      </c>
      <c r="I1394" t="s">
        <v>419</v>
      </c>
      <c r="J1394" t="s">
        <v>769</v>
      </c>
      <c r="K1394" t="s">
        <v>770</v>
      </c>
      <c r="L1394" t="s">
        <v>17</v>
      </c>
      <c r="M1394">
        <v>1497484800</v>
      </c>
      <c r="N1394" t="s">
        <v>1628</v>
      </c>
      <c r="O1394" t="s">
        <v>1628</v>
      </c>
      <c r="P1394" t="s">
        <v>1628</v>
      </c>
      <c r="Q1394">
        <f>LEN(AMAZON_FASHION_5__2[[#This Row],[reviewText]])</f>
        <v>56</v>
      </c>
      <c r="R1394" t="str">
        <f>IF(AMAZON_FASHION_5__2[[#This Row],[overall]]&gt;=4,"Positive",IF(AMAZON_FASHION_5__2[[#This Row],[overall]]&lt;=2,"Negative","Neutral"))</f>
        <v>Positive</v>
      </c>
      <c r="S13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95" spans="1:19" x14ac:dyDescent="0.25">
      <c r="A1395">
        <v>5</v>
      </c>
      <c r="B1395" t="b">
        <v>1</v>
      </c>
      <c r="C1395" s="1">
        <v>42900</v>
      </c>
      <c r="D1395">
        <f>YEAR(AMAZON_FASHION_5__2[[#This Row],[reviewDate]])</f>
        <v>2017</v>
      </c>
      <c r="E1395" s="1" t="str">
        <f>TEXT(AMAZON_FASHION_5__2[[#This Row],[reviewDate]], "mmmm")</f>
        <v>June</v>
      </c>
      <c r="F1395" t="s">
        <v>771</v>
      </c>
      <c r="G1395" t="s">
        <v>1479</v>
      </c>
      <c r="H1395" t="s">
        <v>201</v>
      </c>
      <c r="I1395" t="s">
        <v>211</v>
      </c>
      <c r="J1395" t="s">
        <v>63</v>
      </c>
      <c r="K1395" t="s">
        <v>772</v>
      </c>
      <c r="L1395" t="s">
        <v>17</v>
      </c>
      <c r="M1395">
        <v>1497398400</v>
      </c>
      <c r="N1395" t="s">
        <v>1628</v>
      </c>
      <c r="O1395" t="s">
        <v>1628</v>
      </c>
      <c r="P1395" t="s">
        <v>1628</v>
      </c>
      <c r="Q1395">
        <f>LEN(AMAZON_FASHION_5__2[[#This Row],[reviewText]])</f>
        <v>21</v>
      </c>
      <c r="R1395" t="str">
        <f>IF(AMAZON_FASHION_5__2[[#This Row],[overall]]&gt;=4,"Positive",IF(AMAZON_FASHION_5__2[[#This Row],[overall]]&lt;=2,"Negative","Neutral"))</f>
        <v>Positive</v>
      </c>
      <c r="S13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96" spans="1:19" x14ac:dyDescent="0.25">
      <c r="A1396">
        <v>5</v>
      </c>
      <c r="B1396" t="b">
        <v>1</v>
      </c>
      <c r="C1396" s="1">
        <v>42899</v>
      </c>
      <c r="D1396">
        <f>YEAR(AMAZON_FASHION_5__2[[#This Row],[reviewDate]])</f>
        <v>2017</v>
      </c>
      <c r="E1396" s="1" t="str">
        <f>TEXT(AMAZON_FASHION_5__2[[#This Row],[reviewDate]], "mmmm")</f>
        <v>June</v>
      </c>
      <c r="F1396" t="s">
        <v>773</v>
      </c>
      <c r="G1396" t="s">
        <v>1479</v>
      </c>
      <c r="H1396" t="s">
        <v>235</v>
      </c>
      <c r="I1396" t="s">
        <v>493</v>
      </c>
      <c r="J1396" t="s">
        <v>774</v>
      </c>
      <c r="K1396" t="s">
        <v>775</v>
      </c>
      <c r="L1396" t="s">
        <v>17</v>
      </c>
      <c r="M1396">
        <v>1497312000</v>
      </c>
      <c r="N1396" t="s">
        <v>1628</v>
      </c>
      <c r="O1396" t="s">
        <v>1628</v>
      </c>
      <c r="P1396" t="s">
        <v>1628</v>
      </c>
      <c r="Q1396">
        <f>LEN(AMAZON_FASHION_5__2[[#This Row],[reviewText]])</f>
        <v>64</v>
      </c>
      <c r="R1396" t="str">
        <f>IF(AMAZON_FASHION_5__2[[#This Row],[overall]]&gt;=4,"Positive",IF(AMAZON_FASHION_5__2[[#This Row],[overall]]&lt;=2,"Negative","Neutral"))</f>
        <v>Positive</v>
      </c>
      <c r="S13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97" spans="1:19" x14ac:dyDescent="0.25">
      <c r="A1397">
        <v>5</v>
      </c>
      <c r="B1397" t="b">
        <v>1</v>
      </c>
      <c r="C1397" s="1">
        <v>42894</v>
      </c>
      <c r="D1397">
        <f>YEAR(AMAZON_FASHION_5__2[[#This Row],[reviewDate]])</f>
        <v>2017</v>
      </c>
      <c r="E1397" s="1" t="str">
        <f>TEXT(AMAZON_FASHION_5__2[[#This Row],[reviewDate]], "mmmm")</f>
        <v>June</v>
      </c>
      <c r="F1397" t="s">
        <v>776</v>
      </c>
      <c r="G1397" t="s">
        <v>1479</v>
      </c>
      <c r="H1397" t="s">
        <v>235</v>
      </c>
      <c r="I1397" t="s">
        <v>303</v>
      </c>
      <c r="J1397" t="s">
        <v>777</v>
      </c>
      <c r="K1397" t="s">
        <v>778</v>
      </c>
      <c r="L1397" t="s">
        <v>17</v>
      </c>
      <c r="M1397">
        <v>1496880000</v>
      </c>
      <c r="N1397" t="s">
        <v>1628</v>
      </c>
      <c r="O1397" t="s">
        <v>1628</v>
      </c>
      <c r="P1397" t="s">
        <v>1628</v>
      </c>
      <c r="Q1397">
        <f>LEN(AMAZON_FASHION_5__2[[#This Row],[reviewText]])</f>
        <v>27</v>
      </c>
      <c r="R1397" t="str">
        <f>IF(AMAZON_FASHION_5__2[[#This Row],[overall]]&gt;=4,"Positive",IF(AMAZON_FASHION_5__2[[#This Row],[overall]]&lt;=2,"Negative","Neutral"))</f>
        <v>Positive</v>
      </c>
      <c r="S13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98" spans="1:19" x14ac:dyDescent="0.25">
      <c r="A1398">
        <v>1</v>
      </c>
      <c r="B1398" t="b">
        <v>1</v>
      </c>
      <c r="C1398" s="1">
        <v>42891</v>
      </c>
      <c r="D1398">
        <f>YEAR(AMAZON_FASHION_5__2[[#This Row],[reviewDate]])</f>
        <v>2017</v>
      </c>
      <c r="E1398" s="1" t="str">
        <f>TEXT(AMAZON_FASHION_5__2[[#This Row],[reviewDate]], "mmmm")</f>
        <v>June</v>
      </c>
      <c r="F1398" t="s">
        <v>779</v>
      </c>
      <c r="G1398" t="s">
        <v>1479</v>
      </c>
      <c r="H1398" t="s">
        <v>1477</v>
      </c>
      <c r="I1398" t="s">
        <v>336</v>
      </c>
      <c r="J1398" t="s">
        <v>780</v>
      </c>
      <c r="K1398" t="s">
        <v>781</v>
      </c>
      <c r="L1398" t="s">
        <v>782</v>
      </c>
      <c r="M1398">
        <v>1496620800</v>
      </c>
      <c r="N1398" t="s">
        <v>1628</v>
      </c>
      <c r="O1398" t="s">
        <v>1628</v>
      </c>
      <c r="P1398" t="s">
        <v>1628</v>
      </c>
      <c r="Q1398">
        <f>LEN(AMAZON_FASHION_5__2[[#This Row],[reviewText]])</f>
        <v>75</v>
      </c>
      <c r="R1398" t="str">
        <f>IF(AMAZON_FASHION_5__2[[#This Row],[overall]]&gt;=4,"Positive",IF(AMAZON_FASHION_5__2[[#This Row],[overall]]&lt;=2,"Negative","Neutral"))</f>
        <v>Negative</v>
      </c>
      <c r="S13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399" spans="1:19" x14ac:dyDescent="0.25">
      <c r="A1399">
        <v>5</v>
      </c>
      <c r="B1399" t="b">
        <v>1</v>
      </c>
      <c r="C1399" s="1">
        <v>42888</v>
      </c>
      <c r="D1399">
        <f>YEAR(AMAZON_FASHION_5__2[[#This Row],[reviewDate]])</f>
        <v>2017</v>
      </c>
      <c r="E1399" s="1" t="str">
        <f>TEXT(AMAZON_FASHION_5__2[[#This Row],[reviewDate]], "mmmm")</f>
        <v>June</v>
      </c>
      <c r="F1399" t="s">
        <v>783</v>
      </c>
      <c r="G1399" t="s">
        <v>1479</v>
      </c>
      <c r="H1399" t="s">
        <v>230</v>
      </c>
      <c r="I1399" t="s">
        <v>198</v>
      </c>
      <c r="J1399" t="s">
        <v>784</v>
      </c>
      <c r="K1399" t="s">
        <v>785</v>
      </c>
      <c r="L1399" t="s">
        <v>17</v>
      </c>
      <c r="M1399">
        <v>1496361600</v>
      </c>
      <c r="N1399" t="s">
        <v>1628</v>
      </c>
      <c r="O1399" t="s">
        <v>1628</v>
      </c>
      <c r="P1399" t="s">
        <v>1628</v>
      </c>
      <c r="Q1399">
        <f>LEN(AMAZON_FASHION_5__2[[#This Row],[reviewText]])</f>
        <v>91</v>
      </c>
      <c r="R1399" t="str">
        <f>IF(AMAZON_FASHION_5__2[[#This Row],[overall]]&gt;=4,"Positive",IF(AMAZON_FASHION_5__2[[#This Row],[overall]]&lt;=2,"Negative","Neutral"))</f>
        <v>Positive</v>
      </c>
      <c r="S13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00" spans="1:19" x14ac:dyDescent="0.25">
      <c r="A1400">
        <v>5</v>
      </c>
      <c r="B1400" t="b">
        <v>1</v>
      </c>
      <c r="C1400" s="1">
        <v>42885</v>
      </c>
      <c r="D1400">
        <f>YEAR(AMAZON_FASHION_5__2[[#This Row],[reviewDate]])</f>
        <v>2017</v>
      </c>
      <c r="E1400" s="1" t="str">
        <f>TEXT(AMAZON_FASHION_5__2[[#This Row],[reviewDate]], "mmmm")</f>
        <v>May</v>
      </c>
      <c r="F1400" t="s">
        <v>786</v>
      </c>
      <c r="G1400" t="s">
        <v>1479</v>
      </c>
      <c r="H1400" t="s">
        <v>197</v>
      </c>
      <c r="I1400" t="s">
        <v>198</v>
      </c>
      <c r="J1400" t="s">
        <v>787</v>
      </c>
      <c r="K1400" t="s">
        <v>543</v>
      </c>
      <c r="L1400" t="s">
        <v>17</v>
      </c>
      <c r="M1400">
        <v>1496102400</v>
      </c>
      <c r="N1400" t="s">
        <v>1628</v>
      </c>
      <c r="O1400" t="s">
        <v>1628</v>
      </c>
      <c r="P1400" t="s">
        <v>1628</v>
      </c>
      <c r="Q1400">
        <f>LEN(AMAZON_FASHION_5__2[[#This Row],[reviewText]])</f>
        <v>11</v>
      </c>
      <c r="R1400" t="str">
        <f>IF(AMAZON_FASHION_5__2[[#This Row],[overall]]&gt;=4,"Positive",IF(AMAZON_FASHION_5__2[[#This Row],[overall]]&lt;=2,"Negative","Neutral"))</f>
        <v>Positive</v>
      </c>
      <c r="S14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01" spans="1:19" x14ac:dyDescent="0.25">
      <c r="A1401">
        <v>5</v>
      </c>
      <c r="B1401" t="b">
        <v>1</v>
      </c>
      <c r="C1401" s="1">
        <v>42885</v>
      </c>
      <c r="D1401">
        <f>YEAR(AMAZON_FASHION_5__2[[#This Row],[reviewDate]])</f>
        <v>2017</v>
      </c>
      <c r="E1401" s="1" t="str">
        <f>TEXT(AMAZON_FASHION_5__2[[#This Row],[reviewDate]], "mmmm")</f>
        <v>May</v>
      </c>
      <c r="F1401" t="s">
        <v>788</v>
      </c>
      <c r="G1401" t="s">
        <v>1479</v>
      </c>
      <c r="H1401" t="s">
        <v>477</v>
      </c>
      <c r="I1401" t="s">
        <v>344</v>
      </c>
      <c r="J1401" t="s">
        <v>789</v>
      </c>
      <c r="K1401" t="s">
        <v>790</v>
      </c>
      <c r="L1401" t="s">
        <v>791</v>
      </c>
      <c r="M1401">
        <v>1496102400</v>
      </c>
      <c r="N1401" t="s">
        <v>1628</v>
      </c>
      <c r="O1401" t="s">
        <v>1628</v>
      </c>
      <c r="P1401" t="s">
        <v>1628</v>
      </c>
      <c r="Q1401">
        <f>LEN(AMAZON_FASHION_5__2[[#This Row],[reviewText]])</f>
        <v>61</v>
      </c>
      <c r="R1401" t="str">
        <f>IF(AMAZON_FASHION_5__2[[#This Row],[overall]]&gt;=4,"Positive",IF(AMAZON_FASHION_5__2[[#This Row],[overall]]&lt;=2,"Negative","Neutral"))</f>
        <v>Positive</v>
      </c>
      <c r="S14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02" spans="1:19" x14ac:dyDescent="0.25">
      <c r="A1402">
        <v>4</v>
      </c>
      <c r="B1402" t="b">
        <v>1</v>
      </c>
      <c r="C1402" s="1">
        <v>42884</v>
      </c>
      <c r="D1402">
        <f>YEAR(AMAZON_FASHION_5__2[[#This Row],[reviewDate]])</f>
        <v>2017</v>
      </c>
      <c r="E1402" s="1" t="str">
        <f>TEXT(AMAZON_FASHION_5__2[[#This Row],[reviewDate]], "mmmm")</f>
        <v>May</v>
      </c>
      <c r="F1402" t="s">
        <v>792</v>
      </c>
      <c r="G1402" t="s">
        <v>1479</v>
      </c>
      <c r="H1402" t="s">
        <v>1488</v>
      </c>
      <c r="I1402" t="s">
        <v>336</v>
      </c>
      <c r="J1402" t="s">
        <v>793</v>
      </c>
      <c r="K1402" t="s">
        <v>794</v>
      </c>
      <c r="L1402" t="s">
        <v>795</v>
      </c>
      <c r="M1402">
        <v>1496016000</v>
      </c>
      <c r="N1402" t="s">
        <v>1628</v>
      </c>
      <c r="O1402" t="s">
        <v>1628</v>
      </c>
      <c r="P1402" t="s">
        <v>1628</v>
      </c>
      <c r="Q1402">
        <f>LEN(AMAZON_FASHION_5__2[[#This Row],[reviewText]])</f>
        <v>65</v>
      </c>
      <c r="R1402" t="str">
        <f>IF(AMAZON_FASHION_5__2[[#This Row],[overall]]&gt;=4,"Positive",IF(AMAZON_FASHION_5__2[[#This Row],[overall]]&lt;=2,"Negative","Neutral"))</f>
        <v>Positive</v>
      </c>
      <c r="S14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03" spans="1:19" x14ac:dyDescent="0.25">
      <c r="A1403">
        <v>3</v>
      </c>
      <c r="B1403" t="b">
        <v>1</v>
      </c>
      <c r="C1403" s="1">
        <v>42880</v>
      </c>
      <c r="D1403">
        <f>YEAR(AMAZON_FASHION_5__2[[#This Row],[reviewDate]])</f>
        <v>2017</v>
      </c>
      <c r="E1403" s="1" t="str">
        <f>TEXT(AMAZON_FASHION_5__2[[#This Row],[reviewDate]], "mmmm")</f>
        <v>May</v>
      </c>
      <c r="F1403" t="s">
        <v>796</v>
      </c>
      <c r="G1403" t="s">
        <v>1479</v>
      </c>
      <c r="H1403" t="s">
        <v>477</v>
      </c>
      <c r="I1403" t="s">
        <v>198</v>
      </c>
      <c r="J1403" t="s">
        <v>797</v>
      </c>
      <c r="K1403" t="s">
        <v>798</v>
      </c>
      <c r="L1403" t="s">
        <v>799</v>
      </c>
      <c r="M1403">
        <v>1495670400</v>
      </c>
      <c r="N1403" t="s">
        <v>1628</v>
      </c>
      <c r="O1403" t="s">
        <v>1628</v>
      </c>
      <c r="P1403" t="s">
        <v>1628</v>
      </c>
      <c r="Q1403">
        <f>LEN(AMAZON_FASHION_5__2[[#This Row],[reviewText]])</f>
        <v>40</v>
      </c>
      <c r="R1403" t="str">
        <f>IF(AMAZON_FASHION_5__2[[#This Row],[overall]]&gt;=4,"Positive",IF(AMAZON_FASHION_5__2[[#This Row],[overall]]&lt;=2,"Negative","Neutral"))</f>
        <v>Neutral</v>
      </c>
      <c r="S14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04" spans="1:19" x14ac:dyDescent="0.25">
      <c r="A1404">
        <v>5</v>
      </c>
      <c r="B1404" t="b">
        <v>1</v>
      </c>
      <c r="C1404" s="1">
        <v>42877</v>
      </c>
      <c r="D1404">
        <f>YEAR(AMAZON_FASHION_5__2[[#This Row],[reviewDate]])</f>
        <v>2017</v>
      </c>
      <c r="E1404" s="1" t="str">
        <f>TEXT(AMAZON_FASHION_5__2[[#This Row],[reviewDate]], "mmmm")</f>
        <v>May</v>
      </c>
      <c r="F1404" t="s">
        <v>800</v>
      </c>
      <c r="G1404" t="s">
        <v>1479</v>
      </c>
      <c r="H1404" t="s">
        <v>230</v>
      </c>
      <c r="I1404" t="s">
        <v>198</v>
      </c>
      <c r="J1404" t="s">
        <v>801</v>
      </c>
      <c r="K1404" t="s">
        <v>802</v>
      </c>
      <c r="L1404" t="s">
        <v>803</v>
      </c>
      <c r="M1404">
        <v>1495411200</v>
      </c>
      <c r="N1404" t="s">
        <v>1628</v>
      </c>
      <c r="O1404" t="s">
        <v>1628</v>
      </c>
      <c r="P1404" t="s">
        <v>1628</v>
      </c>
      <c r="Q1404">
        <f>LEN(AMAZON_FASHION_5__2[[#This Row],[reviewText]])</f>
        <v>45</v>
      </c>
      <c r="R1404" t="str">
        <f>IF(AMAZON_FASHION_5__2[[#This Row],[overall]]&gt;=4,"Positive",IF(AMAZON_FASHION_5__2[[#This Row],[overall]]&lt;=2,"Negative","Neutral"))</f>
        <v>Positive</v>
      </c>
      <c r="S14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05" spans="1:19" x14ac:dyDescent="0.25">
      <c r="A1405">
        <v>5</v>
      </c>
      <c r="B1405" t="b">
        <v>1</v>
      </c>
      <c r="C1405" s="1">
        <v>42877</v>
      </c>
      <c r="D1405">
        <f>YEAR(AMAZON_FASHION_5__2[[#This Row],[reviewDate]])</f>
        <v>2017</v>
      </c>
      <c r="E1405" s="1" t="str">
        <f>TEXT(AMAZON_FASHION_5__2[[#This Row],[reviewDate]], "mmmm")</f>
        <v>May</v>
      </c>
      <c r="F1405" t="s">
        <v>804</v>
      </c>
      <c r="G1405" t="s">
        <v>1479</v>
      </c>
      <c r="H1405" t="s">
        <v>210</v>
      </c>
      <c r="I1405" t="s">
        <v>198</v>
      </c>
      <c r="J1405" t="s">
        <v>805</v>
      </c>
      <c r="K1405" t="s">
        <v>806</v>
      </c>
      <c r="L1405" t="s">
        <v>807</v>
      </c>
      <c r="M1405">
        <v>1495411200</v>
      </c>
      <c r="N1405" t="s">
        <v>1628</v>
      </c>
      <c r="O1405" t="s">
        <v>1628</v>
      </c>
      <c r="P1405" t="s">
        <v>1628</v>
      </c>
      <c r="Q1405">
        <f>LEN(AMAZON_FASHION_5__2[[#This Row],[reviewText]])</f>
        <v>86</v>
      </c>
      <c r="R1405" t="str">
        <f>IF(AMAZON_FASHION_5__2[[#This Row],[overall]]&gt;=4,"Positive",IF(AMAZON_FASHION_5__2[[#This Row],[overall]]&lt;=2,"Negative","Neutral"))</f>
        <v>Positive</v>
      </c>
      <c r="S14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06" spans="1:19" x14ac:dyDescent="0.25">
      <c r="A1406">
        <v>5</v>
      </c>
      <c r="B1406" t="b">
        <v>0</v>
      </c>
      <c r="C1406" s="1">
        <v>42874</v>
      </c>
      <c r="D1406">
        <f>YEAR(AMAZON_FASHION_5__2[[#This Row],[reviewDate]])</f>
        <v>2017</v>
      </c>
      <c r="E1406" s="1" t="str">
        <f>TEXT(AMAZON_FASHION_5__2[[#This Row],[reviewDate]], "mmmm")</f>
        <v>May</v>
      </c>
      <c r="F1406" t="s">
        <v>808</v>
      </c>
      <c r="G1406" t="s">
        <v>1479</v>
      </c>
      <c r="H1406" t="s">
        <v>1489</v>
      </c>
      <c r="I1406" t="s">
        <v>336</v>
      </c>
      <c r="J1406" t="s">
        <v>810</v>
      </c>
      <c r="K1406" t="s">
        <v>811</v>
      </c>
      <c r="L1406" t="s">
        <v>812</v>
      </c>
      <c r="M1406">
        <v>1495152000</v>
      </c>
      <c r="N1406" t="s">
        <v>1628</v>
      </c>
      <c r="O1406" t="s">
        <v>1628</v>
      </c>
      <c r="P1406">
        <v>2</v>
      </c>
      <c r="Q1406">
        <f>LEN(AMAZON_FASHION_5__2[[#This Row],[reviewText]])</f>
        <v>109</v>
      </c>
      <c r="R1406" t="str">
        <f>IF(AMAZON_FASHION_5__2[[#This Row],[overall]]&gt;=4,"Positive",IF(AMAZON_FASHION_5__2[[#This Row],[overall]]&lt;=2,"Negative","Neutral"))</f>
        <v>Positive</v>
      </c>
      <c r="S14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07" spans="1:19" x14ac:dyDescent="0.25">
      <c r="A1407">
        <v>5</v>
      </c>
      <c r="B1407" t="b">
        <v>0</v>
      </c>
      <c r="C1407" s="1">
        <v>42874</v>
      </c>
      <c r="D1407">
        <f>YEAR(AMAZON_FASHION_5__2[[#This Row],[reviewDate]])</f>
        <v>2017</v>
      </c>
      <c r="E1407" s="1" t="str">
        <f>TEXT(AMAZON_FASHION_5__2[[#This Row],[reviewDate]], "mmmm")</f>
        <v>May</v>
      </c>
      <c r="F1407" t="s">
        <v>808</v>
      </c>
      <c r="G1407" t="s">
        <v>1479</v>
      </c>
      <c r="H1407" t="s">
        <v>477</v>
      </c>
      <c r="I1407" t="s">
        <v>396</v>
      </c>
      <c r="J1407" t="s">
        <v>810</v>
      </c>
      <c r="K1407" t="s">
        <v>813</v>
      </c>
      <c r="L1407" t="s">
        <v>814</v>
      </c>
      <c r="M1407">
        <v>1495152000</v>
      </c>
      <c r="N1407" t="s">
        <v>1628</v>
      </c>
      <c r="O1407" t="s">
        <v>1628</v>
      </c>
      <c r="P1407">
        <v>4</v>
      </c>
      <c r="Q1407">
        <f>LEN(AMAZON_FASHION_5__2[[#This Row],[reviewText]])</f>
        <v>274</v>
      </c>
      <c r="R1407" t="str">
        <f>IF(AMAZON_FASHION_5__2[[#This Row],[overall]]&gt;=4,"Positive",IF(AMAZON_FASHION_5__2[[#This Row],[overall]]&lt;=2,"Negative","Neutral"))</f>
        <v>Positive</v>
      </c>
      <c r="S14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08" spans="1:19" x14ac:dyDescent="0.25">
      <c r="A1408">
        <v>4</v>
      </c>
      <c r="B1408" t="b">
        <v>1</v>
      </c>
      <c r="C1408" s="1">
        <v>42873</v>
      </c>
      <c r="D1408">
        <f>YEAR(AMAZON_FASHION_5__2[[#This Row],[reviewDate]])</f>
        <v>2017</v>
      </c>
      <c r="E1408" s="1" t="str">
        <f>TEXT(AMAZON_FASHION_5__2[[#This Row],[reviewDate]], "mmmm")</f>
        <v>May</v>
      </c>
      <c r="F1408" t="s">
        <v>815</v>
      </c>
      <c r="G1408" t="s">
        <v>1479</v>
      </c>
      <c r="H1408" t="s">
        <v>201</v>
      </c>
      <c r="I1408" t="s">
        <v>198</v>
      </c>
      <c r="J1408" t="s">
        <v>816</v>
      </c>
      <c r="K1408" t="s">
        <v>817</v>
      </c>
      <c r="L1408" t="s">
        <v>818</v>
      </c>
      <c r="M1408">
        <v>1495065600</v>
      </c>
      <c r="N1408" t="s">
        <v>1628</v>
      </c>
      <c r="O1408" t="s">
        <v>1628</v>
      </c>
      <c r="P1408" t="s">
        <v>1628</v>
      </c>
      <c r="Q1408">
        <f>LEN(AMAZON_FASHION_5__2[[#This Row],[reviewText]])</f>
        <v>20</v>
      </c>
      <c r="R1408" t="str">
        <f>IF(AMAZON_FASHION_5__2[[#This Row],[overall]]&gt;=4,"Positive",IF(AMAZON_FASHION_5__2[[#This Row],[overall]]&lt;=2,"Negative","Neutral"))</f>
        <v>Positive</v>
      </c>
      <c r="S14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09" spans="1:19" x14ac:dyDescent="0.25">
      <c r="A1409">
        <v>4</v>
      </c>
      <c r="B1409" t="b">
        <v>1</v>
      </c>
      <c r="C1409" s="1">
        <v>42870</v>
      </c>
      <c r="D1409">
        <f>YEAR(AMAZON_FASHION_5__2[[#This Row],[reviewDate]])</f>
        <v>2017</v>
      </c>
      <c r="E1409" s="1" t="str">
        <f>TEXT(AMAZON_FASHION_5__2[[#This Row],[reviewDate]], "mmmm")</f>
        <v>May</v>
      </c>
      <c r="F1409" t="s">
        <v>819</v>
      </c>
      <c r="G1409" t="s">
        <v>1479</v>
      </c>
      <c r="H1409" t="s">
        <v>201</v>
      </c>
      <c r="I1409" t="s">
        <v>524</v>
      </c>
      <c r="J1409" t="s">
        <v>820</v>
      </c>
      <c r="K1409" t="s">
        <v>821</v>
      </c>
      <c r="L1409" t="s">
        <v>103</v>
      </c>
      <c r="M1409">
        <v>1494806400</v>
      </c>
      <c r="N1409" t="s">
        <v>1628</v>
      </c>
      <c r="O1409" t="s">
        <v>1628</v>
      </c>
      <c r="P1409" t="s">
        <v>1628</v>
      </c>
      <c r="Q1409">
        <f>LEN(AMAZON_FASHION_5__2[[#This Row],[reviewText]])</f>
        <v>40</v>
      </c>
      <c r="R1409" t="str">
        <f>IF(AMAZON_FASHION_5__2[[#This Row],[overall]]&gt;=4,"Positive",IF(AMAZON_FASHION_5__2[[#This Row],[overall]]&lt;=2,"Negative","Neutral"))</f>
        <v>Positive</v>
      </c>
      <c r="S14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10" spans="1:19" x14ac:dyDescent="0.25">
      <c r="A1410">
        <v>3</v>
      </c>
      <c r="B1410" t="b">
        <v>1</v>
      </c>
      <c r="C1410" s="1">
        <v>42865</v>
      </c>
      <c r="D1410">
        <f>YEAR(AMAZON_FASHION_5__2[[#This Row],[reviewDate]])</f>
        <v>2017</v>
      </c>
      <c r="E1410" s="1" t="str">
        <f>TEXT(AMAZON_FASHION_5__2[[#This Row],[reviewDate]], "mmmm")</f>
        <v>May</v>
      </c>
      <c r="F1410" t="s">
        <v>822</v>
      </c>
      <c r="G1410" t="s">
        <v>1479</v>
      </c>
      <c r="H1410" t="s">
        <v>210</v>
      </c>
      <c r="I1410" t="s">
        <v>198</v>
      </c>
      <c r="J1410" t="s">
        <v>823</v>
      </c>
      <c r="K1410" t="s">
        <v>824</v>
      </c>
      <c r="L1410" t="s">
        <v>825</v>
      </c>
      <c r="M1410">
        <v>1494374400</v>
      </c>
      <c r="N1410" t="s">
        <v>1628</v>
      </c>
      <c r="O1410" t="s">
        <v>1628</v>
      </c>
      <c r="P1410" t="s">
        <v>1628</v>
      </c>
      <c r="Q1410">
        <f>LEN(AMAZON_FASHION_5__2[[#This Row],[reviewText]])</f>
        <v>170</v>
      </c>
      <c r="R1410" t="str">
        <f>IF(AMAZON_FASHION_5__2[[#This Row],[overall]]&gt;=4,"Positive",IF(AMAZON_FASHION_5__2[[#This Row],[overall]]&lt;=2,"Negative","Neutral"))</f>
        <v>Neutral</v>
      </c>
      <c r="S14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11" spans="1:19" x14ac:dyDescent="0.25">
      <c r="A1411">
        <v>5</v>
      </c>
      <c r="B1411" t="b">
        <v>1</v>
      </c>
      <c r="C1411" s="1">
        <v>42862</v>
      </c>
      <c r="D1411">
        <f>YEAR(AMAZON_FASHION_5__2[[#This Row],[reviewDate]])</f>
        <v>2017</v>
      </c>
      <c r="E1411" s="1" t="str">
        <f>TEXT(AMAZON_FASHION_5__2[[#This Row],[reviewDate]], "mmmm")</f>
        <v>May</v>
      </c>
      <c r="F1411" t="s">
        <v>826</v>
      </c>
      <c r="G1411" t="s">
        <v>1479</v>
      </c>
      <c r="H1411" t="s">
        <v>320</v>
      </c>
      <c r="I1411" t="s">
        <v>827</v>
      </c>
      <c r="J1411" t="s">
        <v>828</v>
      </c>
      <c r="K1411" t="s">
        <v>829</v>
      </c>
      <c r="L1411" t="s">
        <v>830</v>
      </c>
      <c r="M1411">
        <v>1494115200</v>
      </c>
      <c r="N1411" t="s">
        <v>1628</v>
      </c>
      <c r="O1411" t="s">
        <v>1628</v>
      </c>
      <c r="P1411" t="s">
        <v>1628</v>
      </c>
      <c r="Q1411">
        <f>LEN(AMAZON_FASHION_5__2[[#This Row],[reviewText]])</f>
        <v>193</v>
      </c>
      <c r="R1411" t="str">
        <f>IF(AMAZON_FASHION_5__2[[#This Row],[overall]]&gt;=4,"Positive",IF(AMAZON_FASHION_5__2[[#This Row],[overall]]&lt;=2,"Negative","Neutral"))</f>
        <v>Positive</v>
      </c>
      <c r="S14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12" spans="1:19" x14ac:dyDescent="0.25">
      <c r="A1412">
        <v>5</v>
      </c>
      <c r="B1412" t="b">
        <v>1</v>
      </c>
      <c r="C1412" s="1">
        <v>42861</v>
      </c>
      <c r="D1412">
        <f>YEAR(AMAZON_FASHION_5__2[[#This Row],[reviewDate]])</f>
        <v>2017</v>
      </c>
      <c r="E1412" s="1" t="str">
        <f>TEXT(AMAZON_FASHION_5__2[[#This Row],[reviewDate]], "mmmm")</f>
        <v>May</v>
      </c>
      <c r="F1412" t="s">
        <v>831</v>
      </c>
      <c r="G1412" t="s">
        <v>1479</v>
      </c>
      <c r="H1412" t="s">
        <v>717</v>
      </c>
      <c r="I1412" t="s">
        <v>336</v>
      </c>
      <c r="J1412" t="s">
        <v>832</v>
      </c>
      <c r="K1412" t="s">
        <v>833</v>
      </c>
      <c r="L1412" t="s">
        <v>834</v>
      </c>
      <c r="M1412">
        <v>1494028800</v>
      </c>
      <c r="N1412" t="s">
        <v>1628</v>
      </c>
      <c r="O1412" t="s">
        <v>1628</v>
      </c>
      <c r="P1412" t="s">
        <v>1628</v>
      </c>
      <c r="Q1412">
        <f>LEN(AMAZON_FASHION_5__2[[#This Row],[reviewText]])</f>
        <v>126</v>
      </c>
      <c r="R1412" t="str">
        <f>IF(AMAZON_FASHION_5__2[[#This Row],[overall]]&gt;=4,"Positive",IF(AMAZON_FASHION_5__2[[#This Row],[overall]]&lt;=2,"Negative","Neutral"))</f>
        <v>Positive</v>
      </c>
      <c r="S14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13" spans="1:19" x14ac:dyDescent="0.25">
      <c r="A1413">
        <v>5</v>
      </c>
      <c r="B1413" t="b">
        <v>1</v>
      </c>
      <c r="C1413" s="1">
        <v>42860</v>
      </c>
      <c r="D1413">
        <f>YEAR(AMAZON_FASHION_5__2[[#This Row],[reviewDate]])</f>
        <v>2017</v>
      </c>
      <c r="E1413" s="1" t="str">
        <f>TEXT(AMAZON_FASHION_5__2[[#This Row],[reviewDate]], "mmmm")</f>
        <v>May</v>
      </c>
      <c r="F1413" t="s">
        <v>835</v>
      </c>
      <c r="G1413" t="s">
        <v>1479</v>
      </c>
      <c r="H1413" t="s">
        <v>230</v>
      </c>
      <c r="I1413" t="s">
        <v>1476</v>
      </c>
      <c r="J1413" t="s">
        <v>836</v>
      </c>
      <c r="K1413" t="s">
        <v>837</v>
      </c>
      <c r="L1413" t="s">
        <v>838</v>
      </c>
      <c r="M1413">
        <v>1493942400</v>
      </c>
      <c r="N1413" t="s">
        <v>1628</v>
      </c>
      <c r="O1413" t="s">
        <v>1628</v>
      </c>
      <c r="P1413" t="s">
        <v>1628</v>
      </c>
      <c r="Q1413">
        <f>LEN(AMAZON_FASHION_5__2[[#This Row],[reviewText]])</f>
        <v>110</v>
      </c>
      <c r="R1413" t="str">
        <f>IF(AMAZON_FASHION_5__2[[#This Row],[overall]]&gt;=4,"Positive",IF(AMAZON_FASHION_5__2[[#This Row],[overall]]&lt;=2,"Negative","Neutral"))</f>
        <v>Positive</v>
      </c>
      <c r="S14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14" spans="1:19" x14ac:dyDescent="0.25">
      <c r="A1414">
        <v>5</v>
      </c>
      <c r="B1414" t="b">
        <v>1</v>
      </c>
      <c r="C1414" s="1">
        <v>42858</v>
      </c>
      <c r="D1414">
        <f>YEAR(AMAZON_FASHION_5__2[[#This Row],[reviewDate]])</f>
        <v>2017</v>
      </c>
      <c r="E1414" s="1" t="str">
        <f>TEXT(AMAZON_FASHION_5__2[[#This Row],[reviewDate]], "mmmm")</f>
        <v>May</v>
      </c>
      <c r="F1414" t="s">
        <v>839</v>
      </c>
      <c r="G1414" t="s">
        <v>1479</v>
      </c>
      <c r="H1414" t="s">
        <v>205</v>
      </c>
      <c r="I1414" t="s">
        <v>198</v>
      </c>
      <c r="J1414" t="s">
        <v>840</v>
      </c>
      <c r="K1414" t="s">
        <v>841</v>
      </c>
      <c r="L1414" t="s">
        <v>17</v>
      </c>
      <c r="M1414">
        <v>1493769600</v>
      </c>
      <c r="N1414" t="s">
        <v>1628</v>
      </c>
      <c r="O1414" t="s">
        <v>1628</v>
      </c>
      <c r="P1414" t="s">
        <v>1628</v>
      </c>
      <c r="Q1414">
        <f>LEN(AMAZON_FASHION_5__2[[#This Row],[reviewText]])</f>
        <v>42</v>
      </c>
      <c r="R1414" t="str">
        <f>IF(AMAZON_FASHION_5__2[[#This Row],[overall]]&gt;=4,"Positive",IF(AMAZON_FASHION_5__2[[#This Row],[overall]]&lt;=2,"Negative","Neutral"))</f>
        <v>Positive</v>
      </c>
      <c r="S14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15" spans="1:19" x14ac:dyDescent="0.25">
      <c r="A1415">
        <v>5</v>
      </c>
      <c r="B1415" t="b">
        <v>1</v>
      </c>
      <c r="C1415" s="1">
        <v>42858</v>
      </c>
      <c r="D1415">
        <f>YEAR(AMAZON_FASHION_5__2[[#This Row],[reviewDate]])</f>
        <v>2017</v>
      </c>
      <c r="E1415" s="1" t="str">
        <f>TEXT(AMAZON_FASHION_5__2[[#This Row],[reviewDate]], "mmmm")</f>
        <v>May</v>
      </c>
      <c r="F1415" t="s">
        <v>842</v>
      </c>
      <c r="G1415" t="s">
        <v>1479</v>
      </c>
      <c r="H1415" t="s">
        <v>230</v>
      </c>
      <c r="I1415" t="s">
        <v>198</v>
      </c>
      <c r="J1415" t="s">
        <v>843</v>
      </c>
      <c r="K1415" t="s">
        <v>844</v>
      </c>
      <c r="L1415" t="s">
        <v>17</v>
      </c>
      <c r="M1415">
        <v>1493769600</v>
      </c>
      <c r="N1415" t="s">
        <v>1628</v>
      </c>
      <c r="O1415" t="s">
        <v>1628</v>
      </c>
      <c r="P1415" t="s">
        <v>1628</v>
      </c>
      <c r="Q1415">
        <f>LEN(AMAZON_FASHION_5__2[[#This Row],[reviewText]])</f>
        <v>12</v>
      </c>
      <c r="R1415" t="str">
        <f>IF(AMAZON_FASHION_5__2[[#This Row],[overall]]&gt;=4,"Positive",IF(AMAZON_FASHION_5__2[[#This Row],[overall]]&lt;=2,"Negative","Neutral"))</f>
        <v>Positive</v>
      </c>
      <c r="S14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16" spans="1:19" x14ac:dyDescent="0.25">
      <c r="A1416">
        <v>4</v>
      </c>
      <c r="B1416" t="b">
        <v>1</v>
      </c>
      <c r="C1416" s="1">
        <v>42857</v>
      </c>
      <c r="D1416">
        <f>YEAR(AMAZON_FASHION_5__2[[#This Row],[reviewDate]])</f>
        <v>2017</v>
      </c>
      <c r="E1416" s="1" t="str">
        <f>TEXT(AMAZON_FASHION_5__2[[#This Row],[reviewDate]], "mmmm")</f>
        <v>May</v>
      </c>
      <c r="F1416" t="s">
        <v>845</v>
      </c>
      <c r="G1416" t="s">
        <v>1479</v>
      </c>
      <c r="H1416" t="s">
        <v>320</v>
      </c>
      <c r="I1416" t="s">
        <v>827</v>
      </c>
      <c r="J1416" t="s">
        <v>846</v>
      </c>
      <c r="K1416" t="s">
        <v>847</v>
      </c>
      <c r="L1416" t="s">
        <v>812</v>
      </c>
      <c r="M1416">
        <v>1493683200</v>
      </c>
      <c r="N1416" t="s">
        <v>1628</v>
      </c>
      <c r="O1416" t="s">
        <v>1628</v>
      </c>
      <c r="P1416" t="s">
        <v>1628</v>
      </c>
      <c r="Q1416">
        <f>LEN(AMAZON_FASHION_5__2[[#This Row],[reviewText]])</f>
        <v>86</v>
      </c>
      <c r="R1416" t="str">
        <f>IF(AMAZON_FASHION_5__2[[#This Row],[overall]]&gt;=4,"Positive",IF(AMAZON_FASHION_5__2[[#This Row],[overall]]&lt;=2,"Negative","Neutral"))</f>
        <v>Positive</v>
      </c>
      <c r="S14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17" spans="1:19" x14ac:dyDescent="0.25">
      <c r="A1417">
        <v>5</v>
      </c>
      <c r="B1417" t="b">
        <v>1</v>
      </c>
      <c r="C1417" s="1">
        <v>42856</v>
      </c>
      <c r="D1417">
        <f>YEAR(AMAZON_FASHION_5__2[[#This Row],[reviewDate]])</f>
        <v>2017</v>
      </c>
      <c r="E1417" s="1" t="str">
        <f>TEXT(AMAZON_FASHION_5__2[[#This Row],[reviewDate]], "mmmm")</f>
        <v>May</v>
      </c>
      <c r="F1417" t="s">
        <v>848</v>
      </c>
      <c r="G1417" t="s">
        <v>1479</v>
      </c>
      <c r="H1417" t="s">
        <v>320</v>
      </c>
      <c r="I1417" t="s">
        <v>849</v>
      </c>
      <c r="J1417" t="s">
        <v>850</v>
      </c>
      <c r="K1417" t="s">
        <v>851</v>
      </c>
      <c r="L1417" t="s">
        <v>17</v>
      </c>
      <c r="M1417">
        <v>1493596800</v>
      </c>
      <c r="N1417" t="s">
        <v>1628</v>
      </c>
      <c r="O1417" t="s">
        <v>1628</v>
      </c>
      <c r="P1417" t="s">
        <v>1628</v>
      </c>
      <c r="Q1417">
        <f>LEN(AMAZON_FASHION_5__2[[#This Row],[reviewText]])</f>
        <v>89</v>
      </c>
      <c r="R1417" t="str">
        <f>IF(AMAZON_FASHION_5__2[[#This Row],[overall]]&gt;=4,"Positive",IF(AMAZON_FASHION_5__2[[#This Row],[overall]]&lt;=2,"Negative","Neutral"))</f>
        <v>Positive</v>
      </c>
      <c r="S14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18" spans="1:19" x14ac:dyDescent="0.25">
      <c r="A1418">
        <v>5</v>
      </c>
      <c r="B1418" t="b">
        <v>1</v>
      </c>
      <c r="C1418" s="1">
        <v>42853</v>
      </c>
      <c r="D1418">
        <f>YEAR(AMAZON_FASHION_5__2[[#This Row],[reviewDate]])</f>
        <v>2017</v>
      </c>
      <c r="E1418" s="1" t="str">
        <f>TEXT(AMAZON_FASHION_5__2[[#This Row],[reviewDate]], "mmmm")</f>
        <v>April</v>
      </c>
      <c r="F1418" t="s">
        <v>852</v>
      </c>
      <c r="G1418" t="s">
        <v>1479</v>
      </c>
      <c r="H1418" t="s">
        <v>235</v>
      </c>
      <c r="I1418" t="s">
        <v>211</v>
      </c>
      <c r="J1418" t="s">
        <v>853</v>
      </c>
      <c r="K1418" t="s">
        <v>854</v>
      </c>
      <c r="L1418" t="s">
        <v>17</v>
      </c>
      <c r="M1418">
        <v>1493337600</v>
      </c>
      <c r="N1418" t="s">
        <v>1628</v>
      </c>
      <c r="O1418" t="s">
        <v>1628</v>
      </c>
      <c r="P1418" t="s">
        <v>1628</v>
      </c>
      <c r="Q1418">
        <f>LEN(AMAZON_FASHION_5__2[[#This Row],[reviewText]])</f>
        <v>12</v>
      </c>
      <c r="R1418" t="str">
        <f>IF(AMAZON_FASHION_5__2[[#This Row],[overall]]&gt;=4,"Positive",IF(AMAZON_FASHION_5__2[[#This Row],[overall]]&lt;=2,"Negative","Neutral"))</f>
        <v>Positive</v>
      </c>
      <c r="S14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19" spans="1:19" x14ac:dyDescent="0.25">
      <c r="A1419">
        <v>4</v>
      </c>
      <c r="B1419" t="b">
        <v>1</v>
      </c>
      <c r="C1419" s="1">
        <v>42852</v>
      </c>
      <c r="D1419">
        <f>YEAR(AMAZON_FASHION_5__2[[#This Row],[reviewDate]])</f>
        <v>2017</v>
      </c>
      <c r="E1419" s="1" t="str">
        <f>TEXT(AMAZON_FASHION_5__2[[#This Row],[reviewDate]], "mmmm")</f>
        <v>April</v>
      </c>
      <c r="F1419" t="s">
        <v>855</v>
      </c>
      <c r="G1419" t="s">
        <v>1479</v>
      </c>
      <c r="H1419" t="s">
        <v>1489</v>
      </c>
      <c r="I1419" t="s">
        <v>336</v>
      </c>
      <c r="J1419" t="s">
        <v>63</v>
      </c>
      <c r="K1419" t="s">
        <v>856</v>
      </c>
      <c r="L1419" t="s">
        <v>103</v>
      </c>
      <c r="M1419">
        <v>1493251200</v>
      </c>
      <c r="N1419" t="s">
        <v>1628</v>
      </c>
      <c r="O1419" t="s">
        <v>1628</v>
      </c>
      <c r="P1419" t="s">
        <v>1628</v>
      </c>
      <c r="Q1419">
        <f>LEN(AMAZON_FASHION_5__2[[#This Row],[reviewText]])</f>
        <v>58</v>
      </c>
      <c r="R1419" t="str">
        <f>IF(AMAZON_FASHION_5__2[[#This Row],[overall]]&gt;=4,"Positive",IF(AMAZON_FASHION_5__2[[#This Row],[overall]]&lt;=2,"Negative","Neutral"))</f>
        <v>Positive</v>
      </c>
      <c r="S14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20" spans="1:19" x14ac:dyDescent="0.25">
      <c r="A1420">
        <v>4</v>
      </c>
      <c r="B1420" t="b">
        <v>1</v>
      </c>
      <c r="C1420" s="1">
        <v>42852</v>
      </c>
      <c r="D1420">
        <f>YEAR(AMAZON_FASHION_5__2[[#This Row],[reviewDate]])</f>
        <v>2017</v>
      </c>
      <c r="E1420" s="1" t="str">
        <f>TEXT(AMAZON_FASHION_5__2[[#This Row],[reviewDate]], "mmmm")</f>
        <v>April</v>
      </c>
      <c r="F1420" t="s">
        <v>857</v>
      </c>
      <c r="G1420" t="s">
        <v>1479</v>
      </c>
      <c r="H1420" t="s">
        <v>1478</v>
      </c>
      <c r="I1420" t="s">
        <v>336</v>
      </c>
      <c r="J1420" t="s">
        <v>859</v>
      </c>
      <c r="K1420" t="s">
        <v>860</v>
      </c>
      <c r="L1420" t="s">
        <v>861</v>
      </c>
      <c r="M1420">
        <v>1493251200</v>
      </c>
      <c r="N1420" t="s">
        <v>1628</v>
      </c>
      <c r="O1420" t="s">
        <v>1628</v>
      </c>
      <c r="P1420" t="s">
        <v>1628</v>
      </c>
      <c r="Q1420">
        <f>LEN(AMAZON_FASHION_5__2[[#This Row],[reviewText]])</f>
        <v>199</v>
      </c>
      <c r="R1420" t="str">
        <f>IF(AMAZON_FASHION_5__2[[#This Row],[overall]]&gt;=4,"Positive",IF(AMAZON_FASHION_5__2[[#This Row],[overall]]&lt;=2,"Negative","Neutral"))</f>
        <v>Positive</v>
      </c>
      <c r="S14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21" spans="1:19" x14ac:dyDescent="0.25">
      <c r="A1421">
        <v>5</v>
      </c>
      <c r="B1421" t="b">
        <v>1</v>
      </c>
      <c r="C1421" s="1">
        <v>42851</v>
      </c>
      <c r="D1421">
        <f>YEAR(AMAZON_FASHION_5__2[[#This Row],[reviewDate]])</f>
        <v>2017</v>
      </c>
      <c r="E1421" s="1" t="str">
        <f>TEXT(AMAZON_FASHION_5__2[[#This Row],[reviewDate]], "mmmm")</f>
        <v>April</v>
      </c>
      <c r="F1421" t="s">
        <v>862</v>
      </c>
      <c r="G1421" t="s">
        <v>1479</v>
      </c>
      <c r="H1421" t="s">
        <v>235</v>
      </c>
      <c r="I1421" t="s">
        <v>198</v>
      </c>
      <c r="J1421" t="s">
        <v>863</v>
      </c>
      <c r="K1421" t="s">
        <v>864</v>
      </c>
      <c r="L1421" t="s">
        <v>17</v>
      </c>
      <c r="M1421">
        <v>1493164800</v>
      </c>
      <c r="N1421" t="s">
        <v>1628</v>
      </c>
      <c r="O1421" t="s">
        <v>1628</v>
      </c>
      <c r="P1421" t="s">
        <v>1628</v>
      </c>
      <c r="Q1421">
        <f>LEN(AMAZON_FASHION_5__2[[#This Row],[reviewText]])</f>
        <v>28</v>
      </c>
      <c r="R1421" t="str">
        <f>IF(AMAZON_FASHION_5__2[[#This Row],[overall]]&gt;=4,"Positive",IF(AMAZON_FASHION_5__2[[#This Row],[overall]]&lt;=2,"Negative","Neutral"))</f>
        <v>Positive</v>
      </c>
      <c r="S14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22" spans="1:19" x14ac:dyDescent="0.25">
      <c r="A1422">
        <v>5</v>
      </c>
      <c r="B1422" t="b">
        <v>1</v>
      </c>
      <c r="C1422" s="1">
        <v>42850</v>
      </c>
      <c r="D1422">
        <f>YEAR(AMAZON_FASHION_5__2[[#This Row],[reviewDate]])</f>
        <v>2017</v>
      </c>
      <c r="E1422" s="1" t="str">
        <f>TEXT(AMAZON_FASHION_5__2[[#This Row],[reviewDate]], "mmmm")</f>
        <v>April</v>
      </c>
      <c r="F1422" t="s">
        <v>865</v>
      </c>
      <c r="G1422" t="s">
        <v>1479</v>
      </c>
      <c r="H1422" t="s">
        <v>1488</v>
      </c>
      <c r="I1422" t="s">
        <v>336</v>
      </c>
      <c r="J1422" t="s">
        <v>866</v>
      </c>
      <c r="K1422" t="s">
        <v>867</v>
      </c>
      <c r="L1422" t="s">
        <v>868</v>
      </c>
      <c r="M1422">
        <v>1493078400</v>
      </c>
      <c r="N1422" t="s">
        <v>1628</v>
      </c>
      <c r="O1422" t="s">
        <v>1628</v>
      </c>
      <c r="P1422" t="s">
        <v>1628</v>
      </c>
      <c r="Q1422">
        <f>LEN(AMAZON_FASHION_5__2[[#This Row],[reviewText]])</f>
        <v>235</v>
      </c>
      <c r="R1422" t="str">
        <f>IF(AMAZON_FASHION_5__2[[#This Row],[overall]]&gt;=4,"Positive",IF(AMAZON_FASHION_5__2[[#This Row],[overall]]&lt;=2,"Negative","Neutral"))</f>
        <v>Positive</v>
      </c>
      <c r="S14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23" spans="1:19" x14ac:dyDescent="0.25">
      <c r="A1423">
        <v>4</v>
      </c>
      <c r="B1423" t="b">
        <v>1</v>
      </c>
      <c r="C1423" s="1">
        <v>42849</v>
      </c>
      <c r="D1423">
        <f>YEAR(AMAZON_FASHION_5__2[[#This Row],[reviewDate]])</f>
        <v>2017</v>
      </c>
      <c r="E1423" s="1" t="str">
        <f>TEXT(AMAZON_FASHION_5__2[[#This Row],[reviewDate]], "mmmm")</f>
        <v>April</v>
      </c>
      <c r="F1423" t="s">
        <v>869</v>
      </c>
      <c r="G1423" t="s">
        <v>1479</v>
      </c>
      <c r="H1423" t="s">
        <v>201</v>
      </c>
      <c r="I1423" t="s">
        <v>198</v>
      </c>
      <c r="J1423" t="s">
        <v>870</v>
      </c>
      <c r="K1423" t="s">
        <v>871</v>
      </c>
      <c r="L1423" t="s">
        <v>872</v>
      </c>
      <c r="M1423">
        <v>1492992000</v>
      </c>
      <c r="N1423" t="s">
        <v>1628</v>
      </c>
      <c r="O1423" t="s">
        <v>1628</v>
      </c>
      <c r="P1423" t="s">
        <v>1628</v>
      </c>
      <c r="Q1423">
        <f>LEN(AMAZON_FASHION_5__2[[#This Row],[reviewText]])</f>
        <v>140</v>
      </c>
      <c r="R1423" t="str">
        <f>IF(AMAZON_FASHION_5__2[[#This Row],[overall]]&gt;=4,"Positive",IF(AMAZON_FASHION_5__2[[#This Row],[overall]]&lt;=2,"Negative","Neutral"))</f>
        <v>Positive</v>
      </c>
      <c r="S14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24" spans="1:19" x14ac:dyDescent="0.25">
      <c r="A1424">
        <v>5</v>
      </c>
      <c r="B1424" t="b">
        <v>1</v>
      </c>
      <c r="C1424" s="1">
        <v>42849</v>
      </c>
      <c r="D1424">
        <f>YEAR(AMAZON_FASHION_5__2[[#This Row],[reviewDate]])</f>
        <v>2017</v>
      </c>
      <c r="E1424" s="1" t="str">
        <f>TEXT(AMAZON_FASHION_5__2[[#This Row],[reviewDate]], "mmmm")</f>
        <v>April</v>
      </c>
      <c r="F1424" t="s">
        <v>873</v>
      </c>
      <c r="G1424" t="s">
        <v>1479</v>
      </c>
      <c r="H1424" t="s">
        <v>197</v>
      </c>
      <c r="I1424" t="s">
        <v>524</v>
      </c>
      <c r="J1424" t="s">
        <v>63</v>
      </c>
      <c r="K1424" t="s">
        <v>874</v>
      </c>
      <c r="L1424" t="s">
        <v>17</v>
      </c>
      <c r="M1424">
        <v>1492992000</v>
      </c>
      <c r="N1424" t="s">
        <v>1628</v>
      </c>
      <c r="O1424" t="s">
        <v>1628</v>
      </c>
      <c r="P1424" t="s">
        <v>1628</v>
      </c>
      <c r="Q1424">
        <f>LEN(AMAZON_FASHION_5__2[[#This Row],[reviewText]])</f>
        <v>39</v>
      </c>
      <c r="R1424" t="str">
        <f>IF(AMAZON_FASHION_5__2[[#This Row],[overall]]&gt;=4,"Positive",IF(AMAZON_FASHION_5__2[[#This Row],[overall]]&lt;=2,"Negative","Neutral"))</f>
        <v>Positive</v>
      </c>
      <c r="S14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25" spans="1:19" x14ac:dyDescent="0.25">
      <c r="A1425">
        <v>5</v>
      </c>
      <c r="B1425" t="b">
        <v>1</v>
      </c>
      <c r="C1425" s="1">
        <v>42845</v>
      </c>
      <c r="D1425">
        <f>YEAR(AMAZON_FASHION_5__2[[#This Row],[reviewDate]])</f>
        <v>2017</v>
      </c>
      <c r="E1425" s="1" t="str">
        <f>TEXT(AMAZON_FASHION_5__2[[#This Row],[reviewDate]], "mmmm")</f>
        <v>April</v>
      </c>
      <c r="F1425" t="s">
        <v>875</v>
      </c>
      <c r="G1425" t="s">
        <v>1479</v>
      </c>
      <c r="H1425" t="s">
        <v>230</v>
      </c>
      <c r="I1425" t="s">
        <v>198</v>
      </c>
      <c r="J1425" t="s">
        <v>63</v>
      </c>
      <c r="K1425" t="s">
        <v>715</v>
      </c>
      <c r="L1425" t="s">
        <v>17</v>
      </c>
      <c r="M1425">
        <v>1492646400</v>
      </c>
      <c r="N1425" t="s">
        <v>1628</v>
      </c>
      <c r="O1425" t="s">
        <v>1628</v>
      </c>
      <c r="P1425" t="s">
        <v>1628</v>
      </c>
      <c r="Q1425">
        <f>LEN(AMAZON_FASHION_5__2[[#This Row],[reviewText]])</f>
        <v>7</v>
      </c>
      <c r="R1425" t="str">
        <f>IF(AMAZON_FASHION_5__2[[#This Row],[overall]]&gt;=4,"Positive",IF(AMAZON_FASHION_5__2[[#This Row],[overall]]&lt;=2,"Negative","Neutral"))</f>
        <v>Positive</v>
      </c>
      <c r="S14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26" spans="1:19" x14ac:dyDescent="0.25">
      <c r="A1426">
        <v>5</v>
      </c>
      <c r="B1426" t="b">
        <v>1</v>
      </c>
      <c r="C1426" s="1">
        <v>42844</v>
      </c>
      <c r="D1426">
        <f>YEAR(AMAZON_FASHION_5__2[[#This Row],[reviewDate]])</f>
        <v>2017</v>
      </c>
      <c r="E1426" s="1" t="str">
        <f>TEXT(AMAZON_FASHION_5__2[[#This Row],[reviewDate]], "mmmm")</f>
        <v>April</v>
      </c>
      <c r="F1426" t="s">
        <v>876</v>
      </c>
      <c r="G1426" t="s">
        <v>1479</v>
      </c>
      <c r="H1426" t="s">
        <v>210</v>
      </c>
      <c r="I1426" t="s">
        <v>198</v>
      </c>
      <c r="J1426" t="s">
        <v>63</v>
      </c>
      <c r="K1426" t="s">
        <v>877</v>
      </c>
      <c r="L1426" t="s">
        <v>17</v>
      </c>
      <c r="M1426">
        <v>1492560000</v>
      </c>
      <c r="N1426" t="s">
        <v>1628</v>
      </c>
      <c r="O1426" t="s">
        <v>1628</v>
      </c>
      <c r="P1426" t="s">
        <v>1628</v>
      </c>
      <c r="Q1426">
        <f>LEN(AMAZON_FASHION_5__2[[#This Row],[reviewText]])</f>
        <v>9</v>
      </c>
      <c r="R1426" t="str">
        <f>IF(AMAZON_FASHION_5__2[[#This Row],[overall]]&gt;=4,"Positive",IF(AMAZON_FASHION_5__2[[#This Row],[overall]]&lt;=2,"Negative","Neutral"))</f>
        <v>Positive</v>
      </c>
      <c r="S14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27" spans="1:19" x14ac:dyDescent="0.25">
      <c r="A1427">
        <v>5</v>
      </c>
      <c r="B1427" t="b">
        <v>0</v>
      </c>
      <c r="C1427" s="1">
        <v>42843</v>
      </c>
      <c r="D1427">
        <f>YEAR(AMAZON_FASHION_5__2[[#This Row],[reviewDate]])</f>
        <v>2017</v>
      </c>
      <c r="E1427" s="1" t="str">
        <f>TEXT(AMAZON_FASHION_5__2[[#This Row],[reviewDate]], "mmmm")</f>
        <v>April</v>
      </c>
      <c r="F1427" t="s">
        <v>878</v>
      </c>
      <c r="G1427" t="s">
        <v>1479</v>
      </c>
      <c r="H1427" t="s">
        <v>201</v>
      </c>
      <c r="I1427" t="s">
        <v>198</v>
      </c>
      <c r="J1427" t="s">
        <v>879</v>
      </c>
      <c r="K1427" t="s">
        <v>880</v>
      </c>
      <c r="L1427" t="s">
        <v>881</v>
      </c>
      <c r="M1427">
        <v>1492473600</v>
      </c>
      <c r="N1427" t="s">
        <v>1628</v>
      </c>
      <c r="O1427" t="s">
        <v>1628</v>
      </c>
      <c r="P1427" t="s">
        <v>1628</v>
      </c>
      <c r="Q1427">
        <f>LEN(AMAZON_FASHION_5__2[[#This Row],[reviewText]])</f>
        <v>115</v>
      </c>
      <c r="R1427" t="str">
        <f>IF(AMAZON_FASHION_5__2[[#This Row],[overall]]&gt;=4,"Positive",IF(AMAZON_FASHION_5__2[[#This Row],[overall]]&lt;=2,"Negative","Neutral"))</f>
        <v>Positive</v>
      </c>
      <c r="S14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28" spans="1:19" x14ac:dyDescent="0.25">
      <c r="A1428">
        <v>5</v>
      </c>
      <c r="B1428" t="b">
        <v>1</v>
      </c>
      <c r="C1428" s="1">
        <v>42842</v>
      </c>
      <c r="D1428">
        <f>YEAR(AMAZON_FASHION_5__2[[#This Row],[reviewDate]])</f>
        <v>2017</v>
      </c>
      <c r="E1428" s="1" t="str">
        <f>TEXT(AMAZON_FASHION_5__2[[#This Row],[reviewDate]], "mmmm")</f>
        <v>April</v>
      </c>
      <c r="F1428" t="s">
        <v>882</v>
      </c>
      <c r="G1428" t="s">
        <v>1479</v>
      </c>
      <c r="H1428" t="s">
        <v>230</v>
      </c>
      <c r="I1428" t="s">
        <v>198</v>
      </c>
      <c r="J1428" t="s">
        <v>883</v>
      </c>
      <c r="K1428" t="s">
        <v>884</v>
      </c>
      <c r="L1428" t="s">
        <v>543</v>
      </c>
      <c r="M1428">
        <v>1492387200</v>
      </c>
      <c r="N1428" t="s">
        <v>1628</v>
      </c>
      <c r="O1428" t="s">
        <v>1628</v>
      </c>
      <c r="P1428" t="s">
        <v>1628</v>
      </c>
      <c r="Q1428">
        <f>LEN(AMAZON_FASHION_5__2[[#This Row],[reviewText]])</f>
        <v>62</v>
      </c>
      <c r="R1428" t="str">
        <f>IF(AMAZON_FASHION_5__2[[#This Row],[overall]]&gt;=4,"Positive",IF(AMAZON_FASHION_5__2[[#This Row],[overall]]&lt;=2,"Negative","Neutral"))</f>
        <v>Positive</v>
      </c>
      <c r="S14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29" spans="1:19" x14ac:dyDescent="0.25">
      <c r="A1429">
        <v>5</v>
      </c>
      <c r="B1429" t="b">
        <v>1</v>
      </c>
      <c r="C1429" s="1">
        <v>42840</v>
      </c>
      <c r="D1429">
        <f>YEAR(AMAZON_FASHION_5__2[[#This Row],[reviewDate]])</f>
        <v>2017</v>
      </c>
      <c r="E1429" s="1" t="str">
        <f>TEXT(AMAZON_FASHION_5__2[[#This Row],[reviewDate]], "mmmm")</f>
        <v>April</v>
      </c>
      <c r="F1429" t="s">
        <v>885</v>
      </c>
      <c r="G1429" t="s">
        <v>1479</v>
      </c>
      <c r="H1429" t="s">
        <v>261</v>
      </c>
      <c r="I1429" t="s">
        <v>1455</v>
      </c>
      <c r="J1429" t="s">
        <v>886</v>
      </c>
      <c r="K1429" t="s">
        <v>887</v>
      </c>
      <c r="L1429" t="s">
        <v>247</v>
      </c>
      <c r="M1429">
        <v>1492214400</v>
      </c>
      <c r="N1429" t="s">
        <v>1628</v>
      </c>
      <c r="O1429" t="s">
        <v>1628</v>
      </c>
      <c r="P1429" t="s">
        <v>1628</v>
      </c>
      <c r="Q1429">
        <f>LEN(AMAZON_FASHION_5__2[[#This Row],[reviewText]])</f>
        <v>112</v>
      </c>
      <c r="R1429" t="str">
        <f>IF(AMAZON_FASHION_5__2[[#This Row],[overall]]&gt;=4,"Positive",IF(AMAZON_FASHION_5__2[[#This Row],[overall]]&lt;=2,"Negative","Neutral"))</f>
        <v>Positive</v>
      </c>
      <c r="S14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30" spans="1:19" x14ac:dyDescent="0.25">
      <c r="A1430">
        <v>5</v>
      </c>
      <c r="B1430" t="b">
        <v>1</v>
      </c>
      <c r="C1430" s="1">
        <v>42839</v>
      </c>
      <c r="D1430">
        <f>YEAR(AMAZON_FASHION_5__2[[#This Row],[reviewDate]])</f>
        <v>2017</v>
      </c>
      <c r="E1430" s="1" t="str">
        <f>TEXT(AMAZON_FASHION_5__2[[#This Row],[reviewDate]], "mmmm")</f>
        <v>April</v>
      </c>
      <c r="F1430" t="s">
        <v>888</v>
      </c>
      <c r="G1430" t="s">
        <v>1479</v>
      </c>
      <c r="H1430" t="s">
        <v>235</v>
      </c>
      <c r="I1430" t="s">
        <v>198</v>
      </c>
      <c r="J1430" t="s">
        <v>63</v>
      </c>
      <c r="K1430" t="s">
        <v>889</v>
      </c>
      <c r="L1430" t="s">
        <v>17</v>
      </c>
      <c r="M1430">
        <v>1492128000</v>
      </c>
      <c r="N1430" t="s">
        <v>1628</v>
      </c>
      <c r="O1430" t="s">
        <v>1628</v>
      </c>
      <c r="P1430" t="s">
        <v>1628</v>
      </c>
      <c r="Q1430">
        <f>LEN(AMAZON_FASHION_5__2[[#This Row],[reviewText]])</f>
        <v>38</v>
      </c>
      <c r="R1430" t="str">
        <f>IF(AMAZON_FASHION_5__2[[#This Row],[overall]]&gt;=4,"Positive",IF(AMAZON_FASHION_5__2[[#This Row],[overall]]&lt;=2,"Negative","Neutral"))</f>
        <v>Positive</v>
      </c>
      <c r="S14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31" spans="1:19" x14ac:dyDescent="0.25">
      <c r="A1431">
        <v>4</v>
      </c>
      <c r="B1431" t="b">
        <v>1</v>
      </c>
      <c r="C1431" s="1">
        <v>42836</v>
      </c>
      <c r="D1431">
        <f>YEAR(AMAZON_FASHION_5__2[[#This Row],[reviewDate]])</f>
        <v>2017</v>
      </c>
      <c r="E1431" s="1" t="str">
        <f>TEXT(AMAZON_FASHION_5__2[[#This Row],[reviewDate]], "mmmm")</f>
        <v>April</v>
      </c>
      <c r="F1431" t="s">
        <v>890</v>
      </c>
      <c r="G1431" t="s">
        <v>1479</v>
      </c>
      <c r="H1431" t="s">
        <v>284</v>
      </c>
      <c r="I1431" t="s">
        <v>198</v>
      </c>
      <c r="J1431" t="s">
        <v>891</v>
      </c>
      <c r="K1431" t="s">
        <v>892</v>
      </c>
      <c r="L1431" t="s">
        <v>893</v>
      </c>
      <c r="M1431">
        <v>1491868800</v>
      </c>
      <c r="N1431" t="s">
        <v>1628</v>
      </c>
      <c r="O1431" t="s">
        <v>1628</v>
      </c>
      <c r="P1431" t="s">
        <v>1628</v>
      </c>
      <c r="Q1431">
        <f>LEN(AMAZON_FASHION_5__2[[#This Row],[reviewText]])</f>
        <v>67</v>
      </c>
      <c r="R1431" t="str">
        <f>IF(AMAZON_FASHION_5__2[[#This Row],[overall]]&gt;=4,"Positive",IF(AMAZON_FASHION_5__2[[#This Row],[overall]]&lt;=2,"Negative","Neutral"))</f>
        <v>Positive</v>
      </c>
      <c r="S14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32" spans="1:19" x14ac:dyDescent="0.25">
      <c r="A1432">
        <v>5</v>
      </c>
      <c r="B1432" t="b">
        <v>1</v>
      </c>
      <c r="C1432" s="1">
        <v>42836</v>
      </c>
      <c r="D1432">
        <f>YEAR(AMAZON_FASHION_5__2[[#This Row],[reviewDate]])</f>
        <v>2017</v>
      </c>
      <c r="E1432" s="1" t="str">
        <f>TEXT(AMAZON_FASHION_5__2[[#This Row],[reviewDate]], "mmmm")</f>
        <v>April</v>
      </c>
      <c r="F1432" t="s">
        <v>894</v>
      </c>
      <c r="G1432" t="s">
        <v>1479</v>
      </c>
      <c r="H1432" t="s">
        <v>895</v>
      </c>
      <c r="I1432" t="s">
        <v>336</v>
      </c>
      <c r="J1432" t="s">
        <v>896</v>
      </c>
      <c r="K1432" t="s">
        <v>897</v>
      </c>
      <c r="L1432" t="s">
        <v>17</v>
      </c>
      <c r="M1432">
        <v>1491868800</v>
      </c>
      <c r="N1432" t="s">
        <v>1628</v>
      </c>
      <c r="O1432" t="s">
        <v>1628</v>
      </c>
      <c r="P1432" t="s">
        <v>1628</v>
      </c>
      <c r="Q1432">
        <f>LEN(AMAZON_FASHION_5__2[[#This Row],[reviewText]])</f>
        <v>13</v>
      </c>
      <c r="R1432" t="str">
        <f>IF(AMAZON_FASHION_5__2[[#This Row],[overall]]&gt;=4,"Positive",IF(AMAZON_FASHION_5__2[[#This Row],[overall]]&lt;=2,"Negative","Neutral"))</f>
        <v>Positive</v>
      </c>
      <c r="S14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33" spans="1:19" x14ac:dyDescent="0.25">
      <c r="A1433">
        <v>5</v>
      </c>
      <c r="B1433" t="b">
        <v>1</v>
      </c>
      <c r="C1433" s="1">
        <v>42835</v>
      </c>
      <c r="D1433">
        <f>YEAR(AMAZON_FASHION_5__2[[#This Row],[reviewDate]])</f>
        <v>2017</v>
      </c>
      <c r="E1433" s="1" t="str">
        <f>TEXT(AMAZON_FASHION_5__2[[#This Row],[reviewDate]], "mmmm")</f>
        <v>April</v>
      </c>
      <c r="F1433" t="s">
        <v>898</v>
      </c>
      <c r="G1433" t="s">
        <v>1479</v>
      </c>
      <c r="H1433" t="s">
        <v>235</v>
      </c>
      <c r="I1433" t="s">
        <v>411</v>
      </c>
      <c r="J1433" t="s">
        <v>899</v>
      </c>
      <c r="K1433" t="s">
        <v>900</v>
      </c>
      <c r="L1433" t="s">
        <v>901</v>
      </c>
      <c r="M1433">
        <v>1491782400</v>
      </c>
      <c r="N1433" t="s">
        <v>1628</v>
      </c>
      <c r="O1433" t="s">
        <v>1628</v>
      </c>
      <c r="P1433" t="s">
        <v>1628</v>
      </c>
      <c r="Q1433">
        <f>LEN(AMAZON_FASHION_5__2[[#This Row],[reviewText]])</f>
        <v>49</v>
      </c>
      <c r="R1433" t="str">
        <f>IF(AMAZON_FASHION_5__2[[#This Row],[overall]]&gt;=4,"Positive",IF(AMAZON_FASHION_5__2[[#This Row],[overall]]&lt;=2,"Negative","Neutral"))</f>
        <v>Positive</v>
      </c>
      <c r="S14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34" spans="1:19" x14ac:dyDescent="0.25">
      <c r="A1434">
        <v>5</v>
      </c>
      <c r="B1434" t="b">
        <v>1</v>
      </c>
      <c r="C1434" s="1">
        <v>42835</v>
      </c>
      <c r="D1434">
        <f>YEAR(AMAZON_FASHION_5__2[[#This Row],[reviewDate]])</f>
        <v>2017</v>
      </c>
      <c r="E1434" s="1" t="str">
        <f>TEXT(AMAZON_FASHION_5__2[[#This Row],[reviewDate]], "mmmm")</f>
        <v>April</v>
      </c>
      <c r="F1434" t="s">
        <v>902</v>
      </c>
      <c r="G1434" t="s">
        <v>1479</v>
      </c>
      <c r="H1434" t="s">
        <v>205</v>
      </c>
      <c r="I1434" t="s">
        <v>396</v>
      </c>
      <c r="J1434" t="s">
        <v>903</v>
      </c>
      <c r="K1434" t="s">
        <v>904</v>
      </c>
      <c r="L1434" t="s">
        <v>905</v>
      </c>
      <c r="M1434">
        <v>1491782400</v>
      </c>
      <c r="N1434" t="s">
        <v>1628</v>
      </c>
      <c r="O1434" t="s">
        <v>1628</v>
      </c>
      <c r="P1434" t="s">
        <v>1628</v>
      </c>
      <c r="Q1434">
        <f>LEN(AMAZON_FASHION_5__2[[#This Row],[reviewText]])</f>
        <v>17</v>
      </c>
      <c r="R1434" t="str">
        <f>IF(AMAZON_FASHION_5__2[[#This Row],[overall]]&gt;=4,"Positive",IF(AMAZON_FASHION_5__2[[#This Row],[overall]]&lt;=2,"Negative","Neutral"))</f>
        <v>Positive</v>
      </c>
      <c r="S14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35" spans="1:19" x14ac:dyDescent="0.25">
      <c r="A1435">
        <v>4</v>
      </c>
      <c r="B1435" t="b">
        <v>1</v>
      </c>
      <c r="C1435" s="1">
        <v>42835</v>
      </c>
      <c r="D1435">
        <f>YEAR(AMAZON_FASHION_5__2[[#This Row],[reviewDate]])</f>
        <v>2017</v>
      </c>
      <c r="E1435" s="1" t="str">
        <f>TEXT(AMAZON_FASHION_5__2[[#This Row],[reviewDate]], "mmmm")</f>
        <v>April</v>
      </c>
      <c r="F1435" t="s">
        <v>906</v>
      </c>
      <c r="G1435" t="s">
        <v>1479</v>
      </c>
      <c r="H1435" t="s">
        <v>284</v>
      </c>
      <c r="I1435" t="s">
        <v>411</v>
      </c>
      <c r="J1435" t="s">
        <v>907</v>
      </c>
      <c r="K1435" t="s">
        <v>908</v>
      </c>
      <c r="L1435" t="s">
        <v>909</v>
      </c>
      <c r="M1435">
        <v>1491782400</v>
      </c>
      <c r="N1435" t="s">
        <v>1628</v>
      </c>
      <c r="O1435" t="s">
        <v>1628</v>
      </c>
      <c r="P1435" t="s">
        <v>1628</v>
      </c>
      <c r="Q1435">
        <f>LEN(AMAZON_FASHION_5__2[[#This Row],[reviewText]])</f>
        <v>177</v>
      </c>
      <c r="R1435" t="str">
        <f>IF(AMAZON_FASHION_5__2[[#This Row],[overall]]&gt;=4,"Positive",IF(AMAZON_FASHION_5__2[[#This Row],[overall]]&lt;=2,"Negative","Neutral"))</f>
        <v>Positive</v>
      </c>
      <c r="S14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36" spans="1:19" x14ac:dyDescent="0.25">
      <c r="A1436">
        <v>5</v>
      </c>
      <c r="B1436" t="b">
        <v>1</v>
      </c>
      <c r="C1436" s="1">
        <v>42833</v>
      </c>
      <c r="D1436">
        <f>YEAR(AMAZON_FASHION_5__2[[#This Row],[reviewDate]])</f>
        <v>2017</v>
      </c>
      <c r="E1436" s="1" t="str">
        <f>TEXT(AMAZON_FASHION_5__2[[#This Row],[reviewDate]], "mmmm")</f>
        <v>April</v>
      </c>
      <c r="F1436" t="s">
        <v>910</v>
      </c>
      <c r="G1436" t="s">
        <v>1479</v>
      </c>
      <c r="H1436" t="s">
        <v>230</v>
      </c>
      <c r="I1436" t="s">
        <v>198</v>
      </c>
      <c r="J1436" t="s">
        <v>63</v>
      </c>
      <c r="K1436" t="s">
        <v>911</v>
      </c>
      <c r="L1436" t="s">
        <v>912</v>
      </c>
      <c r="M1436">
        <v>1491609600</v>
      </c>
      <c r="N1436" t="s">
        <v>1628</v>
      </c>
      <c r="O1436" t="s">
        <v>1628</v>
      </c>
      <c r="P1436" t="s">
        <v>1628</v>
      </c>
      <c r="Q1436">
        <f>LEN(AMAZON_FASHION_5__2[[#This Row],[reviewText]])</f>
        <v>163</v>
      </c>
      <c r="R1436" t="str">
        <f>IF(AMAZON_FASHION_5__2[[#This Row],[overall]]&gt;=4,"Positive",IF(AMAZON_FASHION_5__2[[#This Row],[overall]]&lt;=2,"Negative","Neutral"))</f>
        <v>Positive</v>
      </c>
      <c r="S14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37" spans="1:19" x14ac:dyDescent="0.25">
      <c r="A1437">
        <v>4</v>
      </c>
      <c r="B1437" t="b">
        <v>1</v>
      </c>
      <c r="C1437" s="1">
        <v>42830</v>
      </c>
      <c r="D1437">
        <f>YEAR(AMAZON_FASHION_5__2[[#This Row],[reviewDate]])</f>
        <v>2017</v>
      </c>
      <c r="E1437" s="1" t="str">
        <f>TEXT(AMAZON_FASHION_5__2[[#This Row],[reviewDate]], "mmmm")</f>
        <v>April</v>
      </c>
      <c r="F1437" t="s">
        <v>913</v>
      </c>
      <c r="G1437" t="s">
        <v>1479</v>
      </c>
      <c r="H1437" t="s">
        <v>477</v>
      </c>
      <c r="I1437" t="s">
        <v>198</v>
      </c>
      <c r="J1437" t="s">
        <v>63</v>
      </c>
      <c r="K1437" t="s">
        <v>914</v>
      </c>
      <c r="L1437" t="s">
        <v>103</v>
      </c>
      <c r="M1437">
        <v>1491350400</v>
      </c>
      <c r="N1437" t="s">
        <v>1628</v>
      </c>
      <c r="O1437" t="s">
        <v>1628</v>
      </c>
      <c r="P1437" t="s">
        <v>1628</v>
      </c>
      <c r="Q1437">
        <f>LEN(AMAZON_FASHION_5__2[[#This Row],[reviewText]])</f>
        <v>17</v>
      </c>
      <c r="R1437" t="str">
        <f>IF(AMAZON_FASHION_5__2[[#This Row],[overall]]&gt;=4,"Positive",IF(AMAZON_FASHION_5__2[[#This Row],[overall]]&lt;=2,"Negative","Neutral"))</f>
        <v>Positive</v>
      </c>
      <c r="S14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38" spans="1:19" x14ac:dyDescent="0.25">
      <c r="A1438">
        <v>5</v>
      </c>
      <c r="B1438" t="b">
        <v>1</v>
      </c>
      <c r="C1438" s="1">
        <v>42830</v>
      </c>
      <c r="D1438">
        <f>YEAR(AMAZON_FASHION_5__2[[#This Row],[reviewDate]])</f>
        <v>2017</v>
      </c>
      <c r="E1438" s="1" t="str">
        <f>TEXT(AMAZON_FASHION_5__2[[#This Row],[reviewDate]], "mmmm")</f>
        <v>April</v>
      </c>
      <c r="F1438" t="s">
        <v>915</v>
      </c>
      <c r="G1438" t="s">
        <v>1479</v>
      </c>
      <c r="H1438" t="s">
        <v>210</v>
      </c>
      <c r="I1438" t="s">
        <v>198</v>
      </c>
      <c r="J1438" t="s">
        <v>916</v>
      </c>
      <c r="K1438" t="s">
        <v>917</v>
      </c>
      <c r="L1438" t="s">
        <v>17</v>
      </c>
      <c r="M1438">
        <v>1491350400</v>
      </c>
      <c r="N1438" t="s">
        <v>1628</v>
      </c>
      <c r="O1438" t="s">
        <v>1628</v>
      </c>
      <c r="P1438" t="s">
        <v>1628</v>
      </c>
      <c r="Q1438">
        <f>LEN(AMAZON_FASHION_5__2[[#This Row],[reviewText]])</f>
        <v>30</v>
      </c>
      <c r="R1438" t="str">
        <f>IF(AMAZON_FASHION_5__2[[#This Row],[overall]]&gt;=4,"Positive",IF(AMAZON_FASHION_5__2[[#This Row],[overall]]&lt;=2,"Negative","Neutral"))</f>
        <v>Positive</v>
      </c>
      <c r="S14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39" spans="1:19" x14ac:dyDescent="0.25">
      <c r="A1439">
        <v>5</v>
      </c>
      <c r="B1439" t="b">
        <v>1</v>
      </c>
      <c r="C1439" s="1">
        <v>42829</v>
      </c>
      <c r="D1439">
        <f>YEAR(AMAZON_FASHION_5__2[[#This Row],[reviewDate]])</f>
        <v>2017</v>
      </c>
      <c r="E1439" s="1" t="str">
        <f>TEXT(AMAZON_FASHION_5__2[[#This Row],[reviewDate]], "mmmm")</f>
        <v>April</v>
      </c>
      <c r="F1439" t="s">
        <v>918</v>
      </c>
      <c r="G1439" t="s">
        <v>1479</v>
      </c>
      <c r="H1439" t="s">
        <v>477</v>
      </c>
      <c r="I1439" t="s">
        <v>827</v>
      </c>
      <c r="J1439" t="s">
        <v>919</v>
      </c>
      <c r="K1439" t="s">
        <v>920</v>
      </c>
      <c r="L1439" t="s">
        <v>17</v>
      </c>
      <c r="M1439">
        <v>1491264000</v>
      </c>
      <c r="N1439" t="s">
        <v>1628</v>
      </c>
      <c r="O1439" t="s">
        <v>1628</v>
      </c>
      <c r="P1439" t="s">
        <v>1628</v>
      </c>
      <c r="Q1439">
        <f>LEN(AMAZON_FASHION_5__2[[#This Row],[reviewText]])</f>
        <v>38</v>
      </c>
      <c r="R1439" t="str">
        <f>IF(AMAZON_FASHION_5__2[[#This Row],[overall]]&gt;=4,"Positive",IF(AMAZON_FASHION_5__2[[#This Row],[overall]]&lt;=2,"Negative","Neutral"))</f>
        <v>Positive</v>
      </c>
      <c r="S14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40" spans="1:19" x14ac:dyDescent="0.25">
      <c r="A1440">
        <v>5</v>
      </c>
      <c r="B1440" t="b">
        <v>1</v>
      </c>
      <c r="C1440" s="1">
        <v>42827</v>
      </c>
      <c r="D1440">
        <f>YEAR(AMAZON_FASHION_5__2[[#This Row],[reviewDate]])</f>
        <v>2017</v>
      </c>
      <c r="E1440" s="1" t="str">
        <f>TEXT(AMAZON_FASHION_5__2[[#This Row],[reviewDate]], "mmmm")</f>
        <v>April</v>
      </c>
      <c r="F1440" t="s">
        <v>921</v>
      </c>
      <c r="G1440" t="s">
        <v>1479</v>
      </c>
      <c r="H1440" t="s">
        <v>205</v>
      </c>
      <c r="I1440" t="s">
        <v>344</v>
      </c>
      <c r="J1440" t="s">
        <v>922</v>
      </c>
      <c r="K1440" t="s">
        <v>923</v>
      </c>
      <c r="L1440" t="s">
        <v>17</v>
      </c>
      <c r="M1440">
        <v>1491091200</v>
      </c>
      <c r="N1440" t="s">
        <v>1628</v>
      </c>
      <c r="O1440" t="s">
        <v>1628</v>
      </c>
      <c r="P1440" t="s">
        <v>1628</v>
      </c>
      <c r="Q1440">
        <f>LEN(AMAZON_FASHION_5__2[[#This Row],[reviewText]])</f>
        <v>39</v>
      </c>
      <c r="R1440" t="str">
        <f>IF(AMAZON_FASHION_5__2[[#This Row],[overall]]&gt;=4,"Positive",IF(AMAZON_FASHION_5__2[[#This Row],[overall]]&lt;=2,"Negative","Neutral"))</f>
        <v>Positive</v>
      </c>
      <c r="S14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41" spans="1:19" x14ac:dyDescent="0.25">
      <c r="A1441">
        <v>4</v>
      </c>
      <c r="B1441" t="b">
        <v>1</v>
      </c>
      <c r="C1441" s="1">
        <v>42824</v>
      </c>
      <c r="D1441">
        <f>YEAR(AMAZON_FASHION_5__2[[#This Row],[reviewDate]])</f>
        <v>2017</v>
      </c>
      <c r="E1441" s="1" t="str">
        <f>TEXT(AMAZON_FASHION_5__2[[#This Row],[reviewDate]], "mmmm")</f>
        <v>March</v>
      </c>
      <c r="F1441" t="s">
        <v>924</v>
      </c>
      <c r="G1441" t="s">
        <v>1479</v>
      </c>
      <c r="H1441" t="s">
        <v>205</v>
      </c>
      <c r="I1441" t="s">
        <v>198</v>
      </c>
      <c r="J1441" t="s">
        <v>925</v>
      </c>
      <c r="K1441" t="s">
        <v>926</v>
      </c>
      <c r="L1441" t="s">
        <v>927</v>
      </c>
      <c r="M1441">
        <v>1490832000</v>
      </c>
      <c r="N1441" t="s">
        <v>1628</v>
      </c>
      <c r="O1441" t="s">
        <v>1628</v>
      </c>
      <c r="P1441" t="s">
        <v>1628</v>
      </c>
      <c r="Q1441">
        <f>LEN(AMAZON_FASHION_5__2[[#This Row],[reviewText]])</f>
        <v>87</v>
      </c>
      <c r="R1441" t="str">
        <f>IF(AMAZON_FASHION_5__2[[#This Row],[overall]]&gt;=4,"Positive",IF(AMAZON_FASHION_5__2[[#This Row],[overall]]&lt;=2,"Negative","Neutral"))</f>
        <v>Positive</v>
      </c>
      <c r="S14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42" spans="1:19" x14ac:dyDescent="0.25">
      <c r="A1442">
        <v>5</v>
      </c>
      <c r="B1442" t="b">
        <v>1</v>
      </c>
      <c r="C1442" s="1">
        <v>42823</v>
      </c>
      <c r="D1442">
        <f>YEAR(AMAZON_FASHION_5__2[[#This Row],[reviewDate]])</f>
        <v>2017</v>
      </c>
      <c r="E1442" s="1" t="str">
        <f>TEXT(AMAZON_FASHION_5__2[[#This Row],[reviewDate]], "mmmm")</f>
        <v>March</v>
      </c>
      <c r="F1442" t="s">
        <v>928</v>
      </c>
      <c r="G1442" t="s">
        <v>1479</v>
      </c>
      <c r="H1442" t="s">
        <v>235</v>
      </c>
      <c r="I1442" t="s">
        <v>411</v>
      </c>
      <c r="J1442" t="s">
        <v>929</v>
      </c>
      <c r="K1442" t="s">
        <v>930</v>
      </c>
      <c r="L1442" t="s">
        <v>931</v>
      </c>
      <c r="M1442">
        <v>1490745600</v>
      </c>
      <c r="N1442" t="s">
        <v>1628</v>
      </c>
      <c r="O1442" t="s">
        <v>1628</v>
      </c>
      <c r="P1442" t="s">
        <v>1628</v>
      </c>
      <c r="Q1442">
        <f>LEN(AMAZON_FASHION_5__2[[#This Row],[reviewText]])</f>
        <v>120</v>
      </c>
      <c r="R1442" t="str">
        <f>IF(AMAZON_FASHION_5__2[[#This Row],[overall]]&gt;=4,"Positive",IF(AMAZON_FASHION_5__2[[#This Row],[overall]]&lt;=2,"Negative","Neutral"))</f>
        <v>Positive</v>
      </c>
      <c r="S14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43" spans="1:19" x14ac:dyDescent="0.25">
      <c r="A1443">
        <v>2</v>
      </c>
      <c r="B1443" t="b">
        <v>1</v>
      </c>
      <c r="C1443" s="1">
        <v>42820</v>
      </c>
      <c r="D1443">
        <f>YEAR(AMAZON_FASHION_5__2[[#This Row],[reviewDate]])</f>
        <v>2017</v>
      </c>
      <c r="E1443" s="1" t="str">
        <f>TEXT(AMAZON_FASHION_5__2[[#This Row],[reviewDate]], "mmmm")</f>
        <v>March</v>
      </c>
      <c r="F1443" t="s">
        <v>932</v>
      </c>
      <c r="G1443" t="s">
        <v>1479</v>
      </c>
      <c r="H1443" t="s">
        <v>477</v>
      </c>
      <c r="I1443" t="s">
        <v>211</v>
      </c>
      <c r="J1443" t="s">
        <v>933</v>
      </c>
      <c r="K1443" t="s">
        <v>934</v>
      </c>
      <c r="L1443" t="s">
        <v>935</v>
      </c>
      <c r="M1443">
        <v>1490486400</v>
      </c>
      <c r="N1443" t="s">
        <v>1628</v>
      </c>
      <c r="O1443" t="s">
        <v>1628</v>
      </c>
      <c r="P1443" t="s">
        <v>1628</v>
      </c>
      <c r="Q1443">
        <f>LEN(AMAZON_FASHION_5__2[[#This Row],[reviewText]])</f>
        <v>178</v>
      </c>
      <c r="R1443" t="str">
        <f>IF(AMAZON_FASHION_5__2[[#This Row],[overall]]&gt;=4,"Positive",IF(AMAZON_FASHION_5__2[[#This Row],[overall]]&lt;=2,"Negative","Neutral"))</f>
        <v>Negative</v>
      </c>
      <c r="S14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44" spans="1:19" x14ac:dyDescent="0.25">
      <c r="A1444">
        <v>1</v>
      </c>
      <c r="B1444" t="b">
        <v>1</v>
      </c>
      <c r="C1444" s="1">
        <v>42819</v>
      </c>
      <c r="D1444">
        <f>YEAR(AMAZON_FASHION_5__2[[#This Row],[reviewDate]])</f>
        <v>2017</v>
      </c>
      <c r="E1444" s="1" t="str">
        <f>TEXT(AMAZON_FASHION_5__2[[#This Row],[reviewDate]], "mmmm")</f>
        <v>March</v>
      </c>
      <c r="F1444" t="s">
        <v>936</v>
      </c>
      <c r="G1444" t="s">
        <v>1479</v>
      </c>
      <c r="H1444" t="s">
        <v>1488</v>
      </c>
      <c r="I1444" t="s">
        <v>336</v>
      </c>
      <c r="J1444" t="s">
        <v>937</v>
      </c>
      <c r="K1444" t="s">
        <v>938</v>
      </c>
      <c r="L1444" t="s">
        <v>65</v>
      </c>
      <c r="M1444">
        <v>1490400000</v>
      </c>
      <c r="N1444" t="s">
        <v>1628</v>
      </c>
      <c r="O1444" t="s">
        <v>1628</v>
      </c>
      <c r="P1444" t="s">
        <v>1628</v>
      </c>
      <c r="Q1444">
        <f>LEN(AMAZON_FASHION_5__2[[#This Row],[reviewText]])</f>
        <v>84</v>
      </c>
      <c r="R1444" t="str">
        <f>IF(AMAZON_FASHION_5__2[[#This Row],[overall]]&gt;=4,"Positive",IF(AMAZON_FASHION_5__2[[#This Row],[overall]]&lt;=2,"Negative","Neutral"))</f>
        <v>Negative</v>
      </c>
      <c r="S14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45" spans="1:19" x14ac:dyDescent="0.25">
      <c r="A1445">
        <v>5</v>
      </c>
      <c r="B1445" t="b">
        <v>1</v>
      </c>
      <c r="C1445" s="1">
        <v>42818</v>
      </c>
      <c r="D1445">
        <f>YEAR(AMAZON_FASHION_5__2[[#This Row],[reviewDate]])</f>
        <v>2017</v>
      </c>
      <c r="E1445" s="1" t="str">
        <f>TEXT(AMAZON_FASHION_5__2[[#This Row],[reviewDate]], "mmmm")</f>
        <v>March</v>
      </c>
      <c r="F1445" t="s">
        <v>939</v>
      </c>
      <c r="G1445" t="s">
        <v>1479</v>
      </c>
      <c r="H1445" t="s">
        <v>235</v>
      </c>
      <c r="I1445" t="s">
        <v>198</v>
      </c>
      <c r="J1445" t="s">
        <v>63</v>
      </c>
      <c r="K1445" t="s">
        <v>940</v>
      </c>
      <c r="L1445" t="s">
        <v>17</v>
      </c>
      <c r="M1445">
        <v>1490313600</v>
      </c>
      <c r="N1445" t="s">
        <v>1628</v>
      </c>
      <c r="O1445" t="s">
        <v>1628</v>
      </c>
      <c r="P1445" t="s">
        <v>1628</v>
      </c>
      <c r="Q1445">
        <f>LEN(AMAZON_FASHION_5__2[[#This Row],[reviewText]])</f>
        <v>10</v>
      </c>
      <c r="R1445" t="str">
        <f>IF(AMAZON_FASHION_5__2[[#This Row],[overall]]&gt;=4,"Positive",IF(AMAZON_FASHION_5__2[[#This Row],[overall]]&lt;=2,"Negative","Neutral"))</f>
        <v>Positive</v>
      </c>
      <c r="S14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46" spans="1:19" x14ac:dyDescent="0.25">
      <c r="A1446">
        <v>5</v>
      </c>
      <c r="B1446" t="b">
        <v>1</v>
      </c>
      <c r="C1446" s="1">
        <v>42818</v>
      </c>
      <c r="D1446">
        <f>YEAR(AMAZON_FASHION_5__2[[#This Row],[reviewDate]])</f>
        <v>2017</v>
      </c>
      <c r="E1446" s="1" t="str">
        <f>TEXT(AMAZON_FASHION_5__2[[#This Row],[reviewDate]], "mmmm")</f>
        <v>March</v>
      </c>
      <c r="F1446" t="s">
        <v>941</v>
      </c>
      <c r="G1446" t="s">
        <v>1479</v>
      </c>
      <c r="H1446" t="s">
        <v>210</v>
      </c>
      <c r="I1446" t="s">
        <v>198</v>
      </c>
      <c r="J1446" t="s">
        <v>942</v>
      </c>
      <c r="K1446" t="s">
        <v>943</v>
      </c>
      <c r="L1446" t="s">
        <v>944</v>
      </c>
      <c r="M1446">
        <v>1490313600</v>
      </c>
      <c r="N1446" t="s">
        <v>1628</v>
      </c>
      <c r="O1446" t="s">
        <v>1628</v>
      </c>
      <c r="P1446" t="s">
        <v>1628</v>
      </c>
      <c r="Q1446">
        <f>LEN(AMAZON_FASHION_5__2[[#This Row],[reviewText]])</f>
        <v>225</v>
      </c>
      <c r="R1446" t="str">
        <f>IF(AMAZON_FASHION_5__2[[#This Row],[overall]]&gt;=4,"Positive",IF(AMAZON_FASHION_5__2[[#This Row],[overall]]&lt;=2,"Negative","Neutral"))</f>
        <v>Positive</v>
      </c>
      <c r="S14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47" spans="1:19" x14ac:dyDescent="0.25">
      <c r="A1447">
        <v>5</v>
      </c>
      <c r="B1447" t="b">
        <v>1</v>
      </c>
      <c r="C1447" s="1">
        <v>42817</v>
      </c>
      <c r="D1447">
        <f>YEAR(AMAZON_FASHION_5__2[[#This Row],[reviewDate]])</f>
        <v>2017</v>
      </c>
      <c r="E1447" s="1" t="str">
        <f>TEXT(AMAZON_FASHION_5__2[[#This Row],[reviewDate]], "mmmm")</f>
        <v>March</v>
      </c>
      <c r="F1447" t="s">
        <v>945</v>
      </c>
      <c r="G1447" t="s">
        <v>1479</v>
      </c>
      <c r="H1447" t="s">
        <v>230</v>
      </c>
      <c r="I1447" t="s">
        <v>574</v>
      </c>
      <c r="J1447" t="s">
        <v>946</v>
      </c>
      <c r="K1447" t="s">
        <v>947</v>
      </c>
      <c r="L1447" t="s">
        <v>948</v>
      </c>
      <c r="M1447">
        <v>1490227200</v>
      </c>
      <c r="N1447" t="s">
        <v>1628</v>
      </c>
      <c r="O1447" t="s">
        <v>1628</v>
      </c>
      <c r="P1447">
        <v>3</v>
      </c>
      <c r="Q1447">
        <f>LEN(AMAZON_FASHION_5__2[[#This Row],[reviewText]])</f>
        <v>401</v>
      </c>
      <c r="R1447" t="str">
        <f>IF(AMAZON_FASHION_5__2[[#This Row],[overall]]&gt;=4,"Positive",IF(AMAZON_FASHION_5__2[[#This Row],[overall]]&lt;=2,"Negative","Neutral"))</f>
        <v>Positive</v>
      </c>
      <c r="S14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48" spans="1:19" x14ac:dyDescent="0.25">
      <c r="A1448">
        <v>5</v>
      </c>
      <c r="B1448" t="b">
        <v>1</v>
      </c>
      <c r="C1448" s="1">
        <v>42815</v>
      </c>
      <c r="D1448">
        <f>YEAR(AMAZON_FASHION_5__2[[#This Row],[reviewDate]])</f>
        <v>2017</v>
      </c>
      <c r="E1448" s="1" t="str">
        <f>TEXT(AMAZON_FASHION_5__2[[#This Row],[reviewDate]], "mmmm")</f>
        <v>March</v>
      </c>
      <c r="F1448" t="s">
        <v>949</v>
      </c>
      <c r="G1448" t="s">
        <v>1479</v>
      </c>
      <c r="H1448" t="s">
        <v>210</v>
      </c>
      <c r="I1448" t="s">
        <v>419</v>
      </c>
      <c r="J1448" t="s">
        <v>950</v>
      </c>
      <c r="K1448" t="s">
        <v>951</v>
      </c>
      <c r="L1448" t="s">
        <v>543</v>
      </c>
      <c r="M1448">
        <v>1490054400</v>
      </c>
      <c r="N1448" t="s">
        <v>1628</v>
      </c>
      <c r="O1448" t="s">
        <v>1628</v>
      </c>
      <c r="P1448" t="s">
        <v>1628</v>
      </c>
      <c r="Q1448">
        <f>LEN(AMAZON_FASHION_5__2[[#This Row],[reviewText]])</f>
        <v>110</v>
      </c>
      <c r="R1448" t="str">
        <f>IF(AMAZON_FASHION_5__2[[#This Row],[overall]]&gt;=4,"Positive",IF(AMAZON_FASHION_5__2[[#This Row],[overall]]&lt;=2,"Negative","Neutral"))</f>
        <v>Positive</v>
      </c>
      <c r="S14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49" spans="1:19" x14ac:dyDescent="0.25">
      <c r="A1449">
        <v>4</v>
      </c>
      <c r="B1449" t="b">
        <v>1</v>
      </c>
      <c r="C1449" s="1">
        <v>42814</v>
      </c>
      <c r="D1449">
        <f>YEAR(AMAZON_FASHION_5__2[[#This Row],[reviewDate]])</f>
        <v>2017</v>
      </c>
      <c r="E1449" s="1" t="str">
        <f>TEXT(AMAZON_FASHION_5__2[[#This Row],[reviewDate]], "mmmm")</f>
        <v>March</v>
      </c>
      <c r="F1449" t="s">
        <v>952</v>
      </c>
      <c r="G1449" t="s">
        <v>1479</v>
      </c>
      <c r="H1449" t="s">
        <v>477</v>
      </c>
      <c r="I1449" t="s">
        <v>344</v>
      </c>
      <c r="J1449" t="s">
        <v>953</v>
      </c>
      <c r="K1449" t="s">
        <v>954</v>
      </c>
      <c r="L1449" t="s">
        <v>955</v>
      </c>
      <c r="M1449">
        <v>1489968000</v>
      </c>
      <c r="N1449" t="s">
        <v>1628</v>
      </c>
      <c r="O1449" t="s">
        <v>1628</v>
      </c>
      <c r="P1449" t="s">
        <v>1628</v>
      </c>
      <c r="Q1449">
        <f>LEN(AMAZON_FASHION_5__2[[#This Row],[reviewText]])</f>
        <v>23</v>
      </c>
      <c r="R1449" t="str">
        <f>IF(AMAZON_FASHION_5__2[[#This Row],[overall]]&gt;=4,"Positive",IF(AMAZON_FASHION_5__2[[#This Row],[overall]]&lt;=2,"Negative","Neutral"))</f>
        <v>Positive</v>
      </c>
      <c r="S14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50" spans="1:19" x14ac:dyDescent="0.25">
      <c r="A1450">
        <v>5</v>
      </c>
      <c r="B1450" t="b">
        <v>1</v>
      </c>
      <c r="C1450" s="1">
        <v>42812</v>
      </c>
      <c r="D1450">
        <f>YEAR(AMAZON_FASHION_5__2[[#This Row],[reviewDate]])</f>
        <v>2017</v>
      </c>
      <c r="E1450" s="1" t="str">
        <f>TEXT(AMAZON_FASHION_5__2[[#This Row],[reviewDate]], "mmmm")</f>
        <v>March</v>
      </c>
      <c r="F1450" t="s">
        <v>956</v>
      </c>
      <c r="G1450" t="s">
        <v>1479</v>
      </c>
      <c r="H1450" t="s">
        <v>201</v>
      </c>
      <c r="I1450" t="s">
        <v>198</v>
      </c>
      <c r="J1450" t="s">
        <v>957</v>
      </c>
      <c r="K1450" t="s">
        <v>958</v>
      </c>
      <c r="L1450" t="s">
        <v>17</v>
      </c>
      <c r="M1450">
        <v>1489795200</v>
      </c>
      <c r="N1450" t="s">
        <v>1628</v>
      </c>
      <c r="O1450" t="s">
        <v>1628</v>
      </c>
      <c r="P1450" t="s">
        <v>1628</v>
      </c>
      <c r="Q1450">
        <f>LEN(AMAZON_FASHION_5__2[[#This Row],[reviewText]])</f>
        <v>40</v>
      </c>
      <c r="R1450" t="str">
        <f>IF(AMAZON_FASHION_5__2[[#This Row],[overall]]&gt;=4,"Positive",IF(AMAZON_FASHION_5__2[[#This Row],[overall]]&lt;=2,"Negative","Neutral"))</f>
        <v>Positive</v>
      </c>
      <c r="S14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51" spans="1:19" x14ac:dyDescent="0.25">
      <c r="A1451">
        <v>5</v>
      </c>
      <c r="B1451" t="b">
        <v>1</v>
      </c>
      <c r="C1451" s="1">
        <v>42812</v>
      </c>
      <c r="D1451">
        <f>YEAR(AMAZON_FASHION_5__2[[#This Row],[reviewDate]])</f>
        <v>2017</v>
      </c>
      <c r="E1451" s="1" t="str">
        <f>TEXT(AMAZON_FASHION_5__2[[#This Row],[reviewDate]], "mmmm")</f>
        <v>March</v>
      </c>
      <c r="F1451" t="s">
        <v>959</v>
      </c>
      <c r="G1451" t="s">
        <v>1479</v>
      </c>
      <c r="H1451" t="s">
        <v>201</v>
      </c>
      <c r="I1451" t="s">
        <v>419</v>
      </c>
      <c r="J1451" t="s">
        <v>960</v>
      </c>
      <c r="K1451" t="s">
        <v>961</v>
      </c>
      <c r="L1451" t="s">
        <v>962</v>
      </c>
      <c r="M1451">
        <v>1489795200</v>
      </c>
      <c r="N1451" t="s">
        <v>1628</v>
      </c>
      <c r="O1451" t="s">
        <v>1628</v>
      </c>
      <c r="P1451">
        <v>8</v>
      </c>
      <c r="Q1451">
        <f>LEN(AMAZON_FASHION_5__2[[#This Row],[reviewText]])</f>
        <v>267</v>
      </c>
      <c r="R1451" t="str">
        <f>IF(AMAZON_FASHION_5__2[[#This Row],[overall]]&gt;=4,"Positive",IF(AMAZON_FASHION_5__2[[#This Row],[overall]]&lt;=2,"Negative","Neutral"))</f>
        <v>Positive</v>
      </c>
      <c r="S14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52" spans="1:19" x14ac:dyDescent="0.25">
      <c r="A1452">
        <v>3</v>
      </c>
      <c r="B1452" t="b">
        <v>1</v>
      </c>
      <c r="C1452" s="1">
        <v>42811</v>
      </c>
      <c r="D1452">
        <f>YEAR(AMAZON_FASHION_5__2[[#This Row],[reviewDate]])</f>
        <v>2017</v>
      </c>
      <c r="E1452" s="1" t="str">
        <f>TEXT(AMAZON_FASHION_5__2[[#This Row],[reviewDate]], "mmmm")</f>
        <v>March</v>
      </c>
      <c r="F1452" t="s">
        <v>963</v>
      </c>
      <c r="G1452" t="s">
        <v>1479</v>
      </c>
      <c r="H1452" t="s">
        <v>477</v>
      </c>
      <c r="I1452" t="s">
        <v>344</v>
      </c>
      <c r="J1452" t="s">
        <v>964</v>
      </c>
      <c r="K1452" t="s">
        <v>965</v>
      </c>
      <c r="L1452" t="s">
        <v>966</v>
      </c>
      <c r="M1452">
        <v>1489708800</v>
      </c>
      <c r="N1452" t="s">
        <v>1628</v>
      </c>
      <c r="O1452" t="s">
        <v>1628</v>
      </c>
      <c r="P1452" t="s">
        <v>1628</v>
      </c>
      <c r="Q1452">
        <f>LEN(AMAZON_FASHION_5__2[[#This Row],[reviewText]])</f>
        <v>143</v>
      </c>
      <c r="R1452" t="str">
        <f>IF(AMAZON_FASHION_5__2[[#This Row],[overall]]&gt;=4,"Positive",IF(AMAZON_FASHION_5__2[[#This Row],[overall]]&lt;=2,"Negative","Neutral"))</f>
        <v>Neutral</v>
      </c>
      <c r="S14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53" spans="1:19" x14ac:dyDescent="0.25">
      <c r="A1453">
        <v>4</v>
      </c>
      <c r="B1453" t="b">
        <v>1</v>
      </c>
      <c r="C1453" s="1">
        <v>42809</v>
      </c>
      <c r="D1453">
        <f>YEAR(AMAZON_FASHION_5__2[[#This Row],[reviewDate]])</f>
        <v>2017</v>
      </c>
      <c r="E1453" s="1" t="str">
        <f>TEXT(AMAZON_FASHION_5__2[[#This Row],[reviewDate]], "mmmm")</f>
        <v>March</v>
      </c>
      <c r="F1453" t="s">
        <v>967</v>
      </c>
      <c r="G1453" t="s">
        <v>1479</v>
      </c>
      <c r="H1453" t="s">
        <v>201</v>
      </c>
      <c r="I1453" t="s">
        <v>524</v>
      </c>
      <c r="J1453" t="s">
        <v>968</v>
      </c>
      <c r="K1453" t="s">
        <v>969</v>
      </c>
      <c r="L1453" t="s">
        <v>970</v>
      </c>
      <c r="M1453">
        <v>1489536000</v>
      </c>
      <c r="N1453" t="s">
        <v>1628</v>
      </c>
      <c r="O1453" t="s">
        <v>1628</v>
      </c>
      <c r="P1453" t="s">
        <v>1628</v>
      </c>
      <c r="Q1453">
        <f>LEN(AMAZON_FASHION_5__2[[#This Row],[reviewText]])</f>
        <v>118</v>
      </c>
      <c r="R1453" t="str">
        <f>IF(AMAZON_FASHION_5__2[[#This Row],[overall]]&gt;=4,"Positive",IF(AMAZON_FASHION_5__2[[#This Row],[overall]]&lt;=2,"Negative","Neutral"))</f>
        <v>Positive</v>
      </c>
      <c r="S14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54" spans="1:19" x14ac:dyDescent="0.25">
      <c r="A1454">
        <v>3</v>
      </c>
      <c r="B1454" t="b">
        <v>1</v>
      </c>
      <c r="C1454" s="1">
        <v>42809</v>
      </c>
      <c r="D1454">
        <f>YEAR(AMAZON_FASHION_5__2[[#This Row],[reviewDate]])</f>
        <v>2017</v>
      </c>
      <c r="E1454" s="1" t="str">
        <f>TEXT(AMAZON_FASHION_5__2[[#This Row],[reviewDate]], "mmmm")</f>
        <v>March</v>
      </c>
      <c r="F1454" t="s">
        <v>971</v>
      </c>
      <c r="G1454" t="s">
        <v>1479</v>
      </c>
      <c r="H1454" t="s">
        <v>235</v>
      </c>
      <c r="I1454" t="s">
        <v>411</v>
      </c>
      <c r="J1454" t="s">
        <v>972</v>
      </c>
      <c r="K1454" t="s">
        <v>973</v>
      </c>
      <c r="L1454" t="s">
        <v>974</v>
      </c>
      <c r="M1454">
        <v>1489536000</v>
      </c>
      <c r="N1454" t="s">
        <v>1628</v>
      </c>
      <c r="O1454" t="s">
        <v>1628</v>
      </c>
      <c r="P1454">
        <v>2</v>
      </c>
      <c r="Q1454">
        <f>LEN(AMAZON_FASHION_5__2[[#This Row],[reviewText]])</f>
        <v>150</v>
      </c>
      <c r="R1454" t="str">
        <f>IF(AMAZON_FASHION_5__2[[#This Row],[overall]]&gt;=4,"Positive",IF(AMAZON_FASHION_5__2[[#This Row],[overall]]&lt;=2,"Negative","Neutral"))</f>
        <v>Neutral</v>
      </c>
      <c r="S14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55" spans="1:19" x14ac:dyDescent="0.25">
      <c r="A1455">
        <v>5</v>
      </c>
      <c r="B1455" t="b">
        <v>1</v>
      </c>
      <c r="C1455" s="1">
        <v>42809</v>
      </c>
      <c r="D1455">
        <f>YEAR(AMAZON_FASHION_5__2[[#This Row],[reviewDate]])</f>
        <v>2017</v>
      </c>
      <c r="E1455" s="1" t="str">
        <f>TEXT(AMAZON_FASHION_5__2[[#This Row],[reviewDate]], "mmmm")</f>
        <v>March</v>
      </c>
      <c r="F1455" t="s">
        <v>975</v>
      </c>
      <c r="G1455" t="s">
        <v>1479</v>
      </c>
      <c r="H1455" t="s">
        <v>201</v>
      </c>
      <c r="I1455" t="s">
        <v>524</v>
      </c>
      <c r="J1455" t="s">
        <v>976</v>
      </c>
      <c r="K1455" t="s">
        <v>977</v>
      </c>
      <c r="L1455" t="s">
        <v>17</v>
      </c>
      <c r="M1455">
        <v>1489536000</v>
      </c>
      <c r="N1455" t="s">
        <v>1628</v>
      </c>
      <c r="O1455" t="s">
        <v>1628</v>
      </c>
      <c r="P1455" t="s">
        <v>1628</v>
      </c>
      <c r="Q1455">
        <f>LEN(AMAZON_FASHION_5__2[[#This Row],[reviewText]])</f>
        <v>40</v>
      </c>
      <c r="R1455" t="str">
        <f>IF(AMAZON_FASHION_5__2[[#This Row],[overall]]&gt;=4,"Positive",IF(AMAZON_FASHION_5__2[[#This Row],[overall]]&lt;=2,"Negative","Neutral"))</f>
        <v>Positive</v>
      </c>
      <c r="S14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56" spans="1:19" x14ac:dyDescent="0.25">
      <c r="A1456">
        <v>5</v>
      </c>
      <c r="B1456" t="b">
        <v>1</v>
      </c>
      <c r="C1456" s="1">
        <v>42808</v>
      </c>
      <c r="D1456">
        <f>YEAR(AMAZON_FASHION_5__2[[#This Row],[reviewDate]])</f>
        <v>2017</v>
      </c>
      <c r="E1456" s="1" t="str">
        <f>TEXT(AMAZON_FASHION_5__2[[#This Row],[reviewDate]], "mmmm")</f>
        <v>March</v>
      </c>
      <c r="F1456" t="s">
        <v>978</v>
      </c>
      <c r="G1456" t="s">
        <v>1479</v>
      </c>
      <c r="H1456" t="s">
        <v>205</v>
      </c>
      <c r="I1456" t="s">
        <v>827</v>
      </c>
      <c r="J1456" t="s">
        <v>979</v>
      </c>
      <c r="K1456" t="s">
        <v>980</v>
      </c>
      <c r="L1456" t="s">
        <v>17</v>
      </c>
      <c r="M1456">
        <v>1489449600</v>
      </c>
      <c r="N1456" t="s">
        <v>1628</v>
      </c>
      <c r="O1456" t="s">
        <v>1628</v>
      </c>
      <c r="P1456" t="s">
        <v>1628</v>
      </c>
      <c r="Q1456">
        <f>LEN(AMAZON_FASHION_5__2[[#This Row],[reviewText]])</f>
        <v>33</v>
      </c>
      <c r="R1456" t="str">
        <f>IF(AMAZON_FASHION_5__2[[#This Row],[overall]]&gt;=4,"Positive",IF(AMAZON_FASHION_5__2[[#This Row],[overall]]&lt;=2,"Negative","Neutral"))</f>
        <v>Positive</v>
      </c>
      <c r="S14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57" spans="1:19" x14ac:dyDescent="0.25">
      <c r="A1457">
        <v>5</v>
      </c>
      <c r="B1457" t="b">
        <v>1</v>
      </c>
      <c r="C1457" s="1">
        <v>42807</v>
      </c>
      <c r="D1457">
        <f>YEAR(AMAZON_FASHION_5__2[[#This Row],[reviewDate]])</f>
        <v>2017</v>
      </c>
      <c r="E1457" s="1" t="str">
        <f>TEXT(AMAZON_FASHION_5__2[[#This Row],[reviewDate]], "mmmm")</f>
        <v>March</v>
      </c>
      <c r="F1457" t="s">
        <v>981</v>
      </c>
      <c r="G1457" t="s">
        <v>1479</v>
      </c>
      <c r="H1457" t="s">
        <v>210</v>
      </c>
      <c r="I1457" t="s">
        <v>524</v>
      </c>
      <c r="J1457" t="s">
        <v>982</v>
      </c>
      <c r="K1457" t="s">
        <v>983</v>
      </c>
      <c r="L1457" t="s">
        <v>984</v>
      </c>
      <c r="M1457">
        <v>1489363200</v>
      </c>
      <c r="N1457" t="s">
        <v>1628</v>
      </c>
      <c r="O1457" t="s">
        <v>1628</v>
      </c>
      <c r="P1457" t="s">
        <v>1628</v>
      </c>
      <c r="Q1457">
        <f>LEN(AMAZON_FASHION_5__2[[#This Row],[reviewText]])</f>
        <v>297</v>
      </c>
      <c r="R1457" t="str">
        <f>IF(AMAZON_FASHION_5__2[[#This Row],[overall]]&gt;=4,"Positive",IF(AMAZON_FASHION_5__2[[#This Row],[overall]]&lt;=2,"Negative","Neutral"))</f>
        <v>Positive</v>
      </c>
      <c r="S14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58" spans="1:19" x14ac:dyDescent="0.25">
      <c r="A1458">
        <v>5</v>
      </c>
      <c r="B1458" t="b">
        <v>1</v>
      </c>
      <c r="C1458" s="1">
        <v>42806</v>
      </c>
      <c r="D1458">
        <f>YEAR(AMAZON_FASHION_5__2[[#This Row],[reviewDate]])</f>
        <v>2017</v>
      </c>
      <c r="E1458" s="1" t="str">
        <f>TEXT(AMAZON_FASHION_5__2[[#This Row],[reviewDate]], "mmmm")</f>
        <v>March</v>
      </c>
      <c r="F1458" t="s">
        <v>985</v>
      </c>
      <c r="G1458" t="s">
        <v>1479</v>
      </c>
      <c r="H1458" t="s">
        <v>235</v>
      </c>
      <c r="I1458" t="s">
        <v>198</v>
      </c>
      <c r="J1458" t="s">
        <v>986</v>
      </c>
      <c r="K1458" t="s">
        <v>987</v>
      </c>
      <c r="L1458" t="s">
        <v>988</v>
      </c>
      <c r="M1458">
        <v>1489276800</v>
      </c>
      <c r="N1458" t="s">
        <v>1628</v>
      </c>
      <c r="O1458" t="s">
        <v>1628</v>
      </c>
      <c r="P1458" t="s">
        <v>1628</v>
      </c>
      <c r="Q1458">
        <f>LEN(AMAZON_FASHION_5__2[[#This Row],[reviewText]])</f>
        <v>81</v>
      </c>
      <c r="R1458" t="str">
        <f>IF(AMAZON_FASHION_5__2[[#This Row],[overall]]&gt;=4,"Positive",IF(AMAZON_FASHION_5__2[[#This Row],[overall]]&lt;=2,"Negative","Neutral"))</f>
        <v>Positive</v>
      </c>
      <c r="S14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59" spans="1:19" x14ac:dyDescent="0.25">
      <c r="A1459">
        <v>5</v>
      </c>
      <c r="B1459" t="b">
        <v>1</v>
      </c>
      <c r="C1459" s="1">
        <v>42802</v>
      </c>
      <c r="D1459">
        <f>YEAR(AMAZON_FASHION_5__2[[#This Row],[reviewDate]])</f>
        <v>2017</v>
      </c>
      <c r="E1459" s="1" t="str">
        <f>TEXT(AMAZON_FASHION_5__2[[#This Row],[reviewDate]], "mmmm")</f>
        <v>March</v>
      </c>
      <c r="F1459" t="s">
        <v>989</v>
      </c>
      <c r="G1459" t="s">
        <v>1479</v>
      </c>
      <c r="H1459" t="s">
        <v>477</v>
      </c>
      <c r="I1459" t="s">
        <v>198</v>
      </c>
      <c r="J1459" t="s">
        <v>990</v>
      </c>
      <c r="K1459" t="s">
        <v>991</v>
      </c>
      <c r="L1459" t="s">
        <v>17</v>
      </c>
      <c r="M1459">
        <v>1488931200</v>
      </c>
      <c r="N1459" t="s">
        <v>1628</v>
      </c>
      <c r="O1459" t="s">
        <v>1628</v>
      </c>
      <c r="P1459" t="s">
        <v>1628</v>
      </c>
      <c r="Q1459">
        <f>LEN(AMAZON_FASHION_5__2[[#This Row],[reviewText]])</f>
        <v>13</v>
      </c>
      <c r="R1459" t="str">
        <f>IF(AMAZON_FASHION_5__2[[#This Row],[overall]]&gt;=4,"Positive",IF(AMAZON_FASHION_5__2[[#This Row],[overall]]&lt;=2,"Negative","Neutral"))</f>
        <v>Positive</v>
      </c>
      <c r="S14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60" spans="1:19" x14ac:dyDescent="0.25">
      <c r="A1460">
        <v>4</v>
      </c>
      <c r="B1460" t="b">
        <v>1</v>
      </c>
      <c r="C1460" s="1">
        <v>42802</v>
      </c>
      <c r="D1460">
        <f>YEAR(AMAZON_FASHION_5__2[[#This Row],[reviewDate]])</f>
        <v>2017</v>
      </c>
      <c r="E1460" s="1" t="str">
        <f>TEXT(AMAZON_FASHION_5__2[[#This Row],[reviewDate]], "mmmm")</f>
        <v>March</v>
      </c>
      <c r="F1460" t="s">
        <v>992</v>
      </c>
      <c r="G1460" t="s">
        <v>1479</v>
      </c>
      <c r="H1460" t="s">
        <v>205</v>
      </c>
      <c r="I1460" t="s">
        <v>827</v>
      </c>
      <c r="J1460" t="s">
        <v>63</v>
      </c>
      <c r="K1460" t="s">
        <v>993</v>
      </c>
      <c r="L1460" t="s">
        <v>994</v>
      </c>
      <c r="M1460">
        <v>1488931200</v>
      </c>
      <c r="N1460" t="s">
        <v>1628</v>
      </c>
      <c r="O1460" t="s">
        <v>1628</v>
      </c>
      <c r="P1460" t="s">
        <v>1628</v>
      </c>
      <c r="Q1460">
        <f>LEN(AMAZON_FASHION_5__2[[#This Row],[reviewText]])</f>
        <v>182</v>
      </c>
      <c r="R1460" t="str">
        <f>IF(AMAZON_FASHION_5__2[[#This Row],[overall]]&gt;=4,"Positive",IF(AMAZON_FASHION_5__2[[#This Row],[overall]]&lt;=2,"Negative","Neutral"))</f>
        <v>Positive</v>
      </c>
      <c r="S14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61" spans="1:19" x14ac:dyDescent="0.25">
      <c r="A1461">
        <v>4</v>
      </c>
      <c r="B1461" t="b">
        <v>1</v>
      </c>
      <c r="C1461" s="1">
        <v>42802</v>
      </c>
      <c r="D1461">
        <f>YEAR(AMAZON_FASHION_5__2[[#This Row],[reviewDate]])</f>
        <v>2017</v>
      </c>
      <c r="E1461" s="1" t="str">
        <f>TEXT(AMAZON_FASHION_5__2[[#This Row],[reviewDate]], "mmmm")</f>
        <v>March</v>
      </c>
      <c r="F1461" t="s">
        <v>992</v>
      </c>
      <c r="G1461" t="s">
        <v>1479</v>
      </c>
      <c r="H1461" t="s">
        <v>205</v>
      </c>
      <c r="I1461" t="s">
        <v>344</v>
      </c>
      <c r="J1461" t="s">
        <v>63</v>
      </c>
      <c r="K1461" t="s">
        <v>993</v>
      </c>
      <c r="L1461" t="s">
        <v>994</v>
      </c>
      <c r="M1461">
        <v>1488931200</v>
      </c>
      <c r="N1461" t="s">
        <v>1628</v>
      </c>
      <c r="O1461" t="s">
        <v>1628</v>
      </c>
      <c r="P1461" t="s">
        <v>1628</v>
      </c>
      <c r="Q1461">
        <f>LEN(AMAZON_FASHION_5__2[[#This Row],[reviewText]])</f>
        <v>182</v>
      </c>
      <c r="R1461" t="str">
        <f>IF(AMAZON_FASHION_5__2[[#This Row],[overall]]&gt;=4,"Positive",IF(AMAZON_FASHION_5__2[[#This Row],[overall]]&lt;=2,"Negative","Neutral"))</f>
        <v>Positive</v>
      </c>
      <c r="S14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62" spans="1:19" x14ac:dyDescent="0.25">
      <c r="A1462">
        <v>5</v>
      </c>
      <c r="B1462" t="b">
        <v>1</v>
      </c>
      <c r="C1462" s="1">
        <v>42800</v>
      </c>
      <c r="D1462">
        <f>YEAR(AMAZON_FASHION_5__2[[#This Row],[reviewDate]])</f>
        <v>2017</v>
      </c>
      <c r="E1462" s="1" t="str">
        <f>TEXT(AMAZON_FASHION_5__2[[#This Row],[reviewDate]], "mmmm")</f>
        <v>March</v>
      </c>
      <c r="F1462" t="s">
        <v>995</v>
      </c>
      <c r="G1462" t="s">
        <v>1479</v>
      </c>
      <c r="H1462" t="s">
        <v>230</v>
      </c>
      <c r="I1462" t="s">
        <v>198</v>
      </c>
      <c r="J1462" t="s">
        <v>996</v>
      </c>
      <c r="K1462" t="s">
        <v>997</v>
      </c>
      <c r="L1462" t="s">
        <v>17</v>
      </c>
      <c r="M1462">
        <v>1488758400</v>
      </c>
      <c r="N1462" t="s">
        <v>1628</v>
      </c>
      <c r="O1462" t="s">
        <v>1628</v>
      </c>
      <c r="P1462" t="s">
        <v>1628</v>
      </c>
      <c r="Q1462">
        <f>LEN(AMAZON_FASHION_5__2[[#This Row],[reviewText]])</f>
        <v>10</v>
      </c>
      <c r="R1462" t="str">
        <f>IF(AMAZON_FASHION_5__2[[#This Row],[overall]]&gt;=4,"Positive",IF(AMAZON_FASHION_5__2[[#This Row],[overall]]&lt;=2,"Negative","Neutral"))</f>
        <v>Positive</v>
      </c>
      <c r="S14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63" spans="1:19" x14ac:dyDescent="0.25">
      <c r="A1463">
        <v>5</v>
      </c>
      <c r="B1463" t="b">
        <v>0</v>
      </c>
      <c r="C1463" s="1">
        <v>42792</v>
      </c>
      <c r="D1463">
        <f>YEAR(AMAZON_FASHION_5__2[[#This Row],[reviewDate]])</f>
        <v>2017</v>
      </c>
      <c r="E1463" s="1" t="str">
        <f>TEXT(AMAZON_FASHION_5__2[[#This Row],[reviewDate]], "mmmm")</f>
        <v>February</v>
      </c>
      <c r="F1463" t="s">
        <v>998</v>
      </c>
      <c r="G1463" t="s">
        <v>1479</v>
      </c>
      <c r="H1463" t="s">
        <v>261</v>
      </c>
      <c r="I1463" t="s">
        <v>1455</v>
      </c>
      <c r="J1463" t="s">
        <v>999</v>
      </c>
      <c r="K1463" t="s">
        <v>1000</v>
      </c>
      <c r="L1463" t="s">
        <v>1001</v>
      </c>
      <c r="M1463">
        <v>1488067200</v>
      </c>
      <c r="N1463" t="s">
        <v>1628</v>
      </c>
      <c r="O1463" t="s">
        <v>1628</v>
      </c>
      <c r="P1463" t="s">
        <v>1628</v>
      </c>
      <c r="Q1463">
        <f>LEN(AMAZON_FASHION_5__2[[#This Row],[reviewText]])</f>
        <v>206</v>
      </c>
      <c r="R1463" t="str">
        <f>IF(AMAZON_FASHION_5__2[[#This Row],[overall]]&gt;=4,"Positive",IF(AMAZON_FASHION_5__2[[#This Row],[overall]]&lt;=2,"Negative","Neutral"))</f>
        <v>Positive</v>
      </c>
      <c r="S14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64" spans="1:19" x14ac:dyDescent="0.25">
      <c r="A1464">
        <v>4</v>
      </c>
      <c r="B1464" t="b">
        <v>1</v>
      </c>
      <c r="C1464" s="1">
        <v>42790</v>
      </c>
      <c r="D1464">
        <f>YEAR(AMAZON_FASHION_5__2[[#This Row],[reviewDate]])</f>
        <v>2017</v>
      </c>
      <c r="E1464" s="1" t="str">
        <f>TEXT(AMAZON_FASHION_5__2[[#This Row],[reviewDate]], "mmmm")</f>
        <v>February</v>
      </c>
      <c r="F1464" t="s">
        <v>1002</v>
      </c>
      <c r="G1464" t="s">
        <v>1479</v>
      </c>
      <c r="H1464" t="s">
        <v>197</v>
      </c>
      <c r="I1464" t="s">
        <v>198</v>
      </c>
      <c r="J1464" t="s">
        <v>1003</v>
      </c>
      <c r="K1464" t="s">
        <v>1004</v>
      </c>
      <c r="L1464" t="s">
        <v>1005</v>
      </c>
      <c r="M1464">
        <v>1487894400</v>
      </c>
      <c r="N1464" t="s">
        <v>1628</v>
      </c>
      <c r="O1464" t="s">
        <v>1628</v>
      </c>
      <c r="P1464" t="s">
        <v>1628</v>
      </c>
      <c r="Q1464">
        <f>LEN(AMAZON_FASHION_5__2[[#This Row],[reviewText]])</f>
        <v>171</v>
      </c>
      <c r="R1464" t="str">
        <f>IF(AMAZON_FASHION_5__2[[#This Row],[overall]]&gt;=4,"Positive",IF(AMAZON_FASHION_5__2[[#This Row],[overall]]&lt;=2,"Negative","Neutral"))</f>
        <v>Positive</v>
      </c>
      <c r="S14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65" spans="1:19" x14ac:dyDescent="0.25">
      <c r="A1465">
        <v>5</v>
      </c>
      <c r="B1465" t="b">
        <v>1</v>
      </c>
      <c r="C1465" s="1">
        <v>42790</v>
      </c>
      <c r="D1465">
        <f>YEAR(AMAZON_FASHION_5__2[[#This Row],[reviewDate]])</f>
        <v>2017</v>
      </c>
      <c r="E1465" s="1" t="str">
        <f>TEXT(AMAZON_FASHION_5__2[[#This Row],[reviewDate]], "mmmm")</f>
        <v>February</v>
      </c>
      <c r="F1465" t="s">
        <v>1006</v>
      </c>
      <c r="G1465" t="s">
        <v>1479</v>
      </c>
      <c r="H1465" t="s">
        <v>197</v>
      </c>
      <c r="I1465" t="s">
        <v>198</v>
      </c>
      <c r="J1465" t="s">
        <v>1007</v>
      </c>
      <c r="K1465" t="s">
        <v>1008</v>
      </c>
      <c r="L1465" t="s">
        <v>17</v>
      </c>
      <c r="M1465">
        <v>1487894400</v>
      </c>
      <c r="N1465" t="s">
        <v>1628</v>
      </c>
      <c r="O1465" t="s">
        <v>1628</v>
      </c>
      <c r="P1465" t="s">
        <v>1628</v>
      </c>
      <c r="Q1465">
        <f>LEN(AMAZON_FASHION_5__2[[#This Row],[reviewText]])</f>
        <v>12</v>
      </c>
      <c r="R1465" t="str">
        <f>IF(AMAZON_FASHION_5__2[[#This Row],[overall]]&gt;=4,"Positive",IF(AMAZON_FASHION_5__2[[#This Row],[overall]]&lt;=2,"Negative","Neutral"))</f>
        <v>Positive</v>
      </c>
      <c r="S14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66" spans="1:19" x14ac:dyDescent="0.25">
      <c r="A1466">
        <v>4</v>
      </c>
      <c r="B1466" t="b">
        <v>1</v>
      </c>
      <c r="C1466" s="1">
        <v>42787</v>
      </c>
      <c r="D1466">
        <f>YEAR(AMAZON_FASHION_5__2[[#This Row],[reviewDate]])</f>
        <v>2017</v>
      </c>
      <c r="E1466" s="1" t="str">
        <f>TEXT(AMAZON_FASHION_5__2[[#This Row],[reviewDate]], "mmmm")</f>
        <v>February</v>
      </c>
      <c r="F1466" t="s">
        <v>1009</v>
      </c>
      <c r="G1466" t="s">
        <v>1479</v>
      </c>
      <c r="H1466" t="s">
        <v>201</v>
      </c>
      <c r="I1466" t="s">
        <v>642</v>
      </c>
      <c r="J1466" t="s">
        <v>1010</v>
      </c>
      <c r="K1466" t="s">
        <v>1011</v>
      </c>
      <c r="L1466" t="s">
        <v>1012</v>
      </c>
      <c r="M1466">
        <v>1487635200</v>
      </c>
      <c r="N1466" t="s">
        <v>1628</v>
      </c>
      <c r="O1466" t="s">
        <v>1628</v>
      </c>
      <c r="P1466" t="s">
        <v>1628</v>
      </c>
      <c r="Q1466">
        <f>LEN(AMAZON_FASHION_5__2[[#This Row],[reviewText]])</f>
        <v>126</v>
      </c>
      <c r="R1466" t="str">
        <f>IF(AMAZON_FASHION_5__2[[#This Row],[overall]]&gt;=4,"Positive",IF(AMAZON_FASHION_5__2[[#This Row],[overall]]&lt;=2,"Negative","Neutral"))</f>
        <v>Positive</v>
      </c>
      <c r="S14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67" spans="1:19" x14ac:dyDescent="0.25">
      <c r="A1467">
        <v>5</v>
      </c>
      <c r="B1467" t="b">
        <v>1</v>
      </c>
      <c r="C1467" s="1">
        <v>42787</v>
      </c>
      <c r="D1467">
        <f>YEAR(AMAZON_FASHION_5__2[[#This Row],[reviewDate]])</f>
        <v>2017</v>
      </c>
      <c r="E1467" s="1" t="str">
        <f>TEXT(AMAZON_FASHION_5__2[[#This Row],[reviewDate]], "mmmm")</f>
        <v>February</v>
      </c>
      <c r="F1467" t="s">
        <v>1013</v>
      </c>
      <c r="G1467" t="s">
        <v>1479</v>
      </c>
      <c r="H1467" t="s">
        <v>210</v>
      </c>
      <c r="I1467" t="s">
        <v>198</v>
      </c>
      <c r="J1467" t="s">
        <v>1014</v>
      </c>
      <c r="K1467" t="s">
        <v>1015</v>
      </c>
      <c r="L1467" t="s">
        <v>17</v>
      </c>
      <c r="M1467">
        <v>1487635200</v>
      </c>
      <c r="N1467" t="s">
        <v>1628</v>
      </c>
      <c r="O1467" t="s">
        <v>1628</v>
      </c>
      <c r="P1467" t="s">
        <v>1628</v>
      </c>
      <c r="Q1467">
        <f>LEN(AMAZON_FASHION_5__2[[#This Row],[reviewText]])</f>
        <v>56</v>
      </c>
      <c r="R1467" t="str">
        <f>IF(AMAZON_FASHION_5__2[[#This Row],[overall]]&gt;=4,"Positive",IF(AMAZON_FASHION_5__2[[#This Row],[overall]]&lt;=2,"Negative","Neutral"))</f>
        <v>Positive</v>
      </c>
      <c r="S14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68" spans="1:19" x14ac:dyDescent="0.25">
      <c r="A1468">
        <v>3</v>
      </c>
      <c r="B1468" t="b">
        <v>1</v>
      </c>
      <c r="C1468" s="1">
        <v>42782</v>
      </c>
      <c r="D1468">
        <f>YEAR(AMAZON_FASHION_5__2[[#This Row],[reviewDate]])</f>
        <v>2017</v>
      </c>
      <c r="E1468" s="1" t="str">
        <f>TEXT(AMAZON_FASHION_5__2[[#This Row],[reviewDate]], "mmmm")</f>
        <v>February</v>
      </c>
      <c r="F1468" t="s">
        <v>1016</v>
      </c>
      <c r="G1468" t="s">
        <v>1479</v>
      </c>
      <c r="H1468" t="s">
        <v>197</v>
      </c>
      <c r="I1468" t="s">
        <v>524</v>
      </c>
      <c r="J1468" t="s">
        <v>63</v>
      </c>
      <c r="K1468" t="s">
        <v>1017</v>
      </c>
      <c r="L1468" t="s">
        <v>1018</v>
      </c>
      <c r="M1468">
        <v>1487203200</v>
      </c>
      <c r="N1468" t="s">
        <v>1628</v>
      </c>
      <c r="O1468" t="s">
        <v>1628</v>
      </c>
      <c r="P1468" t="s">
        <v>1628</v>
      </c>
      <c r="Q1468">
        <f>LEN(AMAZON_FASHION_5__2[[#This Row],[reviewText]])</f>
        <v>198</v>
      </c>
      <c r="R1468" t="str">
        <f>IF(AMAZON_FASHION_5__2[[#This Row],[overall]]&gt;=4,"Positive",IF(AMAZON_FASHION_5__2[[#This Row],[overall]]&lt;=2,"Negative","Neutral"))</f>
        <v>Neutral</v>
      </c>
      <c r="S14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69" spans="1:19" x14ac:dyDescent="0.25">
      <c r="A1469">
        <v>5</v>
      </c>
      <c r="B1469" t="b">
        <v>1</v>
      </c>
      <c r="C1469" s="1">
        <v>42781</v>
      </c>
      <c r="D1469">
        <f>YEAR(AMAZON_FASHION_5__2[[#This Row],[reviewDate]])</f>
        <v>2017</v>
      </c>
      <c r="E1469" s="1" t="str">
        <f>TEXT(AMAZON_FASHION_5__2[[#This Row],[reviewDate]], "mmmm")</f>
        <v>February</v>
      </c>
      <c r="F1469" t="s">
        <v>1019</v>
      </c>
      <c r="G1469" t="s">
        <v>1479</v>
      </c>
      <c r="H1469" t="s">
        <v>235</v>
      </c>
      <c r="I1469" t="s">
        <v>827</v>
      </c>
      <c r="J1469" t="s">
        <v>1020</v>
      </c>
      <c r="K1469" t="s">
        <v>1021</v>
      </c>
      <c r="L1469" t="s">
        <v>1022</v>
      </c>
      <c r="M1469">
        <v>1487116800</v>
      </c>
      <c r="N1469" t="s">
        <v>1628</v>
      </c>
      <c r="O1469" t="s">
        <v>1628</v>
      </c>
      <c r="P1469">
        <v>5</v>
      </c>
      <c r="Q1469">
        <f>LEN(AMAZON_FASHION_5__2[[#This Row],[reviewText]])</f>
        <v>388</v>
      </c>
      <c r="R1469" t="str">
        <f>IF(AMAZON_FASHION_5__2[[#This Row],[overall]]&gt;=4,"Positive",IF(AMAZON_FASHION_5__2[[#This Row],[overall]]&lt;=2,"Negative","Neutral"))</f>
        <v>Positive</v>
      </c>
      <c r="S14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70" spans="1:19" x14ac:dyDescent="0.25">
      <c r="A1470">
        <v>5</v>
      </c>
      <c r="B1470" t="b">
        <v>1</v>
      </c>
      <c r="C1470" s="1">
        <v>42779</v>
      </c>
      <c r="D1470">
        <f>YEAR(AMAZON_FASHION_5__2[[#This Row],[reviewDate]])</f>
        <v>2017</v>
      </c>
      <c r="E1470" s="1" t="str">
        <f>TEXT(AMAZON_FASHION_5__2[[#This Row],[reviewDate]], "mmmm")</f>
        <v>February</v>
      </c>
      <c r="F1470" t="s">
        <v>1023</v>
      </c>
      <c r="G1470" t="s">
        <v>1479</v>
      </c>
      <c r="H1470" t="s">
        <v>205</v>
      </c>
      <c r="I1470" t="s">
        <v>198</v>
      </c>
      <c r="J1470" t="s">
        <v>1024</v>
      </c>
      <c r="K1470" t="s">
        <v>1025</v>
      </c>
      <c r="L1470" t="s">
        <v>1026</v>
      </c>
      <c r="M1470">
        <v>1486944000</v>
      </c>
      <c r="N1470" t="s">
        <v>1628</v>
      </c>
      <c r="O1470" t="s">
        <v>1628</v>
      </c>
      <c r="P1470" t="s">
        <v>1628</v>
      </c>
      <c r="Q1470">
        <f>LEN(AMAZON_FASHION_5__2[[#This Row],[reviewText]])</f>
        <v>87</v>
      </c>
      <c r="R1470" t="str">
        <f>IF(AMAZON_FASHION_5__2[[#This Row],[overall]]&gt;=4,"Positive",IF(AMAZON_FASHION_5__2[[#This Row],[overall]]&lt;=2,"Negative","Neutral"))</f>
        <v>Positive</v>
      </c>
      <c r="S14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71" spans="1:19" x14ac:dyDescent="0.25">
      <c r="A1471">
        <v>5</v>
      </c>
      <c r="B1471" t="b">
        <v>1</v>
      </c>
      <c r="C1471" s="1">
        <v>42778</v>
      </c>
      <c r="D1471">
        <f>YEAR(AMAZON_FASHION_5__2[[#This Row],[reviewDate]])</f>
        <v>2017</v>
      </c>
      <c r="E1471" s="1" t="str">
        <f>TEXT(AMAZON_FASHION_5__2[[#This Row],[reviewDate]], "mmmm")</f>
        <v>February</v>
      </c>
      <c r="F1471" t="s">
        <v>1027</v>
      </c>
      <c r="G1471" t="s">
        <v>1479</v>
      </c>
      <c r="H1471" t="s">
        <v>201</v>
      </c>
      <c r="I1471" t="s">
        <v>198</v>
      </c>
      <c r="J1471" t="s">
        <v>1028</v>
      </c>
      <c r="K1471" t="s">
        <v>1029</v>
      </c>
      <c r="L1471" t="s">
        <v>1030</v>
      </c>
      <c r="M1471">
        <v>1486857600</v>
      </c>
      <c r="N1471" t="s">
        <v>1628</v>
      </c>
      <c r="O1471" t="s">
        <v>1628</v>
      </c>
      <c r="P1471" t="s">
        <v>1628</v>
      </c>
      <c r="Q1471">
        <f>LEN(AMAZON_FASHION_5__2[[#This Row],[reviewText]])</f>
        <v>140</v>
      </c>
      <c r="R1471" t="str">
        <f>IF(AMAZON_FASHION_5__2[[#This Row],[overall]]&gt;=4,"Positive",IF(AMAZON_FASHION_5__2[[#This Row],[overall]]&lt;=2,"Negative","Neutral"))</f>
        <v>Positive</v>
      </c>
      <c r="S14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72" spans="1:19" x14ac:dyDescent="0.25">
      <c r="A1472">
        <v>5</v>
      </c>
      <c r="B1472" t="b">
        <v>1</v>
      </c>
      <c r="C1472" s="1">
        <v>42777</v>
      </c>
      <c r="D1472">
        <f>YEAR(AMAZON_FASHION_5__2[[#This Row],[reviewDate]])</f>
        <v>2017</v>
      </c>
      <c r="E1472" s="1" t="str">
        <f>TEXT(AMAZON_FASHION_5__2[[#This Row],[reviewDate]], "mmmm")</f>
        <v>February</v>
      </c>
      <c r="F1472" t="s">
        <v>1031</v>
      </c>
      <c r="G1472" t="s">
        <v>1479</v>
      </c>
      <c r="H1472" t="s">
        <v>320</v>
      </c>
      <c r="I1472" t="s">
        <v>198</v>
      </c>
      <c r="J1472" t="s">
        <v>1032</v>
      </c>
      <c r="K1472" t="s">
        <v>1033</v>
      </c>
      <c r="L1472" t="s">
        <v>17</v>
      </c>
      <c r="M1472">
        <v>1486771200</v>
      </c>
      <c r="N1472" t="s">
        <v>1628</v>
      </c>
      <c r="O1472" t="s">
        <v>1628</v>
      </c>
      <c r="P1472" t="s">
        <v>1628</v>
      </c>
      <c r="Q1472">
        <f>LEN(AMAZON_FASHION_5__2[[#This Row],[reviewText]])</f>
        <v>28</v>
      </c>
      <c r="R1472" t="str">
        <f>IF(AMAZON_FASHION_5__2[[#This Row],[overall]]&gt;=4,"Positive",IF(AMAZON_FASHION_5__2[[#This Row],[overall]]&lt;=2,"Negative","Neutral"))</f>
        <v>Positive</v>
      </c>
      <c r="S14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73" spans="1:19" x14ac:dyDescent="0.25">
      <c r="A1473">
        <v>4</v>
      </c>
      <c r="B1473" t="b">
        <v>1</v>
      </c>
      <c r="C1473" s="1">
        <v>42774</v>
      </c>
      <c r="D1473">
        <f>YEAR(AMAZON_FASHION_5__2[[#This Row],[reviewDate]])</f>
        <v>2017</v>
      </c>
      <c r="E1473" s="1" t="str">
        <f>TEXT(AMAZON_FASHION_5__2[[#This Row],[reviewDate]], "mmmm")</f>
        <v>February</v>
      </c>
      <c r="F1473" t="s">
        <v>1034</v>
      </c>
      <c r="G1473" t="s">
        <v>1479</v>
      </c>
      <c r="H1473" t="s">
        <v>201</v>
      </c>
      <c r="I1473" t="s">
        <v>827</v>
      </c>
      <c r="J1473" t="s">
        <v>1035</v>
      </c>
      <c r="K1473" t="s">
        <v>1036</v>
      </c>
      <c r="L1473" t="s">
        <v>1037</v>
      </c>
      <c r="M1473">
        <v>1486512000</v>
      </c>
      <c r="N1473" t="s">
        <v>1628</v>
      </c>
      <c r="O1473" t="s">
        <v>1628</v>
      </c>
      <c r="P1473">
        <v>4</v>
      </c>
      <c r="Q1473">
        <f>LEN(AMAZON_FASHION_5__2[[#This Row],[reviewText]])</f>
        <v>570</v>
      </c>
      <c r="R1473" t="str">
        <f>IF(AMAZON_FASHION_5__2[[#This Row],[overall]]&gt;=4,"Positive",IF(AMAZON_FASHION_5__2[[#This Row],[overall]]&lt;=2,"Negative","Neutral"))</f>
        <v>Positive</v>
      </c>
      <c r="S14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74" spans="1:19" x14ac:dyDescent="0.25">
      <c r="A1474">
        <v>4</v>
      </c>
      <c r="B1474" t="b">
        <v>1</v>
      </c>
      <c r="C1474" s="1">
        <v>42772</v>
      </c>
      <c r="D1474">
        <f>YEAR(AMAZON_FASHION_5__2[[#This Row],[reviewDate]])</f>
        <v>2017</v>
      </c>
      <c r="E1474" s="1" t="str">
        <f>TEXT(AMAZON_FASHION_5__2[[#This Row],[reviewDate]], "mmmm")</f>
        <v>February</v>
      </c>
      <c r="F1474" t="s">
        <v>1038</v>
      </c>
      <c r="G1474" t="s">
        <v>1479</v>
      </c>
      <c r="H1474" t="s">
        <v>201</v>
      </c>
      <c r="I1474" t="s">
        <v>236</v>
      </c>
      <c r="J1474" t="s">
        <v>1039</v>
      </c>
      <c r="K1474" t="s">
        <v>1040</v>
      </c>
      <c r="L1474" t="s">
        <v>1041</v>
      </c>
      <c r="M1474">
        <v>1486339200</v>
      </c>
      <c r="N1474" t="s">
        <v>1628</v>
      </c>
      <c r="O1474" t="s">
        <v>1628</v>
      </c>
      <c r="P1474" t="s">
        <v>1628</v>
      </c>
      <c r="Q1474">
        <f>LEN(AMAZON_FASHION_5__2[[#This Row],[reviewText]])</f>
        <v>316</v>
      </c>
      <c r="R1474" t="str">
        <f>IF(AMAZON_FASHION_5__2[[#This Row],[overall]]&gt;=4,"Positive",IF(AMAZON_FASHION_5__2[[#This Row],[overall]]&lt;=2,"Negative","Neutral"))</f>
        <v>Positive</v>
      </c>
      <c r="S14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75" spans="1:19" x14ac:dyDescent="0.25">
      <c r="A1475">
        <v>2</v>
      </c>
      <c r="B1475" t="b">
        <v>1</v>
      </c>
      <c r="C1475" s="1">
        <v>42768</v>
      </c>
      <c r="D1475">
        <f>YEAR(AMAZON_FASHION_5__2[[#This Row],[reviewDate]])</f>
        <v>2017</v>
      </c>
      <c r="E1475" s="1" t="str">
        <f>TEXT(AMAZON_FASHION_5__2[[#This Row],[reviewDate]], "mmmm")</f>
        <v>February</v>
      </c>
      <c r="F1475" t="s">
        <v>1042</v>
      </c>
      <c r="G1475" t="s">
        <v>1479</v>
      </c>
      <c r="H1475" t="s">
        <v>205</v>
      </c>
      <c r="I1475" t="s">
        <v>344</v>
      </c>
      <c r="J1475" t="s">
        <v>63</v>
      </c>
      <c r="K1475" t="s">
        <v>1043</v>
      </c>
      <c r="L1475" t="s">
        <v>1044</v>
      </c>
      <c r="M1475">
        <v>1485993600</v>
      </c>
      <c r="N1475" t="s">
        <v>1628</v>
      </c>
      <c r="O1475" t="s">
        <v>1628</v>
      </c>
      <c r="P1475" t="s">
        <v>1628</v>
      </c>
      <c r="Q1475">
        <f>LEN(AMAZON_FASHION_5__2[[#This Row],[reviewText]])</f>
        <v>107</v>
      </c>
      <c r="R1475" t="str">
        <f>IF(AMAZON_FASHION_5__2[[#This Row],[overall]]&gt;=4,"Positive",IF(AMAZON_FASHION_5__2[[#This Row],[overall]]&lt;=2,"Negative","Neutral"))</f>
        <v>Negative</v>
      </c>
      <c r="S14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76" spans="1:19" x14ac:dyDescent="0.25">
      <c r="A1476">
        <v>5</v>
      </c>
      <c r="B1476" t="b">
        <v>1</v>
      </c>
      <c r="C1476" s="1">
        <v>42767</v>
      </c>
      <c r="D1476">
        <f>YEAR(AMAZON_FASHION_5__2[[#This Row],[reviewDate]])</f>
        <v>2017</v>
      </c>
      <c r="E1476" s="1" t="str">
        <f>TEXT(AMAZON_FASHION_5__2[[#This Row],[reviewDate]], "mmmm")</f>
        <v>February</v>
      </c>
      <c r="F1476" t="s">
        <v>158</v>
      </c>
      <c r="G1476" t="s">
        <v>1479</v>
      </c>
      <c r="H1476" t="s">
        <v>320</v>
      </c>
      <c r="I1476" t="s">
        <v>198</v>
      </c>
      <c r="J1476" t="s">
        <v>160</v>
      </c>
      <c r="K1476" t="s">
        <v>1045</v>
      </c>
      <c r="L1476" t="s">
        <v>1046</v>
      </c>
      <c r="M1476">
        <v>1485907200</v>
      </c>
      <c r="N1476" t="s">
        <v>1628</v>
      </c>
      <c r="O1476" t="s">
        <v>1628</v>
      </c>
      <c r="P1476" t="s">
        <v>1628</v>
      </c>
      <c r="Q1476">
        <f>LEN(AMAZON_FASHION_5__2[[#This Row],[reviewText]])</f>
        <v>122</v>
      </c>
      <c r="R1476" t="str">
        <f>IF(AMAZON_FASHION_5__2[[#This Row],[overall]]&gt;=4,"Positive",IF(AMAZON_FASHION_5__2[[#This Row],[overall]]&lt;=2,"Negative","Neutral"))</f>
        <v>Positive</v>
      </c>
      <c r="S14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77" spans="1:19" x14ac:dyDescent="0.25">
      <c r="A1477">
        <v>3</v>
      </c>
      <c r="B1477" t="b">
        <v>1</v>
      </c>
      <c r="C1477" s="1">
        <v>42766</v>
      </c>
      <c r="D1477">
        <f>YEAR(AMAZON_FASHION_5__2[[#This Row],[reviewDate]])</f>
        <v>2017</v>
      </c>
      <c r="E1477" s="1" t="str">
        <f>TEXT(AMAZON_FASHION_5__2[[#This Row],[reviewDate]], "mmmm")</f>
        <v>January</v>
      </c>
      <c r="F1477" t="s">
        <v>1047</v>
      </c>
      <c r="G1477" t="s">
        <v>1479</v>
      </c>
      <c r="H1477" t="s">
        <v>235</v>
      </c>
      <c r="I1477" t="s">
        <v>419</v>
      </c>
      <c r="J1477" t="s">
        <v>1048</v>
      </c>
      <c r="K1477" t="s">
        <v>1049</v>
      </c>
      <c r="L1477" t="s">
        <v>101</v>
      </c>
      <c r="M1477">
        <v>1485820800</v>
      </c>
      <c r="N1477" t="s">
        <v>1628</v>
      </c>
      <c r="O1477" t="s">
        <v>1628</v>
      </c>
      <c r="P1477">
        <v>3</v>
      </c>
      <c r="Q1477">
        <f>LEN(AMAZON_FASHION_5__2[[#This Row],[reviewText]])</f>
        <v>7</v>
      </c>
      <c r="R1477" t="str">
        <f>IF(AMAZON_FASHION_5__2[[#This Row],[overall]]&gt;=4,"Positive",IF(AMAZON_FASHION_5__2[[#This Row],[overall]]&lt;=2,"Negative","Neutral"))</f>
        <v>Neutral</v>
      </c>
      <c r="S14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78" spans="1:19" x14ac:dyDescent="0.25">
      <c r="A1478">
        <v>5</v>
      </c>
      <c r="B1478" t="b">
        <v>1</v>
      </c>
      <c r="C1478" s="1">
        <v>42760</v>
      </c>
      <c r="D1478">
        <f>YEAR(AMAZON_FASHION_5__2[[#This Row],[reviewDate]])</f>
        <v>2017</v>
      </c>
      <c r="E1478" s="1" t="str">
        <f>TEXT(AMAZON_FASHION_5__2[[#This Row],[reviewDate]], "mmmm")</f>
        <v>January</v>
      </c>
      <c r="F1478" t="s">
        <v>1050</v>
      </c>
      <c r="G1478" t="s">
        <v>1479</v>
      </c>
      <c r="H1478" t="s">
        <v>197</v>
      </c>
      <c r="I1478" t="s">
        <v>524</v>
      </c>
      <c r="J1478" t="s">
        <v>63</v>
      </c>
      <c r="K1478" t="s">
        <v>1051</v>
      </c>
      <c r="L1478" t="s">
        <v>1052</v>
      </c>
      <c r="M1478">
        <v>1485302400</v>
      </c>
      <c r="N1478" t="s">
        <v>1628</v>
      </c>
      <c r="O1478" t="s">
        <v>1628</v>
      </c>
      <c r="P1478" t="s">
        <v>1628</v>
      </c>
      <c r="Q1478">
        <f>LEN(AMAZON_FASHION_5__2[[#This Row],[reviewText]])</f>
        <v>521</v>
      </c>
      <c r="R1478" t="str">
        <f>IF(AMAZON_FASHION_5__2[[#This Row],[overall]]&gt;=4,"Positive",IF(AMAZON_FASHION_5__2[[#This Row],[overall]]&lt;=2,"Negative","Neutral"))</f>
        <v>Positive</v>
      </c>
      <c r="S14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79" spans="1:19" x14ac:dyDescent="0.25">
      <c r="A1479">
        <v>5</v>
      </c>
      <c r="B1479" t="b">
        <v>1</v>
      </c>
      <c r="C1479" s="1">
        <v>42757</v>
      </c>
      <c r="D1479">
        <f>YEAR(AMAZON_FASHION_5__2[[#This Row],[reviewDate]])</f>
        <v>2017</v>
      </c>
      <c r="E1479" s="1" t="str">
        <f>TEXT(AMAZON_FASHION_5__2[[#This Row],[reviewDate]], "mmmm")</f>
        <v>January</v>
      </c>
      <c r="F1479" t="s">
        <v>1053</v>
      </c>
      <c r="G1479" t="s">
        <v>1479</v>
      </c>
      <c r="H1479" t="s">
        <v>205</v>
      </c>
      <c r="I1479" t="s">
        <v>827</v>
      </c>
      <c r="J1479" t="s">
        <v>1054</v>
      </c>
      <c r="K1479" t="s">
        <v>1055</v>
      </c>
      <c r="L1479" t="s">
        <v>1056</v>
      </c>
      <c r="M1479">
        <v>1485043200</v>
      </c>
      <c r="N1479" t="s">
        <v>1628</v>
      </c>
      <c r="O1479" t="s">
        <v>1628</v>
      </c>
      <c r="P1479" t="s">
        <v>1628</v>
      </c>
      <c r="Q1479">
        <f>LEN(AMAZON_FASHION_5__2[[#This Row],[reviewText]])</f>
        <v>90</v>
      </c>
      <c r="R1479" t="str">
        <f>IF(AMAZON_FASHION_5__2[[#This Row],[overall]]&gt;=4,"Positive",IF(AMAZON_FASHION_5__2[[#This Row],[overall]]&lt;=2,"Negative","Neutral"))</f>
        <v>Positive</v>
      </c>
      <c r="S14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80" spans="1:19" x14ac:dyDescent="0.25">
      <c r="A1480">
        <v>5</v>
      </c>
      <c r="B1480" t="b">
        <v>1</v>
      </c>
      <c r="C1480" s="1">
        <v>42755</v>
      </c>
      <c r="D1480">
        <f>YEAR(AMAZON_FASHION_5__2[[#This Row],[reviewDate]])</f>
        <v>2017</v>
      </c>
      <c r="E1480" s="1" t="str">
        <f>TEXT(AMAZON_FASHION_5__2[[#This Row],[reviewDate]], "mmmm")</f>
        <v>January</v>
      </c>
      <c r="F1480" t="s">
        <v>1057</v>
      </c>
      <c r="G1480" t="s">
        <v>1479</v>
      </c>
      <c r="H1480" t="s">
        <v>210</v>
      </c>
      <c r="I1480" t="s">
        <v>524</v>
      </c>
      <c r="J1480" t="s">
        <v>1058</v>
      </c>
      <c r="K1480" t="s">
        <v>1059</v>
      </c>
      <c r="L1480" t="s">
        <v>1060</v>
      </c>
      <c r="M1480">
        <v>1484870400</v>
      </c>
      <c r="N1480" t="s">
        <v>1628</v>
      </c>
      <c r="O1480" t="s">
        <v>1628</v>
      </c>
      <c r="P1480" t="s">
        <v>1628</v>
      </c>
      <c r="Q1480">
        <f>LEN(AMAZON_FASHION_5__2[[#This Row],[reviewText]])</f>
        <v>40</v>
      </c>
      <c r="R1480" t="str">
        <f>IF(AMAZON_FASHION_5__2[[#This Row],[overall]]&gt;=4,"Positive",IF(AMAZON_FASHION_5__2[[#This Row],[overall]]&lt;=2,"Negative","Neutral"))</f>
        <v>Positive</v>
      </c>
      <c r="S14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81" spans="1:19" x14ac:dyDescent="0.25">
      <c r="A1481">
        <v>5</v>
      </c>
      <c r="B1481" t="b">
        <v>1</v>
      </c>
      <c r="C1481" s="1">
        <v>42753</v>
      </c>
      <c r="D1481">
        <f>YEAR(AMAZON_FASHION_5__2[[#This Row],[reviewDate]])</f>
        <v>2017</v>
      </c>
      <c r="E1481" s="1" t="str">
        <f>TEXT(AMAZON_FASHION_5__2[[#This Row],[reviewDate]], "mmmm")</f>
        <v>January</v>
      </c>
      <c r="F1481" t="s">
        <v>1061</v>
      </c>
      <c r="G1481" t="s">
        <v>1479</v>
      </c>
      <c r="H1481" t="s">
        <v>230</v>
      </c>
      <c r="I1481" t="s">
        <v>1476</v>
      </c>
      <c r="J1481" t="s">
        <v>1062</v>
      </c>
      <c r="K1481" t="s">
        <v>1063</v>
      </c>
      <c r="L1481" t="s">
        <v>1064</v>
      </c>
      <c r="M1481">
        <v>1484697600</v>
      </c>
      <c r="N1481" t="s">
        <v>1628</v>
      </c>
      <c r="O1481" t="s">
        <v>1628</v>
      </c>
      <c r="P1481" t="s">
        <v>1628</v>
      </c>
      <c r="Q1481">
        <f>LEN(AMAZON_FASHION_5__2[[#This Row],[reviewText]])</f>
        <v>105</v>
      </c>
      <c r="R1481" t="str">
        <f>IF(AMAZON_FASHION_5__2[[#This Row],[overall]]&gt;=4,"Positive",IF(AMAZON_FASHION_5__2[[#This Row],[overall]]&lt;=2,"Negative","Neutral"))</f>
        <v>Positive</v>
      </c>
      <c r="S14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82" spans="1:19" x14ac:dyDescent="0.25">
      <c r="A1482">
        <v>2</v>
      </c>
      <c r="B1482" t="b">
        <v>1</v>
      </c>
      <c r="C1482" s="1">
        <v>42753</v>
      </c>
      <c r="D1482">
        <f>YEAR(AMAZON_FASHION_5__2[[#This Row],[reviewDate]])</f>
        <v>2017</v>
      </c>
      <c r="E1482" s="1" t="str">
        <f>TEXT(AMAZON_FASHION_5__2[[#This Row],[reviewDate]], "mmmm")</f>
        <v>January</v>
      </c>
      <c r="F1482" t="s">
        <v>1065</v>
      </c>
      <c r="G1482" t="s">
        <v>1479</v>
      </c>
      <c r="H1482" t="s">
        <v>230</v>
      </c>
      <c r="I1482" t="s">
        <v>198</v>
      </c>
      <c r="J1482" t="s">
        <v>1066</v>
      </c>
      <c r="K1482" t="s">
        <v>1067</v>
      </c>
      <c r="L1482" t="s">
        <v>1068</v>
      </c>
      <c r="M1482">
        <v>1484697600</v>
      </c>
      <c r="N1482" t="s">
        <v>1628</v>
      </c>
      <c r="O1482" t="s">
        <v>1628</v>
      </c>
      <c r="P1482" t="s">
        <v>1628</v>
      </c>
      <c r="Q1482">
        <f>LEN(AMAZON_FASHION_5__2[[#This Row],[reviewText]])</f>
        <v>118</v>
      </c>
      <c r="R1482" t="str">
        <f>IF(AMAZON_FASHION_5__2[[#This Row],[overall]]&gt;=4,"Positive",IF(AMAZON_FASHION_5__2[[#This Row],[overall]]&lt;=2,"Negative","Neutral"))</f>
        <v>Negative</v>
      </c>
      <c r="S14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83" spans="1:19" x14ac:dyDescent="0.25">
      <c r="A1483">
        <v>5</v>
      </c>
      <c r="B1483" t="b">
        <v>1</v>
      </c>
      <c r="C1483" s="1">
        <v>42753</v>
      </c>
      <c r="D1483">
        <f>YEAR(AMAZON_FASHION_5__2[[#This Row],[reviewDate]])</f>
        <v>2017</v>
      </c>
      <c r="E1483" s="1" t="str">
        <f>TEXT(AMAZON_FASHION_5__2[[#This Row],[reviewDate]], "mmmm")</f>
        <v>January</v>
      </c>
      <c r="F1483" t="s">
        <v>1069</v>
      </c>
      <c r="G1483" t="s">
        <v>1479</v>
      </c>
      <c r="H1483" t="s">
        <v>197</v>
      </c>
      <c r="I1483" t="s">
        <v>211</v>
      </c>
      <c r="J1483" t="s">
        <v>1070</v>
      </c>
      <c r="K1483" t="s">
        <v>1071</v>
      </c>
      <c r="L1483" t="s">
        <v>1072</v>
      </c>
      <c r="M1483">
        <v>1484697600</v>
      </c>
      <c r="N1483" t="s">
        <v>1628</v>
      </c>
      <c r="O1483" t="s">
        <v>1628</v>
      </c>
      <c r="P1483" t="s">
        <v>1628</v>
      </c>
      <c r="Q1483">
        <f>LEN(AMAZON_FASHION_5__2[[#This Row],[reviewText]])</f>
        <v>88</v>
      </c>
      <c r="R1483" t="str">
        <f>IF(AMAZON_FASHION_5__2[[#This Row],[overall]]&gt;=4,"Positive",IF(AMAZON_FASHION_5__2[[#This Row],[overall]]&lt;=2,"Negative","Neutral"))</f>
        <v>Positive</v>
      </c>
      <c r="S14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84" spans="1:19" x14ac:dyDescent="0.25">
      <c r="A1484">
        <v>5</v>
      </c>
      <c r="B1484" t="b">
        <v>1</v>
      </c>
      <c r="C1484" s="1">
        <v>42753</v>
      </c>
      <c r="D1484">
        <f>YEAR(AMAZON_FASHION_5__2[[#This Row],[reviewDate]])</f>
        <v>2017</v>
      </c>
      <c r="E1484" s="1" t="str">
        <f>TEXT(AMAZON_FASHION_5__2[[#This Row],[reviewDate]], "mmmm")</f>
        <v>January</v>
      </c>
      <c r="F1484" t="s">
        <v>1073</v>
      </c>
      <c r="G1484" t="s">
        <v>1479</v>
      </c>
      <c r="H1484" t="s">
        <v>235</v>
      </c>
      <c r="I1484" t="s">
        <v>99</v>
      </c>
      <c r="J1484" t="s">
        <v>63</v>
      </c>
      <c r="K1484" t="s">
        <v>1074</v>
      </c>
      <c r="L1484" t="s">
        <v>17</v>
      </c>
      <c r="M1484">
        <v>1484697600</v>
      </c>
      <c r="N1484" t="s">
        <v>1628</v>
      </c>
      <c r="O1484" t="s">
        <v>1628</v>
      </c>
      <c r="P1484" t="s">
        <v>1628</v>
      </c>
      <c r="Q1484">
        <f>LEN(AMAZON_FASHION_5__2[[#This Row],[reviewText]])</f>
        <v>11</v>
      </c>
      <c r="R1484" t="str">
        <f>IF(AMAZON_FASHION_5__2[[#This Row],[overall]]&gt;=4,"Positive",IF(AMAZON_FASHION_5__2[[#This Row],[overall]]&lt;=2,"Negative","Neutral"))</f>
        <v>Positive</v>
      </c>
      <c r="S14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85" spans="1:19" x14ac:dyDescent="0.25">
      <c r="A1485">
        <v>4</v>
      </c>
      <c r="B1485" t="b">
        <v>1</v>
      </c>
      <c r="C1485" s="1">
        <v>42753</v>
      </c>
      <c r="D1485">
        <f>YEAR(AMAZON_FASHION_5__2[[#This Row],[reviewDate]])</f>
        <v>2017</v>
      </c>
      <c r="E1485" s="1" t="str">
        <f>TEXT(AMAZON_FASHION_5__2[[#This Row],[reviewDate]], "mmmm")</f>
        <v>January</v>
      </c>
      <c r="F1485" t="s">
        <v>1075</v>
      </c>
      <c r="G1485" t="s">
        <v>1479</v>
      </c>
      <c r="H1485" t="s">
        <v>201</v>
      </c>
      <c r="I1485" t="s">
        <v>198</v>
      </c>
      <c r="J1485" t="s">
        <v>1076</v>
      </c>
      <c r="K1485" t="s">
        <v>1077</v>
      </c>
      <c r="L1485" t="s">
        <v>1078</v>
      </c>
      <c r="M1485">
        <v>1484697600</v>
      </c>
      <c r="N1485" t="s">
        <v>1628</v>
      </c>
      <c r="O1485" t="s">
        <v>1628</v>
      </c>
      <c r="P1485" t="s">
        <v>1628</v>
      </c>
      <c r="Q1485">
        <f>LEN(AMAZON_FASHION_5__2[[#This Row],[reviewText]])</f>
        <v>316</v>
      </c>
      <c r="R1485" t="str">
        <f>IF(AMAZON_FASHION_5__2[[#This Row],[overall]]&gt;=4,"Positive",IF(AMAZON_FASHION_5__2[[#This Row],[overall]]&lt;=2,"Negative","Neutral"))</f>
        <v>Positive</v>
      </c>
      <c r="S14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86" spans="1:19" x14ac:dyDescent="0.25">
      <c r="A1486">
        <v>1</v>
      </c>
      <c r="B1486" t="b">
        <v>1</v>
      </c>
      <c r="C1486" s="1">
        <v>42750</v>
      </c>
      <c r="D1486">
        <f>YEAR(AMAZON_FASHION_5__2[[#This Row],[reviewDate]])</f>
        <v>2017</v>
      </c>
      <c r="E1486" s="1" t="str">
        <f>TEXT(AMAZON_FASHION_5__2[[#This Row],[reviewDate]], "mmmm")</f>
        <v>January</v>
      </c>
      <c r="F1486" t="s">
        <v>1079</v>
      </c>
      <c r="G1486" t="s">
        <v>1479</v>
      </c>
      <c r="H1486" t="s">
        <v>235</v>
      </c>
      <c r="I1486" t="s">
        <v>411</v>
      </c>
      <c r="J1486" t="s">
        <v>1080</v>
      </c>
      <c r="K1486" t="s">
        <v>1081</v>
      </c>
      <c r="L1486" t="s">
        <v>1082</v>
      </c>
      <c r="M1486">
        <v>1484438400</v>
      </c>
      <c r="N1486" t="s">
        <v>1628</v>
      </c>
      <c r="O1486" t="s">
        <v>1628</v>
      </c>
      <c r="P1486">
        <v>19</v>
      </c>
      <c r="Q1486">
        <f>LEN(AMAZON_FASHION_5__2[[#This Row],[reviewText]])</f>
        <v>69</v>
      </c>
      <c r="R1486" t="str">
        <f>IF(AMAZON_FASHION_5__2[[#This Row],[overall]]&gt;=4,"Positive",IF(AMAZON_FASHION_5__2[[#This Row],[overall]]&lt;=2,"Negative","Neutral"))</f>
        <v>Negative</v>
      </c>
      <c r="S14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87" spans="1:19" x14ac:dyDescent="0.25">
      <c r="A1487">
        <v>4</v>
      </c>
      <c r="B1487" t="b">
        <v>1</v>
      </c>
      <c r="C1487" s="1">
        <v>42748</v>
      </c>
      <c r="D1487">
        <f>YEAR(AMAZON_FASHION_5__2[[#This Row],[reviewDate]])</f>
        <v>2017</v>
      </c>
      <c r="E1487" s="1" t="str">
        <f>TEXT(AMAZON_FASHION_5__2[[#This Row],[reviewDate]], "mmmm")</f>
        <v>January</v>
      </c>
      <c r="F1487" t="s">
        <v>1083</v>
      </c>
      <c r="G1487" t="s">
        <v>1479</v>
      </c>
      <c r="H1487" t="s">
        <v>205</v>
      </c>
      <c r="I1487" t="s">
        <v>1084</v>
      </c>
      <c r="J1487" t="s">
        <v>63</v>
      </c>
      <c r="K1487" t="s">
        <v>1085</v>
      </c>
      <c r="L1487" t="s">
        <v>1086</v>
      </c>
      <c r="M1487">
        <v>1484265600</v>
      </c>
      <c r="N1487" t="s">
        <v>1628</v>
      </c>
      <c r="O1487" t="s">
        <v>1628</v>
      </c>
      <c r="P1487" t="s">
        <v>1628</v>
      </c>
      <c r="Q1487">
        <f>LEN(AMAZON_FASHION_5__2[[#This Row],[reviewText]])</f>
        <v>187</v>
      </c>
      <c r="R1487" t="str">
        <f>IF(AMAZON_FASHION_5__2[[#This Row],[overall]]&gt;=4,"Positive",IF(AMAZON_FASHION_5__2[[#This Row],[overall]]&lt;=2,"Negative","Neutral"))</f>
        <v>Positive</v>
      </c>
      <c r="S14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88" spans="1:19" x14ac:dyDescent="0.25">
      <c r="A1488">
        <v>5</v>
      </c>
      <c r="B1488" t="b">
        <v>1</v>
      </c>
      <c r="C1488" s="1">
        <v>42747</v>
      </c>
      <c r="D1488">
        <f>YEAR(AMAZON_FASHION_5__2[[#This Row],[reviewDate]])</f>
        <v>2017</v>
      </c>
      <c r="E1488" s="1" t="str">
        <f>TEXT(AMAZON_FASHION_5__2[[#This Row],[reviewDate]], "mmmm")</f>
        <v>January</v>
      </c>
      <c r="F1488" t="s">
        <v>1087</v>
      </c>
      <c r="G1488" t="s">
        <v>1479</v>
      </c>
      <c r="H1488" t="s">
        <v>230</v>
      </c>
      <c r="I1488" t="s">
        <v>507</v>
      </c>
      <c r="J1488" t="s">
        <v>1088</v>
      </c>
      <c r="K1488" t="s">
        <v>1089</v>
      </c>
      <c r="L1488" t="s">
        <v>1090</v>
      </c>
      <c r="M1488">
        <v>1484179200</v>
      </c>
      <c r="N1488" t="s">
        <v>1628</v>
      </c>
      <c r="O1488" t="s">
        <v>1628</v>
      </c>
      <c r="P1488" t="s">
        <v>1628</v>
      </c>
      <c r="Q1488">
        <f>LEN(AMAZON_FASHION_5__2[[#This Row],[reviewText]])</f>
        <v>216</v>
      </c>
      <c r="R1488" t="str">
        <f>IF(AMAZON_FASHION_5__2[[#This Row],[overall]]&gt;=4,"Positive",IF(AMAZON_FASHION_5__2[[#This Row],[overall]]&lt;=2,"Negative","Neutral"))</f>
        <v>Positive</v>
      </c>
      <c r="S14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89" spans="1:19" x14ac:dyDescent="0.25">
      <c r="A1489">
        <v>5</v>
      </c>
      <c r="B1489" t="b">
        <v>1</v>
      </c>
      <c r="C1489" s="1">
        <v>42747</v>
      </c>
      <c r="D1489">
        <f>YEAR(AMAZON_FASHION_5__2[[#This Row],[reviewDate]])</f>
        <v>2017</v>
      </c>
      <c r="E1489" s="1" t="str">
        <f>TEXT(AMAZON_FASHION_5__2[[#This Row],[reviewDate]], "mmmm")</f>
        <v>January</v>
      </c>
      <c r="F1489" t="s">
        <v>1091</v>
      </c>
      <c r="G1489" t="s">
        <v>1479</v>
      </c>
      <c r="H1489" t="s">
        <v>201</v>
      </c>
      <c r="I1489" t="s">
        <v>198</v>
      </c>
      <c r="J1489" t="s">
        <v>1092</v>
      </c>
      <c r="K1489" t="s">
        <v>1093</v>
      </c>
      <c r="L1489" t="s">
        <v>17</v>
      </c>
      <c r="M1489">
        <v>1484179200</v>
      </c>
      <c r="N1489" t="s">
        <v>1628</v>
      </c>
      <c r="O1489" t="s">
        <v>1628</v>
      </c>
      <c r="P1489" t="s">
        <v>1628</v>
      </c>
      <c r="Q1489">
        <f>LEN(AMAZON_FASHION_5__2[[#This Row],[reviewText]])</f>
        <v>20</v>
      </c>
      <c r="R1489" t="str">
        <f>IF(AMAZON_FASHION_5__2[[#This Row],[overall]]&gt;=4,"Positive",IF(AMAZON_FASHION_5__2[[#This Row],[overall]]&lt;=2,"Negative","Neutral"))</f>
        <v>Positive</v>
      </c>
      <c r="S14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90" spans="1:19" x14ac:dyDescent="0.25">
      <c r="A1490">
        <v>5</v>
      </c>
      <c r="B1490" t="b">
        <v>1</v>
      </c>
      <c r="C1490" s="1">
        <v>42745</v>
      </c>
      <c r="D1490">
        <f>YEAR(AMAZON_FASHION_5__2[[#This Row],[reviewDate]])</f>
        <v>2017</v>
      </c>
      <c r="E1490" s="1" t="str">
        <f>TEXT(AMAZON_FASHION_5__2[[#This Row],[reviewDate]], "mmmm")</f>
        <v>January</v>
      </c>
      <c r="F1490" t="s">
        <v>1094</v>
      </c>
      <c r="G1490" t="s">
        <v>1479</v>
      </c>
      <c r="H1490" t="s">
        <v>235</v>
      </c>
      <c r="I1490" t="s">
        <v>574</v>
      </c>
      <c r="J1490" t="s">
        <v>63</v>
      </c>
      <c r="K1490" t="s">
        <v>914</v>
      </c>
      <c r="L1490" t="s">
        <v>17</v>
      </c>
      <c r="M1490">
        <v>1484006400</v>
      </c>
      <c r="N1490" t="s">
        <v>1628</v>
      </c>
      <c r="O1490" t="s">
        <v>1628</v>
      </c>
      <c r="P1490" t="s">
        <v>1628</v>
      </c>
      <c r="Q1490">
        <f>LEN(AMAZON_FASHION_5__2[[#This Row],[reviewText]])</f>
        <v>17</v>
      </c>
      <c r="R1490" t="str">
        <f>IF(AMAZON_FASHION_5__2[[#This Row],[overall]]&gt;=4,"Positive",IF(AMAZON_FASHION_5__2[[#This Row],[overall]]&lt;=2,"Negative","Neutral"))</f>
        <v>Positive</v>
      </c>
      <c r="S14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91" spans="1:19" x14ac:dyDescent="0.25">
      <c r="A1491">
        <v>5</v>
      </c>
      <c r="B1491" t="b">
        <v>1</v>
      </c>
      <c r="C1491" s="1">
        <v>42742</v>
      </c>
      <c r="D1491">
        <f>YEAR(AMAZON_FASHION_5__2[[#This Row],[reviewDate]])</f>
        <v>2017</v>
      </c>
      <c r="E1491" s="1" t="str">
        <f>TEXT(AMAZON_FASHION_5__2[[#This Row],[reviewDate]], "mmmm")</f>
        <v>January</v>
      </c>
      <c r="F1491" t="s">
        <v>1095</v>
      </c>
      <c r="G1491" t="s">
        <v>1479</v>
      </c>
      <c r="H1491" t="s">
        <v>235</v>
      </c>
      <c r="I1491" t="s">
        <v>1084</v>
      </c>
      <c r="J1491" t="s">
        <v>63</v>
      </c>
      <c r="K1491" t="s">
        <v>1096</v>
      </c>
      <c r="L1491" t="s">
        <v>1097</v>
      </c>
      <c r="M1491">
        <v>1483747200</v>
      </c>
      <c r="N1491" t="s">
        <v>1628</v>
      </c>
      <c r="O1491" t="s">
        <v>1628</v>
      </c>
      <c r="P1491" t="s">
        <v>1628</v>
      </c>
      <c r="Q1491">
        <f>LEN(AMAZON_FASHION_5__2[[#This Row],[reviewText]])</f>
        <v>92</v>
      </c>
      <c r="R1491" t="str">
        <f>IF(AMAZON_FASHION_5__2[[#This Row],[overall]]&gt;=4,"Positive",IF(AMAZON_FASHION_5__2[[#This Row],[overall]]&lt;=2,"Negative","Neutral"))</f>
        <v>Positive</v>
      </c>
      <c r="S14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92" spans="1:19" x14ac:dyDescent="0.25">
      <c r="A1492">
        <v>5</v>
      </c>
      <c r="B1492" t="b">
        <v>1</v>
      </c>
      <c r="C1492" s="1">
        <v>42742</v>
      </c>
      <c r="D1492">
        <f>YEAR(AMAZON_FASHION_5__2[[#This Row],[reviewDate]])</f>
        <v>2017</v>
      </c>
      <c r="E1492" s="1" t="str">
        <f>TEXT(AMAZON_FASHION_5__2[[#This Row],[reviewDate]], "mmmm")</f>
        <v>January</v>
      </c>
      <c r="F1492" t="s">
        <v>1098</v>
      </c>
      <c r="G1492" t="s">
        <v>1479</v>
      </c>
      <c r="H1492" t="s">
        <v>320</v>
      </c>
      <c r="I1492" t="s">
        <v>1084</v>
      </c>
      <c r="J1492" t="s">
        <v>1099</v>
      </c>
      <c r="K1492" t="s">
        <v>1100</v>
      </c>
      <c r="L1492" t="s">
        <v>970</v>
      </c>
      <c r="M1492">
        <v>1483747200</v>
      </c>
      <c r="N1492" t="s">
        <v>1628</v>
      </c>
      <c r="O1492" t="s">
        <v>1628</v>
      </c>
      <c r="P1492" t="s">
        <v>1628</v>
      </c>
      <c r="Q1492">
        <f>LEN(AMAZON_FASHION_5__2[[#This Row],[reviewText]])</f>
        <v>182</v>
      </c>
      <c r="R1492" t="str">
        <f>IF(AMAZON_FASHION_5__2[[#This Row],[overall]]&gt;=4,"Positive",IF(AMAZON_FASHION_5__2[[#This Row],[overall]]&lt;=2,"Negative","Neutral"))</f>
        <v>Positive</v>
      </c>
      <c r="S14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93" spans="1:19" x14ac:dyDescent="0.25">
      <c r="A1493">
        <v>4</v>
      </c>
      <c r="B1493" t="b">
        <v>1</v>
      </c>
      <c r="C1493" s="1">
        <v>42741</v>
      </c>
      <c r="D1493">
        <f>YEAR(AMAZON_FASHION_5__2[[#This Row],[reviewDate]])</f>
        <v>2017</v>
      </c>
      <c r="E1493" s="1" t="str">
        <f>TEXT(AMAZON_FASHION_5__2[[#This Row],[reviewDate]], "mmmm")</f>
        <v>January</v>
      </c>
      <c r="F1493" t="s">
        <v>1101</v>
      </c>
      <c r="G1493" t="s">
        <v>1479</v>
      </c>
      <c r="H1493" t="s">
        <v>197</v>
      </c>
      <c r="I1493" t="s">
        <v>1084</v>
      </c>
      <c r="J1493" t="s">
        <v>63</v>
      </c>
      <c r="K1493" t="s">
        <v>1102</v>
      </c>
      <c r="L1493" t="s">
        <v>1103</v>
      </c>
      <c r="M1493">
        <v>1483660800</v>
      </c>
      <c r="N1493" t="s">
        <v>1628</v>
      </c>
      <c r="O1493" t="s">
        <v>1628</v>
      </c>
      <c r="P1493" t="s">
        <v>1628</v>
      </c>
      <c r="Q1493">
        <f>LEN(AMAZON_FASHION_5__2[[#This Row],[reviewText]])</f>
        <v>219</v>
      </c>
      <c r="R1493" t="str">
        <f>IF(AMAZON_FASHION_5__2[[#This Row],[overall]]&gt;=4,"Positive",IF(AMAZON_FASHION_5__2[[#This Row],[overall]]&lt;=2,"Negative","Neutral"))</f>
        <v>Positive</v>
      </c>
      <c r="S14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94" spans="1:19" x14ac:dyDescent="0.25">
      <c r="A1494">
        <v>1</v>
      </c>
      <c r="B1494" t="b">
        <v>1</v>
      </c>
      <c r="C1494" s="1">
        <v>42739</v>
      </c>
      <c r="D1494">
        <f>YEAR(AMAZON_FASHION_5__2[[#This Row],[reviewDate]])</f>
        <v>2017</v>
      </c>
      <c r="E1494" s="1" t="str">
        <f>TEXT(AMAZON_FASHION_5__2[[#This Row],[reviewDate]], "mmmm")</f>
        <v>January</v>
      </c>
      <c r="F1494" t="s">
        <v>1104</v>
      </c>
      <c r="G1494" t="s">
        <v>1479</v>
      </c>
      <c r="H1494" t="s">
        <v>205</v>
      </c>
      <c r="I1494" t="s">
        <v>211</v>
      </c>
      <c r="J1494" t="s">
        <v>1105</v>
      </c>
      <c r="K1494" t="s">
        <v>1106</v>
      </c>
      <c r="L1494" t="s">
        <v>1107</v>
      </c>
      <c r="M1494">
        <v>1483488000</v>
      </c>
      <c r="N1494" t="s">
        <v>1628</v>
      </c>
      <c r="O1494" t="s">
        <v>1628</v>
      </c>
      <c r="P1494" t="s">
        <v>1628</v>
      </c>
      <c r="Q1494">
        <f>LEN(AMAZON_FASHION_5__2[[#This Row],[reviewText]])</f>
        <v>258</v>
      </c>
      <c r="R1494" t="str">
        <f>IF(AMAZON_FASHION_5__2[[#This Row],[overall]]&gt;=4,"Positive",IF(AMAZON_FASHION_5__2[[#This Row],[overall]]&lt;=2,"Negative","Neutral"))</f>
        <v>Negative</v>
      </c>
      <c r="S14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95" spans="1:19" x14ac:dyDescent="0.25">
      <c r="A1495">
        <v>5</v>
      </c>
      <c r="B1495" t="b">
        <v>1</v>
      </c>
      <c r="C1495" s="1">
        <v>42739</v>
      </c>
      <c r="D1495">
        <f>YEAR(AMAZON_FASHION_5__2[[#This Row],[reviewDate]])</f>
        <v>2017</v>
      </c>
      <c r="E1495" s="1" t="str">
        <f>TEXT(AMAZON_FASHION_5__2[[#This Row],[reviewDate]], "mmmm")</f>
        <v>January</v>
      </c>
      <c r="F1495" t="s">
        <v>1108</v>
      </c>
      <c r="G1495" t="s">
        <v>1479</v>
      </c>
      <c r="H1495" t="s">
        <v>235</v>
      </c>
      <c r="I1495" t="s">
        <v>99</v>
      </c>
      <c r="J1495" t="s">
        <v>1109</v>
      </c>
      <c r="K1495" t="s">
        <v>1110</v>
      </c>
      <c r="L1495" t="s">
        <v>1111</v>
      </c>
      <c r="M1495">
        <v>1483488000</v>
      </c>
      <c r="N1495" t="s">
        <v>1628</v>
      </c>
      <c r="O1495" t="s">
        <v>1628</v>
      </c>
      <c r="P1495" t="s">
        <v>1628</v>
      </c>
      <c r="Q1495">
        <f>LEN(AMAZON_FASHION_5__2[[#This Row],[reviewText]])</f>
        <v>69</v>
      </c>
      <c r="R1495" t="str">
        <f>IF(AMAZON_FASHION_5__2[[#This Row],[overall]]&gt;=4,"Positive",IF(AMAZON_FASHION_5__2[[#This Row],[overall]]&lt;=2,"Negative","Neutral"))</f>
        <v>Positive</v>
      </c>
      <c r="S14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96" spans="1:19" x14ac:dyDescent="0.25">
      <c r="A1496">
        <v>5</v>
      </c>
      <c r="B1496" t="b">
        <v>1</v>
      </c>
      <c r="C1496" s="1">
        <v>42736</v>
      </c>
      <c r="D1496">
        <f>YEAR(AMAZON_FASHION_5__2[[#This Row],[reviewDate]])</f>
        <v>2017</v>
      </c>
      <c r="E1496" s="1" t="str">
        <f>TEXT(AMAZON_FASHION_5__2[[#This Row],[reviewDate]], "mmmm")</f>
        <v>January</v>
      </c>
      <c r="F1496" t="s">
        <v>1112</v>
      </c>
      <c r="G1496" t="s">
        <v>1479</v>
      </c>
      <c r="H1496" t="s">
        <v>197</v>
      </c>
      <c r="I1496" t="s">
        <v>1084</v>
      </c>
      <c r="J1496" t="s">
        <v>1113</v>
      </c>
      <c r="K1496" t="s">
        <v>1114</v>
      </c>
      <c r="L1496" t="s">
        <v>17</v>
      </c>
      <c r="M1496">
        <v>1483228800</v>
      </c>
      <c r="N1496" t="s">
        <v>1628</v>
      </c>
      <c r="O1496" t="s">
        <v>1628</v>
      </c>
      <c r="P1496" t="s">
        <v>1628</v>
      </c>
      <c r="Q1496">
        <f>LEN(AMAZON_FASHION_5__2[[#This Row],[reviewText]])</f>
        <v>32</v>
      </c>
      <c r="R1496" t="str">
        <f>IF(AMAZON_FASHION_5__2[[#This Row],[overall]]&gt;=4,"Positive",IF(AMAZON_FASHION_5__2[[#This Row],[overall]]&lt;=2,"Negative","Neutral"))</f>
        <v>Positive</v>
      </c>
      <c r="S14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97" spans="1:19" x14ac:dyDescent="0.25">
      <c r="A1497">
        <v>5</v>
      </c>
      <c r="B1497" t="b">
        <v>1</v>
      </c>
      <c r="C1497" s="1">
        <v>42736</v>
      </c>
      <c r="D1497">
        <f>YEAR(AMAZON_FASHION_5__2[[#This Row],[reviewDate]])</f>
        <v>2017</v>
      </c>
      <c r="E1497" s="1" t="str">
        <f>TEXT(AMAZON_FASHION_5__2[[#This Row],[reviewDate]], "mmmm")</f>
        <v>January</v>
      </c>
      <c r="F1497" t="s">
        <v>1115</v>
      </c>
      <c r="G1497" t="s">
        <v>1479</v>
      </c>
      <c r="H1497" t="s">
        <v>205</v>
      </c>
      <c r="I1497" t="s">
        <v>198</v>
      </c>
      <c r="J1497" t="s">
        <v>1116</v>
      </c>
      <c r="K1497" t="s">
        <v>1117</v>
      </c>
      <c r="L1497" t="s">
        <v>17</v>
      </c>
      <c r="M1497">
        <v>1483228800</v>
      </c>
      <c r="N1497" t="s">
        <v>1628</v>
      </c>
      <c r="O1497" t="s">
        <v>1628</v>
      </c>
      <c r="P1497" t="s">
        <v>1628</v>
      </c>
      <c r="Q1497">
        <f>LEN(AMAZON_FASHION_5__2[[#This Row],[reviewText]])</f>
        <v>36</v>
      </c>
      <c r="R1497" t="str">
        <f>IF(AMAZON_FASHION_5__2[[#This Row],[overall]]&gt;=4,"Positive",IF(AMAZON_FASHION_5__2[[#This Row],[overall]]&lt;=2,"Negative","Neutral"))</f>
        <v>Positive</v>
      </c>
      <c r="S14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98" spans="1:19" x14ac:dyDescent="0.25">
      <c r="A1498">
        <v>5</v>
      </c>
      <c r="B1498" t="b">
        <v>1</v>
      </c>
      <c r="C1498" s="1">
        <v>42735</v>
      </c>
      <c r="D1498">
        <f>YEAR(AMAZON_FASHION_5__2[[#This Row],[reviewDate]])</f>
        <v>2016</v>
      </c>
      <c r="E1498" s="1" t="str">
        <f>TEXT(AMAZON_FASHION_5__2[[#This Row],[reviewDate]], "mmmm")</f>
        <v>December</v>
      </c>
      <c r="F1498" t="s">
        <v>1118</v>
      </c>
      <c r="G1498" t="s">
        <v>1479</v>
      </c>
      <c r="H1498" t="s">
        <v>201</v>
      </c>
      <c r="I1498" t="s">
        <v>198</v>
      </c>
      <c r="J1498" t="s">
        <v>1119</v>
      </c>
      <c r="K1498" t="s">
        <v>1120</v>
      </c>
      <c r="L1498" t="s">
        <v>1121</v>
      </c>
      <c r="M1498">
        <v>1483142400</v>
      </c>
      <c r="N1498" t="s">
        <v>1628</v>
      </c>
      <c r="O1498" t="s">
        <v>1628</v>
      </c>
      <c r="P1498" t="s">
        <v>1628</v>
      </c>
      <c r="Q1498">
        <f>LEN(AMAZON_FASHION_5__2[[#This Row],[reviewText]])</f>
        <v>169</v>
      </c>
      <c r="R1498" t="str">
        <f>IF(AMAZON_FASHION_5__2[[#This Row],[overall]]&gt;=4,"Positive",IF(AMAZON_FASHION_5__2[[#This Row],[overall]]&lt;=2,"Negative","Neutral"))</f>
        <v>Positive</v>
      </c>
      <c r="S14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499" spans="1:19" x14ac:dyDescent="0.25">
      <c r="A1499">
        <v>5</v>
      </c>
      <c r="B1499" t="b">
        <v>1</v>
      </c>
      <c r="C1499" s="1">
        <v>42733</v>
      </c>
      <c r="D1499">
        <f>YEAR(AMAZON_FASHION_5__2[[#This Row],[reviewDate]])</f>
        <v>2016</v>
      </c>
      <c r="E1499" s="1" t="str">
        <f>TEXT(AMAZON_FASHION_5__2[[#This Row],[reviewDate]], "mmmm")</f>
        <v>December</v>
      </c>
      <c r="F1499" t="s">
        <v>1122</v>
      </c>
      <c r="G1499" t="s">
        <v>1479</v>
      </c>
      <c r="H1499" t="s">
        <v>201</v>
      </c>
      <c r="I1499" t="s">
        <v>198</v>
      </c>
      <c r="J1499" t="s">
        <v>1123</v>
      </c>
      <c r="K1499" t="s">
        <v>1124</v>
      </c>
      <c r="L1499" t="s">
        <v>17</v>
      </c>
      <c r="M1499">
        <v>1482969600</v>
      </c>
      <c r="N1499" t="s">
        <v>1628</v>
      </c>
      <c r="O1499" t="s">
        <v>1628</v>
      </c>
      <c r="P1499" t="s">
        <v>1628</v>
      </c>
      <c r="Q1499">
        <f>LEN(AMAZON_FASHION_5__2[[#This Row],[reviewText]])</f>
        <v>37</v>
      </c>
      <c r="R1499" t="str">
        <f>IF(AMAZON_FASHION_5__2[[#This Row],[overall]]&gt;=4,"Positive",IF(AMAZON_FASHION_5__2[[#This Row],[overall]]&lt;=2,"Negative","Neutral"))</f>
        <v>Positive</v>
      </c>
      <c r="S14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00" spans="1:19" x14ac:dyDescent="0.25">
      <c r="A1500">
        <v>5</v>
      </c>
      <c r="B1500" t="b">
        <v>1</v>
      </c>
      <c r="C1500" s="1">
        <v>42733</v>
      </c>
      <c r="D1500">
        <f>YEAR(AMAZON_FASHION_5__2[[#This Row],[reviewDate]])</f>
        <v>2016</v>
      </c>
      <c r="E1500" s="1" t="str">
        <f>TEXT(AMAZON_FASHION_5__2[[#This Row],[reviewDate]], "mmmm")</f>
        <v>December</v>
      </c>
      <c r="F1500" t="s">
        <v>1125</v>
      </c>
      <c r="G1500" t="s">
        <v>1479</v>
      </c>
      <c r="H1500" t="s">
        <v>210</v>
      </c>
      <c r="I1500" t="s">
        <v>1084</v>
      </c>
      <c r="J1500" t="s">
        <v>63</v>
      </c>
      <c r="K1500" t="s">
        <v>1126</v>
      </c>
      <c r="L1500" t="s">
        <v>17</v>
      </c>
      <c r="M1500">
        <v>1482969600</v>
      </c>
      <c r="N1500" t="s">
        <v>1628</v>
      </c>
      <c r="O1500" t="s">
        <v>1628</v>
      </c>
      <c r="P1500" t="s">
        <v>1628</v>
      </c>
      <c r="Q1500">
        <f>LEN(AMAZON_FASHION_5__2[[#This Row],[reviewText]])</f>
        <v>45</v>
      </c>
      <c r="R1500" t="str">
        <f>IF(AMAZON_FASHION_5__2[[#This Row],[overall]]&gt;=4,"Positive",IF(AMAZON_FASHION_5__2[[#This Row],[overall]]&lt;=2,"Negative","Neutral"))</f>
        <v>Positive</v>
      </c>
      <c r="S15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01" spans="1:19" x14ac:dyDescent="0.25">
      <c r="A1501">
        <v>5</v>
      </c>
      <c r="B1501" t="b">
        <v>1</v>
      </c>
      <c r="C1501" s="1">
        <v>42732</v>
      </c>
      <c r="D1501">
        <f>YEAR(AMAZON_FASHION_5__2[[#This Row],[reviewDate]])</f>
        <v>2016</v>
      </c>
      <c r="E1501" s="1" t="str">
        <f>TEXT(AMAZON_FASHION_5__2[[#This Row],[reviewDate]], "mmmm")</f>
        <v>December</v>
      </c>
      <c r="F1501" t="s">
        <v>1127</v>
      </c>
      <c r="G1501" t="s">
        <v>1479</v>
      </c>
      <c r="H1501" t="s">
        <v>201</v>
      </c>
      <c r="I1501" t="s">
        <v>198</v>
      </c>
      <c r="J1501" t="s">
        <v>63</v>
      </c>
      <c r="K1501" t="s">
        <v>483</v>
      </c>
      <c r="L1501" t="s">
        <v>1128</v>
      </c>
      <c r="M1501">
        <v>1482883200</v>
      </c>
      <c r="N1501" t="s">
        <v>1628</v>
      </c>
      <c r="O1501" t="s">
        <v>1628</v>
      </c>
      <c r="P1501" t="s">
        <v>1628</v>
      </c>
      <c r="Q1501">
        <f>LEN(AMAZON_FASHION_5__2[[#This Row],[reviewText]])</f>
        <v>8</v>
      </c>
      <c r="R1501" t="str">
        <f>IF(AMAZON_FASHION_5__2[[#This Row],[overall]]&gt;=4,"Positive",IF(AMAZON_FASHION_5__2[[#This Row],[overall]]&lt;=2,"Negative","Neutral"))</f>
        <v>Positive</v>
      </c>
      <c r="S15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02" spans="1:19" x14ac:dyDescent="0.25">
      <c r="A1502">
        <v>5</v>
      </c>
      <c r="B1502" t="b">
        <v>1</v>
      </c>
      <c r="C1502" s="1">
        <v>42732</v>
      </c>
      <c r="D1502">
        <f>YEAR(AMAZON_FASHION_5__2[[#This Row],[reviewDate]])</f>
        <v>2016</v>
      </c>
      <c r="E1502" s="1" t="str">
        <f>TEXT(AMAZON_FASHION_5__2[[#This Row],[reviewDate]], "mmmm")</f>
        <v>December</v>
      </c>
      <c r="F1502" t="s">
        <v>1129</v>
      </c>
      <c r="G1502" t="s">
        <v>1479</v>
      </c>
      <c r="H1502" t="s">
        <v>230</v>
      </c>
      <c r="I1502" t="s">
        <v>211</v>
      </c>
      <c r="J1502" t="s">
        <v>1130</v>
      </c>
      <c r="K1502" t="s">
        <v>1131</v>
      </c>
      <c r="L1502" t="s">
        <v>1132</v>
      </c>
      <c r="M1502">
        <v>1482883200</v>
      </c>
      <c r="N1502" t="s">
        <v>1628</v>
      </c>
      <c r="O1502" t="s">
        <v>1628</v>
      </c>
      <c r="P1502" t="s">
        <v>1628</v>
      </c>
      <c r="Q1502">
        <f>LEN(AMAZON_FASHION_5__2[[#This Row],[reviewText]])</f>
        <v>134</v>
      </c>
      <c r="R1502" t="str">
        <f>IF(AMAZON_FASHION_5__2[[#This Row],[overall]]&gt;=4,"Positive",IF(AMAZON_FASHION_5__2[[#This Row],[overall]]&lt;=2,"Negative","Neutral"))</f>
        <v>Positive</v>
      </c>
      <c r="S15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03" spans="1:19" x14ac:dyDescent="0.25">
      <c r="A1503">
        <v>5</v>
      </c>
      <c r="B1503" t="b">
        <v>1</v>
      </c>
      <c r="C1503" s="1">
        <v>42731</v>
      </c>
      <c r="D1503">
        <f>YEAR(AMAZON_FASHION_5__2[[#This Row],[reviewDate]])</f>
        <v>2016</v>
      </c>
      <c r="E1503" s="1" t="str">
        <f>TEXT(AMAZON_FASHION_5__2[[#This Row],[reviewDate]], "mmmm")</f>
        <v>December</v>
      </c>
      <c r="F1503" t="s">
        <v>1133</v>
      </c>
      <c r="G1503" t="s">
        <v>1479</v>
      </c>
      <c r="H1503" t="s">
        <v>205</v>
      </c>
      <c r="I1503" t="s">
        <v>198</v>
      </c>
      <c r="J1503" t="s">
        <v>1134</v>
      </c>
      <c r="K1503" t="s">
        <v>1135</v>
      </c>
      <c r="L1503" t="s">
        <v>17</v>
      </c>
      <c r="M1503">
        <v>1482796800</v>
      </c>
      <c r="N1503" t="s">
        <v>1628</v>
      </c>
      <c r="O1503" t="s">
        <v>1628</v>
      </c>
      <c r="P1503" t="s">
        <v>1628</v>
      </c>
      <c r="Q1503">
        <f>LEN(AMAZON_FASHION_5__2[[#This Row],[reviewText]])</f>
        <v>32</v>
      </c>
      <c r="R1503" t="str">
        <f>IF(AMAZON_FASHION_5__2[[#This Row],[overall]]&gt;=4,"Positive",IF(AMAZON_FASHION_5__2[[#This Row],[overall]]&lt;=2,"Negative","Neutral"))</f>
        <v>Positive</v>
      </c>
      <c r="S15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04" spans="1:19" x14ac:dyDescent="0.25">
      <c r="A1504">
        <v>2</v>
      </c>
      <c r="B1504" t="b">
        <v>1</v>
      </c>
      <c r="C1504" s="1">
        <v>42729</v>
      </c>
      <c r="D1504">
        <f>YEAR(AMAZON_FASHION_5__2[[#This Row],[reviewDate]])</f>
        <v>2016</v>
      </c>
      <c r="E1504" s="1" t="str">
        <f>TEXT(AMAZON_FASHION_5__2[[#This Row],[reviewDate]], "mmmm")</f>
        <v>December</v>
      </c>
      <c r="F1504" t="s">
        <v>1136</v>
      </c>
      <c r="G1504" t="s">
        <v>1479</v>
      </c>
      <c r="H1504" t="s">
        <v>477</v>
      </c>
      <c r="I1504" t="s">
        <v>396</v>
      </c>
      <c r="J1504" t="s">
        <v>1137</v>
      </c>
      <c r="K1504" t="s">
        <v>1138</v>
      </c>
      <c r="L1504" t="s">
        <v>1139</v>
      </c>
      <c r="M1504">
        <v>1482624000</v>
      </c>
      <c r="N1504" t="s">
        <v>1628</v>
      </c>
      <c r="O1504" t="s">
        <v>1628</v>
      </c>
      <c r="P1504">
        <v>2</v>
      </c>
      <c r="Q1504">
        <f>LEN(AMAZON_FASHION_5__2[[#This Row],[reviewText]])</f>
        <v>108</v>
      </c>
      <c r="R1504" t="str">
        <f>IF(AMAZON_FASHION_5__2[[#This Row],[overall]]&gt;=4,"Positive",IF(AMAZON_FASHION_5__2[[#This Row],[overall]]&lt;=2,"Negative","Neutral"))</f>
        <v>Negative</v>
      </c>
      <c r="S15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05" spans="1:19" x14ac:dyDescent="0.25">
      <c r="A1505">
        <v>5</v>
      </c>
      <c r="B1505" t="b">
        <v>1</v>
      </c>
      <c r="C1505" s="1">
        <v>42727</v>
      </c>
      <c r="D1505">
        <f>YEAR(AMAZON_FASHION_5__2[[#This Row],[reviewDate]])</f>
        <v>2016</v>
      </c>
      <c r="E1505" s="1" t="str">
        <f>TEXT(AMAZON_FASHION_5__2[[#This Row],[reviewDate]], "mmmm")</f>
        <v>December</v>
      </c>
      <c r="F1505" t="s">
        <v>1140</v>
      </c>
      <c r="G1505" t="s">
        <v>1479</v>
      </c>
      <c r="H1505" t="s">
        <v>477</v>
      </c>
      <c r="I1505" t="s">
        <v>574</v>
      </c>
      <c r="J1505" t="s">
        <v>1141</v>
      </c>
      <c r="K1505" t="s">
        <v>1142</v>
      </c>
      <c r="L1505" t="s">
        <v>1143</v>
      </c>
      <c r="M1505">
        <v>1482451200</v>
      </c>
      <c r="N1505" t="s">
        <v>1628</v>
      </c>
      <c r="O1505" t="s">
        <v>1628</v>
      </c>
      <c r="P1505" t="s">
        <v>1628</v>
      </c>
      <c r="Q1505">
        <f>LEN(AMAZON_FASHION_5__2[[#This Row],[reviewText]])</f>
        <v>198</v>
      </c>
      <c r="R1505" t="str">
        <f>IF(AMAZON_FASHION_5__2[[#This Row],[overall]]&gt;=4,"Positive",IF(AMAZON_FASHION_5__2[[#This Row],[overall]]&lt;=2,"Negative","Neutral"))</f>
        <v>Positive</v>
      </c>
      <c r="S15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06" spans="1:19" x14ac:dyDescent="0.25">
      <c r="A1506">
        <v>5</v>
      </c>
      <c r="B1506" t="b">
        <v>1</v>
      </c>
      <c r="C1506" s="1">
        <v>42726</v>
      </c>
      <c r="D1506">
        <f>YEAR(AMAZON_FASHION_5__2[[#This Row],[reviewDate]])</f>
        <v>2016</v>
      </c>
      <c r="E1506" s="1" t="str">
        <f>TEXT(AMAZON_FASHION_5__2[[#This Row],[reviewDate]], "mmmm")</f>
        <v>December</v>
      </c>
      <c r="F1506" t="s">
        <v>1144</v>
      </c>
      <c r="G1506" t="s">
        <v>1479</v>
      </c>
      <c r="H1506" t="s">
        <v>1145</v>
      </c>
      <c r="I1506" t="s">
        <v>411</v>
      </c>
      <c r="J1506" t="s">
        <v>63</v>
      </c>
      <c r="K1506" t="s">
        <v>1146</v>
      </c>
      <c r="L1506" t="s">
        <v>17</v>
      </c>
      <c r="M1506">
        <v>1482364800</v>
      </c>
      <c r="N1506" t="s">
        <v>1628</v>
      </c>
      <c r="O1506" t="s">
        <v>1628</v>
      </c>
      <c r="P1506" t="s">
        <v>1628</v>
      </c>
      <c r="Q1506">
        <f>LEN(AMAZON_FASHION_5__2[[#This Row],[reviewText]])</f>
        <v>105</v>
      </c>
      <c r="R1506" t="str">
        <f>IF(AMAZON_FASHION_5__2[[#This Row],[overall]]&gt;=4,"Positive",IF(AMAZON_FASHION_5__2[[#This Row],[overall]]&lt;=2,"Negative","Neutral"))</f>
        <v>Positive</v>
      </c>
      <c r="S15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07" spans="1:19" x14ac:dyDescent="0.25">
      <c r="A1507">
        <v>2</v>
      </c>
      <c r="B1507" t="b">
        <v>1</v>
      </c>
      <c r="C1507" s="1">
        <v>42720</v>
      </c>
      <c r="D1507">
        <f>YEAR(AMAZON_FASHION_5__2[[#This Row],[reviewDate]])</f>
        <v>2016</v>
      </c>
      <c r="E1507" s="1" t="str">
        <f>TEXT(AMAZON_FASHION_5__2[[#This Row],[reviewDate]], "mmmm")</f>
        <v>December</v>
      </c>
      <c r="F1507" t="s">
        <v>1147</v>
      </c>
      <c r="G1507" t="s">
        <v>1479</v>
      </c>
      <c r="H1507" t="s">
        <v>201</v>
      </c>
      <c r="I1507" t="s">
        <v>524</v>
      </c>
      <c r="J1507" t="s">
        <v>1148</v>
      </c>
      <c r="K1507" t="s">
        <v>1149</v>
      </c>
      <c r="L1507" t="s">
        <v>1150</v>
      </c>
      <c r="M1507">
        <v>1481846400</v>
      </c>
      <c r="N1507" t="s">
        <v>1628</v>
      </c>
      <c r="O1507" t="s">
        <v>1628</v>
      </c>
      <c r="P1507" t="s">
        <v>1628</v>
      </c>
      <c r="Q1507">
        <f>LEN(AMAZON_FASHION_5__2[[#This Row],[reviewText]])</f>
        <v>63</v>
      </c>
      <c r="R1507" t="str">
        <f>IF(AMAZON_FASHION_5__2[[#This Row],[overall]]&gt;=4,"Positive",IF(AMAZON_FASHION_5__2[[#This Row],[overall]]&lt;=2,"Negative","Neutral"))</f>
        <v>Negative</v>
      </c>
      <c r="S15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08" spans="1:19" x14ac:dyDescent="0.25">
      <c r="A1508">
        <v>1</v>
      </c>
      <c r="B1508" t="b">
        <v>1</v>
      </c>
      <c r="C1508" s="1">
        <v>42719</v>
      </c>
      <c r="D1508">
        <f>YEAR(AMAZON_FASHION_5__2[[#This Row],[reviewDate]])</f>
        <v>2016</v>
      </c>
      <c r="E1508" s="1" t="str">
        <f>TEXT(AMAZON_FASHION_5__2[[#This Row],[reviewDate]], "mmmm")</f>
        <v>December</v>
      </c>
      <c r="F1508" t="s">
        <v>1151</v>
      </c>
      <c r="G1508" t="s">
        <v>1479</v>
      </c>
      <c r="H1508" t="s">
        <v>197</v>
      </c>
      <c r="I1508" t="s">
        <v>1084</v>
      </c>
      <c r="J1508" t="s">
        <v>63</v>
      </c>
      <c r="K1508" t="s">
        <v>1152</v>
      </c>
      <c r="L1508" t="s">
        <v>65</v>
      </c>
      <c r="M1508">
        <v>1481760000</v>
      </c>
      <c r="N1508" t="s">
        <v>1628</v>
      </c>
      <c r="O1508" t="s">
        <v>1628</v>
      </c>
      <c r="P1508" t="s">
        <v>1628</v>
      </c>
      <c r="Q1508">
        <f>LEN(AMAZON_FASHION_5__2[[#This Row],[reviewText]])</f>
        <v>11</v>
      </c>
      <c r="R1508" t="str">
        <f>IF(AMAZON_FASHION_5__2[[#This Row],[overall]]&gt;=4,"Positive",IF(AMAZON_FASHION_5__2[[#This Row],[overall]]&lt;=2,"Negative","Neutral"))</f>
        <v>Negative</v>
      </c>
      <c r="S15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09" spans="1:19" x14ac:dyDescent="0.25">
      <c r="A1509">
        <v>5</v>
      </c>
      <c r="B1509" t="b">
        <v>1</v>
      </c>
      <c r="C1509" s="1">
        <v>42716</v>
      </c>
      <c r="D1509">
        <f>YEAR(AMAZON_FASHION_5__2[[#This Row],[reviewDate]])</f>
        <v>2016</v>
      </c>
      <c r="E1509" s="1" t="str">
        <f>TEXT(AMAZON_FASHION_5__2[[#This Row],[reviewDate]], "mmmm")</f>
        <v>December</v>
      </c>
      <c r="F1509" t="s">
        <v>1153</v>
      </c>
      <c r="G1509" t="s">
        <v>1479</v>
      </c>
      <c r="H1509" t="s">
        <v>1477</v>
      </c>
      <c r="I1509" t="s">
        <v>336</v>
      </c>
      <c r="J1509" t="s">
        <v>1154</v>
      </c>
      <c r="K1509" t="s">
        <v>1155</v>
      </c>
      <c r="L1509" t="s">
        <v>276</v>
      </c>
      <c r="M1509">
        <v>1481500800</v>
      </c>
      <c r="N1509" t="s">
        <v>1628</v>
      </c>
      <c r="O1509" t="s">
        <v>1628</v>
      </c>
      <c r="P1509" t="s">
        <v>1628</v>
      </c>
      <c r="Q1509">
        <f>LEN(AMAZON_FASHION_5__2[[#This Row],[reviewText]])</f>
        <v>15</v>
      </c>
      <c r="R1509" t="str">
        <f>IF(AMAZON_FASHION_5__2[[#This Row],[overall]]&gt;=4,"Positive",IF(AMAZON_FASHION_5__2[[#This Row],[overall]]&lt;=2,"Negative","Neutral"))</f>
        <v>Positive</v>
      </c>
      <c r="S15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10" spans="1:19" x14ac:dyDescent="0.25">
      <c r="A1510">
        <v>5</v>
      </c>
      <c r="B1510" t="b">
        <v>1</v>
      </c>
      <c r="C1510" s="1">
        <v>42716</v>
      </c>
      <c r="D1510">
        <f>YEAR(AMAZON_FASHION_5__2[[#This Row],[reviewDate]])</f>
        <v>2016</v>
      </c>
      <c r="E1510" s="1" t="str">
        <f>TEXT(AMAZON_FASHION_5__2[[#This Row],[reviewDate]], "mmmm")</f>
        <v>December</v>
      </c>
      <c r="F1510" t="s">
        <v>1156</v>
      </c>
      <c r="G1510" t="s">
        <v>1479</v>
      </c>
      <c r="H1510" t="s">
        <v>235</v>
      </c>
      <c r="I1510" t="s">
        <v>198</v>
      </c>
      <c r="J1510" t="s">
        <v>1157</v>
      </c>
      <c r="K1510" t="s">
        <v>1158</v>
      </c>
      <c r="L1510" t="s">
        <v>30</v>
      </c>
      <c r="M1510">
        <v>1481500800</v>
      </c>
      <c r="N1510" t="s">
        <v>1628</v>
      </c>
      <c r="O1510" t="s">
        <v>1628</v>
      </c>
      <c r="P1510">
        <v>3</v>
      </c>
      <c r="Q1510">
        <f>LEN(AMAZON_FASHION_5__2[[#This Row],[reviewText]])</f>
        <v>362</v>
      </c>
      <c r="R1510" t="str">
        <f>IF(AMAZON_FASHION_5__2[[#This Row],[overall]]&gt;=4,"Positive",IF(AMAZON_FASHION_5__2[[#This Row],[overall]]&lt;=2,"Negative","Neutral"))</f>
        <v>Positive</v>
      </c>
      <c r="S15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11" spans="1:19" x14ac:dyDescent="0.25">
      <c r="A1511">
        <v>4</v>
      </c>
      <c r="B1511" t="b">
        <v>1</v>
      </c>
      <c r="C1511" s="1">
        <v>42712</v>
      </c>
      <c r="D1511">
        <f>YEAR(AMAZON_FASHION_5__2[[#This Row],[reviewDate]])</f>
        <v>2016</v>
      </c>
      <c r="E1511" s="1" t="str">
        <f>TEXT(AMAZON_FASHION_5__2[[#This Row],[reviewDate]], "mmmm")</f>
        <v>December</v>
      </c>
      <c r="F1511" t="s">
        <v>1159</v>
      </c>
      <c r="G1511" t="s">
        <v>1479</v>
      </c>
      <c r="H1511" t="s">
        <v>197</v>
      </c>
      <c r="I1511" t="s">
        <v>1084</v>
      </c>
      <c r="J1511" t="s">
        <v>1160</v>
      </c>
      <c r="K1511" t="s">
        <v>1161</v>
      </c>
      <c r="L1511" t="s">
        <v>103</v>
      </c>
      <c r="M1511">
        <v>1481155200</v>
      </c>
      <c r="N1511" t="s">
        <v>1628</v>
      </c>
      <c r="O1511" t="s">
        <v>1628</v>
      </c>
      <c r="P1511" t="s">
        <v>1628</v>
      </c>
      <c r="Q1511">
        <f>LEN(AMAZON_FASHION_5__2[[#This Row],[reviewText]])</f>
        <v>36</v>
      </c>
      <c r="R1511" t="str">
        <f>IF(AMAZON_FASHION_5__2[[#This Row],[overall]]&gt;=4,"Positive",IF(AMAZON_FASHION_5__2[[#This Row],[overall]]&lt;=2,"Negative","Neutral"))</f>
        <v>Positive</v>
      </c>
      <c r="S15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12" spans="1:19" x14ac:dyDescent="0.25">
      <c r="A1512">
        <v>4</v>
      </c>
      <c r="B1512" t="b">
        <v>1</v>
      </c>
      <c r="C1512" s="1">
        <v>42708</v>
      </c>
      <c r="D1512">
        <f>YEAR(AMAZON_FASHION_5__2[[#This Row],[reviewDate]])</f>
        <v>2016</v>
      </c>
      <c r="E1512" s="1" t="str">
        <f>TEXT(AMAZON_FASHION_5__2[[#This Row],[reviewDate]], "mmmm")</f>
        <v>December</v>
      </c>
      <c r="F1512" t="s">
        <v>1162</v>
      </c>
      <c r="G1512" t="s">
        <v>1479</v>
      </c>
      <c r="H1512" t="s">
        <v>320</v>
      </c>
      <c r="I1512" t="s">
        <v>827</v>
      </c>
      <c r="J1512" t="s">
        <v>1163</v>
      </c>
      <c r="K1512" t="s">
        <v>1164</v>
      </c>
      <c r="L1512" t="s">
        <v>103</v>
      </c>
      <c r="M1512">
        <v>1480809600</v>
      </c>
      <c r="N1512" t="s">
        <v>1628</v>
      </c>
      <c r="O1512" t="s">
        <v>1628</v>
      </c>
      <c r="P1512" t="s">
        <v>1628</v>
      </c>
      <c r="Q1512">
        <f>LEN(AMAZON_FASHION_5__2[[#This Row],[reviewText]])</f>
        <v>36</v>
      </c>
      <c r="R1512" t="str">
        <f>IF(AMAZON_FASHION_5__2[[#This Row],[overall]]&gt;=4,"Positive",IF(AMAZON_FASHION_5__2[[#This Row],[overall]]&lt;=2,"Negative","Neutral"))</f>
        <v>Positive</v>
      </c>
      <c r="S15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13" spans="1:19" x14ac:dyDescent="0.25">
      <c r="A1513">
        <v>4</v>
      </c>
      <c r="B1513" t="b">
        <v>1</v>
      </c>
      <c r="C1513" s="1">
        <v>42706</v>
      </c>
      <c r="D1513">
        <f>YEAR(AMAZON_FASHION_5__2[[#This Row],[reviewDate]])</f>
        <v>2016</v>
      </c>
      <c r="E1513" s="1" t="str">
        <f>TEXT(AMAZON_FASHION_5__2[[#This Row],[reviewDate]], "mmmm")</f>
        <v>December</v>
      </c>
      <c r="F1513" t="s">
        <v>1165</v>
      </c>
      <c r="G1513" t="s">
        <v>1479</v>
      </c>
      <c r="H1513" t="s">
        <v>717</v>
      </c>
      <c r="I1513" t="s">
        <v>336</v>
      </c>
      <c r="J1513" t="s">
        <v>63</v>
      </c>
      <c r="K1513" t="s">
        <v>1166</v>
      </c>
      <c r="L1513" t="s">
        <v>103</v>
      </c>
      <c r="M1513">
        <v>1480636800</v>
      </c>
      <c r="N1513" t="s">
        <v>1628</v>
      </c>
      <c r="O1513" t="s">
        <v>1628</v>
      </c>
      <c r="P1513">
        <v>2</v>
      </c>
      <c r="Q1513">
        <f>LEN(AMAZON_FASHION_5__2[[#This Row],[reviewText]])</f>
        <v>29</v>
      </c>
      <c r="R1513" t="str">
        <f>IF(AMAZON_FASHION_5__2[[#This Row],[overall]]&gt;=4,"Positive",IF(AMAZON_FASHION_5__2[[#This Row],[overall]]&lt;=2,"Negative","Neutral"))</f>
        <v>Positive</v>
      </c>
      <c r="S15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14" spans="1:19" x14ac:dyDescent="0.25">
      <c r="A1514">
        <v>5</v>
      </c>
      <c r="B1514" t="b">
        <v>1</v>
      </c>
      <c r="C1514" s="1">
        <v>42706</v>
      </c>
      <c r="D1514">
        <f>YEAR(AMAZON_FASHION_5__2[[#This Row],[reviewDate]])</f>
        <v>2016</v>
      </c>
      <c r="E1514" s="1" t="str">
        <f>TEXT(AMAZON_FASHION_5__2[[#This Row],[reviewDate]], "mmmm")</f>
        <v>December</v>
      </c>
      <c r="F1514" t="s">
        <v>1167</v>
      </c>
      <c r="G1514" t="s">
        <v>1479</v>
      </c>
      <c r="H1514" t="s">
        <v>210</v>
      </c>
      <c r="I1514" t="s">
        <v>198</v>
      </c>
      <c r="J1514" t="s">
        <v>1168</v>
      </c>
      <c r="K1514" t="s">
        <v>1169</v>
      </c>
      <c r="L1514" t="s">
        <v>17</v>
      </c>
      <c r="M1514">
        <v>1480636800</v>
      </c>
      <c r="N1514" t="s">
        <v>1628</v>
      </c>
      <c r="O1514" t="s">
        <v>1628</v>
      </c>
      <c r="P1514" t="s">
        <v>1628</v>
      </c>
      <c r="Q1514">
        <f>LEN(AMAZON_FASHION_5__2[[#This Row],[reviewText]])</f>
        <v>43</v>
      </c>
      <c r="R1514" t="str">
        <f>IF(AMAZON_FASHION_5__2[[#This Row],[overall]]&gt;=4,"Positive",IF(AMAZON_FASHION_5__2[[#This Row],[overall]]&lt;=2,"Negative","Neutral"))</f>
        <v>Positive</v>
      </c>
      <c r="S15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15" spans="1:19" x14ac:dyDescent="0.25">
      <c r="A1515">
        <v>5</v>
      </c>
      <c r="B1515" t="b">
        <v>1</v>
      </c>
      <c r="C1515" s="1">
        <v>42705</v>
      </c>
      <c r="D1515">
        <f>YEAR(AMAZON_FASHION_5__2[[#This Row],[reviewDate]])</f>
        <v>2016</v>
      </c>
      <c r="E1515" s="1" t="str">
        <f>TEXT(AMAZON_FASHION_5__2[[#This Row],[reviewDate]], "mmmm")</f>
        <v>December</v>
      </c>
      <c r="F1515" t="s">
        <v>1170</v>
      </c>
      <c r="G1515" t="s">
        <v>1479</v>
      </c>
      <c r="H1515" t="s">
        <v>230</v>
      </c>
      <c r="I1515" t="s">
        <v>1476</v>
      </c>
      <c r="J1515" t="s">
        <v>451</v>
      </c>
      <c r="K1515" t="s">
        <v>1171</v>
      </c>
      <c r="L1515" t="s">
        <v>17</v>
      </c>
      <c r="M1515">
        <v>1480550400</v>
      </c>
      <c r="N1515" t="s">
        <v>1628</v>
      </c>
      <c r="O1515" t="s">
        <v>1628</v>
      </c>
      <c r="P1515" t="s">
        <v>1628</v>
      </c>
      <c r="Q1515">
        <f>LEN(AMAZON_FASHION_5__2[[#This Row],[reviewText]])</f>
        <v>93</v>
      </c>
      <c r="R1515" t="str">
        <f>IF(AMAZON_FASHION_5__2[[#This Row],[overall]]&gt;=4,"Positive",IF(AMAZON_FASHION_5__2[[#This Row],[overall]]&lt;=2,"Negative","Neutral"))</f>
        <v>Positive</v>
      </c>
      <c r="S15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16" spans="1:19" x14ac:dyDescent="0.25">
      <c r="A1516">
        <v>5</v>
      </c>
      <c r="B1516" t="b">
        <v>1</v>
      </c>
      <c r="C1516" s="1">
        <v>42702</v>
      </c>
      <c r="D1516">
        <f>YEAR(AMAZON_FASHION_5__2[[#This Row],[reviewDate]])</f>
        <v>2016</v>
      </c>
      <c r="E1516" s="1" t="str">
        <f>TEXT(AMAZON_FASHION_5__2[[#This Row],[reviewDate]], "mmmm")</f>
        <v>November</v>
      </c>
      <c r="F1516" t="s">
        <v>1172</v>
      </c>
      <c r="G1516" t="s">
        <v>1479</v>
      </c>
      <c r="H1516" t="s">
        <v>230</v>
      </c>
      <c r="I1516" t="s">
        <v>198</v>
      </c>
      <c r="J1516" t="s">
        <v>1076</v>
      </c>
      <c r="K1516" t="s">
        <v>1173</v>
      </c>
      <c r="L1516" t="s">
        <v>17</v>
      </c>
      <c r="M1516">
        <v>1480291200</v>
      </c>
      <c r="N1516" t="s">
        <v>1628</v>
      </c>
      <c r="O1516" t="s">
        <v>1628</v>
      </c>
      <c r="P1516" t="s">
        <v>1628</v>
      </c>
      <c r="Q1516">
        <f>LEN(AMAZON_FASHION_5__2[[#This Row],[reviewText]])</f>
        <v>90</v>
      </c>
      <c r="R1516" t="str">
        <f>IF(AMAZON_FASHION_5__2[[#This Row],[overall]]&gt;=4,"Positive",IF(AMAZON_FASHION_5__2[[#This Row],[overall]]&lt;=2,"Negative","Neutral"))</f>
        <v>Positive</v>
      </c>
      <c r="S15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17" spans="1:19" x14ac:dyDescent="0.25">
      <c r="A1517">
        <v>5</v>
      </c>
      <c r="B1517" t="b">
        <v>1</v>
      </c>
      <c r="C1517" s="1">
        <v>42701</v>
      </c>
      <c r="D1517">
        <f>YEAR(AMAZON_FASHION_5__2[[#This Row],[reviewDate]])</f>
        <v>2016</v>
      </c>
      <c r="E1517" s="1" t="str">
        <f>TEXT(AMAZON_FASHION_5__2[[#This Row],[reviewDate]], "mmmm")</f>
        <v>November</v>
      </c>
      <c r="F1517" t="s">
        <v>1174</v>
      </c>
      <c r="G1517" t="s">
        <v>1479</v>
      </c>
      <c r="H1517" t="s">
        <v>477</v>
      </c>
      <c r="I1517" t="s">
        <v>849</v>
      </c>
      <c r="J1517" t="s">
        <v>1175</v>
      </c>
      <c r="K1517" t="s">
        <v>1176</v>
      </c>
      <c r="L1517" t="s">
        <v>877</v>
      </c>
      <c r="M1517">
        <v>1480204800</v>
      </c>
      <c r="N1517" t="s">
        <v>1628</v>
      </c>
      <c r="O1517" t="s">
        <v>1628</v>
      </c>
      <c r="P1517" t="s">
        <v>1628</v>
      </c>
      <c r="Q1517">
        <f>LEN(AMAZON_FASHION_5__2[[#This Row],[reviewText]])</f>
        <v>338</v>
      </c>
      <c r="R1517" t="str">
        <f>IF(AMAZON_FASHION_5__2[[#This Row],[overall]]&gt;=4,"Positive",IF(AMAZON_FASHION_5__2[[#This Row],[overall]]&lt;=2,"Negative","Neutral"))</f>
        <v>Positive</v>
      </c>
      <c r="S15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18" spans="1:19" x14ac:dyDescent="0.25">
      <c r="A1518">
        <v>5</v>
      </c>
      <c r="B1518" t="b">
        <v>1</v>
      </c>
      <c r="C1518" s="1">
        <v>42697</v>
      </c>
      <c r="D1518">
        <f>YEAR(AMAZON_FASHION_5__2[[#This Row],[reviewDate]])</f>
        <v>2016</v>
      </c>
      <c r="E1518" s="1" t="str">
        <f>TEXT(AMAZON_FASHION_5__2[[#This Row],[reviewDate]], "mmmm")</f>
        <v>November</v>
      </c>
      <c r="F1518" t="s">
        <v>1177</v>
      </c>
      <c r="G1518" t="s">
        <v>1479</v>
      </c>
      <c r="H1518" t="s">
        <v>201</v>
      </c>
      <c r="I1518" t="s">
        <v>198</v>
      </c>
      <c r="J1518" t="s">
        <v>1178</v>
      </c>
      <c r="K1518" t="s">
        <v>1179</v>
      </c>
      <c r="L1518" t="s">
        <v>1180</v>
      </c>
      <c r="M1518">
        <v>1479859200</v>
      </c>
      <c r="N1518" t="s">
        <v>1628</v>
      </c>
      <c r="O1518" t="s">
        <v>1628</v>
      </c>
      <c r="P1518" t="s">
        <v>1628</v>
      </c>
      <c r="Q1518">
        <f>LEN(AMAZON_FASHION_5__2[[#This Row],[reviewText]])</f>
        <v>76</v>
      </c>
      <c r="R1518" t="str">
        <f>IF(AMAZON_FASHION_5__2[[#This Row],[overall]]&gt;=4,"Positive",IF(AMAZON_FASHION_5__2[[#This Row],[overall]]&lt;=2,"Negative","Neutral"))</f>
        <v>Positive</v>
      </c>
      <c r="S15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19" spans="1:19" x14ac:dyDescent="0.25">
      <c r="A1519">
        <v>4</v>
      </c>
      <c r="B1519" t="b">
        <v>0</v>
      </c>
      <c r="C1519" s="1">
        <v>42695</v>
      </c>
      <c r="D1519">
        <f>YEAR(AMAZON_FASHION_5__2[[#This Row],[reviewDate]])</f>
        <v>2016</v>
      </c>
      <c r="E1519" s="1" t="str">
        <f>TEXT(AMAZON_FASHION_5__2[[#This Row],[reviewDate]], "mmmm")</f>
        <v>November</v>
      </c>
      <c r="F1519" t="s">
        <v>1181</v>
      </c>
      <c r="G1519" t="s">
        <v>1479</v>
      </c>
      <c r="H1519" t="s">
        <v>320</v>
      </c>
      <c r="I1519" t="s">
        <v>574</v>
      </c>
      <c r="J1519" t="s">
        <v>1182</v>
      </c>
      <c r="K1519" t="s">
        <v>1183</v>
      </c>
      <c r="L1519" t="s">
        <v>1184</v>
      </c>
      <c r="M1519">
        <v>1479686400</v>
      </c>
      <c r="N1519" t="s">
        <v>1628</v>
      </c>
      <c r="O1519" t="s">
        <v>1628</v>
      </c>
      <c r="P1519" t="s">
        <v>1628</v>
      </c>
      <c r="Q1519">
        <f>LEN(AMAZON_FASHION_5__2[[#This Row],[reviewText]])</f>
        <v>767</v>
      </c>
      <c r="R1519" t="str">
        <f>IF(AMAZON_FASHION_5__2[[#This Row],[overall]]&gt;=4,"Positive",IF(AMAZON_FASHION_5__2[[#This Row],[overall]]&lt;=2,"Negative","Neutral"))</f>
        <v>Positive</v>
      </c>
      <c r="S15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20" spans="1:19" x14ac:dyDescent="0.25">
      <c r="A1520">
        <v>4</v>
      </c>
      <c r="B1520" t="b">
        <v>1</v>
      </c>
      <c r="C1520" s="1">
        <v>42690</v>
      </c>
      <c r="D1520">
        <f>YEAR(AMAZON_FASHION_5__2[[#This Row],[reviewDate]])</f>
        <v>2016</v>
      </c>
      <c r="E1520" s="1" t="str">
        <f>TEXT(AMAZON_FASHION_5__2[[#This Row],[reviewDate]], "mmmm")</f>
        <v>November</v>
      </c>
      <c r="F1520" t="s">
        <v>1185</v>
      </c>
      <c r="G1520" t="s">
        <v>1479</v>
      </c>
      <c r="H1520" t="s">
        <v>230</v>
      </c>
      <c r="I1520" t="s">
        <v>1476</v>
      </c>
      <c r="J1520" t="s">
        <v>1186</v>
      </c>
      <c r="K1520" t="s">
        <v>1187</v>
      </c>
      <c r="L1520" t="s">
        <v>103</v>
      </c>
      <c r="M1520">
        <v>1479254400</v>
      </c>
      <c r="N1520" t="s">
        <v>1628</v>
      </c>
      <c r="O1520" t="s">
        <v>1628</v>
      </c>
      <c r="P1520" t="s">
        <v>1628</v>
      </c>
      <c r="Q1520">
        <f>LEN(AMAZON_FASHION_5__2[[#This Row],[reviewText]])</f>
        <v>49</v>
      </c>
      <c r="R1520" t="str">
        <f>IF(AMAZON_FASHION_5__2[[#This Row],[overall]]&gt;=4,"Positive",IF(AMAZON_FASHION_5__2[[#This Row],[overall]]&lt;=2,"Negative","Neutral"))</f>
        <v>Positive</v>
      </c>
      <c r="S15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21" spans="1:19" x14ac:dyDescent="0.25">
      <c r="A1521">
        <v>5</v>
      </c>
      <c r="B1521" t="b">
        <v>1</v>
      </c>
      <c r="C1521" s="1">
        <v>42690</v>
      </c>
      <c r="D1521">
        <f>YEAR(AMAZON_FASHION_5__2[[#This Row],[reviewDate]])</f>
        <v>2016</v>
      </c>
      <c r="E1521" s="1" t="str">
        <f>TEXT(AMAZON_FASHION_5__2[[#This Row],[reviewDate]], "mmmm")</f>
        <v>November</v>
      </c>
      <c r="F1521" t="s">
        <v>1188</v>
      </c>
      <c r="G1521" t="s">
        <v>1479</v>
      </c>
      <c r="H1521" t="s">
        <v>230</v>
      </c>
      <c r="I1521" t="s">
        <v>198</v>
      </c>
      <c r="J1521" t="s">
        <v>63</v>
      </c>
      <c r="K1521" t="s">
        <v>1189</v>
      </c>
      <c r="L1521" t="s">
        <v>17</v>
      </c>
      <c r="M1521">
        <v>1479254400</v>
      </c>
      <c r="N1521" t="s">
        <v>1628</v>
      </c>
      <c r="O1521" t="s">
        <v>1628</v>
      </c>
      <c r="P1521" t="s">
        <v>1628</v>
      </c>
      <c r="Q1521">
        <f>LEN(AMAZON_FASHION_5__2[[#This Row],[reviewText]])</f>
        <v>9</v>
      </c>
      <c r="R1521" t="str">
        <f>IF(AMAZON_FASHION_5__2[[#This Row],[overall]]&gt;=4,"Positive",IF(AMAZON_FASHION_5__2[[#This Row],[overall]]&lt;=2,"Negative","Neutral"))</f>
        <v>Positive</v>
      </c>
      <c r="S15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22" spans="1:19" x14ac:dyDescent="0.25">
      <c r="A1522">
        <v>3</v>
      </c>
      <c r="B1522" t="b">
        <v>1</v>
      </c>
      <c r="C1522" s="1">
        <v>42688</v>
      </c>
      <c r="D1522">
        <f>YEAR(AMAZON_FASHION_5__2[[#This Row],[reviewDate]])</f>
        <v>2016</v>
      </c>
      <c r="E1522" s="1" t="str">
        <f>TEXT(AMAZON_FASHION_5__2[[#This Row],[reviewDate]], "mmmm")</f>
        <v>November</v>
      </c>
      <c r="F1522" t="s">
        <v>1190</v>
      </c>
      <c r="G1522" t="s">
        <v>1479</v>
      </c>
      <c r="H1522" t="s">
        <v>201</v>
      </c>
      <c r="I1522" t="s">
        <v>524</v>
      </c>
      <c r="J1522" t="s">
        <v>1191</v>
      </c>
      <c r="K1522" t="s">
        <v>1192</v>
      </c>
      <c r="L1522" t="s">
        <v>1193</v>
      </c>
      <c r="M1522">
        <v>1479081600</v>
      </c>
      <c r="N1522" t="s">
        <v>1628</v>
      </c>
      <c r="O1522" t="s">
        <v>1628</v>
      </c>
      <c r="P1522" t="s">
        <v>1628</v>
      </c>
      <c r="Q1522">
        <f>LEN(AMAZON_FASHION_5__2[[#This Row],[reviewText]])</f>
        <v>92</v>
      </c>
      <c r="R1522" t="str">
        <f>IF(AMAZON_FASHION_5__2[[#This Row],[overall]]&gt;=4,"Positive",IF(AMAZON_FASHION_5__2[[#This Row],[overall]]&lt;=2,"Negative","Neutral"))</f>
        <v>Neutral</v>
      </c>
      <c r="S15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23" spans="1:19" x14ac:dyDescent="0.25">
      <c r="A1523">
        <v>5</v>
      </c>
      <c r="B1523" t="b">
        <v>1</v>
      </c>
      <c r="C1523" s="1">
        <v>42685</v>
      </c>
      <c r="D1523">
        <f>YEAR(AMAZON_FASHION_5__2[[#This Row],[reviewDate]])</f>
        <v>2016</v>
      </c>
      <c r="E1523" s="1" t="str">
        <f>TEXT(AMAZON_FASHION_5__2[[#This Row],[reviewDate]], "mmmm")</f>
        <v>November</v>
      </c>
      <c r="F1523" t="s">
        <v>1194</v>
      </c>
      <c r="G1523" t="s">
        <v>1479</v>
      </c>
      <c r="H1523" t="s">
        <v>235</v>
      </c>
      <c r="I1523" t="s">
        <v>303</v>
      </c>
      <c r="J1523" t="s">
        <v>1195</v>
      </c>
      <c r="K1523" t="s">
        <v>1196</v>
      </c>
      <c r="L1523" t="s">
        <v>1197</v>
      </c>
      <c r="M1523">
        <v>1478822400</v>
      </c>
      <c r="N1523" t="s">
        <v>1628</v>
      </c>
      <c r="O1523" t="s">
        <v>1628</v>
      </c>
      <c r="P1523" t="s">
        <v>1628</v>
      </c>
      <c r="Q1523">
        <f>LEN(AMAZON_FASHION_5__2[[#This Row],[reviewText]])</f>
        <v>133</v>
      </c>
      <c r="R1523" t="str">
        <f>IF(AMAZON_FASHION_5__2[[#This Row],[overall]]&gt;=4,"Positive",IF(AMAZON_FASHION_5__2[[#This Row],[overall]]&lt;=2,"Negative","Neutral"))</f>
        <v>Positive</v>
      </c>
      <c r="S15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24" spans="1:19" x14ac:dyDescent="0.25">
      <c r="A1524">
        <v>4</v>
      </c>
      <c r="B1524" t="b">
        <v>1</v>
      </c>
      <c r="C1524" s="1">
        <v>42685</v>
      </c>
      <c r="D1524">
        <f>YEAR(AMAZON_FASHION_5__2[[#This Row],[reviewDate]])</f>
        <v>2016</v>
      </c>
      <c r="E1524" s="1" t="str">
        <f>TEXT(AMAZON_FASHION_5__2[[#This Row],[reviewDate]], "mmmm")</f>
        <v>November</v>
      </c>
      <c r="F1524" t="s">
        <v>1198</v>
      </c>
      <c r="G1524" t="s">
        <v>1479</v>
      </c>
      <c r="H1524" t="s">
        <v>205</v>
      </c>
      <c r="I1524" t="s">
        <v>396</v>
      </c>
      <c r="J1524" t="s">
        <v>1199</v>
      </c>
      <c r="K1524" t="s">
        <v>1200</v>
      </c>
      <c r="L1524" t="s">
        <v>103</v>
      </c>
      <c r="M1524">
        <v>1478822400</v>
      </c>
      <c r="N1524" t="s">
        <v>1628</v>
      </c>
      <c r="O1524" t="s">
        <v>1628</v>
      </c>
      <c r="P1524" t="s">
        <v>1628</v>
      </c>
      <c r="Q1524">
        <f>LEN(AMAZON_FASHION_5__2[[#This Row],[reviewText]])</f>
        <v>25</v>
      </c>
      <c r="R1524" t="str">
        <f>IF(AMAZON_FASHION_5__2[[#This Row],[overall]]&gt;=4,"Positive",IF(AMAZON_FASHION_5__2[[#This Row],[overall]]&lt;=2,"Negative","Neutral"))</f>
        <v>Positive</v>
      </c>
      <c r="S15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25" spans="1:19" x14ac:dyDescent="0.25">
      <c r="A1525">
        <v>5</v>
      </c>
      <c r="B1525" t="b">
        <v>1</v>
      </c>
      <c r="C1525" s="1">
        <v>42683</v>
      </c>
      <c r="D1525">
        <f>YEAR(AMAZON_FASHION_5__2[[#This Row],[reviewDate]])</f>
        <v>2016</v>
      </c>
      <c r="E1525" s="1" t="str">
        <f>TEXT(AMAZON_FASHION_5__2[[#This Row],[reviewDate]], "mmmm")</f>
        <v>November</v>
      </c>
      <c r="F1525" t="s">
        <v>1201</v>
      </c>
      <c r="G1525" t="s">
        <v>1479</v>
      </c>
      <c r="H1525" t="s">
        <v>197</v>
      </c>
      <c r="I1525" t="s">
        <v>198</v>
      </c>
      <c r="J1525" t="s">
        <v>63</v>
      </c>
      <c r="K1525" t="s">
        <v>1202</v>
      </c>
      <c r="L1525" t="s">
        <v>1203</v>
      </c>
      <c r="M1525">
        <v>1478649600</v>
      </c>
      <c r="N1525" t="s">
        <v>1628</v>
      </c>
      <c r="O1525" t="s">
        <v>1628</v>
      </c>
      <c r="P1525" t="s">
        <v>1628</v>
      </c>
      <c r="Q1525">
        <f>LEN(AMAZON_FASHION_5__2[[#This Row],[reviewText]])</f>
        <v>64</v>
      </c>
      <c r="R1525" t="str">
        <f>IF(AMAZON_FASHION_5__2[[#This Row],[overall]]&gt;=4,"Positive",IF(AMAZON_FASHION_5__2[[#This Row],[overall]]&lt;=2,"Negative","Neutral"))</f>
        <v>Positive</v>
      </c>
      <c r="S15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26" spans="1:19" x14ac:dyDescent="0.25">
      <c r="A1526">
        <v>4</v>
      </c>
      <c r="B1526" t="b">
        <v>1</v>
      </c>
      <c r="C1526" s="1">
        <v>42682</v>
      </c>
      <c r="D1526">
        <f>YEAR(AMAZON_FASHION_5__2[[#This Row],[reviewDate]])</f>
        <v>2016</v>
      </c>
      <c r="E1526" s="1" t="str">
        <f>TEXT(AMAZON_FASHION_5__2[[#This Row],[reviewDate]], "mmmm")</f>
        <v>November</v>
      </c>
      <c r="F1526" t="s">
        <v>1204</v>
      </c>
      <c r="G1526" t="s">
        <v>1479</v>
      </c>
      <c r="H1526" t="s">
        <v>320</v>
      </c>
      <c r="I1526" t="s">
        <v>827</v>
      </c>
      <c r="J1526" t="s">
        <v>1205</v>
      </c>
      <c r="K1526" t="s">
        <v>1206</v>
      </c>
      <c r="L1526" t="s">
        <v>1207</v>
      </c>
      <c r="M1526">
        <v>1478563200</v>
      </c>
      <c r="N1526" t="s">
        <v>1628</v>
      </c>
      <c r="O1526" t="s">
        <v>1628</v>
      </c>
      <c r="P1526" t="s">
        <v>1628</v>
      </c>
      <c r="Q1526">
        <f>LEN(AMAZON_FASHION_5__2[[#This Row],[reviewText]])</f>
        <v>83</v>
      </c>
      <c r="R1526" t="str">
        <f>IF(AMAZON_FASHION_5__2[[#This Row],[overall]]&gt;=4,"Positive",IF(AMAZON_FASHION_5__2[[#This Row],[overall]]&lt;=2,"Negative","Neutral"))</f>
        <v>Positive</v>
      </c>
      <c r="S15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27" spans="1:19" x14ac:dyDescent="0.25">
      <c r="A1527">
        <v>5</v>
      </c>
      <c r="B1527" t="b">
        <v>1</v>
      </c>
      <c r="C1527" s="1">
        <v>42681</v>
      </c>
      <c r="D1527">
        <f>YEAR(AMAZON_FASHION_5__2[[#This Row],[reviewDate]])</f>
        <v>2016</v>
      </c>
      <c r="E1527" s="1" t="str">
        <f>TEXT(AMAZON_FASHION_5__2[[#This Row],[reviewDate]], "mmmm")</f>
        <v>November</v>
      </c>
      <c r="F1527" t="s">
        <v>1208</v>
      </c>
      <c r="G1527" t="s">
        <v>1479</v>
      </c>
      <c r="H1527" t="s">
        <v>477</v>
      </c>
      <c r="I1527" t="s">
        <v>198</v>
      </c>
      <c r="J1527" t="s">
        <v>1209</v>
      </c>
      <c r="K1527" t="s">
        <v>1210</v>
      </c>
      <c r="L1527" t="s">
        <v>1211</v>
      </c>
      <c r="M1527">
        <v>1478476800</v>
      </c>
      <c r="N1527" t="s">
        <v>1628</v>
      </c>
      <c r="O1527" t="s">
        <v>1628</v>
      </c>
      <c r="P1527">
        <v>3</v>
      </c>
      <c r="Q1527">
        <f>LEN(AMAZON_FASHION_5__2[[#This Row],[reviewText]])</f>
        <v>235</v>
      </c>
      <c r="R1527" t="str">
        <f>IF(AMAZON_FASHION_5__2[[#This Row],[overall]]&gt;=4,"Positive",IF(AMAZON_FASHION_5__2[[#This Row],[overall]]&lt;=2,"Negative","Neutral"))</f>
        <v>Positive</v>
      </c>
      <c r="S15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28" spans="1:19" x14ac:dyDescent="0.25">
      <c r="A1528">
        <v>3</v>
      </c>
      <c r="B1528" t="b">
        <v>1</v>
      </c>
      <c r="C1528" s="1">
        <v>42680</v>
      </c>
      <c r="D1528">
        <f>YEAR(AMAZON_FASHION_5__2[[#This Row],[reviewDate]])</f>
        <v>2016</v>
      </c>
      <c r="E1528" s="1" t="str">
        <f>TEXT(AMAZON_FASHION_5__2[[#This Row],[reviewDate]], "mmmm")</f>
        <v>November</v>
      </c>
      <c r="F1528" t="s">
        <v>1212</v>
      </c>
      <c r="G1528" t="s">
        <v>1479</v>
      </c>
      <c r="H1528" t="s">
        <v>230</v>
      </c>
      <c r="I1528" t="s">
        <v>827</v>
      </c>
      <c r="J1528" t="s">
        <v>1213</v>
      </c>
      <c r="K1528" t="s">
        <v>1214</v>
      </c>
      <c r="L1528" t="s">
        <v>1215</v>
      </c>
      <c r="M1528">
        <v>1478390400</v>
      </c>
      <c r="N1528" t="s">
        <v>1628</v>
      </c>
      <c r="O1528" t="s">
        <v>1628</v>
      </c>
      <c r="P1528" t="s">
        <v>1628</v>
      </c>
      <c r="Q1528">
        <f>LEN(AMAZON_FASHION_5__2[[#This Row],[reviewText]])</f>
        <v>115</v>
      </c>
      <c r="R1528" t="str">
        <f>IF(AMAZON_FASHION_5__2[[#This Row],[overall]]&gt;=4,"Positive",IF(AMAZON_FASHION_5__2[[#This Row],[overall]]&lt;=2,"Negative","Neutral"))</f>
        <v>Neutral</v>
      </c>
      <c r="S15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29" spans="1:19" x14ac:dyDescent="0.25">
      <c r="A1529">
        <v>3</v>
      </c>
      <c r="B1529" t="b">
        <v>1</v>
      </c>
      <c r="C1529" s="1">
        <v>42673</v>
      </c>
      <c r="D1529">
        <f>YEAR(AMAZON_FASHION_5__2[[#This Row],[reviewDate]])</f>
        <v>2016</v>
      </c>
      <c r="E1529" s="1" t="str">
        <f>TEXT(AMAZON_FASHION_5__2[[#This Row],[reviewDate]], "mmmm")</f>
        <v>October</v>
      </c>
      <c r="F1529" t="s">
        <v>1216</v>
      </c>
      <c r="G1529" t="s">
        <v>1479</v>
      </c>
      <c r="H1529" t="s">
        <v>477</v>
      </c>
      <c r="I1529" t="s">
        <v>396</v>
      </c>
      <c r="J1529" t="s">
        <v>1217</v>
      </c>
      <c r="K1529" t="s">
        <v>1218</v>
      </c>
      <c r="L1529" t="s">
        <v>1219</v>
      </c>
      <c r="M1529">
        <v>1477785600</v>
      </c>
      <c r="N1529" t="s">
        <v>1628</v>
      </c>
      <c r="O1529" t="s">
        <v>1628</v>
      </c>
      <c r="P1529" t="s">
        <v>1628</v>
      </c>
      <c r="Q1529">
        <f>LEN(AMAZON_FASHION_5__2[[#This Row],[reviewText]])</f>
        <v>228</v>
      </c>
      <c r="R1529" t="str">
        <f>IF(AMAZON_FASHION_5__2[[#This Row],[overall]]&gt;=4,"Positive",IF(AMAZON_FASHION_5__2[[#This Row],[overall]]&lt;=2,"Negative","Neutral"))</f>
        <v>Neutral</v>
      </c>
      <c r="S15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30" spans="1:19" x14ac:dyDescent="0.25">
      <c r="A1530">
        <v>5</v>
      </c>
      <c r="B1530" t="b">
        <v>1</v>
      </c>
      <c r="C1530" s="1">
        <v>42672</v>
      </c>
      <c r="D1530">
        <f>YEAR(AMAZON_FASHION_5__2[[#This Row],[reviewDate]])</f>
        <v>2016</v>
      </c>
      <c r="E1530" s="1" t="str">
        <f>TEXT(AMAZON_FASHION_5__2[[#This Row],[reviewDate]], "mmmm")</f>
        <v>October</v>
      </c>
      <c r="F1530" t="s">
        <v>1220</v>
      </c>
      <c r="G1530" t="s">
        <v>1479</v>
      </c>
      <c r="H1530" t="s">
        <v>210</v>
      </c>
      <c r="I1530" t="s">
        <v>274</v>
      </c>
      <c r="J1530" t="s">
        <v>1221</v>
      </c>
      <c r="K1530" t="s">
        <v>1222</v>
      </c>
      <c r="L1530" t="s">
        <v>1223</v>
      </c>
      <c r="M1530">
        <v>1477699200</v>
      </c>
      <c r="N1530" t="s">
        <v>1628</v>
      </c>
      <c r="O1530" t="s">
        <v>1628</v>
      </c>
      <c r="P1530" t="s">
        <v>1628</v>
      </c>
      <c r="Q1530">
        <f>LEN(AMAZON_FASHION_5__2[[#This Row],[reviewText]])</f>
        <v>59</v>
      </c>
      <c r="R1530" t="str">
        <f>IF(AMAZON_FASHION_5__2[[#This Row],[overall]]&gt;=4,"Positive",IF(AMAZON_FASHION_5__2[[#This Row],[overall]]&lt;=2,"Negative","Neutral"))</f>
        <v>Positive</v>
      </c>
      <c r="S15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31" spans="1:19" x14ac:dyDescent="0.25">
      <c r="A1531">
        <v>3</v>
      </c>
      <c r="B1531" t="b">
        <v>1</v>
      </c>
      <c r="C1531" s="1">
        <v>42669</v>
      </c>
      <c r="D1531">
        <f>YEAR(AMAZON_FASHION_5__2[[#This Row],[reviewDate]])</f>
        <v>2016</v>
      </c>
      <c r="E1531" s="1" t="str">
        <f>TEXT(AMAZON_FASHION_5__2[[#This Row],[reviewDate]], "mmmm")</f>
        <v>October</v>
      </c>
      <c r="F1531" t="s">
        <v>1224</v>
      </c>
      <c r="G1531" t="s">
        <v>1479</v>
      </c>
      <c r="H1531" t="s">
        <v>230</v>
      </c>
      <c r="I1531" t="s">
        <v>198</v>
      </c>
      <c r="J1531" t="s">
        <v>1225</v>
      </c>
      <c r="K1531" t="s">
        <v>1226</v>
      </c>
      <c r="L1531" t="s">
        <v>1227</v>
      </c>
      <c r="M1531">
        <v>1477440000</v>
      </c>
      <c r="N1531" t="s">
        <v>1628</v>
      </c>
      <c r="O1531" t="s">
        <v>1628</v>
      </c>
      <c r="P1531" t="s">
        <v>1628</v>
      </c>
      <c r="Q1531">
        <f>LEN(AMAZON_FASHION_5__2[[#This Row],[reviewText]])</f>
        <v>333</v>
      </c>
      <c r="R1531" t="str">
        <f>IF(AMAZON_FASHION_5__2[[#This Row],[overall]]&gt;=4,"Positive",IF(AMAZON_FASHION_5__2[[#This Row],[overall]]&lt;=2,"Negative","Neutral"))</f>
        <v>Neutral</v>
      </c>
      <c r="S15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32" spans="1:19" x14ac:dyDescent="0.25">
      <c r="A1532">
        <v>5</v>
      </c>
      <c r="B1532" t="b">
        <v>1</v>
      </c>
      <c r="C1532" s="1">
        <v>42668</v>
      </c>
      <c r="D1532">
        <f>YEAR(AMAZON_FASHION_5__2[[#This Row],[reviewDate]])</f>
        <v>2016</v>
      </c>
      <c r="E1532" s="1" t="str">
        <f>TEXT(AMAZON_FASHION_5__2[[#This Row],[reviewDate]], "mmmm")</f>
        <v>October</v>
      </c>
      <c r="F1532" t="s">
        <v>1228</v>
      </c>
      <c r="G1532" t="s">
        <v>1479</v>
      </c>
      <c r="H1532" t="s">
        <v>261</v>
      </c>
      <c r="I1532" t="s">
        <v>1455</v>
      </c>
      <c r="J1532" t="s">
        <v>1229</v>
      </c>
      <c r="K1532" t="s">
        <v>1230</v>
      </c>
      <c r="L1532" t="s">
        <v>17</v>
      </c>
      <c r="M1532">
        <v>1477353600</v>
      </c>
      <c r="N1532" t="s">
        <v>1628</v>
      </c>
      <c r="O1532" t="s">
        <v>1628</v>
      </c>
      <c r="P1532" t="s">
        <v>1628</v>
      </c>
      <c r="Q1532">
        <f>LEN(AMAZON_FASHION_5__2[[#This Row],[reviewText]])</f>
        <v>33</v>
      </c>
      <c r="R1532" t="str">
        <f>IF(AMAZON_FASHION_5__2[[#This Row],[overall]]&gt;=4,"Positive",IF(AMAZON_FASHION_5__2[[#This Row],[overall]]&lt;=2,"Negative","Neutral"))</f>
        <v>Positive</v>
      </c>
      <c r="S15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33" spans="1:19" x14ac:dyDescent="0.25">
      <c r="A1533">
        <v>5</v>
      </c>
      <c r="B1533" t="b">
        <v>0</v>
      </c>
      <c r="C1533" s="1">
        <v>42667</v>
      </c>
      <c r="D1533">
        <f>YEAR(AMAZON_FASHION_5__2[[#This Row],[reviewDate]])</f>
        <v>2016</v>
      </c>
      <c r="E1533" s="1" t="str">
        <f>TEXT(AMAZON_FASHION_5__2[[#This Row],[reviewDate]], "mmmm")</f>
        <v>October</v>
      </c>
      <c r="F1533" t="s">
        <v>1231</v>
      </c>
      <c r="G1533" t="s">
        <v>1479</v>
      </c>
      <c r="H1533" t="s">
        <v>197</v>
      </c>
      <c r="I1533" t="s">
        <v>419</v>
      </c>
      <c r="J1533" t="s">
        <v>63</v>
      </c>
      <c r="K1533" t="s">
        <v>1232</v>
      </c>
      <c r="L1533" t="s">
        <v>1233</v>
      </c>
      <c r="M1533">
        <v>1477267200</v>
      </c>
      <c r="N1533" t="s">
        <v>1628</v>
      </c>
      <c r="O1533" t="s">
        <v>1628</v>
      </c>
      <c r="P1533" t="s">
        <v>1628</v>
      </c>
      <c r="Q1533">
        <f>LEN(AMAZON_FASHION_5__2[[#This Row],[reviewText]])</f>
        <v>86</v>
      </c>
      <c r="R1533" t="str">
        <f>IF(AMAZON_FASHION_5__2[[#This Row],[overall]]&gt;=4,"Positive",IF(AMAZON_FASHION_5__2[[#This Row],[overall]]&lt;=2,"Negative","Neutral"))</f>
        <v>Positive</v>
      </c>
      <c r="S15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34" spans="1:19" x14ac:dyDescent="0.25">
      <c r="A1534">
        <v>5</v>
      </c>
      <c r="B1534" t="b">
        <v>1</v>
      </c>
      <c r="C1534" s="1">
        <v>42667</v>
      </c>
      <c r="D1534">
        <f>YEAR(AMAZON_FASHION_5__2[[#This Row],[reviewDate]])</f>
        <v>2016</v>
      </c>
      <c r="E1534" s="1" t="str">
        <f>TEXT(AMAZON_FASHION_5__2[[#This Row],[reviewDate]], "mmmm")</f>
        <v>October</v>
      </c>
      <c r="F1534" t="s">
        <v>1234</v>
      </c>
      <c r="G1534" t="s">
        <v>1479</v>
      </c>
      <c r="H1534" t="s">
        <v>197</v>
      </c>
      <c r="I1534" t="s">
        <v>493</v>
      </c>
      <c r="J1534" t="s">
        <v>1235</v>
      </c>
      <c r="K1534" t="s">
        <v>1236</v>
      </c>
      <c r="L1534" t="s">
        <v>17</v>
      </c>
      <c r="M1534">
        <v>1477267200</v>
      </c>
      <c r="N1534" t="s">
        <v>1628</v>
      </c>
      <c r="O1534" t="s">
        <v>1628</v>
      </c>
      <c r="P1534" t="s">
        <v>1628</v>
      </c>
      <c r="Q1534">
        <f>LEN(AMAZON_FASHION_5__2[[#This Row],[reviewText]])</f>
        <v>24</v>
      </c>
      <c r="R1534" t="str">
        <f>IF(AMAZON_FASHION_5__2[[#This Row],[overall]]&gt;=4,"Positive",IF(AMAZON_FASHION_5__2[[#This Row],[overall]]&lt;=2,"Negative","Neutral"))</f>
        <v>Positive</v>
      </c>
      <c r="S15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35" spans="1:19" x14ac:dyDescent="0.25">
      <c r="A1535">
        <v>5</v>
      </c>
      <c r="B1535" t="b">
        <v>1</v>
      </c>
      <c r="C1535" s="1">
        <v>42662</v>
      </c>
      <c r="D1535">
        <f>YEAR(AMAZON_FASHION_5__2[[#This Row],[reviewDate]])</f>
        <v>2016</v>
      </c>
      <c r="E1535" s="1" t="str">
        <f>TEXT(AMAZON_FASHION_5__2[[#This Row],[reviewDate]], "mmmm")</f>
        <v>October</v>
      </c>
      <c r="F1535" t="s">
        <v>1237</v>
      </c>
      <c r="G1535" t="s">
        <v>1479</v>
      </c>
      <c r="H1535" t="s">
        <v>320</v>
      </c>
      <c r="I1535" t="s">
        <v>198</v>
      </c>
      <c r="J1535" t="s">
        <v>63</v>
      </c>
      <c r="K1535" t="s">
        <v>1238</v>
      </c>
      <c r="L1535" t="s">
        <v>1239</v>
      </c>
      <c r="M1535">
        <v>1476835200</v>
      </c>
      <c r="N1535" t="s">
        <v>1628</v>
      </c>
      <c r="O1535" t="s">
        <v>1628</v>
      </c>
      <c r="P1535" t="s">
        <v>1628</v>
      </c>
      <c r="Q1535">
        <f>LEN(AMAZON_FASHION_5__2[[#This Row],[reviewText]])</f>
        <v>35</v>
      </c>
      <c r="R1535" t="str">
        <f>IF(AMAZON_FASHION_5__2[[#This Row],[overall]]&gt;=4,"Positive",IF(AMAZON_FASHION_5__2[[#This Row],[overall]]&lt;=2,"Negative","Neutral"))</f>
        <v>Positive</v>
      </c>
      <c r="S15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36" spans="1:19" x14ac:dyDescent="0.25">
      <c r="A1536">
        <v>5</v>
      </c>
      <c r="B1536" t="b">
        <v>1</v>
      </c>
      <c r="C1536" s="1">
        <v>42660</v>
      </c>
      <c r="D1536">
        <f>YEAR(AMAZON_FASHION_5__2[[#This Row],[reviewDate]])</f>
        <v>2016</v>
      </c>
      <c r="E1536" s="1" t="str">
        <f>TEXT(AMAZON_FASHION_5__2[[#This Row],[reviewDate]], "mmmm")</f>
        <v>October</v>
      </c>
      <c r="F1536" t="s">
        <v>1240</v>
      </c>
      <c r="G1536" t="s">
        <v>1479</v>
      </c>
      <c r="H1536" t="s">
        <v>205</v>
      </c>
      <c r="I1536" t="s">
        <v>396</v>
      </c>
      <c r="J1536" t="s">
        <v>1241</v>
      </c>
      <c r="K1536" t="s">
        <v>1242</v>
      </c>
      <c r="L1536" t="s">
        <v>1243</v>
      </c>
      <c r="M1536">
        <v>1476662400</v>
      </c>
      <c r="N1536" t="s">
        <v>1628</v>
      </c>
      <c r="O1536" t="s">
        <v>1628</v>
      </c>
      <c r="P1536">
        <v>5</v>
      </c>
      <c r="Q1536">
        <f>LEN(AMAZON_FASHION_5__2[[#This Row],[reviewText]])</f>
        <v>106</v>
      </c>
      <c r="R1536" t="str">
        <f>IF(AMAZON_FASHION_5__2[[#This Row],[overall]]&gt;=4,"Positive",IF(AMAZON_FASHION_5__2[[#This Row],[overall]]&lt;=2,"Negative","Neutral"))</f>
        <v>Positive</v>
      </c>
      <c r="S15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37" spans="1:19" x14ac:dyDescent="0.25">
      <c r="A1537">
        <v>5</v>
      </c>
      <c r="B1537" t="b">
        <v>1</v>
      </c>
      <c r="C1537" s="1">
        <v>42658</v>
      </c>
      <c r="D1537">
        <f>YEAR(AMAZON_FASHION_5__2[[#This Row],[reviewDate]])</f>
        <v>2016</v>
      </c>
      <c r="E1537" s="1" t="str">
        <f>TEXT(AMAZON_FASHION_5__2[[#This Row],[reviewDate]], "mmmm")</f>
        <v>October</v>
      </c>
      <c r="F1537" t="s">
        <v>1244</v>
      </c>
      <c r="G1537" t="s">
        <v>1479</v>
      </c>
      <c r="H1537" t="s">
        <v>205</v>
      </c>
      <c r="I1537" t="s">
        <v>198</v>
      </c>
      <c r="J1537" t="s">
        <v>1245</v>
      </c>
      <c r="K1537" t="s">
        <v>1246</v>
      </c>
      <c r="L1537" t="s">
        <v>1247</v>
      </c>
      <c r="M1537">
        <v>1476489600</v>
      </c>
      <c r="N1537" t="s">
        <v>1628</v>
      </c>
      <c r="O1537" t="s">
        <v>1628</v>
      </c>
      <c r="P1537" t="s">
        <v>1628</v>
      </c>
      <c r="Q1537">
        <f>LEN(AMAZON_FASHION_5__2[[#This Row],[reviewText]])</f>
        <v>57</v>
      </c>
      <c r="R1537" t="str">
        <f>IF(AMAZON_FASHION_5__2[[#This Row],[overall]]&gt;=4,"Positive",IF(AMAZON_FASHION_5__2[[#This Row],[overall]]&lt;=2,"Negative","Neutral"))</f>
        <v>Positive</v>
      </c>
      <c r="S15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38" spans="1:19" x14ac:dyDescent="0.25">
      <c r="A1538">
        <v>4</v>
      </c>
      <c r="B1538" t="b">
        <v>1</v>
      </c>
      <c r="C1538" s="1">
        <v>42654</v>
      </c>
      <c r="D1538">
        <f>YEAR(AMAZON_FASHION_5__2[[#This Row],[reviewDate]])</f>
        <v>2016</v>
      </c>
      <c r="E1538" s="1" t="str">
        <f>TEXT(AMAZON_FASHION_5__2[[#This Row],[reviewDate]], "mmmm")</f>
        <v>October</v>
      </c>
      <c r="F1538" t="s">
        <v>1248</v>
      </c>
      <c r="G1538" t="s">
        <v>1479</v>
      </c>
      <c r="H1538" t="s">
        <v>201</v>
      </c>
      <c r="I1538" t="s">
        <v>827</v>
      </c>
      <c r="J1538" t="s">
        <v>1249</v>
      </c>
      <c r="K1538" t="s">
        <v>1250</v>
      </c>
      <c r="L1538" t="s">
        <v>1251</v>
      </c>
      <c r="M1538">
        <v>1476144000</v>
      </c>
      <c r="N1538" t="s">
        <v>1628</v>
      </c>
      <c r="O1538" t="s">
        <v>1628</v>
      </c>
      <c r="P1538" t="s">
        <v>1628</v>
      </c>
      <c r="Q1538">
        <f>LEN(AMAZON_FASHION_5__2[[#This Row],[reviewText]])</f>
        <v>181</v>
      </c>
      <c r="R1538" t="str">
        <f>IF(AMAZON_FASHION_5__2[[#This Row],[overall]]&gt;=4,"Positive",IF(AMAZON_FASHION_5__2[[#This Row],[overall]]&lt;=2,"Negative","Neutral"))</f>
        <v>Positive</v>
      </c>
      <c r="S15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39" spans="1:19" x14ac:dyDescent="0.25">
      <c r="A1539">
        <v>3</v>
      </c>
      <c r="B1539" t="b">
        <v>1</v>
      </c>
      <c r="C1539" s="1">
        <v>42652</v>
      </c>
      <c r="D1539">
        <f>YEAR(AMAZON_FASHION_5__2[[#This Row],[reviewDate]])</f>
        <v>2016</v>
      </c>
      <c r="E1539" s="1" t="str">
        <f>TEXT(AMAZON_FASHION_5__2[[#This Row],[reviewDate]], "mmmm")</f>
        <v>October</v>
      </c>
      <c r="F1539" t="s">
        <v>1252</v>
      </c>
      <c r="G1539" t="s">
        <v>1479</v>
      </c>
      <c r="H1539" t="s">
        <v>477</v>
      </c>
      <c r="I1539" t="s">
        <v>236</v>
      </c>
      <c r="J1539" t="s">
        <v>1253</v>
      </c>
      <c r="K1539" t="s">
        <v>1254</v>
      </c>
      <c r="L1539" t="s">
        <v>1255</v>
      </c>
      <c r="M1539">
        <v>1475971200</v>
      </c>
      <c r="N1539" t="s">
        <v>1628</v>
      </c>
      <c r="O1539" t="s">
        <v>1628</v>
      </c>
      <c r="P1539" t="s">
        <v>1628</v>
      </c>
      <c r="Q1539">
        <f>LEN(AMAZON_FASHION_5__2[[#This Row],[reviewText]])</f>
        <v>68</v>
      </c>
      <c r="R1539" t="str">
        <f>IF(AMAZON_FASHION_5__2[[#This Row],[overall]]&gt;=4,"Positive",IF(AMAZON_FASHION_5__2[[#This Row],[overall]]&lt;=2,"Negative","Neutral"))</f>
        <v>Neutral</v>
      </c>
      <c r="S15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40" spans="1:19" x14ac:dyDescent="0.25">
      <c r="A1540">
        <v>4</v>
      </c>
      <c r="B1540" t="b">
        <v>1</v>
      </c>
      <c r="C1540" s="1">
        <v>42648</v>
      </c>
      <c r="D1540">
        <f>YEAR(AMAZON_FASHION_5__2[[#This Row],[reviewDate]])</f>
        <v>2016</v>
      </c>
      <c r="E1540" s="1" t="str">
        <f>TEXT(AMAZON_FASHION_5__2[[#This Row],[reviewDate]], "mmmm")</f>
        <v>October</v>
      </c>
      <c r="F1540" t="s">
        <v>1256</v>
      </c>
      <c r="G1540" t="s">
        <v>1479</v>
      </c>
      <c r="H1540" t="s">
        <v>197</v>
      </c>
      <c r="I1540" t="s">
        <v>198</v>
      </c>
      <c r="J1540" t="s">
        <v>1257</v>
      </c>
      <c r="K1540" t="s">
        <v>1258</v>
      </c>
      <c r="L1540" t="s">
        <v>1259</v>
      </c>
      <c r="M1540">
        <v>1475625600</v>
      </c>
      <c r="N1540" t="s">
        <v>1628</v>
      </c>
      <c r="O1540" t="s">
        <v>1628</v>
      </c>
      <c r="P1540" t="s">
        <v>1628</v>
      </c>
      <c r="Q1540">
        <f>LEN(AMAZON_FASHION_5__2[[#This Row],[reviewText]])</f>
        <v>100</v>
      </c>
      <c r="R1540" t="str">
        <f>IF(AMAZON_FASHION_5__2[[#This Row],[overall]]&gt;=4,"Positive",IF(AMAZON_FASHION_5__2[[#This Row],[overall]]&lt;=2,"Negative","Neutral"))</f>
        <v>Positive</v>
      </c>
      <c r="S15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41" spans="1:19" x14ac:dyDescent="0.25">
      <c r="A1541">
        <v>3</v>
      </c>
      <c r="B1541" t="b">
        <v>1</v>
      </c>
      <c r="C1541" s="1">
        <v>42644</v>
      </c>
      <c r="D1541">
        <f>YEAR(AMAZON_FASHION_5__2[[#This Row],[reviewDate]])</f>
        <v>2016</v>
      </c>
      <c r="E1541" s="1" t="str">
        <f>TEXT(AMAZON_FASHION_5__2[[#This Row],[reviewDate]], "mmmm")</f>
        <v>October</v>
      </c>
      <c r="F1541" t="s">
        <v>1260</v>
      </c>
      <c r="G1541" t="s">
        <v>1479</v>
      </c>
      <c r="H1541" t="s">
        <v>205</v>
      </c>
      <c r="I1541" t="s">
        <v>236</v>
      </c>
      <c r="J1541" t="s">
        <v>1261</v>
      </c>
      <c r="K1541" t="s">
        <v>1262</v>
      </c>
      <c r="L1541" t="s">
        <v>1263</v>
      </c>
      <c r="M1541">
        <v>1475280000</v>
      </c>
      <c r="N1541" t="s">
        <v>1628</v>
      </c>
      <c r="O1541" t="s">
        <v>1628</v>
      </c>
      <c r="P1541" t="s">
        <v>1628</v>
      </c>
      <c r="Q1541">
        <f>LEN(AMAZON_FASHION_5__2[[#This Row],[reviewText]])</f>
        <v>59</v>
      </c>
      <c r="R1541" t="str">
        <f>IF(AMAZON_FASHION_5__2[[#This Row],[overall]]&gt;=4,"Positive",IF(AMAZON_FASHION_5__2[[#This Row],[overall]]&lt;=2,"Negative","Neutral"))</f>
        <v>Neutral</v>
      </c>
      <c r="S15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42" spans="1:19" x14ac:dyDescent="0.25">
      <c r="A1542">
        <v>5</v>
      </c>
      <c r="B1542" t="b">
        <v>1</v>
      </c>
      <c r="C1542" s="1">
        <v>42639</v>
      </c>
      <c r="D1542">
        <f>YEAR(AMAZON_FASHION_5__2[[#This Row],[reviewDate]])</f>
        <v>2016</v>
      </c>
      <c r="E1542" s="1" t="str">
        <f>TEXT(AMAZON_FASHION_5__2[[#This Row],[reviewDate]], "mmmm")</f>
        <v>September</v>
      </c>
      <c r="F1542" t="s">
        <v>1264</v>
      </c>
      <c r="G1542" t="s">
        <v>1479</v>
      </c>
      <c r="H1542" t="s">
        <v>477</v>
      </c>
      <c r="I1542" t="s">
        <v>211</v>
      </c>
      <c r="J1542" t="s">
        <v>1265</v>
      </c>
      <c r="K1542" t="s">
        <v>1266</v>
      </c>
      <c r="L1542" t="s">
        <v>704</v>
      </c>
      <c r="M1542">
        <v>1474848000</v>
      </c>
      <c r="N1542" t="s">
        <v>1628</v>
      </c>
      <c r="O1542" t="s">
        <v>1628</v>
      </c>
      <c r="P1542" t="s">
        <v>1628</v>
      </c>
      <c r="Q1542">
        <f>LEN(AMAZON_FASHION_5__2[[#This Row],[reviewText]])</f>
        <v>107</v>
      </c>
      <c r="R1542" t="str">
        <f>IF(AMAZON_FASHION_5__2[[#This Row],[overall]]&gt;=4,"Positive",IF(AMAZON_FASHION_5__2[[#This Row],[overall]]&lt;=2,"Negative","Neutral"))</f>
        <v>Positive</v>
      </c>
      <c r="S15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43" spans="1:19" x14ac:dyDescent="0.25">
      <c r="A1543">
        <v>5</v>
      </c>
      <c r="B1543" t="b">
        <v>1</v>
      </c>
      <c r="C1543" s="1">
        <v>42636</v>
      </c>
      <c r="D1543">
        <f>YEAR(AMAZON_FASHION_5__2[[#This Row],[reviewDate]])</f>
        <v>2016</v>
      </c>
      <c r="E1543" s="1" t="str">
        <f>TEXT(AMAZON_FASHION_5__2[[#This Row],[reviewDate]], "mmmm")</f>
        <v>September</v>
      </c>
      <c r="F1543" t="s">
        <v>1267</v>
      </c>
      <c r="G1543" t="s">
        <v>1479</v>
      </c>
      <c r="H1543" t="s">
        <v>197</v>
      </c>
      <c r="I1543" t="s">
        <v>524</v>
      </c>
      <c r="J1543" t="s">
        <v>1268</v>
      </c>
      <c r="K1543" t="s">
        <v>1269</v>
      </c>
      <c r="L1543" t="s">
        <v>17</v>
      </c>
      <c r="M1543">
        <v>1474588800</v>
      </c>
      <c r="N1543" t="s">
        <v>1628</v>
      </c>
      <c r="O1543" t="s">
        <v>1628</v>
      </c>
      <c r="P1543" t="s">
        <v>1628</v>
      </c>
      <c r="Q1543">
        <f>LEN(AMAZON_FASHION_5__2[[#This Row],[reviewText]])</f>
        <v>12</v>
      </c>
      <c r="R1543" t="str">
        <f>IF(AMAZON_FASHION_5__2[[#This Row],[overall]]&gt;=4,"Positive",IF(AMAZON_FASHION_5__2[[#This Row],[overall]]&lt;=2,"Negative","Neutral"))</f>
        <v>Positive</v>
      </c>
      <c r="S15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44" spans="1:19" x14ac:dyDescent="0.25">
      <c r="A1544">
        <v>5</v>
      </c>
      <c r="B1544" t="b">
        <v>1</v>
      </c>
      <c r="C1544" s="1">
        <v>42631</v>
      </c>
      <c r="D1544">
        <f>YEAR(AMAZON_FASHION_5__2[[#This Row],[reviewDate]])</f>
        <v>2016</v>
      </c>
      <c r="E1544" s="1" t="str">
        <f>TEXT(AMAZON_FASHION_5__2[[#This Row],[reviewDate]], "mmmm")</f>
        <v>September</v>
      </c>
      <c r="F1544" t="s">
        <v>1270</v>
      </c>
      <c r="G1544" t="s">
        <v>1479</v>
      </c>
      <c r="H1544" t="s">
        <v>1477</v>
      </c>
      <c r="I1544" t="s">
        <v>336</v>
      </c>
      <c r="J1544" t="s">
        <v>63</v>
      </c>
      <c r="K1544" t="s">
        <v>1271</v>
      </c>
      <c r="L1544" t="s">
        <v>1272</v>
      </c>
      <c r="M1544">
        <v>1474156800</v>
      </c>
      <c r="N1544" t="s">
        <v>1628</v>
      </c>
      <c r="O1544" t="s">
        <v>1628</v>
      </c>
      <c r="P1544">
        <v>3</v>
      </c>
      <c r="Q1544">
        <f>LEN(AMAZON_FASHION_5__2[[#This Row],[reviewText]])</f>
        <v>140</v>
      </c>
      <c r="R1544" t="str">
        <f>IF(AMAZON_FASHION_5__2[[#This Row],[overall]]&gt;=4,"Positive",IF(AMAZON_FASHION_5__2[[#This Row],[overall]]&lt;=2,"Negative","Neutral"))</f>
        <v>Positive</v>
      </c>
      <c r="S15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45" spans="1:19" x14ac:dyDescent="0.25">
      <c r="A1545">
        <v>1</v>
      </c>
      <c r="B1545" t="b">
        <v>1</v>
      </c>
      <c r="C1545" s="1">
        <v>42625</v>
      </c>
      <c r="D1545">
        <f>YEAR(AMAZON_FASHION_5__2[[#This Row],[reviewDate]])</f>
        <v>2016</v>
      </c>
      <c r="E1545" s="1" t="str">
        <f>TEXT(AMAZON_FASHION_5__2[[#This Row],[reviewDate]], "mmmm")</f>
        <v>September</v>
      </c>
      <c r="F1545" t="s">
        <v>1273</v>
      </c>
      <c r="G1545" t="s">
        <v>1479</v>
      </c>
      <c r="H1545" t="s">
        <v>230</v>
      </c>
      <c r="I1545" t="s">
        <v>274</v>
      </c>
      <c r="J1545" t="s">
        <v>1274</v>
      </c>
      <c r="K1545" t="s">
        <v>1275</v>
      </c>
      <c r="L1545" t="s">
        <v>1276</v>
      </c>
      <c r="M1545">
        <v>1473638400</v>
      </c>
      <c r="N1545" t="s">
        <v>1628</v>
      </c>
      <c r="O1545" t="s">
        <v>1628</v>
      </c>
      <c r="P1545" t="s">
        <v>1628</v>
      </c>
      <c r="Q1545">
        <f>LEN(AMAZON_FASHION_5__2[[#This Row],[reviewText]])</f>
        <v>148</v>
      </c>
      <c r="R1545" t="str">
        <f>IF(AMAZON_FASHION_5__2[[#This Row],[overall]]&gt;=4,"Positive",IF(AMAZON_FASHION_5__2[[#This Row],[overall]]&lt;=2,"Negative","Neutral"))</f>
        <v>Negative</v>
      </c>
      <c r="S15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46" spans="1:19" x14ac:dyDescent="0.25">
      <c r="A1546">
        <v>1</v>
      </c>
      <c r="B1546" t="b">
        <v>1</v>
      </c>
      <c r="C1546" s="1">
        <v>42624</v>
      </c>
      <c r="D1546">
        <f>YEAR(AMAZON_FASHION_5__2[[#This Row],[reviewDate]])</f>
        <v>2016</v>
      </c>
      <c r="E1546" s="1" t="str">
        <f>TEXT(AMAZON_FASHION_5__2[[#This Row],[reviewDate]], "mmmm")</f>
        <v>September</v>
      </c>
      <c r="F1546" t="s">
        <v>1277</v>
      </c>
      <c r="G1546" t="s">
        <v>1479</v>
      </c>
      <c r="H1546" t="s">
        <v>235</v>
      </c>
      <c r="I1546" t="s">
        <v>198</v>
      </c>
      <c r="J1546" t="s">
        <v>1278</v>
      </c>
      <c r="K1546" t="s">
        <v>1279</v>
      </c>
      <c r="L1546" t="s">
        <v>1280</v>
      </c>
      <c r="M1546">
        <v>1473552000</v>
      </c>
      <c r="N1546" t="s">
        <v>1628</v>
      </c>
      <c r="O1546" t="s">
        <v>1628</v>
      </c>
      <c r="P1546">
        <v>14</v>
      </c>
      <c r="Q1546">
        <f>LEN(AMAZON_FASHION_5__2[[#This Row],[reviewText]])</f>
        <v>258</v>
      </c>
      <c r="R1546" t="str">
        <f>IF(AMAZON_FASHION_5__2[[#This Row],[overall]]&gt;=4,"Positive",IF(AMAZON_FASHION_5__2[[#This Row],[overall]]&lt;=2,"Negative","Neutral"))</f>
        <v>Negative</v>
      </c>
      <c r="S15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47" spans="1:19" x14ac:dyDescent="0.25">
      <c r="A1547">
        <v>5</v>
      </c>
      <c r="B1547" t="b">
        <v>1</v>
      </c>
      <c r="C1547" s="1">
        <v>42622</v>
      </c>
      <c r="D1547">
        <f>YEAR(AMAZON_FASHION_5__2[[#This Row],[reviewDate]])</f>
        <v>2016</v>
      </c>
      <c r="E1547" s="1" t="str">
        <f>TEXT(AMAZON_FASHION_5__2[[#This Row],[reviewDate]], "mmmm")</f>
        <v>September</v>
      </c>
      <c r="F1547" t="s">
        <v>1281</v>
      </c>
      <c r="G1547" t="s">
        <v>1479</v>
      </c>
      <c r="H1547" t="s">
        <v>230</v>
      </c>
      <c r="I1547" t="s">
        <v>198</v>
      </c>
      <c r="J1547" t="s">
        <v>1282</v>
      </c>
      <c r="K1547" t="s">
        <v>1283</v>
      </c>
      <c r="L1547" t="s">
        <v>17</v>
      </c>
      <c r="M1547">
        <v>1473379200</v>
      </c>
      <c r="N1547" t="s">
        <v>1628</v>
      </c>
      <c r="O1547" t="s">
        <v>1628</v>
      </c>
      <c r="P1547" t="s">
        <v>1628</v>
      </c>
      <c r="Q1547">
        <f>LEN(AMAZON_FASHION_5__2[[#This Row],[reviewText]])</f>
        <v>49</v>
      </c>
      <c r="R1547" t="str">
        <f>IF(AMAZON_FASHION_5__2[[#This Row],[overall]]&gt;=4,"Positive",IF(AMAZON_FASHION_5__2[[#This Row],[overall]]&lt;=2,"Negative","Neutral"))</f>
        <v>Positive</v>
      </c>
      <c r="S15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48" spans="1:19" x14ac:dyDescent="0.25">
      <c r="A1548">
        <v>4</v>
      </c>
      <c r="B1548" t="b">
        <v>1</v>
      </c>
      <c r="C1548" s="1">
        <v>42619</v>
      </c>
      <c r="D1548">
        <f>YEAR(AMAZON_FASHION_5__2[[#This Row],[reviewDate]])</f>
        <v>2016</v>
      </c>
      <c r="E1548" s="1" t="str">
        <f>TEXT(AMAZON_FASHION_5__2[[#This Row],[reviewDate]], "mmmm")</f>
        <v>September</v>
      </c>
      <c r="F1548" t="s">
        <v>1284</v>
      </c>
      <c r="G1548" t="s">
        <v>1479</v>
      </c>
      <c r="H1548" t="s">
        <v>210</v>
      </c>
      <c r="I1548" t="s">
        <v>198</v>
      </c>
      <c r="J1548" t="s">
        <v>1285</v>
      </c>
      <c r="K1548" t="s">
        <v>1286</v>
      </c>
      <c r="L1548" t="s">
        <v>1287</v>
      </c>
      <c r="M1548">
        <v>1473120000</v>
      </c>
      <c r="N1548" t="s">
        <v>1628</v>
      </c>
      <c r="O1548" t="s">
        <v>1628</v>
      </c>
      <c r="P1548">
        <v>2</v>
      </c>
      <c r="Q1548">
        <f>LEN(AMAZON_FASHION_5__2[[#This Row],[reviewText]])</f>
        <v>248</v>
      </c>
      <c r="R1548" t="str">
        <f>IF(AMAZON_FASHION_5__2[[#This Row],[overall]]&gt;=4,"Positive",IF(AMAZON_FASHION_5__2[[#This Row],[overall]]&lt;=2,"Negative","Neutral"))</f>
        <v>Positive</v>
      </c>
      <c r="S15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49" spans="1:19" x14ac:dyDescent="0.25">
      <c r="A1549">
        <v>4</v>
      </c>
      <c r="B1549" t="b">
        <v>1</v>
      </c>
      <c r="C1549" s="1">
        <v>42615</v>
      </c>
      <c r="D1549">
        <f>YEAR(AMAZON_FASHION_5__2[[#This Row],[reviewDate]])</f>
        <v>2016</v>
      </c>
      <c r="E1549" s="1" t="str">
        <f>TEXT(AMAZON_FASHION_5__2[[#This Row],[reviewDate]], "mmmm")</f>
        <v>September</v>
      </c>
      <c r="F1549" t="s">
        <v>1288</v>
      </c>
      <c r="G1549" t="s">
        <v>1479</v>
      </c>
      <c r="H1549" t="s">
        <v>235</v>
      </c>
      <c r="I1549" t="s">
        <v>493</v>
      </c>
      <c r="J1549" t="s">
        <v>63</v>
      </c>
      <c r="K1549" t="s">
        <v>1289</v>
      </c>
      <c r="L1549" t="s">
        <v>1290</v>
      </c>
      <c r="M1549">
        <v>1472774400</v>
      </c>
      <c r="N1549" t="s">
        <v>1628</v>
      </c>
      <c r="O1549" t="s">
        <v>1628</v>
      </c>
      <c r="P1549" t="s">
        <v>1628</v>
      </c>
      <c r="Q1549">
        <f>LEN(AMAZON_FASHION_5__2[[#This Row],[reviewText]])</f>
        <v>177</v>
      </c>
      <c r="R1549" t="str">
        <f>IF(AMAZON_FASHION_5__2[[#This Row],[overall]]&gt;=4,"Positive",IF(AMAZON_FASHION_5__2[[#This Row],[overall]]&lt;=2,"Negative","Neutral"))</f>
        <v>Positive</v>
      </c>
      <c r="S15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50" spans="1:19" x14ac:dyDescent="0.25">
      <c r="A1550">
        <v>5</v>
      </c>
      <c r="B1550" t="b">
        <v>1</v>
      </c>
      <c r="C1550" s="1">
        <v>42611</v>
      </c>
      <c r="D1550">
        <f>YEAR(AMAZON_FASHION_5__2[[#This Row],[reviewDate]])</f>
        <v>2016</v>
      </c>
      <c r="E1550" s="1" t="str">
        <f>TEXT(AMAZON_FASHION_5__2[[#This Row],[reviewDate]], "mmmm")</f>
        <v>August</v>
      </c>
      <c r="F1550" t="s">
        <v>1291</v>
      </c>
      <c r="G1550" t="s">
        <v>1479</v>
      </c>
      <c r="H1550" t="s">
        <v>205</v>
      </c>
      <c r="I1550" t="s">
        <v>198</v>
      </c>
      <c r="J1550" t="s">
        <v>63</v>
      </c>
      <c r="K1550" t="s">
        <v>1292</v>
      </c>
      <c r="L1550" t="s">
        <v>17</v>
      </c>
      <c r="M1550">
        <v>1472428800</v>
      </c>
      <c r="N1550" t="s">
        <v>1628</v>
      </c>
      <c r="O1550" t="s">
        <v>1628</v>
      </c>
      <c r="P1550" t="s">
        <v>1628</v>
      </c>
      <c r="Q1550">
        <f>LEN(AMAZON_FASHION_5__2[[#This Row],[reviewText]])</f>
        <v>13</v>
      </c>
      <c r="R1550" t="str">
        <f>IF(AMAZON_FASHION_5__2[[#This Row],[overall]]&gt;=4,"Positive",IF(AMAZON_FASHION_5__2[[#This Row],[overall]]&lt;=2,"Negative","Neutral"))</f>
        <v>Positive</v>
      </c>
      <c r="S15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51" spans="1:19" x14ac:dyDescent="0.25">
      <c r="A1551">
        <v>5</v>
      </c>
      <c r="B1551" t="b">
        <v>1</v>
      </c>
      <c r="C1551" s="1">
        <v>42609</v>
      </c>
      <c r="D1551">
        <f>YEAR(AMAZON_FASHION_5__2[[#This Row],[reviewDate]])</f>
        <v>2016</v>
      </c>
      <c r="E1551" s="1" t="str">
        <f>TEXT(AMAZON_FASHION_5__2[[#This Row],[reviewDate]], "mmmm")</f>
        <v>August</v>
      </c>
      <c r="F1551" t="s">
        <v>1293</v>
      </c>
      <c r="G1551" t="s">
        <v>1479</v>
      </c>
      <c r="H1551" t="s">
        <v>230</v>
      </c>
      <c r="I1551" t="s">
        <v>419</v>
      </c>
      <c r="J1551" t="s">
        <v>63</v>
      </c>
      <c r="K1551" t="s">
        <v>1294</v>
      </c>
      <c r="L1551" t="s">
        <v>17</v>
      </c>
      <c r="M1551">
        <v>1472256000</v>
      </c>
      <c r="N1551" t="s">
        <v>1628</v>
      </c>
      <c r="O1551" t="s">
        <v>1628</v>
      </c>
      <c r="P1551" t="s">
        <v>1628</v>
      </c>
      <c r="Q1551">
        <f>LEN(AMAZON_FASHION_5__2[[#This Row],[reviewText]])</f>
        <v>62</v>
      </c>
      <c r="R1551" t="str">
        <f>IF(AMAZON_FASHION_5__2[[#This Row],[overall]]&gt;=4,"Positive",IF(AMAZON_FASHION_5__2[[#This Row],[overall]]&lt;=2,"Negative","Neutral"))</f>
        <v>Positive</v>
      </c>
      <c r="S15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52" spans="1:19" x14ac:dyDescent="0.25">
      <c r="A1552">
        <v>5</v>
      </c>
      <c r="B1552" t="b">
        <v>1</v>
      </c>
      <c r="C1552" s="1">
        <v>42609</v>
      </c>
      <c r="D1552">
        <f>YEAR(AMAZON_FASHION_5__2[[#This Row],[reviewDate]])</f>
        <v>2016</v>
      </c>
      <c r="E1552" s="1" t="str">
        <f>TEXT(AMAZON_FASHION_5__2[[#This Row],[reviewDate]], "mmmm")</f>
        <v>August</v>
      </c>
      <c r="F1552" t="s">
        <v>1295</v>
      </c>
      <c r="G1552" t="s">
        <v>1479</v>
      </c>
      <c r="H1552" t="s">
        <v>477</v>
      </c>
      <c r="I1552" t="s">
        <v>198</v>
      </c>
      <c r="J1552" t="s">
        <v>63</v>
      </c>
      <c r="K1552" t="s">
        <v>1296</v>
      </c>
      <c r="L1552" t="s">
        <v>1297</v>
      </c>
      <c r="M1552">
        <v>1472256000</v>
      </c>
      <c r="N1552" t="s">
        <v>1628</v>
      </c>
      <c r="O1552" t="s">
        <v>1628</v>
      </c>
      <c r="P1552">
        <v>5</v>
      </c>
      <c r="Q1552">
        <f>LEN(AMAZON_FASHION_5__2[[#This Row],[reviewText]])</f>
        <v>112</v>
      </c>
      <c r="R1552" t="str">
        <f>IF(AMAZON_FASHION_5__2[[#This Row],[overall]]&gt;=4,"Positive",IF(AMAZON_FASHION_5__2[[#This Row],[overall]]&lt;=2,"Negative","Neutral"))</f>
        <v>Positive</v>
      </c>
      <c r="S15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53" spans="1:19" x14ac:dyDescent="0.25">
      <c r="A1553">
        <v>3</v>
      </c>
      <c r="B1553" t="b">
        <v>1</v>
      </c>
      <c r="C1553" s="1">
        <v>42608</v>
      </c>
      <c r="D1553">
        <f>YEAR(AMAZON_FASHION_5__2[[#This Row],[reviewDate]])</f>
        <v>2016</v>
      </c>
      <c r="E1553" s="1" t="str">
        <f>TEXT(AMAZON_FASHION_5__2[[#This Row],[reviewDate]], "mmmm")</f>
        <v>August</v>
      </c>
      <c r="F1553" t="s">
        <v>1298</v>
      </c>
      <c r="G1553" t="s">
        <v>1479</v>
      </c>
      <c r="H1553" t="s">
        <v>230</v>
      </c>
      <c r="I1553" t="s">
        <v>198</v>
      </c>
      <c r="J1553" t="s">
        <v>63</v>
      </c>
      <c r="K1553" t="s">
        <v>1299</v>
      </c>
      <c r="L1553" t="s">
        <v>1300</v>
      </c>
      <c r="M1553">
        <v>1472169600</v>
      </c>
      <c r="N1553" t="s">
        <v>1628</v>
      </c>
      <c r="O1553" t="s">
        <v>1628</v>
      </c>
      <c r="P1553">
        <v>2</v>
      </c>
      <c r="Q1553">
        <f>LEN(AMAZON_FASHION_5__2[[#This Row],[reviewText]])</f>
        <v>256</v>
      </c>
      <c r="R1553" t="str">
        <f>IF(AMAZON_FASHION_5__2[[#This Row],[overall]]&gt;=4,"Positive",IF(AMAZON_FASHION_5__2[[#This Row],[overall]]&lt;=2,"Negative","Neutral"))</f>
        <v>Neutral</v>
      </c>
      <c r="S15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54" spans="1:19" x14ac:dyDescent="0.25">
      <c r="A1554">
        <v>5</v>
      </c>
      <c r="B1554" t="b">
        <v>1</v>
      </c>
      <c r="C1554" s="1">
        <v>42605</v>
      </c>
      <c r="D1554">
        <f>YEAR(AMAZON_FASHION_5__2[[#This Row],[reviewDate]])</f>
        <v>2016</v>
      </c>
      <c r="E1554" s="1" t="str">
        <f>TEXT(AMAZON_FASHION_5__2[[#This Row],[reviewDate]], "mmmm")</f>
        <v>August</v>
      </c>
      <c r="F1554" t="s">
        <v>1301</v>
      </c>
      <c r="G1554" t="s">
        <v>1479</v>
      </c>
      <c r="H1554" t="s">
        <v>230</v>
      </c>
      <c r="I1554" t="s">
        <v>493</v>
      </c>
      <c r="J1554" t="s">
        <v>1302</v>
      </c>
      <c r="K1554" t="s">
        <v>1303</v>
      </c>
      <c r="L1554" t="s">
        <v>1304</v>
      </c>
      <c r="M1554">
        <v>1471910400</v>
      </c>
      <c r="N1554" t="s">
        <v>1628</v>
      </c>
      <c r="O1554" t="s">
        <v>1628</v>
      </c>
      <c r="P1554" t="s">
        <v>1628</v>
      </c>
      <c r="Q1554">
        <f>LEN(AMAZON_FASHION_5__2[[#This Row],[reviewText]])</f>
        <v>93</v>
      </c>
      <c r="R1554" t="str">
        <f>IF(AMAZON_FASHION_5__2[[#This Row],[overall]]&gt;=4,"Positive",IF(AMAZON_FASHION_5__2[[#This Row],[overall]]&lt;=2,"Negative","Neutral"))</f>
        <v>Positive</v>
      </c>
      <c r="S15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55" spans="1:19" x14ac:dyDescent="0.25">
      <c r="A1555">
        <v>5</v>
      </c>
      <c r="B1555" t="b">
        <v>1</v>
      </c>
      <c r="C1555" s="1">
        <v>42602</v>
      </c>
      <c r="D1555">
        <f>YEAR(AMAZON_FASHION_5__2[[#This Row],[reviewDate]])</f>
        <v>2016</v>
      </c>
      <c r="E1555" s="1" t="str">
        <f>TEXT(AMAZON_FASHION_5__2[[#This Row],[reviewDate]], "mmmm")</f>
        <v>August</v>
      </c>
      <c r="F1555" t="s">
        <v>1305</v>
      </c>
      <c r="G1555" t="s">
        <v>1479</v>
      </c>
      <c r="H1555" t="s">
        <v>205</v>
      </c>
      <c r="I1555" t="s">
        <v>198</v>
      </c>
      <c r="J1555" t="s">
        <v>1306</v>
      </c>
      <c r="K1555" t="s">
        <v>1307</v>
      </c>
      <c r="L1555" t="s">
        <v>1308</v>
      </c>
      <c r="M1555">
        <v>1471651200</v>
      </c>
      <c r="N1555" t="s">
        <v>1628</v>
      </c>
      <c r="O1555" t="s">
        <v>1628</v>
      </c>
      <c r="P1555" t="s">
        <v>1628</v>
      </c>
      <c r="Q1555">
        <f>LEN(AMAZON_FASHION_5__2[[#This Row],[reviewText]])</f>
        <v>1225</v>
      </c>
      <c r="R1555" t="str">
        <f>IF(AMAZON_FASHION_5__2[[#This Row],[overall]]&gt;=4,"Positive",IF(AMAZON_FASHION_5__2[[#This Row],[overall]]&lt;=2,"Negative","Neutral"))</f>
        <v>Positive</v>
      </c>
      <c r="S15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56" spans="1:19" x14ac:dyDescent="0.25">
      <c r="A1556">
        <v>5</v>
      </c>
      <c r="B1556" t="b">
        <v>1</v>
      </c>
      <c r="C1556" s="1">
        <v>42597</v>
      </c>
      <c r="D1556">
        <f>YEAR(AMAZON_FASHION_5__2[[#This Row],[reviewDate]])</f>
        <v>2016</v>
      </c>
      <c r="E1556" s="1" t="str">
        <f>TEXT(AMAZON_FASHION_5__2[[#This Row],[reviewDate]], "mmmm")</f>
        <v>August</v>
      </c>
      <c r="F1556" t="s">
        <v>1309</v>
      </c>
      <c r="G1556" t="s">
        <v>1479</v>
      </c>
      <c r="H1556" t="s">
        <v>320</v>
      </c>
      <c r="I1556" t="s">
        <v>198</v>
      </c>
      <c r="J1556" t="s">
        <v>1310</v>
      </c>
      <c r="K1556" t="s">
        <v>1311</v>
      </c>
      <c r="L1556" t="s">
        <v>1312</v>
      </c>
      <c r="M1556">
        <v>1471219200</v>
      </c>
      <c r="N1556" t="s">
        <v>1628</v>
      </c>
      <c r="O1556" t="s">
        <v>1628</v>
      </c>
      <c r="P1556" t="s">
        <v>1628</v>
      </c>
      <c r="Q1556">
        <f>LEN(AMAZON_FASHION_5__2[[#This Row],[reviewText]])</f>
        <v>246</v>
      </c>
      <c r="R1556" t="str">
        <f>IF(AMAZON_FASHION_5__2[[#This Row],[overall]]&gt;=4,"Positive",IF(AMAZON_FASHION_5__2[[#This Row],[overall]]&lt;=2,"Negative","Neutral"))</f>
        <v>Positive</v>
      </c>
      <c r="S15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57" spans="1:19" x14ac:dyDescent="0.25">
      <c r="A1557">
        <v>5</v>
      </c>
      <c r="B1557" t="b">
        <v>1</v>
      </c>
      <c r="C1557" s="1">
        <v>42597</v>
      </c>
      <c r="D1557">
        <f>YEAR(AMAZON_FASHION_5__2[[#This Row],[reviewDate]])</f>
        <v>2016</v>
      </c>
      <c r="E1557" s="1" t="str">
        <f>TEXT(AMAZON_FASHION_5__2[[#This Row],[reviewDate]], "mmmm")</f>
        <v>August</v>
      </c>
      <c r="F1557" t="s">
        <v>1313</v>
      </c>
      <c r="G1557" t="s">
        <v>1479</v>
      </c>
      <c r="H1557" t="s">
        <v>261</v>
      </c>
      <c r="I1557" t="s">
        <v>1455</v>
      </c>
      <c r="J1557" t="s">
        <v>1314</v>
      </c>
      <c r="K1557" t="s">
        <v>1315</v>
      </c>
      <c r="L1557" t="s">
        <v>17</v>
      </c>
      <c r="M1557">
        <v>1471219200</v>
      </c>
      <c r="N1557" t="s">
        <v>1628</v>
      </c>
      <c r="O1557" t="s">
        <v>1628</v>
      </c>
      <c r="P1557" t="s">
        <v>1628</v>
      </c>
      <c r="Q1557">
        <f>LEN(AMAZON_FASHION_5__2[[#This Row],[reviewText]])</f>
        <v>40</v>
      </c>
      <c r="R1557" t="str">
        <f>IF(AMAZON_FASHION_5__2[[#This Row],[overall]]&gt;=4,"Positive",IF(AMAZON_FASHION_5__2[[#This Row],[overall]]&lt;=2,"Negative","Neutral"))</f>
        <v>Positive</v>
      </c>
      <c r="S15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58" spans="1:19" x14ac:dyDescent="0.25">
      <c r="A1558">
        <v>5</v>
      </c>
      <c r="B1558" t="b">
        <v>1</v>
      </c>
      <c r="C1558" s="1">
        <v>42596</v>
      </c>
      <c r="D1558">
        <f>YEAR(AMAZON_FASHION_5__2[[#This Row],[reviewDate]])</f>
        <v>2016</v>
      </c>
      <c r="E1558" s="1" t="str">
        <f>TEXT(AMAZON_FASHION_5__2[[#This Row],[reviewDate]], "mmmm")</f>
        <v>August</v>
      </c>
      <c r="F1558" t="s">
        <v>1316</v>
      </c>
      <c r="G1558" t="s">
        <v>1479</v>
      </c>
      <c r="H1558" t="s">
        <v>235</v>
      </c>
      <c r="I1558" t="s">
        <v>849</v>
      </c>
      <c r="J1558" t="s">
        <v>1317</v>
      </c>
      <c r="K1558" t="s">
        <v>1318</v>
      </c>
      <c r="L1558" t="s">
        <v>1319</v>
      </c>
      <c r="M1558">
        <v>1471132800</v>
      </c>
      <c r="N1558" t="s">
        <v>1628</v>
      </c>
      <c r="O1558" t="s">
        <v>1628</v>
      </c>
      <c r="P1558" t="s">
        <v>1628</v>
      </c>
      <c r="Q1558">
        <f>LEN(AMAZON_FASHION_5__2[[#This Row],[reviewText]])</f>
        <v>224</v>
      </c>
      <c r="R1558" t="str">
        <f>IF(AMAZON_FASHION_5__2[[#This Row],[overall]]&gt;=4,"Positive",IF(AMAZON_FASHION_5__2[[#This Row],[overall]]&lt;=2,"Negative","Neutral"))</f>
        <v>Positive</v>
      </c>
      <c r="S15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59" spans="1:19" x14ac:dyDescent="0.25">
      <c r="A1559">
        <v>5</v>
      </c>
      <c r="B1559" t="b">
        <v>1</v>
      </c>
      <c r="C1559" s="1">
        <v>42590</v>
      </c>
      <c r="D1559">
        <f>YEAR(AMAZON_FASHION_5__2[[#This Row],[reviewDate]])</f>
        <v>2016</v>
      </c>
      <c r="E1559" s="1" t="str">
        <f>TEXT(AMAZON_FASHION_5__2[[#This Row],[reviewDate]], "mmmm")</f>
        <v>August</v>
      </c>
      <c r="F1559" t="s">
        <v>1320</v>
      </c>
      <c r="G1559" t="s">
        <v>1479</v>
      </c>
      <c r="H1559" t="s">
        <v>235</v>
      </c>
      <c r="I1559" t="s">
        <v>198</v>
      </c>
      <c r="J1559" t="s">
        <v>1321</v>
      </c>
      <c r="K1559" t="s">
        <v>1322</v>
      </c>
      <c r="L1559" t="s">
        <v>1323</v>
      </c>
      <c r="M1559">
        <v>1470614400</v>
      </c>
      <c r="N1559" t="s">
        <v>1628</v>
      </c>
      <c r="O1559" t="s">
        <v>1628</v>
      </c>
      <c r="P1559" t="s">
        <v>1628</v>
      </c>
      <c r="Q1559">
        <f>LEN(AMAZON_FASHION_5__2[[#This Row],[reviewText]])</f>
        <v>105</v>
      </c>
      <c r="R1559" t="str">
        <f>IF(AMAZON_FASHION_5__2[[#This Row],[overall]]&gt;=4,"Positive",IF(AMAZON_FASHION_5__2[[#This Row],[overall]]&lt;=2,"Negative","Neutral"))</f>
        <v>Positive</v>
      </c>
      <c r="S15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60" spans="1:19" x14ac:dyDescent="0.25">
      <c r="A1560">
        <v>3</v>
      </c>
      <c r="B1560" t="b">
        <v>1</v>
      </c>
      <c r="C1560" s="1">
        <v>42587</v>
      </c>
      <c r="D1560">
        <f>YEAR(AMAZON_FASHION_5__2[[#This Row],[reviewDate]])</f>
        <v>2016</v>
      </c>
      <c r="E1560" s="1" t="str">
        <f>TEXT(AMAZON_FASHION_5__2[[#This Row],[reviewDate]], "mmmm")</f>
        <v>August</v>
      </c>
      <c r="F1560" t="s">
        <v>1324</v>
      </c>
      <c r="G1560" t="s">
        <v>1479</v>
      </c>
      <c r="H1560" t="s">
        <v>205</v>
      </c>
      <c r="I1560" t="s">
        <v>198</v>
      </c>
      <c r="J1560" t="s">
        <v>1325</v>
      </c>
      <c r="K1560" t="s">
        <v>1326</v>
      </c>
      <c r="L1560" t="s">
        <v>1327</v>
      </c>
      <c r="M1560">
        <v>1470355200</v>
      </c>
      <c r="N1560" t="s">
        <v>1628</v>
      </c>
      <c r="O1560" t="s">
        <v>1628</v>
      </c>
      <c r="P1560">
        <v>2</v>
      </c>
      <c r="Q1560">
        <f>LEN(AMAZON_FASHION_5__2[[#This Row],[reviewText]])</f>
        <v>772</v>
      </c>
      <c r="R1560" t="str">
        <f>IF(AMAZON_FASHION_5__2[[#This Row],[overall]]&gt;=4,"Positive",IF(AMAZON_FASHION_5__2[[#This Row],[overall]]&lt;=2,"Negative","Neutral"))</f>
        <v>Neutral</v>
      </c>
      <c r="S15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61" spans="1:19" x14ac:dyDescent="0.25">
      <c r="A1561">
        <v>5</v>
      </c>
      <c r="B1561" t="b">
        <v>1</v>
      </c>
      <c r="C1561" s="1">
        <v>42578</v>
      </c>
      <c r="D1561">
        <f>YEAR(AMAZON_FASHION_5__2[[#This Row],[reviewDate]])</f>
        <v>2016</v>
      </c>
      <c r="E1561" s="1" t="str">
        <f>TEXT(AMAZON_FASHION_5__2[[#This Row],[reviewDate]], "mmmm")</f>
        <v>July</v>
      </c>
      <c r="F1561" t="s">
        <v>1328</v>
      </c>
      <c r="G1561" t="s">
        <v>1479</v>
      </c>
      <c r="H1561" t="s">
        <v>677</v>
      </c>
      <c r="I1561" t="s">
        <v>198</v>
      </c>
      <c r="J1561" t="s">
        <v>1329</v>
      </c>
      <c r="K1561" t="s">
        <v>1330</v>
      </c>
      <c r="L1561" t="s">
        <v>1331</v>
      </c>
      <c r="M1561">
        <v>1469577600</v>
      </c>
      <c r="N1561" t="s">
        <v>1628</v>
      </c>
      <c r="O1561" t="s">
        <v>1628</v>
      </c>
      <c r="P1561" t="s">
        <v>1628</v>
      </c>
      <c r="Q1561">
        <f>LEN(AMAZON_FASHION_5__2[[#This Row],[reviewText]])</f>
        <v>37</v>
      </c>
      <c r="R1561" t="str">
        <f>IF(AMAZON_FASHION_5__2[[#This Row],[overall]]&gt;=4,"Positive",IF(AMAZON_FASHION_5__2[[#This Row],[overall]]&lt;=2,"Negative","Neutral"))</f>
        <v>Positive</v>
      </c>
      <c r="S15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62" spans="1:19" x14ac:dyDescent="0.25">
      <c r="A1562">
        <v>5</v>
      </c>
      <c r="B1562" t="b">
        <v>0</v>
      </c>
      <c r="C1562" s="1">
        <v>42573</v>
      </c>
      <c r="D1562">
        <f>YEAR(AMAZON_FASHION_5__2[[#This Row],[reviewDate]])</f>
        <v>2016</v>
      </c>
      <c r="E1562" s="1" t="str">
        <f>TEXT(AMAZON_FASHION_5__2[[#This Row],[reviewDate]], "mmmm")</f>
        <v>July</v>
      </c>
      <c r="F1562" t="s">
        <v>1332</v>
      </c>
      <c r="G1562" t="s">
        <v>1479</v>
      </c>
      <c r="H1562" t="s">
        <v>205</v>
      </c>
      <c r="I1562" t="s">
        <v>344</v>
      </c>
      <c r="J1562" t="s">
        <v>1333</v>
      </c>
      <c r="K1562" t="s">
        <v>1334</v>
      </c>
      <c r="L1562" t="s">
        <v>543</v>
      </c>
      <c r="M1562">
        <v>1469145600</v>
      </c>
      <c r="N1562" t="s">
        <v>1628</v>
      </c>
      <c r="O1562" t="s">
        <v>1628</v>
      </c>
      <c r="P1562" t="s">
        <v>1628</v>
      </c>
      <c r="Q1562">
        <f>LEN(AMAZON_FASHION_5__2[[#This Row],[reviewText]])</f>
        <v>427</v>
      </c>
      <c r="R1562" t="str">
        <f>IF(AMAZON_FASHION_5__2[[#This Row],[overall]]&gt;=4,"Positive",IF(AMAZON_FASHION_5__2[[#This Row],[overall]]&lt;=2,"Negative","Neutral"))</f>
        <v>Positive</v>
      </c>
      <c r="S15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63" spans="1:19" x14ac:dyDescent="0.25">
      <c r="A1563">
        <v>3</v>
      </c>
      <c r="B1563" t="b">
        <v>1</v>
      </c>
      <c r="C1563" s="1">
        <v>42572</v>
      </c>
      <c r="D1563">
        <f>YEAR(AMAZON_FASHION_5__2[[#This Row],[reviewDate]])</f>
        <v>2016</v>
      </c>
      <c r="E1563" s="1" t="str">
        <f>TEXT(AMAZON_FASHION_5__2[[#This Row],[reviewDate]], "mmmm")</f>
        <v>July</v>
      </c>
      <c r="F1563" t="s">
        <v>1335</v>
      </c>
      <c r="G1563" t="s">
        <v>1479</v>
      </c>
      <c r="H1563" t="s">
        <v>477</v>
      </c>
      <c r="I1563" t="s">
        <v>198</v>
      </c>
      <c r="J1563" t="s">
        <v>1336</v>
      </c>
      <c r="K1563" t="s">
        <v>1337</v>
      </c>
      <c r="L1563" t="s">
        <v>1338</v>
      </c>
      <c r="M1563">
        <v>1469059200</v>
      </c>
      <c r="N1563" t="s">
        <v>1628</v>
      </c>
      <c r="O1563" t="s">
        <v>1628</v>
      </c>
      <c r="P1563" t="s">
        <v>1628</v>
      </c>
      <c r="Q1563">
        <f>LEN(AMAZON_FASHION_5__2[[#This Row],[reviewText]])</f>
        <v>50</v>
      </c>
      <c r="R1563" t="str">
        <f>IF(AMAZON_FASHION_5__2[[#This Row],[overall]]&gt;=4,"Positive",IF(AMAZON_FASHION_5__2[[#This Row],[overall]]&lt;=2,"Negative","Neutral"))</f>
        <v>Neutral</v>
      </c>
      <c r="S15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64" spans="1:19" x14ac:dyDescent="0.25">
      <c r="A1564">
        <v>5</v>
      </c>
      <c r="B1564" t="b">
        <v>1</v>
      </c>
      <c r="C1564" s="1">
        <v>42570</v>
      </c>
      <c r="D1564">
        <f>YEAR(AMAZON_FASHION_5__2[[#This Row],[reviewDate]])</f>
        <v>2016</v>
      </c>
      <c r="E1564" s="1" t="str">
        <f>TEXT(AMAZON_FASHION_5__2[[#This Row],[reviewDate]], "mmmm")</f>
        <v>July</v>
      </c>
      <c r="F1564" t="s">
        <v>1339</v>
      </c>
      <c r="G1564" t="s">
        <v>1479</v>
      </c>
      <c r="H1564" t="s">
        <v>205</v>
      </c>
      <c r="I1564" t="s">
        <v>198</v>
      </c>
      <c r="J1564" t="s">
        <v>1340</v>
      </c>
      <c r="K1564" t="s">
        <v>1341</v>
      </c>
      <c r="L1564" t="s">
        <v>17</v>
      </c>
      <c r="M1564">
        <v>1468886400</v>
      </c>
      <c r="N1564" t="s">
        <v>1628</v>
      </c>
      <c r="O1564" t="s">
        <v>1628</v>
      </c>
      <c r="P1564" t="s">
        <v>1628</v>
      </c>
      <c r="Q1564">
        <f>LEN(AMAZON_FASHION_5__2[[#This Row],[reviewText]])</f>
        <v>20</v>
      </c>
      <c r="R1564" t="str">
        <f>IF(AMAZON_FASHION_5__2[[#This Row],[overall]]&gt;=4,"Positive",IF(AMAZON_FASHION_5__2[[#This Row],[overall]]&lt;=2,"Negative","Neutral"))</f>
        <v>Positive</v>
      </c>
      <c r="S15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65" spans="1:19" x14ac:dyDescent="0.25">
      <c r="A1565">
        <v>5</v>
      </c>
      <c r="B1565" t="b">
        <v>1</v>
      </c>
      <c r="C1565" s="1">
        <v>42569</v>
      </c>
      <c r="D1565">
        <f>YEAR(AMAZON_FASHION_5__2[[#This Row],[reviewDate]])</f>
        <v>2016</v>
      </c>
      <c r="E1565" s="1" t="str">
        <f>TEXT(AMAZON_FASHION_5__2[[#This Row],[reviewDate]], "mmmm")</f>
        <v>July</v>
      </c>
      <c r="F1565" t="s">
        <v>1342</v>
      </c>
      <c r="G1565" t="s">
        <v>1479</v>
      </c>
      <c r="H1565" t="s">
        <v>230</v>
      </c>
      <c r="I1565" t="s">
        <v>211</v>
      </c>
      <c r="J1565" t="s">
        <v>1343</v>
      </c>
      <c r="K1565" t="s">
        <v>1344</v>
      </c>
      <c r="L1565" t="s">
        <v>1345</v>
      </c>
      <c r="M1565">
        <v>1468800000</v>
      </c>
      <c r="N1565" t="s">
        <v>1628</v>
      </c>
      <c r="O1565" t="s">
        <v>1628</v>
      </c>
      <c r="P1565" t="s">
        <v>1628</v>
      </c>
      <c r="Q1565">
        <f>LEN(AMAZON_FASHION_5__2[[#This Row],[reviewText]])</f>
        <v>306</v>
      </c>
      <c r="R1565" t="str">
        <f>IF(AMAZON_FASHION_5__2[[#This Row],[overall]]&gt;=4,"Positive",IF(AMAZON_FASHION_5__2[[#This Row],[overall]]&lt;=2,"Negative","Neutral"))</f>
        <v>Positive</v>
      </c>
      <c r="S15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66" spans="1:19" x14ac:dyDescent="0.25">
      <c r="A1566">
        <v>5</v>
      </c>
      <c r="B1566" t="b">
        <v>1</v>
      </c>
      <c r="C1566" s="1">
        <v>42564</v>
      </c>
      <c r="D1566">
        <f>YEAR(AMAZON_FASHION_5__2[[#This Row],[reviewDate]])</f>
        <v>2016</v>
      </c>
      <c r="E1566" s="1" t="str">
        <f>TEXT(AMAZON_FASHION_5__2[[#This Row],[reviewDate]], "mmmm")</f>
        <v>July</v>
      </c>
      <c r="F1566" t="s">
        <v>1346</v>
      </c>
      <c r="G1566" t="s">
        <v>1479</v>
      </c>
      <c r="H1566" t="s">
        <v>210</v>
      </c>
      <c r="I1566" t="s">
        <v>198</v>
      </c>
      <c r="J1566" t="s">
        <v>1347</v>
      </c>
      <c r="K1566" t="s">
        <v>1348</v>
      </c>
      <c r="L1566" t="s">
        <v>1349</v>
      </c>
      <c r="M1566">
        <v>1468368000</v>
      </c>
      <c r="N1566" t="s">
        <v>1628</v>
      </c>
      <c r="O1566" t="s">
        <v>1628</v>
      </c>
      <c r="P1566" t="s">
        <v>1628</v>
      </c>
      <c r="Q1566">
        <f>LEN(AMAZON_FASHION_5__2[[#This Row],[reviewText]])</f>
        <v>188</v>
      </c>
      <c r="R1566" t="str">
        <f>IF(AMAZON_FASHION_5__2[[#This Row],[overall]]&gt;=4,"Positive",IF(AMAZON_FASHION_5__2[[#This Row],[overall]]&lt;=2,"Negative","Neutral"))</f>
        <v>Positive</v>
      </c>
      <c r="S15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67" spans="1:19" x14ac:dyDescent="0.25">
      <c r="A1567">
        <v>5</v>
      </c>
      <c r="B1567" t="b">
        <v>1</v>
      </c>
      <c r="C1567" s="1">
        <v>42552</v>
      </c>
      <c r="D1567">
        <f>YEAR(AMAZON_FASHION_5__2[[#This Row],[reviewDate]])</f>
        <v>2016</v>
      </c>
      <c r="E1567" s="1" t="str">
        <f>TEXT(AMAZON_FASHION_5__2[[#This Row],[reviewDate]], "mmmm")</f>
        <v>July</v>
      </c>
      <c r="F1567" t="s">
        <v>1350</v>
      </c>
      <c r="G1567" t="s">
        <v>1479</v>
      </c>
      <c r="H1567" t="s">
        <v>320</v>
      </c>
      <c r="I1567" t="s">
        <v>198</v>
      </c>
      <c r="J1567" t="s">
        <v>63</v>
      </c>
      <c r="K1567" t="s">
        <v>1351</v>
      </c>
      <c r="L1567" t="s">
        <v>1352</v>
      </c>
      <c r="M1567">
        <v>1467331200</v>
      </c>
      <c r="N1567" t="s">
        <v>1628</v>
      </c>
      <c r="O1567" t="s">
        <v>1628</v>
      </c>
      <c r="P1567" t="s">
        <v>1628</v>
      </c>
      <c r="Q1567">
        <f>LEN(AMAZON_FASHION_5__2[[#This Row],[reviewText]])</f>
        <v>62</v>
      </c>
      <c r="R1567" t="str">
        <f>IF(AMAZON_FASHION_5__2[[#This Row],[overall]]&gt;=4,"Positive",IF(AMAZON_FASHION_5__2[[#This Row],[overall]]&lt;=2,"Negative","Neutral"))</f>
        <v>Positive</v>
      </c>
      <c r="S15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68" spans="1:19" x14ac:dyDescent="0.25">
      <c r="A1568">
        <v>5</v>
      </c>
      <c r="B1568" t="b">
        <v>1</v>
      </c>
      <c r="C1568" s="1">
        <v>42552</v>
      </c>
      <c r="D1568">
        <f>YEAR(AMAZON_FASHION_5__2[[#This Row],[reviewDate]])</f>
        <v>2016</v>
      </c>
      <c r="E1568" s="1" t="str">
        <f>TEXT(AMAZON_FASHION_5__2[[#This Row],[reviewDate]], "mmmm")</f>
        <v>July</v>
      </c>
      <c r="F1568" t="s">
        <v>1353</v>
      </c>
      <c r="G1568" t="s">
        <v>1479</v>
      </c>
      <c r="H1568" t="s">
        <v>205</v>
      </c>
      <c r="I1568" t="s">
        <v>493</v>
      </c>
      <c r="J1568" t="s">
        <v>1354</v>
      </c>
      <c r="K1568" t="s">
        <v>1355</v>
      </c>
      <c r="L1568" t="s">
        <v>1356</v>
      </c>
      <c r="M1568">
        <v>1467331200</v>
      </c>
      <c r="N1568" t="s">
        <v>1628</v>
      </c>
      <c r="O1568" t="s">
        <v>1628</v>
      </c>
      <c r="P1568">
        <v>5</v>
      </c>
      <c r="Q1568">
        <f>LEN(AMAZON_FASHION_5__2[[#This Row],[reviewText]])</f>
        <v>378</v>
      </c>
      <c r="R1568" t="str">
        <f>IF(AMAZON_FASHION_5__2[[#This Row],[overall]]&gt;=4,"Positive",IF(AMAZON_FASHION_5__2[[#This Row],[overall]]&lt;=2,"Negative","Neutral"))</f>
        <v>Positive</v>
      </c>
      <c r="S15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69" spans="1:19" x14ac:dyDescent="0.25">
      <c r="A1569">
        <v>5</v>
      </c>
      <c r="B1569" t="b">
        <v>1</v>
      </c>
      <c r="C1569" s="1">
        <v>42549</v>
      </c>
      <c r="D1569">
        <f>YEAR(AMAZON_FASHION_5__2[[#This Row],[reviewDate]])</f>
        <v>2016</v>
      </c>
      <c r="E1569" s="1" t="str">
        <f>TEXT(AMAZON_FASHION_5__2[[#This Row],[reviewDate]], "mmmm")</f>
        <v>June</v>
      </c>
      <c r="F1569" t="s">
        <v>1357</v>
      </c>
      <c r="G1569" t="s">
        <v>1479</v>
      </c>
      <c r="H1569" t="s">
        <v>201</v>
      </c>
      <c r="I1569" t="s">
        <v>198</v>
      </c>
      <c r="J1569" t="s">
        <v>1358</v>
      </c>
      <c r="K1569" t="s">
        <v>1359</v>
      </c>
      <c r="L1569" t="s">
        <v>1360</v>
      </c>
      <c r="M1569">
        <v>1467072000</v>
      </c>
      <c r="N1569" t="s">
        <v>1628</v>
      </c>
      <c r="O1569" t="s">
        <v>1628</v>
      </c>
      <c r="P1569">
        <v>7</v>
      </c>
      <c r="Q1569">
        <f>LEN(AMAZON_FASHION_5__2[[#This Row],[reviewText]])</f>
        <v>288</v>
      </c>
      <c r="R1569" t="str">
        <f>IF(AMAZON_FASHION_5__2[[#This Row],[overall]]&gt;=4,"Positive",IF(AMAZON_FASHION_5__2[[#This Row],[overall]]&lt;=2,"Negative","Neutral"))</f>
        <v>Positive</v>
      </c>
      <c r="S15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70" spans="1:19" x14ac:dyDescent="0.25">
      <c r="A1570">
        <v>5</v>
      </c>
      <c r="B1570" t="b">
        <v>1</v>
      </c>
      <c r="C1570" s="1">
        <v>42546</v>
      </c>
      <c r="D1570">
        <f>YEAR(AMAZON_FASHION_5__2[[#This Row],[reviewDate]])</f>
        <v>2016</v>
      </c>
      <c r="E1570" s="1" t="str">
        <f>TEXT(AMAZON_FASHION_5__2[[#This Row],[reviewDate]], "mmmm")</f>
        <v>June</v>
      </c>
      <c r="F1570" t="s">
        <v>1361</v>
      </c>
      <c r="G1570" t="s">
        <v>1479</v>
      </c>
      <c r="H1570" t="s">
        <v>205</v>
      </c>
      <c r="I1570" t="s">
        <v>849</v>
      </c>
      <c r="J1570" t="s">
        <v>1362</v>
      </c>
      <c r="K1570" t="s">
        <v>1363</v>
      </c>
      <c r="L1570" t="s">
        <v>17</v>
      </c>
      <c r="M1570">
        <v>1466812800</v>
      </c>
      <c r="N1570" t="s">
        <v>1628</v>
      </c>
      <c r="O1570" t="s">
        <v>1628</v>
      </c>
      <c r="P1570" t="s">
        <v>1628</v>
      </c>
      <c r="Q1570">
        <f>LEN(AMAZON_FASHION_5__2[[#This Row],[reviewText]])</f>
        <v>60</v>
      </c>
      <c r="R1570" t="str">
        <f>IF(AMAZON_FASHION_5__2[[#This Row],[overall]]&gt;=4,"Positive",IF(AMAZON_FASHION_5__2[[#This Row],[overall]]&lt;=2,"Negative","Neutral"))</f>
        <v>Positive</v>
      </c>
      <c r="S15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71" spans="1:19" x14ac:dyDescent="0.25">
      <c r="A1571">
        <v>3</v>
      </c>
      <c r="B1571" t="b">
        <v>1</v>
      </c>
      <c r="C1571" s="1">
        <v>42542</v>
      </c>
      <c r="D1571">
        <f>YEAR(AMAZON_FASHION_5__2[[#This Row],[reviewDate]])</f>
        <v>2016</v>
      </c>
      <c r="E1571" s="1" t="str">
        <f>TEXT(AMAZON_FASHION_5__2[[#This Row],[reviewDate]], "mmmm")</f>
        <v>June</v>
      </c>
      <c r="F1571" t="s">
        <v>1364</v>
      </c>
      <c r="G1571" t="s">
        <v>1479</v>
      </c>
      <c r="H1571" t="s">
        <v>477</v>
      </c>
      <c r="I1571" t="s">
        <v>211</v>
      </c>
      <c r="J1571" t="s">
        <v>63</v>
      </c>
      <c r="K1571" t="s">
        <v>1365</v>
      </c>
      <c r="L1571" t="s">
        <v>1366</v>
      </c>
      <c r="M1571">
        <v>1466467200</v>
      </c>
      <c r="N1571" t="s">
        <v>1628</v>
      </c>
      <c r="O1571" t="s">
        <v>1628</v>
      </c>
      <c r="P1571">
        <v>2</v>
      </c>
      <c r="Q1571">
        <f>LEN(AMAZON_FASHION_5__2[[#This Row],[reviewText]])</f>
        <v>236</v>
      </c>
      <c r="R1571" t="str">
        <f>IF(AMAZON_FASHION_5__2[[#This Row],[overall]]&gt;=4,"Positive",IF(AMAZON_FASHION_5__2[[#This Row],[overall]]&lt;=2,"Negative","Neutral"))</f>
        <v>Neutral</v>
      </c>
      <c r="S15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72" spans="1:19" x14ac:dyDescent="0.25">
      <c r="A1572">
        <v>5</v>
      </c>
      <c r="B1572" t="b">
        <v>1</v>
      </c>
      <c r="C1572" s="1">
        <v>42540</v>
      </c>
      <c r="D1572">
        <f>YEAR(AMAZON_FASHION_5__2[[#This Row],[reviewDate]])</f>
        <v>2016</v>
      </c>
      <c r="E1572" s="1" t="str">
        <f>TEXT(AMAZON_FASHION_5__2[[#This Row],[reviewDate]], "mmmm")</f>
        <v>June</v>
      </c>
      <c r="F1572" t="s">
        <v>1367</v>
      </c>
      <c r="G1572" t="s">
        <v>1479</v>
      </c>
      <c r="H1572" t="s">
        <v>230</v>
      </c>
      <c r="I1572" t="s">
        <v>198</v>
      </c>
      <c r="J1572" t="s">
        <v>1368</v>
      </c>
      <c r="K1572" t="s">
        <v>1369</v>
      </c>
      <c r="L1572" t="s">
        <v>480</v>
      </c>
      <c r="M1572">
        <v>1466294400</v>
      </c>
      <c r="N1572" t="s">
        <v>1628</v>
      </c>
      <c r="O1572" t="s">
        <v>1628</v>
      </c>
      <c r="P1572">
        <v>3</v>
      </c>
      <c r="Q1572">
        <f>LEN(AMAZON_FASHION_5__2[[#This Row],[reviewText]])</f>
        <v>308</v>
      </c>
      <c r="R1572" t="str">
        <f>IF(AMAZON_FASHION_5__2[[#This Row],[overall]]&gt;=4,"Positive",IF(AMAZON_FASHION_5__2[[#This Row],[overall]]&lt;=2,"Negative","Neutral"))</f>
        <v>Positive</v>
      </c>
      <c r="S15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73" spans="1:19" x14ac:dyDescent="0.25">
      <c r="A1573">
        <v>5</v>
      </c>
      <c r="B1573" t="b">
        <v>0</v>
      </c>
      <c r="C1573" s="1">
        <v>42537</v>
      </c>
      <c r="D1573">
        <f>YEAR(AMAZON_FASHION_5__2[[#This Row],[reviewDate]])</f>
        <v>2016</v>
      </c>
      <c r="E1573" s="1" t="str">
        <f>TEXT(AMAZON_FASHION_5__2[[#This Row],[reviewDate]], "mmmm")</f>
        <v>June</v>
      </c>
      <c r="F1573" t="s">
        <v>1370</v>
      </c>
      <c r="G1573" t="s">
        <v>1479</v>
      </c>
      <c r="H1573" t="s">
        <v>230</v>
      </c>
      <c r="I1573" t="s">
        <v>236</v>
      </c>
      <c r="J1573" t="s">
        <v>63</v>
      </c>
      <c r="K1573" t="s">
        <v>1371</v>
      </c>
      <c r="L1573" t="s">
        <v>1372</v>
      </c>
      <c r="M1573">
        <v>1466035200</v>
      </c>
      <c r="N1573" t="s">
        <v>1628</v>
      </c>
      <c r="O1573" t="s">
        <v>1628</v>
      </c>
      <c r="P1573">
        <v>3</v>
      </c>
      <c r="Q1573">
        <f>LEN(AMAZON_FASHION_5__2[[#This Row],[reviewText]])</f>
        <v>370</v>
      </c>
      <c r="R1573" t="str">
        <f>IF(AMAZON_FASHION_5__2[[#This Row],[overall]]&gt;=4,"Positive",IF(AMAZON_FASHION_5__2[[#This Row],[overall]]&lt;=2,"Negative","Neutral"))</f>
        <v>Positive</v>
      </c>
      <c r="S15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74" spans="1:19" x14ac:dyDescent="0.25">
      <c r="A1574">
        <v>5</v>
      </c>
      <c r="B1574" t="b">
        <v>1</v>
      </c>
      <c r="C1574" s="1">
        <v>42531</v>
      </c>
      <c r="D1574">
        <f>YEAR(AMAZON_FASHION_5__2[[#This Row],[reviewDate]])</f>
        <v>2016</v>
      </c>
      <c r="E1574" s="1" t="str">
        <f>TEXT(AMAZON_FASHION_5__2[[#This Row],[reviewDate]], "mmmm")</f>
        <v>June</v>
      </c>
      <c r="F1574" t="s">
        <v>1373</v>
      </c>
      <c r="G1574" t="s">
        <v>1479</v>
      </c>
      <c r="H1574" t="s">
        <v>558</v>
      </c>
      <c r="I1574" t="s">
        <v>198</v>
      </c>
      <c r="J1574" t="s">
        <v>1374</v>
      </c>
      <c r="K1574" t="s">
        <v>1375</v>
      </c>
      <c r="L1574" t="s">
        <v>1376</v>
      </c>
      <c r="M1574">
        <v>1465516800</v>
      </c>
      <c r="N1574" t="s">
        <v>1628</v>
      </c>
      <c r="O1574" t="s">
        <v>1628</v>
      </c>
      <c r="P1574">
        <v>10</v>
      </c>
      <c r="Q1574">
        <f>LEN(AMAZON_FASHION_5__2[[#This Row],[reviewText]])</f>
        <v>204</v>
      </c>
      <c r="R1574" t="str">
        <f>IF(AMAZON_FASHION_5__2[[#This Row],[overall]]&gt;=4,"Positive",IF(AMAZON_FASHION_5__2[[#This Row],[overall]]&lt;=2,"Negative","Neutral"))</f>
        <v>Positive</v>
      </c>
      <c r="S15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75" spans="1:19" x14ac:dyDescent="0.25">
      <c r="A1575">
        <v>5</v>
      </c>
      <c r="B1575" t="b">
        <v>1</v>
      </c>
      <c r="C1575" s="1">
        <v>42526</v>
      </c>
      <c r="D1575">
        <f>YEAR(AMAZON_FASHION_5__2[[#This Row],[reviewDate]])</f>
        <v>2016</v>
      </c>
      <c r="E1575" s="1" t="str">
        <f>TEXT(AMAZON_FASHION_5__2[[#This Row],[reviewDate]], "mmmm")</f>
        <v>June</v>
      </c>
      <c r="F1575" t="s">
        <v>1377</v>
      </c>
      <c r="G1575" t="s">
        <v>1479</v>
      </c>
      <c r="H1575" t="s">
        <v>197</v>
      </c>
      <c r="I1575" t="s">
        <v>198</v>
      </c>
      <c r="J1575" t="s">
        <v>1378</v>
      </c>
      <c r="K1575" t="s">
        <v>1379</v>
      </c>
      <c r="L1575" t="s">
        <v>17</v>
      </c>
      <c r="M1575">
        <v>1465084800</v>
      </c>
      <c r="N1575" t="s">
        <v>1628</v>
      </c>
      <c r="O1575" t="s">
        <v>1628</v>
      </c>
      <c r="P1575" t="s">
        <v>1628</v>
      </c>
      <c r="Q1575">
        <f>LEN(AMAZON_FASHION_5__2[[#This Row],[reviewText]])</f>
        <v>9</v>
      </c>
      <c r="R1575" t="str">
        <f>IF(AMAZON_FASHION_5__2[[#This Row],[overall]]&gt;=4,"Positive",IF(AMAZON_FASHION_5__2[[#This Row],[overall]]&lt;=2,"Negative","Neutral"))</f>
        <v>Positive</v>
      </c>
      <c r="S15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76" spans="1:19" x14ac:dyDescent="0.25">
      <c r="A1576">
        <v>5</v>
      </c>
      <c r="B1576" t="b">
        <v>1</v>
      </c>
      <c r="C1576" s="1">
        <v>42523</v>
      </c>
      <c r="D1576">
        <f>YEAR(AMAZON_FASHION_5__2[[#This Row],[reviewDate]])</f>
        <v>2016</v>
      </c>
      <c r="E1576" s="1" t="str">
        <f>TEXT(AMAZON_FASHION_5__2[[#This Row],[reviewDate]], "mmmm")</f>
        <v>June</v>
      </c>
      <c r="F1576" t="s">
        <v>1380</v>
      </c>
      <c r="G1576" t="s">
        <v>1479</v>
      </c>
      <c r="H1576" t="s">
        <v>197</v>
      </c>
      <c r="I1576" t="s">
        <v>493</v>
      </c>
      <c r="J1576" t="s">
        <v>1381</v>
      </c>
      <c r="K1576" t="s">
        <v>1382</v>
      </c>
      <c r="L1576" t="s">
        <v>1383</v>
      </c>
      <c r="M1576">
        <v>1464825600</v>
      </c>
      <c r="N1576" t="s">
        <v>1628</v>
      </c>
      <c r="O1576" t="s">
        <v>1628</v>
      </c>
      <c r="P1576" t="s">
        <v>1628</v>
      </c>
      <c r="Q1576">
        <f>LEN(AMAZON_FASHION_5__2[[#This Row],[reviewText]])</f>
        <v>237</v>
      </c>
      <c r="R1576" t="str">
        <f>IF(AMAZON_FASHION_5__2[[#This Row],[overall]]&gt;=4,"Positive",IF(AMAZON_FASHION_5__2[[#This Row],[overall]]&lt;=2,"Negative","Neutral"))</f>
        <v>Positive</v>
      </c>
      <c r="S15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77" spans="1:19" x14ac:dyDescent="0.25">
      <c r="A1577">
        <v>5</v>
      </c>
      <c r="B1577" t="b">
        <v>1</v>
      </c>
      <c r="C1577" s="1">
        <v>42519</v>
      </c>
      <c r="D1577">
        <f>YEAR(AMAZON_FASHION_5__2[[#This Row],[reviewDate]])</f>
        <v>2016</v>
      </c>
      <c r="E1577" s="1" t="str">
        <f>TEXT(AMAZON_FASHION_5__2[[#This Row],[reviewDate]], "mmmm")</f>
        <v>May</v>
      </c>
      <c r="F1577" t="s">
        <v>1384</v>
      </c>
      <c r="G1577" t="s">
        <v>1479</v>
      </c>
      <c r="H1577" t="s">
        <v>210</v>
      </c>
      <c r="I1577" t="s">
        <v>211</v>
      </c>
      <c r="J1577" t="s">
        <v>1385</v>
      </c>
      <c r="K1577" t="s">
        <v>1386</v>
      </c>
      <c r="L1577" t="s">
        <v>17</v>
      </c>
      <c r="M1577">
        <v>1464480000</v>
      </c>
      <c r="N1577" t="s">
        <v>1628</v>
      </c>
      <c r="O1577" t="s">
        <v>1628</v>
      </c>
      <c r="P1577" t="s">
        <v>1628</v>
      </c>
      <c r="Q1577">
        <f>LEN(AMAZON_FASHION_5__2[[#This Row],[reviewText]])</f>
        <v>11</v>
      </c>
      <c r="R1577" t="str">
        <f>IF(AMAZON_FASHION_5__2[[#This Row],[overall]]&gt;=4,"Positive",IF(AMAZON_FASHION_5__2[[#This Row],[overall]]&lt;=2,"Negative","Neutral"))</f>
        <v>Positive</v>
      </c>
      <c r="S15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78" spans="1:19" x14ac:dyDescent="0.25">
      <c r="A1578">
        <v>5</v>
      </c>
      <c r="B1578" t="b">
        <v>1</v>
      </c>
      <c r="C1578" s="1">
        <v>42518</v>
      </c>
      <c r="D1578">
        <f>YEAR(AMAZON_FASHION_5__2[[#This Row],[reviewDate]])</f>
        <v>2016</v>
      </c>
      <c r="E1578" s="1" t="str">
        <f>TEXT(AMAZON_FASHION_5__2[[#This Row],[reviewDate]], "mmmm")</f>
        <v>May</v>
      </c>
      <c r="F1578" t="s">
        <v>1387</v>
      </c>
      <c r="G1578" t="s">
        <v>1479</v>
      </c>
      <c r="H1578" t="s">
        <v>1388</v>
      </c>
      <c r="I1578" t="s">
        <v>217</v>
      </c>
      <c r="J1578" t="s">
        <v>63</v>
      </c>
      <c r="K1578" t="s">
        <v>638</v>
      </c>
      <c r="L1578" t="s">
        <v>17</v>
      </c>
      <c r="M1578">
        <v>1464393600</v>
      </c>
      <c r="N1578" t="s">
        <v>1628</v>
      </c>
      <c r="O1578" t="s">
        <v>1628</v>
      </c>
      <c r="P1578" t="s">
        <v>1628</v>
      </c>
      <c r="Q1578">
        <f>LEN(AMAZON_FASHION_5__2[[#This Row],[reviewText]])</f>
        <v>7</v>
      </c>
      <c r="R1578" t="str">
        <f>IF(AMAZON_FASHION_5__2[[#This Row],[overall]]&gt;=4,"Positive",IF(AMAZON_FASHION_5__2[[#This Row],[overall]]&lt;=2,"Negative","Neutral"))</f>
        <v>Positive</v>
      </c>
      <c r="S15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79" spans="1:19" x14ac:dyDescent="0.25">
      <c r="A1579">
        <v>5</v>
      </c>
      <c r="B1579" t="b">
        <v>0</v>
      </c>
      <c r="C1579" s="1">
        <v>42514</v>
      </c>
      <c r="D1579">
        <f>YEAR(AMAZON_FASHION_5__2[[#This Row],[reviewDate]])</f>
        <v>2016</v>
      </c>
      <c r="E1579" s="1" t="str">
        <f>TEXT(AMAZON_FASHION_5__2[[#This Row],[reviewDate]], "mmmm")</f>
        <v>May</v>
      </c>
      <c r="F1579" t="s">
        <v>1389</v>
      </c>
      <c r="G1579" t="s">
        <v>1479</v>
      </c>
      <c r="H1579" t="s">
        <v>1628</v>
      </c>
      <c r="I1579" t="s">
        <v>1628</v>
      </c>
      <c r="J1579" t="s">
        <v>1390</v>
      </c>
      <c r="K1579" t="s">
        <v>1391</v>
      </c>
      <c r="L1579" t="s">
        <v>1392</v>
      </c>
      <c r="M1579">
        <v>1464048000</v>
      </c>
      <c r="N1579" t="s">
        <v>1628</v>
      </c>
      <c r="O1579" t="s">
        <v>1628</v>
      </c>
      <c r="P1579">
        <v>8</v>
      </c>
      <c r="Q1579">
        <f>LEN(AMAZON_FASHION_5__2[[#This Row],[reviewText]])</f>
        <v>629</v>
      </c>
      <c r="R1579" t="str">
        <f>IF(AMAZON_FASHION_5__2[[#This Row],[overall]]&gt;=4,"Positive",IF(AMAZON_FASHION_5__2[[#This Row],[overall]]&lt;=2,"Negative","Neutral"))</f>
        <v>Positive</v>
      </c>
      <c r="S15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80" spans="1:19" x14ac:dyDescent="0.25">
      <c r="A1580">
        <v>4</v>
      </c>
      <c r="B1580" t="b">
        <v>1</v>
      </c>
      <c r="C1580" s="1">
        <v>42514</v>
      </c>
      <c r="D1580">
        <f>YEAR(AMAZON_FASHION_5__2[[#This Row],[reviewDate]])</f>
        <v>2016</v>
      </c>
      <c r="E1580" s="1" t="str">
        <f>TEXT(AMAZON_FASHION_5__2[[#This Row],[reviewDate]], "mmmm")</f>
        <v>May</v>
      </c>
      <c r="F1580" t="s">
        <v>1393</v>
      </c>
      <c r="G1580" t="s">
        <v>1479</v>
      </c>
      <c r="H1580" t="s">
        <v>230</v>
      </c>
      <c r="I1580" t="s">
        <v>211</v>
      </c>
      <c r="J1580" t="s">
        <v>1394</v>
      </c>
      <c r="K1580" t="s">
        <v>1395</v>
      </c>
      <c r="L1580" t="s">
        <v>1396</v>
      </c>
      <c r="M1580">
        <v>1464048000</v>
      </c>
      <c r="N1580" t="s">
        <v>1628</v>
      </c>
      <c r="O1580" t="s">
        <v>1628</v>
      </c>
      <c r="P1580" t="s">
        <v>1628</v>
      </c>
      <c r="Q1580">
        <f>LEN(AMAZON_FASHION_5__2[[#This Row],[reviewText]])</f>
        <v>148</v>
      </c>
      <c r="R1580" t="str">
        <f>IF(AMAZON_FASHION_5__2[[#This Row],[overall]]&gt;=4,"Positive",IF(AMAZON_FASHION_5__2[[#This Row],[overall]]&lt;=2,"Negative","Neutral"))</f>
        <v>Positive</v>
      </c>
      <c r="S15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81" spans="1:19" x14ac:dyDescent="0.25">
      <c r="A1581">
        <v>5</v>
      </c>
      <c r="B1581" t="b">
        <v>1</v>
      </c>
      <c r="C1581" s="1">
        <v>42510</v>
      </c>
      <c r="D1581">
        <f>YEAR(AMAZON_FASHION_5__2[[#This Row],[reviewDate]])</f>
        <v>2016</v>
      </c>
      <c r="E1581" s="1" t="str">
        <f>TEXT(AMAZON_FASHION_5__2[[#This Row],[reviewDate]], "mmmm")</f>
        <v>May</v>
      </c>
      <c r="F1581" t="s">
        <v>1397</v>
      </c>
      <c r="G1581" t="s">
        <v>1479</v>
      </c>
      <c r="H1581" t="s">
        <v>320</v>
      </c>
      <c r="I1581" t="s">
        <v>198</v>
      </c>
      <c r="J1581" t="s">
        <v>1398</v>
      </c>
      <c r="K1581" t="s">
        <v>940</v>
      </c>
      <c r="L1581" t="s">
        <v>17</v>
      </c>
      <c r="M1581">
        <v>1463702400</v>
      </c>
      <c r="N1581" t="s">
        <v>1628</v>
      </c>
      <c r="O1581" t="s">
        <v>1628</v>
      </c>
      <c r="P1581" t="s">
        <v>1628</v>
      </c>
      <c r="Q1581">
        <f>LEN(AMAZON_FASHION_5__2[[#This Row],[reviewText]])</f>
        <v>10</v>
      </c>
      <c r="R1581" t="str">
        <f>IF(AMAZON_FASHION_5__2[[#This Row],[overall]]&gt;=4,"Positive",IF(AMAZON_FASHION_5__2[[#This Row],[overall]]&lt;=2,"Negative","Neutral"))</f>
        <v>Positive</v>
      </c>
      <c r="S15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82" spans="1:19" x14ac:dyDescent="0.25">
      <c r="A1582">
        <v>5</v>
      </c>
      <c r="B1582" t="b">
        <v>0</v>
      </c>
      <c r="C1582" s="1">
        <v>42508</v>
      </c>
      <c r="D1582">
        <f>YEAR(AMAZON_FASHION_5__2[[#This Row],[reviewDate]])</f>
        <v>2016</v>
      </c>
      <c r="E1582" s="1" t="str">
        <f>TEXT(AMAZON_FASHION_5__2[[#This Row],[reviewDate]], "mmmm")</f>
        <v>May</v>
      </c>
      <c r="F1582" t="s">
        <v>1399</v>
      </c>
      <c r="G1582" t="s">
        <v>1479</v>
      </c>
      <c r="H1582" t="s">
        <v>210</v>
      </c>
      <c r="I1582" t="s">
        <v>524</v>
      </c>
      <c r="J1582" t="s">
        <v>1400</v>
      </c>
      <c r="K1582" t="s">
        <v>1401</v>
      </c>
      <c r="L1582" t="s">
        <v>1402</v>
      </c>
      <c r="M1582">
        <v>1463529600</v>
      </c>
      <c r="N1582" t="s">
        <v>1628</v>
      </c>
      <c r="O1582" t="s">
        <v>1628</v>
      </c>
      <c r="P1582" t="s">
        <v>1628</v>
      </c>
      <c r="Q1582">
        <f>LEN(AMAZON_FASHION_5__2[[#This Row],[reviewText]])</f>
        <v>247</v>
      </c>
      <c r="R1582" t="str">
        <f>IF(AMAZON_FASHION_5__2[[#This Row],[overall]]&gt;=4,"Positive",IF(AMAZON_FASHION_5__2[[#This Row],[overall]]&lt;=2,"Negative","Neutral"))</f>
        <v>Positive</v>
      </c>
      <c r="S15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83" spans="1:19" x14ac:dyDescent="0.25">
      <c r="A1583">
        <v>5</v>
      </c>
      <c r="B1583" t="b">
        <v>1</v>
      </c>
      <c r="C1583" s="1">
        <v>42506</v>
      </c>
      <c r="D1583">
        <f>YEAR(AMAZON_FASHION_5__2[[#This Row],[reviewDate]])</f>
        <v>2016</v>
      </c>
      <c r="E1583" s="1" t="str">
        <f>TEXT(AMAZON_FASHION_5__2[[#This Row],[reviewDate]], "mmmm")</f>
        <v>May</v>
      </c>
      <c r="F1583" t="s">
        <v>1403</v>
      </c>
      <c r="G1583" t="s">
        <v>1479</v>
      </c>
      <c r="H1583" t="s">
        <v>235</v>
      </c>
      <c r="I1583" t="s">
        <v>236</v>
      </c>
      <c r="J1583" t="s">
        <v>63</v>
      </c>
      <c r="K1583" t="s">
        <v>1404</v>
      </c>
      <c r="L1583" t="s">
        <v>17</v>
      </c>
      <c r="M1583">
        <v>1463356800</v>
      </c>
      <c r="N1583" t="s">
        <v>1628</v>
      </c>
      <c r="O1583" t="s">
        <v>1628</v>
      </c>
      <c r="P1583" t="s">
        <v>1628</v>
      </c>
      <c r="Q1583">
        <f>LEN(AMAZON_FASHION_5__2[[#This Row],[reviewText]])</f>
        <v>76</v>
      </c>
      <c r="R1583" t="str">
        <f>IF(AMAZON_FASHION_5__2[[#This Row],[overall]]&gt;=4,"Positive",IF(AMAZON_FASHION_5__2[[#This Row],[overall]]&lt;=2,"Negative","Neutral"))</f>
        <v>Positive</v>
      </c>
      <c r="S15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84" spans="1:19" x14ac:dyDescent="0.25">
      <c r="A1584">
        <v>5</v>
      </c>
      <c r="B1584" t="b">
        <v>1</v>
      </c>
      <c r="C1584" s="1">
        <v>42505</v>
      </c>
      <c r="D1584">
        <f>YEAR(AMAZON_FASHION_5__2[[#This Row],[reviewDate]])</f>
        <v>2016</v>
      </c>
      <c r="E1584" s="1" t="str">
        <f>TEXT(AMAZON_FASHION_5__2[[#This Row],[reviewDate]], "mmmm")</f>
        <v>May</v>
      </c>
      <c r="F1584" t="s">
        <v>1405</v>
      </c>
      <c r="G1584" t="s">
        <v>1479</v>
      </c>
      <c r="H1584" t="s">
        <v>201</v>
      </c>
      <c r="I1584" t="s">
        <v>493</v>
      </c>
      <c r="J1584" t="s">
        <v>1406</v>
      </c>
      <c r="K1584" t="s">
        <v>1407</v>
      </c>
      <c r="L1584" t="s">
        <v>1408</v>
      </c>
      <c r="M1584">
        <v>1463270400</v>
      </c>
      <c r="N1584" t="s">
        <v>1628</v>
      </c>
      <c r="O1584" t="s">
        <v>1628</v>
      </c>
      <c r="P1584" t="s">
        <v>1628</v>
      </c>
      <c r="Q1584">
        <f>LEN(AMAZON_FASHION_5__2[[#This Row],[reviewText]])</f>
        <v>27</v>
      </c>
      <c r="R1584" t="str">
        <f>IF(AMAZON_FASHION_5__2[[#This Row],[overall]]&gt;=4,"Positive",IF(AMAZON_FASHION_5__2[[#This Row],[overall]]&lt;=2,"Negative","Neutral"))</f>
        <v>Positive</v>
      </c>
      <c r="S15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85" spans="1:19" x14ac:dyDescent="0.25">
      <c r="A1585">
        <v>4</v>
      </c>
      <c r="B1585" t="b">
        <v>1</v>
      </c>
      <c r="C1585" s="1">
        <v>42501</v>
      </c>
      <c r="D1585">
        <f>YEAR(AMAZON_FASHION_5__2[[#This Row],[reviewDate]])</f>
        <v>2016</v>
      </c>
      <c r="E1585" s="1" t="str">
        <f>TEXT(AMAZON_FASHION_5__2[[#This Row],[reviewDate]], "mmmm")</f>
        <v>May</v>
      </c>
      <c r="F1585" t="s">
        <v>1409</v>
      </c>
      <c r="G1585" t="s">
        <v>1479</v>
      </c>
      <c r="H1585" t="s">
        <v>1410</v>
      </c>
      <c r="I1585" t="s">
        <v>1411</v>
      </c>
      <c r="J1585" t="s">
        <v>1412</v>
      </c>
      <c r="K1585" t="s">
        <v>1413</v>
      </c>
      <c r="L1585" t="s">
        <v>1414</v>
      </c>
      <c r="M1585">
        <v>1462924800</v>
      </c>
      <c r="N1585" t="s">
        <v>1628</v>
      </c>
      <c r="O1585" t="s">
        <v>1628</v>
      </c>
      <c r="P1585" t="s">
        <v>1628</v>
      </c>
      <c r="Q1585">
        <f>LEN(AMAZON_FASHION_5__2[[#This Row],[reviewText]])</f>
        <v>468</v>
      </c>
      <c r="R1585" t="str">
        <f>IF(AMAZON_FASHION_5__2[[#This Row],[overall]]&gt;=4,"Positive",IF(AMAZON_FASHION_5__2[[#This Row],[overall]]&lt;=2,"Negative","Neutral"))</f>
        <v>Positive</v>
      </c>
      <c r="S15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86" spans="1:19" x14ac:dyDescent="0.25">
      <c r="A1586">
        <v>5</v>
      </c>
      <c r="B1586" t="b">
        <v>0</v>
      </c>
      <c r="C1586" s="1">
        <v>42500</v>
      </c>
      <c r="D1586">
        <f>YEAR(AMAZON_FASHION_5__2[[#This Row],[reviewDate]])</f>
        <v>2016</v>
      </c>
      <c r="E1586" s="1" t="str">
        <f>TEXT(AMAZON_FASHION_5__2[[#This Row],[reviewDate]], "mmmm")</f>
        <v>May</v>
      </c>
      <c r="F1586" t="s">
        <v>1415</v>
      </c>
      <c r="G1586" t="s">
        <v>1479</v>
      </c>
      <c r="H1586" t="s">
        <v>210</v>
      </c>
      <c r="I1586" t="s">
        <v>211</v>
      </c>
      <c r="J1586" t="s">
        <v>63</v>
      </c>
      <c r="K1586" t="s">
        <v>1416</v>
      </c>
      <c r="L1586" t="s">
        <v>735</v>
      </c>
      <c r="M1586">
        <v>1462838400</v>
      </c>
      <c r="N1586" t="s">
        <v>1628</v>
      </c>
      <c r="O1586" t="s">
        <v>1628</v>
      </c>
      <c r="P1586" t="s">
        <v>1628</v>
      </c>
      <c r="Q1586">
        <f>LEN(AMAZON_FASHION_5__2[[#This Row],[reviewText]])</f>
        <v>166</v>
      </c>
      <c r="R1586" t="str">
        <f>IF(AMAZON_FASHION_5__2[[#This Row],[overall]]&gt;=4,"Positive",IF(AMAZON_FASHION_5__2[[#This Row],[overall]]&lt;=2,"Negative","Neutral"))</f>
        <v>Positive</v>
      </c>
      <c r="S15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87" spans="1:19" x14ac:dyDescent="0.25">
      <c r="A1587">
        <v>5</v>
      </c>
      <c r="B1587" t="b">
        <v>1</v>
      </c>
      <c r="C1587" s="1">
        <v>42499</v>
      </c>
      <c r="D1587">
        <f>YEAR(AMAZON_FASHION_5__2[[#This Row],[reviewDate]])</f>
        <v>2016</v>
      </c>
      <c r="E1587" s="1" t="str">
        <f>TEXT(AMAZON_FASHION_5__2[[#This Row],[reviewDate]], "mmmm")</f>
        <v>May</v>
      </c>
      <c r="F1587" t="s">
        <v>1417</v>
      </c>
      <c r="G1587" t="s">
        <v>1479</v>
      </c>
      <c r="H1587" t="s">
        <v>230</v>
      </c>
      <c r="I1587" t="s">
        <v>198</v>
      </c>
      <c r="J1587" t="s">
        <v>1418</v>
      </c>
      <c r="K1587" t="s">
        <v>1419</v>
      </c>
      <c r="L1587" t="s">
        <v>17</v>
      </c>
      <c r="M1587">
        <v>1462752000</v>
      </c>
      <c r="N1587" t="s">
        <v>1628</v>
      </c>
      <c r="O1587" t="s">
        <v>1628</v>
      </c>
      <c r="P1587" t="s">
        <v>1628</v>
      </c>
      <c r="Q1587">
        <f>LEN(AMAZON_FASHION_5__2[[#This Row],[reviewText]])</f>
        <v>33</v>
      </c>
      <c r="R1587" t="str">
        <f>IF(AMAZON_FASHION_5__2[[#This Row],[overall]]&gt;=4,"Positive",IF(AMAZON_FASHION_5__2[[#This Row],[overall]]&lt;=2,"Negative","Neutral"))</f>
        <v>Positive</v>
      </c>
      <c r="S15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88" spans="1:19" x14ac:dyDescent="0.25">
      <c r="A1588">
        <v>5</v>
      </c>
      <c r="B1588" t="b">
        <v>1</v>
      </c>
      <c r="C1588" s="1">
        <v>42498</v>
      </c>
      <c r="D1588">
        <f>YEAR(AMAZON_FASHION_5__2[[#This Row],[reviewDate]])</f>
        <v>2016</v>
      </c>
      <c r="E1588" s="1" t="str">
        <f>TEXT(AMAZON_FASHION_5__2[[#This Row],[reviewDate]], "mmmm")</f>
        <v>May</v>
      </c>
      <c r="F1588" t="s">
        <v>1420</v>
      </c>
      <c r="G1588" t="s">
        <v>1479</v>
      </c>
      <c r="H1588" t="s">
        <v>320</v>
      </c>
      <c r="I1588" t="s">
        <v>198</v>
      </c>
      <c r="J1588" t="s">
        <v>1421</v>
      </c>
      <c r="K1588" t="s">
        <v>1422</v>
      </c>
      <c r="L1588" t="s">
        <v>1423</v>
      </c>
      <c r="M1588">
        <v>1462665600</v>
      </c>
      <c r="N1588" t="s">
        <v>1628</v>
      </c>
      <c r="O1588" t="s">
        <v>1628</v>
      </c>
      <c r="P1588" t="s">
        <v>1628</v>
      </c>
      <c r="Q1588">
        <f>LEN(AMAZON_FASHION_5__2[[#This Row],[reviewText]])</f>
        <v>62</v>
      </c>
      <c r="R1588" t="str">
        <f>IF(AMAZON_FASHION_5__2[[#This Row],[overall]]&gt;=4,"Positive",IF(AMAZON_FASHION_5__2[[#This Row],[overall]]&lt;=2,"Negative","Neutral"))</f>
        <v>Positive</v>
      </c>
      <c r="S15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89" spans="1:19" x14ac:dyDescent="0.25">
      <c r="A1589">
        <v>4</v>
      </c>
      <c r="B1589" t="b">
        <v>1</v>
      </c>
      <c r="C1589" s="1">
        <v>42497</v>
      </c>
      <c r="D1589">
        <f>YEAR(AMAZON_FASHION_5__2[[#This Row],[reviewDate]])</f>
        <v>2016</v>
      </c>
      <c r="E1589" s="1" t="str">
        <f>TEXT(AMAZON_FASHION_5__2[[#This Row],[reviewDate]], "mmmm")</f>
        <v>May</v>
      </c>
      <c r="F1589" t="s">
        <v>1424</v>
      </c>
      <c r="G1589" t="s">
        <v>1479</v>
      </c>
      <c r="H1589" t="s">
        <v>1425</v>
      </c>
      <c r="I1589" t="s">
        <v>217</v>
      </c>
      <c r="J1589" t="s">
        <v>1426</v>
      </c>
      <c r="K1589" t="s">
        <v>1427</v>
      </c>
      <c r="L1589" t="s">
        <v>103</v>
      </c>
      <c r="M1589">
        <v>1462579200</v>
      </c>
      <c r="N1589" t="s">
        <v>1628</v>
      </c>
      <c r="O1589" t="s">
        <v>1628</v>
      </c>
      <c r="P1589" t="s">
        <v>1628</v>
      </c>
      <c r="Q1589">
        <f>LEN(AMAZON_FASHION_5__2[[#This Row],[reviewText]])</f>
        <v>25</v>
      </c>
      <c r="R1589" t="str">
        <f>IF(AMAZON_FASHION_5__2[[#This Row],[overall]]&gt;=4,"Positive",IF(AMAZON_FASHION_5__2[[#This Row],[overall]]&lt;=2,"Negative","Neutral"))</f>
        <v>Positive</v>
      </c>
      <c r="S15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90" spans="1:19" x14ac:dyDescent="0.25">
      <c r="A1590">
        <v>4</v>
      </c>
      <c r="B1590" t="b">
        <v>1</v>
      </c>
      <c r="C1590" s="1">
        <v>42494</v>
      </c>
      <c r="D1590">
        <f>YEAR(AMAZON_FASHION_5__2[[#This Row],[reviewDate]])</f>
        <v>2016</v>
      </c>
      <c r="E1590" s="1" t="str">
        <f>TEXT(AMAZON_FASHION_5__2[[#This Row],[reviewDate]], "mmmm")</f>
        <v>May</v>
      </c>
      <c r="F1590" t="s">
        <v>1428</v>
      </c>
      <c r="G1590" t="s">
        <v>1479</v>
      </c>
      <c r="H1590" t="s">
        <v>230</v>
      </c>
      <c r="I1590" t="s">
        <v>198</v>
      </c>
      <c r="J1590" t="s">
        <v>1429</v>
      </c>
      <c r="K1590" t="s">
        <v>1430</v>
      </c>
      <c r="L1590" t="s">
        <v>1376</v>
      </c>
      <c r="M1590">
        <v>1462320000</v>
      </c>
      <c r="N1590" t="s">
        <v>1628</v>
      </c>
      <c r="O1590" t="s">
        <v>1628</v>
      </c>
      <c r="P1590">
        <v>20</v>
      </c>
      <c r="Q1590">
        <f>LEN(AMAZON_FASHION_5__2[[#This Row],[reviewText]])</f>
        <v>1368</v>
      </c>
      <c r="R1590" t="str">
        <f>IF(AMAZON_FASHION_5__2[[#This Row],[overall]]&gt;=4,"Positive",IF(AMAZON_FASHION_5__2[[#This Row],[overall]]&lt;=2,"Negative","Neutral"))</f>
        <v>Positive</v>
      </c>
      <c r="S15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91" spans="1:19" x14ac:dyDescent="0.25">
      <c r="A1591">
        <v>5</v>
      </c>
      <c r="B1591" t="b">
        <v>1</v>
      </c>
      <c r="C1591" s="1">
        <v>42494</v>
      </c>
      <c r="D1591">
        <f>YEAR(AMAZON_FASHION_5__2[[#This Row],[reviewDate]])</f>
        <v>2016</v>
      </c>
      <c r="E1591" s="1" t="str">
        <f>TEXT(AMAZON_FASHION_5__2[[#This Row],[reviewDate]], "mmmm")</f>
        <v>May</v>
      </c>
      <c r="F1591" t="s">
        <v>1431</v>
      </c>
      <c r="G1591" t="s">
        <v>1479</v>
      </c>
      <c r="H1591" t="s">
        <v>1425</v>
      </c>
      <c r="I1591" t="s">
        <v>217</v>
      </c>
      <c r="J1591" t="s">
        <v>1432</v>
      </c>
      <c r="K1591" t="s">
        <v>1433</v>
      </c>
      <c r="L1591" t="s">
        <v>1434</v>
      </c>
      <c r="M1591">
        <v>1462320000</v>
      </c>
      <c r="N1591" t="s">
        <v>1628</v>
      </c>
      <c r="O1591" t="s">
        <v>1628</v>
      </c>
      <c r="P1591" t="s">
        <v>1628</v>
      </c>
      <c r="Q1591">
        <f>LEN(AMAZON_FASHION_5__2[[#This Row],[reviewText]])</f>
        <v>57</v>
      </c>
      <c r="R1591" t="str">
        <f>IF(AMAZON_FASHION_5__2[[#This Row],[overall]]&gt;=4,"Positive",IF(AMAZON_FASHION_5__2[[#This Row],[overall]]&lt;=2,"Negative","Neutral"))</f>
        <v>Positive</v>
      </c>
      <c r="S15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92" spans="1:19" x14ac:dyDescent="0.25">
      <c r="A1592">
        <v>5</v>
      </c>
      <c r="B1592" t="b">
        <v>1</v>
      </c>
      <c r="C1592" s="1">
        <v>42483</v>
      </c>
      <c r="D1592">
        <f>YEAR(AMAZON_FASHION_5__2[[#This Row],[reviewDate]])</f>
        <v>2016</v>
      </c>
      <c r="E1592" s="1" t="str">
        <f>TEXT(AMAZON_FASHION_5__2[[#This Row],[reviewDate]], "mmmm")</f>
        <v>April</v>
      </c>
      <c r="F1592" t="s">
        <v>1435</v>
      </c>
      <c r="G1592" t="s">
        <v>1479</v>
      </c>
      <c r="H1592" t="s">
        <v>205</v>
      </c>
      <c r="I1592" t="s">
        <v>198</v>
      </c>
      <c r="J1592" t="s">
        <v>1436</v>
      </c>
      <c r="K1592" t="s">
        <v>1437</v>
      </c>
      <c r="L1592" t="s">
        <v>17</v>
      </c>
      <c r="M1592">
        <v>1461369600</v>
      </c>
      <c r="N1592" t="s">
        <v>1628</v>
      </c>
      <c r="O1592" t="s">
        <v>1628</v>
      </c>
      <c r="P1592" t="s">
        <v>1628</v>
      </c>
      <c r="Q1592">
        <f>LEN(AMAZON_FASHION_5__2[[#This Row],[reviewText]])</f>
        <v>50</v>
      </c>
      <c r="R1592" t="str">
        <f>IF(AMAZON_FASHION_5__2[[#This Row],[overall]]&gt;=4,"Positive",IF(AMAZON_FASHION_5__2[[#This Row],[overall]]&lt;=2,"Negative","Neutral"))</f>
        <v>Positive</v>
      </c>
      <c r="S15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93" spans="1:19" x14ac:dyDescent="0.25">
      <c r="A1593">
        <v>5</v>
      </c>
      <c r="B1593" t="b">
        <v>1</v>
      </c>
      <c r="C1593" s="1">
        <v>42481</v>
      </c>
      <c r="D1593">
        <f>YEAR(AMAZON_FASHION_5__2[[#This Row],[reviewDate]])</f>
        <v>2016</v>
      </c>
      <c r="E1593" s="1" t="str">
        <f>TEXT(AMAZON_FASHION_5__2[[#This Row],[reviewDate]], "mmmm")</f>
        <v>April</v>
      </c>
      <c r="F1593" t="s">
        <v>1438</v>
      </c>
      <c r="G1593" t="s">
        <v>1479</v>
      </c>
      <c r="H1593" t="s">
        <v>477</v>
      </c>
      <c r="I1593" t="s">
        <v>198</v>
      </c>
      <c r="J1593" t="s">
        <v>1439</v>
      </c>
      <c r="K1593" t="s">
        <v>1440</v>
      </c>
      <c r="L1593" t="s">
        <v>1441</v>
      </c>
      <c r="M1593">
        <v>1461196800</v>
      </c>
      <c r="N1593" t="s">
        <v>1628</v>
      </c>
      <c r="O1593" t="s">
        <v>1628</v>
      </c>
      <c r="P1593">
        <v>3</v>
      </c>
      <c r="Q1593">
        <f>LEN(AMAZON_FASHION_5__2[[#This Row],[reviewText]])</f>
        <v>371</v>
      </c>
      <c r="R1593" t="str">
        <f>IF(AMAZON_FASHION_5__2[[#This Row],[overall]]&gt;=4,"Positive",IF(AMAZON_FASHION_5__2[[#This Row],[overall]]&lt;=2,"Negative","Neutral"))</f>
        <v>Positive</v>
      </c>
      <c r="S15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94" spans="1:19" x14ac:dyDescent="0.25">
      <c r="A1594">
        <v>4</v>
      </c>
      <c r="B1594" t="b">
        <v>1</v>
      </c>
      <c r="C1594" s="1">
        <v>42480</v>
      </c>
      <c r="D1594">
        <f>YEAR(AMAZON_FASHION_5__2[[#This Row],[reviewDate]])</f>
        <v>2016</v>
      </c>
      <c r="E1594" s="1" t="str">
        <f>TEXT(AMAZON_FASHION_5__2[[#This Row],[reviewDate]], "mmmm")</f>
        <v>April</v>
      </c>
      <c r="F1594" t="s">
        <v>1442</v>
      </c>
      <c r="G1594" t="s">
        <v>1479</v>
      </c>
      <c r="H1594" t="s">
        <v>205</v>
      </c>
      <c r="I1594" t="s">
        <v>198</v>
      </c>
      <c r="J1594" t="s">
        <v>63</v>
      </c>
      <c r="K1594" t="s">
        <v>1443</v>
      </c>
      <c r="L1594" t="s">
        <v>103</v>
      </c>
      <c r="M1594">
        <v>1461110400</v>
      </c>
      <c r="N1594" t="s">
        <v>1628</v>
      </c>
      <c r="O1594" t="s">
        <v>1628</v>
      </c>
      <c r="P1594" t="s">
        <v>1628</v>
      </c>
      <c r="Q1594">
        <f>LEN(AMAZON_FASHION_5__2[[#This Row],[reviewText]])</f>
        <v>19</v>
      </c>
      <c r="R1594" t="str">
        <f>IF(AMAZON_FASHION_5__2[[#This Row],[overall]]&gt;=4,"Positive",IF(AMAZON_FASHION_5__2[[#This Row],[overall]]&lt;=2,"Negative","Neutral"))</f>
        <v>Positive</v>
      </c>
      <c r="S15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95" spans="1:19" x14ac:dyDescent="0.25">
      <c r="A1595">
        <v>4</v>
      </c>
      <c r="B1595" t="b">
        <v>1</v>
      </c>
      <c r="C1595" s="1">
        <v>42479</v>
      </c>
      <c r="D1595">
        <f>YEAR(AMAZON_FASHION_5__2[[#This Row],[reviewDate]])</f>
        <v>2016</v>
      </c>
      <c r="E1595" s="1" t="str">
        <f>TEXT(AMAZON_FASHION_5__2[[#This Row],[reviewDate]], "mmmm")</f>
        <v>April</v>
      </c>
      <c r="F1595" t="s">
        <v>195</v>
      </c>
      <c r="G1595" t="s">
        <v>1479</v>
      </c>
      <c r="H1595" t="s">
        <v>197</v>
      </c>
      <c r="I1595" t="s">
        <v>198</v>
      </c>
      <c r="J1595" t="s">
        <v>63</v>
      </c>
      <c r="K1595" t="s">
        <v>199</v>
      </c>
      <c r="L1595" t="s">
        <v>103</v>
      </c>
      <c r="M1595">
        <v>1461024000</v>
      </c>
      <c r="N1595" t="s">
        <v>1628</v>
      </c>
      <c r="O1595" t="s">
        <v>1628</v>
      </c>
      <c r="P1595">
        <v>2</v>
      </c>
      <c r="Q1595">
        <f>LEN(AMAZON_FASHION_5__2[[#This Row],[reviewText]])</f>
        <v>60</v>
      </c>
      <c r="R1595" t="str">
        <f>IF(AMAZON_FASHION_5__2[[#This Row],[overall]]&gt;=4,"Positive",IF(AMAZON_FASHION_5__2[[#This Row],[overall]]&lt;=2,"Negative","Neutral"))</f>
        <v>Positive</v>
      </c>
      <c r="S15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96" spans="1:19" x14ac:dyDescent="0.25">
      <c r="A1596">
        <v>5</v>
      </c>
      <c r="B1596" t="b">
        <v>1</v>
      </c>
      <c r="C1596" s="1">
        <v>42478</v>
      </c>
      <c r="D1596">
        <f>YEAR(AMAZON_FASHION_5__2[[#This Row],[reviewDate]])</f>
        <v>2016</v>
      </c>
      <c r="E1596" s="1" t="str">
        <f>TEXT(AMAZON_FASHION_5__2[[#This Row],[reviewDate]], "mmmm")</f>
        <v>April</v>
      </c>
      <c r="F1596" t="s">
        <v>200</v>
      </c>
      <c r="G1596" t="s">
        <v>1479</v>
      </c>
      <c r="H1596" t="s">
        <v>201</v>
      </c>
      <c r="I1596" t="s">
        <v>198</v>
      </c>
      <c r="J1596" t="s">
        <v>202</v>
      </c>
      <c r="K1596" t="s">
        <v>203</v>
      </c>
      <c r="L1596" t="s">
        <v>17</v>
      </c>
      <c r="M1596">
        <v>1460937600</v>
      </c>
      <c r="N1596" t="s">
        <v>1628</v>
      </c>
      <c r="O1596" t="s">
        <v>1628</v>
      </c>
      <c r="P1596" t="s">
        <v>1628</v>
      </c>
      <c r="Q1596">
        <f>LEN(AMAZON_FASHION_5__2[[#This Row],[reviewText]])</f>
        <v>22</v>
      </c>
      <c r="R1596" t="str">
        <f>IF(AMAZON_FASHION_5__2[[#This Row],[overall]]&gt;=4,"Positive",IF(AMAZON_FASHION_5__2[[#This Row],[overall]]&lt;=2,"Negative","Neutral"))</f>
        <v>Positive</v>
      </c>
      <c r="S15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97" spans="1:19" x14ac:dyDescent="0.25">
      <c r="A1597">
        <v>3</v>
      </c>
      <c r="B1597" t="b">
        <v>1</v>
      </c>
      <c r="C1597" s="1">
        <v>42464</v>
      </c>
      <c r="D1597">
        <f>YEAR(AMAZON_FASHION_5__2[[#This Row],[reviewDate]])</f>
        <v>2016</v>
      </c>
      <c r="E1597" s="1" t="str">
        <f>TEXT(AMAZON_FASHION_5__2[[#This Row],[reviewDate]], "mmmm")</f>
        <v>April</v>
      </c>
      <c r="F1597" t="s">
        <v>204</v>
      </c>
      <c r="G1597" t="s">
        <v>1479</v>
      </c>
      <c r="H1597" t="s">
        <v>205</v>
      </c>
      <c r="I1597" t="s">
        <v>198</v>
      </c>
      <c r="J1597" t="s">
        <v>206</v>
      </c>
      <c r="K1597" t="s">
        <v>207</v>
      </c>
      <c r="L1597" t="s">
        <v>208</v>
      </c>
      <c r="M1597">
        <v>1459728000</v>
      </c>
      <c r="N1597" t="s">
        <v>1628</v>
      </c>
      <c r="O1597" t="s">
        <v>1628</v>
      </c>
      <c r="P1597">
        <v>2</v>
      </c>
      <c r="Q1597">
        <f>LEN(AMAZON_FASHION_5__2[[#This Row],[reviewText]])</f>
        <v>272</v>
      </c>
      <c r="R1597" t="str">
        <f>IF(AMAZON_FASHION_5__2[[#This Row],[overall]]&gt;=4,"Positive",IF(AMAZON_FASHION_5__2[[#This Row],[overall]]&lt;=2,"Negative","Neutral"))</f>
        <v>Neutral</v>
      </c>
      <c r="S15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98" spans="1:19" x14ac:dyDescent="0.25">
      <c r="A1598">
        <v>5</v>
      </c>
      <c r="B1598" t="b">
        <v>1</v>
      </c>
      <c r="C1598" s="1">
        <v>42460</v>
      </c>
      <c r="D1598">
        <f>YEAR(AMAZON_FASHION_5__2[[#This Row],[reviewDate]])</f>
        <v>2016</v>
      </c>
      <c r="E1598" s="1" t="str">
        <f>TEXT(AMAZON_FASHION_5__2[[#This Row],[reviewDate]], "mmmm")</f>
        <v>March</v>
      </c>
      <c r="F1598" t="s">
        <v>209</v>
      </c>
      <c r="G1598" t="s">
        <v>1479</v>
      </c>
      <c r="H1598" t="s">
        <v>210</v>
      </c>
      <c r="I1598" t="s">
        <v>211</v>
      </c>
      <c r="J1598" t="s">
        <v>212</v>
      </c>
      <c r="K1598" t="s">
        <v>213</v>
      </c>
      <c r="L1598" t="s">
        <v>214</v>
      </c>
      <c r="M1598">
        <v>1459382400</v>
      </c>
      <c r="N1598" t="s">
        <v>1628</v>
      </c>
      <c r="O1598" t="s">
        <v>1628</v>
      </c>
      <c r="P1598" t="s">
        <v>1628</v>
      </c>
      <c r="Q1598">
        <f>LEN(AMAZON_FASHION_5__2[[#This Row],[reviewText]])</f>
        <v>123</v>
      </c>
      <c r="R1598" t="str">
        <f>IF(AMAZON_FASHION_5__2[[#This Row],[overall]]&gt;=4,"Positive",IF(AMAZON_FASHION_5__2[[#This Row],[overall]]&lt;=2,"Negative","Neutral"))</f>
        <v>Positive</v>
      </c>
      <c r="S15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599" spans="1:19" x14ac:dyDescent="0.25">
      <c r="A1599">
        <v>5</v>
      </c>
      <c r="B1599" t="b">
        <v>1</v>
      </c>
      <c r="C1599" s="1">
        <v>42457</v>
      </c>
      <c r="D1599">
        <f>YEAR(AMAZON_FASHION_5__2[[#This Row],[reviewDate]])</f>
        <v>2016</v>
      </c>
      <c r="E1599" s="1" t="str">
        <f>TEXT(AMAZON_FASHION_5__2[[#This Row],[reviewDate]], "mmmm")</f>
        <v>March</v>
      </c>
      <c r="F1599" t="s">
        <v>215</v>
      </c>
      <c r="G1599" t="s">
        <v>1479</v>
      </c>
      <c r="H1599" t="s">
        <v>216</v>
      </c>
      <c r="I1599" t="s">
        <v>217</v>
      </c>
      <c r="J1599" t="s">
        <v>218</v>
      </c>
      <c r="K1599" t="s">
        <v>219</v>
      </c>
      <c r="L1599" t="s">
        <v>17</v>
      </c>
      <c r="M1599">
        <v>1459123200</v>
      </c>
      <c r="N1599" t="s">
        <v>1628</v>
      </c>
      <c r="O1599" t="s">
        <v>1628</v>
      </c>
      <c r="P1599" t="s">
        <v>1628</v>
      </c>
      <c r="Q1599">
        <f>LEN(AMAZON_FASHION_5__2[[#This Row],[reviewText]])</f>
        <v>9</v>
      </c>
      <c r="R1599" t="str">
        <f>IF(AMAZON_FASHION_5__2[[#This Row],[overall]]&gt;=4,"Positive",IF(AMAZON_FASHION_5__2[[#This Row],[overall]]&lt;=2,"Negative","Neutral"))</f>
        <v>Positive</v>
      </c>
      <c r="S15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00" spans="1:19" x14ac:dyDescent="0.25">
      <c r="A1600">
        <v>2</v>
      </c>
      <c r="B1600" t="b">
        <v>1</v>
      </c>
      <c r="C1600" s="1">
        <v>42457</v>
      </c>
      <c r="D1600">
        <f>YEAR(AMAZON_FASHION_5__2[[#This Row],[reviewDate]])</f>
        <v>2016</v>
      </c>
      <c r="E1600" s="1" t="str">
        <f>TEXT(AMAZON_FASHION_5__2[[#This Row],[reviewDate]], "mmmm")</f>
        <v>March</v>
      </c>
      <c r="F1600" t="s">
        <v>220</v>
      </c>
      <c r="G1600" t="s">
        <v>1479</v>
      </c>
      <c r="H1600" t="s">
        <v>221</v>
      </c>
      <c r="I1600" t="s">
        <v>217</v>
      </c>
      <c r="J1600" t="s">
        <v>63</v>
      </c>
      <c r="K1600" t="s">
        <v>222</v>
      </c>
      <c r="L1600" t="s">
        <v>223</v>
      </c>
      <c r="M1600">
        <v>1459123200</v>
      </c>
      <c r="N1600" t="s">
        <v>1628</v>
      </c>
      <c r="O1600" t="s">
        <v>1628</v>
      </c>
      <c r="P1600" t="s">
        <v>1628</v>
      </c>
      <c r="Q1600">
        <f>LEN(AMAZON_FASHION_5__2[[#This Row],[reviewText]])</f>
        <v>167</v>
      </c>
      <c r="R1600" t="str">
        <f>IF(AMAZON_FASHION_5__2[[#This Row],[overall]]&gt;=4,"Positive",IF(AMAZON_FASHION_5__2[[#This Row],[overall]]&lt;=2,"Negative","Neutral"))</f>
        <v>Negative</v>
      </c>
      <c r="S16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01" spans="1:19" x14ac:dyDescent="0.25">
      <c r="A1601">
        <v>4</v>
      </c>
      <c r="B1601" t="b">
        <v>1</v>
      </c>
      <c r="C1601" s="1">
        <v>42453</v>
      </c>
      <c r="D1601">
        <f>YEAR(AMAZON_FASHION_5__2[[#This Row],[reviewDate]])</f>
        <v>2016</v>
      </c>
      <c r="E1601" s="1" t="str">
        <f>TEXT(AMAZON_FASHION_5__2[[#This Row],[reviewDate]], "mmmm")</f>
        <v>March</v>
      </c>
      <c r="F1601" t="s">
        <v>224</v>
      </c>
      <c r="G1601" t="s">
        <v>1479</v>
      </c>
      <c r="H1601" t="s">
        <v>225</v>
      </c>
      <c r="I1601" t="s">
        <v>217</v>
      </c>
      <c r="J1601" t="s">
        <v>226</v>
      </c>
      <c r="K1601" t="s">
        <v>227</v>
      </c>
      <c r="L1601" t="s">
        <v>228</v>
      </c>
      <c r="M1601">
        <v>1458777600</v>
      </c>
      <c r="N1601" t="s">
        <v>1628</v>
      </c>
      <c r="O1601" t="s">
        <v>1628</v>
      </c>
      <c r="P1601" t="s">
        <v>1628</v>
      </c>
      <c r="Q1601">
        <f>LEN(AMAZON_FASHION_5__2[[#This Row],[reviewText]])</f>
        <v>132</v>
      </c>
      <c r="R1601" t="str">
        <f>IF(AMAZON_FASHION_5__2[[#This Row],[overall]]&gt;=4,"Positive",IF(AMAZON_FASHION_5__2[[#This Row],[overall]]&lt;=2,"Negative","Neutral"))</f>
        <v>Positive</v>
      </c>
      <c r="S16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02" spans="1:19" x14ac:dyDescent="0.25">
      <c r="A1602">
        <v>4</v>
      </c>
      <c r="B1602" t="b">
        <v>1</v>
      </c>
      <c r="C1602" s="1">
        <v>42453</v>
      </c>
      <c r="D1602">
        <f>YEAR(AMAZON_FASHION_5__2[[#This Row],[reviewDate]])</f>
        <v>2016</v>
      </c>
      <c r="E1602" s="1" t="str">
        <f>TEXT(AMAZON_FASHION_5__2[[#This Row],[reviewDate]], "mmmm")</f>
        <v>March</v>
      </c>
      <c r="F1602" t="s">
        <v>224</v>
      </c>
      <c r="G1602" t="s">
        <v>1490</v>
      </c>
      <c r="H1602" t="s">
        <v>225</v>
      </c>
      <c r="I1602" t="s">
        <v>217</v>
      </c>
      <c r="J1602" t="s">
        <v>226</v>
      </c>
      <c r="K1602" t="s">
        <v>227</v>
      </c>
      <c r="L1602" t="s">
        <v>228</v>
      </c>
      <c r="M1602">
        <v>1458777600</v>
      </c>
      <c r="N1602" t="s">
        <v>1628</v>
      </c>
      <c r="O1602" t="s">
        <v>1628</v>
      </c>
      <c r="P1602" t="s">
        <v>1628</v>
      </c>
      <c r="Q1602">
        <f>LEN(AMAZON_FASHION_5__2[[#This Row],[reviewText]])</f>
        <v>132</v>
      </c>
      <c r="R1602" t="str">
        <f>IF(AMAZON_FASHION_5__2[[#This Row],[overall]]&gt;=4,"Positive",IF(AMAZON_FASHION_5__2[[#This Row],[overall]]&lt;=2,"Negative","Neutral"))</f>
        <v>Positive</v>
      </c>
      <c r="S16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03" spans="1:19" x14ac:dyDescent="0.25">
      <c r="A1603">
        <v>3</v>
      </c>
      <c r="B1603" t="b">
        <v>1</v>
      </c>
      <c r="C1603" s="1">
        <v>42452</v>
      </c>
      <c r="D1603">
        <f>YEAR(AMAZON_FASHION_5__2[[#This Row],[reviewDate]])</f>
        <v>2016</v>
      </c>
      <c r="E1603" s="1" t="str">
        <f>TEXT(AMAZON_FASHION_5__2[[#This Row],[reviewDate]], "mmmm")</f>
        <v>March</v>
      </c>
      <c r="F1603" t="s">
        <v>229</v>
      </c>
      <c r="G1603" t="s">
        <v>1490</v>
      </c>
      <c r="H1603" t="s">
        <v>230</v>
      </c>
      <c r="I1603" t="s">
        <v>198</v>
      </c>
      <c r="J1603" t="s">
        <v>231</v>
      </c>
      <c r="K1603" t="s">
        <v>232</v>
      </c>
      <c r="L1603" t="s">
        <v>233</v>
      </c>
      <c r="M1603">
        <v>1458691200</v>
      </c>
      <c r="N1603" t="s">
        <v>1628</v>
      </c>
      <c r="O1603" t="s">
        <v>1628</v>
      </c>
      <c r="P1603">
        <v>7</v>
      </c>
      <c r="Q1603">
        <f>LEN(AMAZON_FASHION_5__2[[#This Row],[reviewText]])</f>
        <v>108</v>
      </c>
      <c r="R1603" t="str">
        <f>IF(AMAZON_FASHION_5__2[[#This Row],[overall]]&gt;=4,"Positive",IF(AMAZON_FASHION_5__2[[#This Row],[overall]]&lt;=2,"Negative","Neutral"))</f>
        <v>Neutral</v>
      </c>
      <c r="S16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04" spans="1:19" x14ac:dyDescent="0.25">
      <c r="A1604">
        <v>5</v>
      </c>
      <c r="B1604" t="b">
        <v>1</v>
      </c>
      <c r="C1604" s="1">
        <v>42449</v>
      </c>
      <c r="D1604">
        <f>YEAR(AMAZON_FASHION_5__2[[#This Row],[reviewDate]])</f>
        <v>2016</v>
      </c>
      <c r="E1604" s="1" t="str">
        <f>TEXT(AMAZON_FASHION_5__2[[#This Row],[reviewDate]], "mmmm")</f>
        <v>March</v>
      </c>
      <c r="F1604" t="s">
        <v>234</v>
      </c>
      <c r="G1604" t="s">
        <v>1490</v>
      </c>
      <c r="H1604" t="s">
        <v>235</v>
      </c>
      <c r="I1604" t="s">
        <v>236</v>
      </c>
      <c r="J1604" t="s">
        <v>237</v>
      </c>
      <c r="K1604" t="s">
        <v>238</v>
      </c>
      <c r="L1604" t="s">
        <v>239</v>
      </c>
      <c r="M1604">
        <v>1458432000</v>
      </c>
      <c r="N1604" t="s">
        <v>1628</v>
      </c>
      <c r="O1604" t="s">
        <v>1628</v>
      </c>
      <c r="P1604" t="s">
        <v>1628</v>
      </c>
      <c r="Q1604">
        <f>LEN(AMAZON_FASHION_5__2[[#This Row],[reviewText]])</f>
        <v>75</v>
      </c>
      <c r="R1604" t="str">
        <f>IF(AMAZON_FASHION_5__2[[#This Row],[overall]]&gt;=4,"Positive",IF(AMAZON_FASHION_5__2[[#This Row],[overall]]&lt;=2,"Negative","Neutral"))</f>
        <v>Positive</v>
      </c>
      <c r="S16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05" spans="1:19" x14ac:dyDescent="0.25">
      <c r="A1605">
        <v>5</v>
      </c>
      <c r="B1605" t="b">
        <v>1</v>
      </c>
      <c r="C1605" s="1">
        <v>42447</v>
      </c>
      <c r="D1605">
        <f>YEAR(AMAZON_FASHION_5__2[[#This Row],[reviewDate]])</f>
        <v>2016</v>
      </c>
      <c r="E1605" s="1" t="str">
        <f>TEXT(AMAZON_FASHION_5__2[[#This Row],[reviewDate]], "mmmm")</f>
        <v>March</v>
      </c>
      <c r="F1605" t="s">
        <v>240</v>
      </c>
      <c r="G1605" t="s">
        <v>1490</v>
      </c>
      <c r="H1605" t="s">
        <v>241</v>
      </c>
      <c r="I1605" t="s">
        <v>217</v>
      </c>
      <c r="J1605" t="s">
        <v>242</v>
      </c>
      <c r="K1605" t="s">
        <v>243</v>
      </c>
      <c r="L1605" t="s">
        <v>17</v>
      </c>
      <c r="M1605">
        <v>1458259200</v>
      </c>
      <c r="N1605" t="s">
        <v>1628</v>
      </c>
      <c r="O1605" t="s">
        <v>1628</v>
      </c>
      <c r="P1605" t="s">
        <v>1628</v>
      </c>
      <c r="Q1605">
        <f>LEN(AMAZON_FASHION_5__2[[#This Row],[reviewText]])</f>
        <v>9</v>
      </c>
      <c r="R1605" t="str">
        <f>IF(AMAZON_FASHION_5__2[[#This Row],[overall]]&gt;=4,"Positive",IF(AMAZON_FASHION_5__2[[#This Row],[overall]]&lt;=2,"Negative","Neutral"))</f>
        <v>Positive</v>
      </c>
      <c r="S16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06" spans="1:19" x14ac:dyDescent="0.25">
      <c r="A1606">
        <v>4</v>
      </c>
      <c r="B1606" t="b">
        <v>1</v>
      </c>
      <c r="C1606" s="1">
        <v>42445</v>
      </c>
      <c r="D1606">
        <f>YEAR(AMAZON_FASHION_5__2[[#This Row],[reviewDate]])</f>
        <v>2016</v>
      </c>
      <c r="E1606" s="1" t="str">
        <f>TEXT(AMAZON_FASHION_5__2[[#This Row],[reviewDate]], "mmmm")</f>
        <v>March</v>
      </c>
      <c r="F1606" t="s">
        <v>1457</v>
      </c>
      <c r="G1606" t="s">
        <v>1490</v>
      </c>
      <c r="H1606" t="s">
        <v>230</v>
      </c>
      <c r="I1606" t="s">
        <v>198</v>
      </c>
      <c r="J1606" t="s">
        <v>1458</v>
      </c>
      <c r="K1606" t="s">
        <v>1459</v>
      </c>
      <c r="L1606" t="s">
        <v>1460</v>
      </c>
      <c r="M1606">
        <v>1458086400</v>
      </c>
      <c r="N1606" t="s">
        <v>1628</v>
      </c>
      <c r="O1606" t="s">
        <v>1628</v>
      </c>
      <c r="P1606" t="s">
        <v>1628</v>
      </c>
      <c r="Q1606">
        <f>LEN(AMAZON_FASHION_5__2[[#This Row],[reviewText]])</f>
        <v>213</v>
      </c>
      <c r="R1606" t="str">
        <f>IF(AMAZON_FASHION_5__2[[#This Row],[overall]]&gt;=4,"Positive",IF(AMAZON_FASHION_5__2[[#This Row],[overall]]&lt;=2,"Negative","Neutral"))</f>
        <v>Positive</v>
      </c>
      <c r="S16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07" spans="1:19" x14ac:dyDescent="0.25">
      <c r="A1607">
        <v>5</v>
      </c>
      <c r="B1607" t="b">
        <v>1</v>
      </c>
      <c r="C1607" s="1">
        <v>42442</v>
      </c>
      <c r="D1607">
        <f>YEAR(AMAZON_FASHION_5__2[[#This Row],[reviewDate]])</f>
        <v>2016</v>
      </c>
      <c r="E1607" s="1" t="str">
        <f>TEXT(AMAZON_FASHION_5__2[[#This Row],[reviewDate]], "mmmm")</f>
        <v>March</v>
      </c>
      <c r="F1607" t="s">
        <v>1461</v>
      </c>
      <c r="G1607" t="s">
        <v>1490</v>
      </c>
      <c r="H1607" t="s">
        <v>230</v>
      </c>
      <c r="I1607" t="s">
        <v>198</v>
      </c>
      <c r="J1607" t="s">
        <v>63</v>
      </c>
      <c r="K1607" t="s">
        <v>1462</v>
      </c>
      <c r="L1607" t="s">
        <v>1463</v>
      </c>
      <c r="M1607">
        <v>1457827200</v>
      </c>
      <c r="N1607" t="s">
        <v>1628</v>
      </c>
      <c r="O1607" t="s">
        <v>1628</v>
      </c>
      <c r="P1607">
        <v>22</v>
      </c>
      <c r="Q1607">
        <f>LEN(AMAZON_FASHION_5__2[[#This Row],[reviewText]])</f>
        <v>412</v>
      </c>
      <c r="R1607" t="str">
        <f>IF(AMAZON_FASHION_5__2[[#This Row],[overall]]&gt;=4,"Positive",IF(AMAZON_FASHION_5__2[[#This Row],[overall]]&lt;=2,"Negative","Neutral"))</f>
        <v>Positive</v>
      </c>
      <c r="S16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08" spans="1:19" x14ac:dyDescent="0.25">
      <c r="A1608">
        <v>5</v>
      </c>
      <c r="B1608" t="b">
        <v>1</v>
      </c>
      <c r="C1608" s="1">
        <v>42435</v>
      </c>
      <c r="D1608">
        <f>YEAR(AMAZON_FASHION_5__2[[#This Row],[reviewDate]])</f>
        <v>2016</v>
      </c>
      <c r="E1608" s="1" t="str">
        <f>TEXT(AMAZON_FASHION_5__2[[#This Row],[reviewDate]], "mmmm")</f>
        <v>March</v>
      </c>
      <c r="F1608" t="s">
        <v>1464</v>
      </c>
      <c r="G1608" t="s">
        <v>1490</v>
      </c>
      <c r="H1608" t="s">
        <v>320</v>
      </c>
      <c r="I1608" t="s">
        <v>198</v>
      </c>
      <c r="J1608" t="s">
        <v>63</v>
      </c>
      <c r="K1608" t="s">
        <v>1465</v>
      </c>
      <c r="L1608" t="s">
        <v>17</v>
      </c>
      <c r="M1608">
        <v>1457222400</v>
      </c>
      <c r="N1608" t="s">
        <v>1628</v>
      </c>
      <c r="O1608" t="s">
        <v>1628</v>
      </c>
      <c r="P1608" t="s">
        <v>1628</v>
      </c>
      <c r="Q1608">
        <f>LEN(AMAZON_FASHION_5__2[[#This Row],[reviewText]])</f>
        <v>17</v>
      </c>
      <c r="R1608" t="str">
        <f>IF(AMAZON_FASHION_5__2[[#This Row],[overall]]&gt;=4,"Positive",IF(AMAZON_FASHION_5__2[[#This Row],[overall]]&lt;=2,"Negative","Neutral"))</f>
        <v>Positive</v>
      </c>
      <c r="S16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09" spans="1:19" x14ac:dyDescent="0.25">
      <c r="A1609">
        <v>5</v>
      </c>
      <c r="B1609" t="b">
        <v>1</v>
      </c>
      <c r="C1609" s="1">
        <v>42431</v>
      </c>
      <c r="D1609">
        <f>YEAR(AMAZON_FASHION_5__2[[#This Row],[reviewDate]])</f>
        <v>2016</v>
      </c>
      <c r="E1609" s="1" t="str">
        <f>TEXT(AMAZON_FASHION_5__2[[#This Row],[reviewDate]], "mmmm")</f>
        <v>March</v>
      </c>
      <c r="F1609" t="s">
        <v>1466</v>
      </c>
      <c r="G1609" t="s">
        <v>1490</v>
      </c>
      <c r="H1609" t="s">
        <v>221</v>
      </c>
      <c r="I1609" t="s">
        <v>217</v>
      </c>
      <c r="J1609" t="s">
        <v>1467</v>
      </c>
      <c r="K1609" t="s">
        <v>1468</v>
      </c>
      <c r="L1609" t="s">
        <v>1469</v>
      </c>
      <c r="M1609">
        <v>1456876800</v>
      </c>
      <c r="N1609" t="s">
        <v>1628</v>
      </c>
      <c r="O1609" t="s">
        <v>1628</v>
      </c>
      <c r="P1609" t="s">
        <v>1628</v>
      </c>
      <c r="Q1609">
        <f>LEN(AMAZON_FASHION_5__2[[#This Row],[reviewText]])</f>
        <v>55</v>
      </c>
      <c r="R1609" t="str">
        <f>IF(AMAZON_FASHION_5__2[[#This Row],[overall]]&gt;=4,"Positive",IF(AMAZON_FASHION_5__2[[#This Row],[overall]]&lt;=2,"Negative","Neutral"))</f>
        <v>Positive</v>
      </c>
      <c r="S16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10" spans="1:19" x14ac:dyDescent="0.25">
      <c r="A1610">
        <v>5</v>
      </c>
      <c r="B1610" t="b">
        <v>1</v>
      </c>
      <c r="C1610" s="1">
        <v>43242</v>
      </c>
      <c r="D1610">
        <f>YEAR(AMAZON_FASHION_5__2[[#This Row],[reviewDate]])</f>
        <v>2018</v>
      </c>
      <c r="E1610" s="1" t="str">
        <f>TEXT(AMAZON_FASHION_5__2[[#This Row],[reviewDate]], "mmmm")</f>
        <v>May</v>
      </c>
      <c r="F1610" t="s">
        <v>1491</v>
      </c>
      <c r="G1610" t="s">
        <v>1490</v>
      </c>
      <c r="H1610" t="s">
        <v>261</v>
      </c>
      <c r="I1610" t="s">
        <v>249</v>
      </c>
      <c r="J1610" t="s">
        <v>1492</v>
      </c>
      <c r="K1610" t="s">
        <v>1493</v>
      </c>
      <c r="L1610" t="s">
        <v>1494</v>
      </c>
      <c r="M1610">
        <v>1526947200</v>
      </c>
      <c r="N1610" t="s">
        <v>1628</v>
      </c>
      <c r="O1610" t="s">
        <v>1628</v>
      </c>
      <c r="P1610" t="s">
        <v>1628</v>
      </c>
      <c r="Q1610">
        <f>LEN(AMAZON_FASHION_5__2[[#This Row],[reviewText]])</f>
        <v>372</v>
      </c>
      <c r="R1610" t="str">
        <f>IF(AMAZON_FASHION_5__2[[#This Row],[overall]]&gt;=4,"Positive",IF(AMAZON_FASHION_5__2[[#This Row],[overall]]&lt;=2,"Negative","Neutral"))</f>
        <v>Positive</v>
      </c>
      <c r="S16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11" spans="1:19" x14ac:dyDescent="0.25">
      <c r="A1611">
        <v>5</v>
      </c>
      <c r="B1611" t="b">
        <v>1</v>
      </c>
      <c r="C1611" s="1">
        <v>43236</v>
      </c>
      <c r="D1611">
        <f>YEAR(AMAZON_FASHION_5__2[[#This Row],[reviewDate]])</f>
        <v>2018</v>
      </c>
      <c r="E1611" s="1" t="str">
        <f>TEXT(AMAZON_FASHION_5__2[[#This Row],[reviewDate]], "mmmm")</f>
        <v>May</v>
      </c>
      <c r="F1611" t="s">
        <v>1495</v>
      </c>
      <c r="G1611" t="s">
        <v>1490</v>
      </c>
      <c r="H1611" t="s">
        <v>477</v>
      </c>
      <c r="I1611" t="s">
        <v>198</v>
      </c>
      <c r="J1611" t="s">
        <v>1496</v>
      </c>
      <c r="K1611" t="s">
        <v>1497</v>
      </c>
      <c r="L1611" t="s">
        <v>1498</v>
      </c>
      <c r="M1611">
        <v>1526428800</v>
      </c>
      <c r="N1611" t="s">
        <v>1628</v>
      </c>
      <c r="O1611" t="s">
        <v>1628</v>
      </c>
      <c r="P1611" t="s">
        <v>1628</v>
      </c>
      <c r="Q1611">
        <f>LEN(AMAZON_FASHION_5__2[[#This Row],[reviewText]])</f>
        <v>17</v>
      </c>
      <c r="R1611" t="str">
        <f>IF(AMAZON_FASHION_5__2[[#This Row],[overall]]&gt;=4,"Positive",IF(AMAZON_FASHION_5__2[[#This Row],[overall]]&lt;=2,"Negative","Neutral"))</f>
        <v>Positive</v>
      </c>
      <c r="S16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12" spans="1:19" x14ac:dyDescent="0.25">
      <c r="A1612">
        <v>5</v>
      </c>
      <c r="B1612" t="b">
        <v>1</v>
      </c>
      <c r="C1612" s="1">
        <v>43236</v>
      </c>
      <c r="D1612">
        <f>YEAR(AMAZON_FASHION_5__2[[#This Row],[reviewDate]])</f>
        <v>2018</v>
      </c>
      <c r="E1612" s="1" t="str">
        <f>TEXT(AMAZON_FASHION_5__2[[#This Row],[reviewDate]], "mmmm")</f>
        <v>May</v>
      </c>
      <c r="F1612" t="s">
        <v>1480</v>
      </c>
      <c r="G1612" t="s">
        <v>1490</v>
      </c>
      <c r="H1612" t="s">
        <v>558</v>
      </c>
      <c r="I1612" t="s">
        <v>198</v>
      </c>
      <c r="J1612" t="s">
        <v>1481</v>
      </c>
      <c r="K1612" t="s">
        <v>69</v>
      </c>
      <c r="L1612" t="s">
        <v>17</v>
      </c>
      <c r="M1612">
        <v>1526428800</v>
      </c>
      <c r="N1612" t="s">
        <v>1628</v>
      </c>
      <c r="O1612" t="s">
        <v>1628</v>
      </c>
      <c r="P1612" t="s">
        <v>1628</v>
      </c>
      <c r="Q1612">
        <f>LEN(AMAZON_FASHION_5__2[[#This Row],[reviewText]])</f>
        <v>11</v>
      </c>
      <c r="R1612" t="str">
        <f>IF(AMAZON_FASHION_5__2[[#This Row],[overall]]&gt;=4,"Positive",IF(AMAZON_FASHION_5__2[[#This Row],[overall]]&lt;=2,"Negative","Neutral"))</f>
        <v>Positive</v>
      </c>
      <c r="S16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13" spans="1:19" x14ac:dyDescent="0.25">
      <c r="A1613">
        <v>3</v>
      </c>
      <c r="B1613" t="b">
        <v>1</v>
      </c>
      <c r="C1613" s="1">
        <v>43235</v>
      </c>
      <c r="D1613">
        <f>YEAR(AMAZON_FASHION_5__2[[#This Row],[reviewDate]])</f>
        <v>2018</v>
      </c>
      <c r="E1613" s="1" t="str">
        <f>TEXT(AMAZON_FASHION_5__2[[#This Row],[reviewDate]], "mmmm")</f>
        <v>May</v>
      </c>
      <c r="F1613" t="s">
        <v>1482</v>
      </c>
      <c r="G1613" t="s">
        <v>1490</v>
      </c>
      <c r="H1613" t="s">
        <v>230</v>
      </c>
      <c r="I1613" t="s">
        <v>249</v>
      </c>
      <c r="J1613" t="s">
        <v>63</v>
      </c>
      <c r="K1613" t="s">
        <v>1483</v>
      </c>
      <c r="L1613" t="s">
        <v>101</v>
      </c>
      <c r="M1613">
        <v>1526342400</v>
      </c>
      <c r="N1613" t="s">
        <v>1628</v>
      </c>
      <c r="O1613" t="s">
        <v>1628</v>
      </c>
      <c r="P1613" t="s">
        <v>1628</v>
      </c>
      <c r="Q1613">
        <f>LEN(AMAZON_FASHION_5__2[[#This Row],[reviewText]])</f>
        <v>39</v>
      </c>
      <c r="R1613" t="str">
        <f>IF(AMAZON_FASHION_5__2[[#This Row],[overall]]&gt;=4,"Positive",IF(AMAZON_FASHION_5__2[[#This Row],[overall]]&lt;=2,"Negative","Neutral"))</f>
        <v>Neutral</v>
      </c>
      <c r="S16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14" spans="1:19" x14ac:dyDescent="0.25">
      <c r="A1614">
        <v>3</v>
      </c>
      <c r="B1614" t="b">
        <v>1</v>
      </c>
      <c r="C1614" s="1">
        <v>43235</v>
      </c>
      <c r="D1614">
        <f>YEAR(AMAZON_FASHION_5__2[[#This Row],[reviewDate]])</f>
        <v>2018</v>
      </c>
      <c r="E1614" s="1" t="str">
        <f>TEXT(AMAZON_FASHION_5__2[[#This Row],[reviewDate]], "mmmm")</f>
        <v>May</v>
      </c>
      <c r="F1614" t="s">
        <v>1484</v>
      </c>
      <c r="G1614" t="s">
        <v>1490</v>
      </c>
      <c r="H1614" t="s">
        <v>210</v>
      </c>
      <c r="I1614" t="s">
        <v>249</v>
      </c>
      <c r="J1614" t="s">
        <v>1485</v>
      </c>
      <c r="K1614" t="s">
        <v>1486</v>
      </c>
      <c r="L1614" t="s">
        <v>1487</v>
      </c>
      <c r="M1614">
        <v>1526342400</v>
      </c>
      <c r="N1614" t="s">
        <v>1628</v>
      </c>
      <c r="O1614" t="s">
        <v>1628</v>
      </c>
      <c r="P1614" t="s">
        <v>1628</v>
      </c>
      <c r="Q1614">
        <f>LEN(AMAZON_FASHION_5__2[[#This Row],[reviewText]])</f>
        <v>173</v>
      </c>
      <c r="R1614" t="str">
        <f>IF(AMAZON_FASHION_5__2[[#This Row],[overall]]&gt;=4,"Positive",IF(AMAZON_FASHION_5__2[[#This Row],[overall]]&lt;=2,"Negative","Neutral"))</f>
        <v>Neutral</v>
      </c>
      <c r="S16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15" spans="1:19" x14ac:dyDescent="0.25">
      <c r="A1615">
        <v>5</v>
      </c>
      <c r="B1615" t="b">
        <v>1</v>
      </c>
      <c r="C1615" s="1">
        <v>43225</v>
      </c>
      <c r="D1615">
        <f>YEAR(AMAZON_FASHION_5__2[[#This Row],[reviewDate]])</f>
        <v>2018</v>
      </c>
      <c r="E1615" s="1" t="str">
        <f>TEXT(AMAZON_FASHION_5__2[[#This Row],[reviewDate]], "mmmm")</f>
        <v>May</v>
      </c>
      <c r="F1615" t="s">
        <v>1470</v>
      </c>
      <c r="G1615" t="s">
        <v>1490</v>
      </c>
      <c r="H1615" t="s">
        <v>230</v>
      </c>
      <c r="I1615" t="s">
        <v>548</v>
      </c>
      <c r="J1615" t="s">
        <v>1471</v>
      </c>
      <c r="K1615" t="s">
        <v>1472</v>
      </c>
      <c r="L1615" t="s">
        <v>17</v>
      </c>
      <c r="M1615">
        <v>1525478400</v>
      </c>
      <c r="N1615" t="s">
        <v>1628</v>
      </c>
      <c r="O1615" t="s">
        <v>1628</v>
      </c>
      <c r="P1615" t="s">
        <v>1628</v>
      </c>
      <c r="Q1615">
        <f>LEN(AMAZON_FASHION_5__2[[#This Row],[reviewText]])</f>
        <v>71</v>
      </c>
      <c r="R1615" t="str">
        <f>IF(AMAZON_FASHION_5__2[[#This Row],[overall]]&gt;=4,"Positive",IF(AMAZON_FASHION_5__2[[#This Row],[overall]]&lt;=2,"Negative","Neutral"))</f>
        <v>Positive</v>
      </c>
      <c r="S16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16" spans="1:19" x14ac:dyDescent="0.25">
      <c r="A1616">
        <v>5</v>
      </c>
      <c r="B1616" t="b">
        <v>1</v>
      </c>
      <c r="C1616" s="1">
        <v>43223</v>
      </c>
      <c r="D1616">
        <f>YEAR(AMAZON_FASHION_5__2[[#This Row],[reviewDate]])</f>
        <v>2018</v>
      </c>
      <c r="E1616" s="1" t="str">
        <f>TEXT(AMAZON_FASHION_5__2[[#This Row],[reviewDate]], "mmmm")</f>
        <v>May</v>
      </c>
      <c r="F1616" t="s">
        <v>1473</v>
      </c>
      <c r="G1616" t="s">
        <v>1490</v>
      </c>
      <c r="H1616" t="s">
        <v>201</v>
      </c>
      <c r="I1616" t="s">
        <v>524</v>
      </c>
      <c r="J1616" t="s">
        <v>1474</v>
      </c>
      <c r="K1616" t="s">
        <v>1475</v>
      </c>
      <c r="L1616" t="s">
        <v>17</v>
      </c>
      <c r="M1616">
        <v>1525305600</v>
      </c>
      <c r="N1616" t="s">
        <v>1628</v>
      </c>
      <c r="O1616" t="s">
        <v>1628</v>
      </c>
      <c r="P1616" t="s">
        <v>1628</v>
      </c>
      <c r="Q1616">
        <f>LEN(AMAZON_FASHION_5__2[[#This Row],[reviewText]])</f>
        <v>90</v>
      </c>
      <c r="R1616" t="str">
        <f>IF(AMAZON_FASHION_5__2[[#This Row],[overall]]&gt;=4,"Positive",IF(AMAZON_FASHION_5__2[[#This Row],[overall]]&lt;=2,"Negative","Neutral"))</f>
        <v>Positive</v>
      </c>
      <c r="S16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17" spans="1:19" x14ac:dyDescent="0.25">
      <c r="A1617">
        <v>3</v>
      </c>
      <c r="B1617" t="b">
        <v>1</v>
      </c>
      <c r="C1617" s="1">
        <v>43220</v>
      </c>
      <c r="D1617">
        <f>YEAR(AMAZON_FASHION_5__2[[#This Row],[reviewDate]])</f>
        <v>2018</v>
      </c>
      <c r="E1617" s="1" t="str">
        <f>TEXT(AMAZON_FASHION_5__2[[#This Row],[reviewDate]], "mmmm")</f>
        <v>April</v>
      </c>
      <c r="F1617" t="s">
        <v>1446</v>
      </c>
      <c r="G1617" t="s">
        <v>1490</v>
      </c>
      <c r="H1617" t="s">
        <v>1145</v>
      </c>
      <c r="I1617" t="s">
        <v>411</v>
      </c>
      <c r="J1617" t="s">
        <v>63</v>
      </c>
      <c r="K1617" t="s">
        <v>1447</v>
      </c>
      <c r="L1617" t="s">
        <v>101</v>
      </c>
      <c r="M1617">
        <v>1525046400</v>
      </c>
      <c r="N1617" t="s">
        <v>1628</v>
      </c>
      <c r="O1617" t="s">
        <v>1628</v>
      </c>
      <c r="P1617" t="s">
        <v>1628</v>
      </c>
      <c r="Q1617">
        <f>LEN(AMAZON_FASHION_5__2[[#This Row],[reviewText]])</f>
        <v>14</v>
      </c>
      <c r="R1617" t="str">
        <f>IF(AMAZON_FASHION_5__2[[#This Row],[overall]]&gt;=4,"Positive",IF(AMAZON_FASHION_5__2[[#This Row],[overall]]&lt;=2,"Negative","Neutral"))</f>
        <v>Neutral</v>
      </c>
      <c r="S16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18" spans="1:19" x14ac:dyDescent="0.25">
      <c r="A1618">
        <v>5</v>
      </c>
      <c r="B1618" t="b">
        <v>1</v>
      </c>
      <c r="C1618" s="1">
        <v>43216</v>
      </c>
      <c r="D1618">
        <f>YEAR(AMAZON_FASHION_5__2[[#This Row],[reviewDate]])</f>
        <v>2018</v>
      </c>
      <c r="E1618" s="1" t="str">
        <f>TEXT(AMAZON_FASHION_5__2[[#This Row],[reviewDate]], "mmmm")</f>
        <v>April</v>
      </c>
      <c r="F1618" t="s">
        <v>1448</v>
      </c>
      <c r="G1618" t="s">
        <v>1490</v>
      </c>
      <c r="H1618" t="s">
        <v>205</v>
      </c>
      <c r="I1618" t="s">
        <v>435</v>
      </c>
      <c r="J1618" t="s">
        <v>1449</v>
      </c>
      <c r="K1618" t="s">
        <v>1450</v>
      </c>
      <c r="L1618" t="s">
        <v>17</v>
      </c>
      <c r="M1618">
        <v>1524700800</v>
      </c>
      <c r="N1618" t="s">
        <v>1628</v>
      </c>
      <c r="O1618" t="s">
        <v>1628</v>
      </c>
      <c r="P1618" t="s">
        <v>1628</v>
      </c>
      <c r="Q1618">
        <f>LEN(AMAZON_FASHION_5__2[[#This Row],[reviewText]])</f>
        <v>43</v>
      </c>
      <c r="R1618" t="str">
        <f>IF(AMAZON_FASHION_5__2[[#This Row],[overall]]&gt;=4,"Positive",IF(AMAZON_FASHION_5__2[[#This Row],[overall]]&lt;=2,"Negative","Neutral"))</f>
        <v>Positive</v>
      </c>
      <c r="S16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19" spans="1:19" x14ac:dyDescent="0.25">
      <c r="A1619">
        <v>5</v>
      </c>
      <c r="B1619" t="b">
        <v>1</v>
      </c>
      <c r="C1619" s="1">
        <v>43214</v>
      </c>
      <c r="D1619">
        <f>YEAR(AMAZON_FASHION_5__2[[#This Row],[reviewDate]])</f>
        <v>2018</v>
      </c>
      <c r="E1619" s="1" t="str">
        <f>TEXT(AMAZON_FASHION_5__2[[#This Row],[reviewDate]], "mmmm")</f>
        <v>April</v>
      </c>
      <c r="F1619" t="s">
        <v>1451</v>
      </c>
      <c r="G1619" t="s">
        <v>1490</v>
      </c>
      <c r="H1619" t="s">
        <v>205</v>
      </c>
      <c r="I1619" t="s">
        <v>198</v>
      </c>
      <c r="J1619" t="s">
        <v>1452</v>
      </c>
      <c r="K1619" t="s">
        <v>1453</v>
      </c>
      <c r="L1619" t="s">
        <v>1454</v>
      </c>
      <c r="M1619">
        <v>1524528000</v>
      </c>
      <c r="N1619" t="s">
        <v>1628</v>
      </c>
      <c r="O1619" t="s">
        <v>1628</v>
      </c>
      <c r="P1619" t="s">
        <v>1628</v>
      </c>
      <c r="Q1619">
        <f>LEN(AMAZON_FASHION_5__2[[#This Row],[reviewText]])</f>
        <v>160</v>
      </c>
      <c r="R1619" t="str">
        <f>IF(AMAZON_FASHION_5__2[[#This Row],[overall]]&gt;=4,"Positive",IF(AMAZON_FASHION_5__2[[#This Row],[overall]]&lt;=2,"Negative","Neutral"))</f>
        <v>Positive</v>
      </c>
      <c r="S16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20" spans="1:19" x14ac:dyDescent="0.25">
      <c r="A1620">
        <v>5</v>
      </c>
      <c r="B1620" t="b">
        <v>1</v>
      </c>
      <c r="C1620" s="1">
        <v>43212</v>
      </c>
      <c r="D1620">
        <f>YEAR(AMAZON_FASHION_5__2[[#This Row],[reviewDate]])</f>
        <v>2018</v>
      </c>
      <c r="E1620" s="1" t="str">
        <f>TEXT(AMAZON_FASHION_5__2[[#This Row],[reviewDate]], "mmmm")</f>
        <v>April</v>
      </c>
      <c r="F1620" t="s">
        <v>244</v>
      </c>
      <c r="G1620" t="s">
        <v>1490</v>
      </c>
      <c r="H1620" t="s">
        <v>197</v>
      </c>
      <c r="I1620" t="s">
        <v>198</v>
      </c>
      <c r="J1620" t="s">
        <v>245</v>
      </c>
      <c r="K1620" t="s">
        <v>246</v>
      </c>
      <c r="L1620" t="s">
        <v>247</v>
      </c>
      <c r="M1620">
        <v>1524355200</v>
      </c>
      <c r="N1620" t="s">
        <v>1628</v>
      </c>
      <c r="O1620" t="s">
        <v>1628</v>
      </c>
      <c r="P1620" t="s">
        <v>1628</v>
      </c>
      <c r="Q1620">
        <f>LEN(AMAZON_FASHION_5__2[[#This Row],[reviewText]])</f>
        <v>148</v>
      </c>
      <c r="R1620" t="str">
        <f>IF(AMAZON_FASHION_5__2[[#This Row],[overall]]&gt;=4,"Positive",IF(AMAZON_FASHION_5__2[[#This Row],[overall]]&lt;=2,"Negative","Neutral"))</f>
        <v>Positive</v>
      </c>
      <c r="S16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21" spans="1:19" x14ac:dyDescent="0.25">
      <c r="A1621">
        <v>3</v>
      </c>
      <c r="B1621" t="b">
        <v>1</v>
      </c>
      <c r="C1621" s="1">
        <v>43209</v>
      </c>
      <c r="D1621">
        <f>YEAR(AMAZON_FASHION_5__2[[#This Row],[reviewDate]])</f>
        <v>2018</v>
      </c>
      <c r="E1621" s="1" t="str">
        <f>TEXT(AMAZON_FASHION_5__2[[#This Row],[reviewDate]], "mmmm")</f>
        <v>April</v>
      </c>
      <c r="F1621" t="s">
        <v>248</v>
      </c>
      <c r="G1621" t="s">
        <v>1490</v>
      </c>
      <c r="H1621" t="s">
        <v>210</v>
      </c>
      <c r="I1621" t="s">
        <v>249</v>
      </c>
      <c r="J1621" t="s">
        <v>250</v>
      </c>
      <c r="K1621" t="s">
        <v>251</v>
      </c>
      <c r="L1621" t="s">
        <v>252</v>
      </c>
      <c r="M1621">
        <v>1524096000</v>
      </c>
      <c r="N1621" t="s">
        <v>1628</v>
      </c>
      <c r="O1621" t="s">
        <v>1628</v>
      </c>
      <c r="P1621" t="s">
        <v>1628</v>
      </c>
      <c r="Q1621">
        <f>LEN(AMAZON_FASHION_5__2[[#This Row],[reviewText]])</f>
        <v>125</v>
      </c>
      <c r="R1621" t="str">
        <f>IF(AMAZON_FASHION_5__2[[#This Row],[overall]]&gt;=4,"Positive",IF(AMAZON_FASHION_5__2[[#This Row],[overall]]&lt;=2,"Negative","Neutral"))</f>
        <v>Neutral</v>
      </c>
      <c r="S16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22" spans="1:19" x14ac:dyDescent="0.25">
      <c r="A1622">
        <v>5</v>
      </c>
      <c r="B1622" t="b">
        <v>1</v>
      </c>
      <c r="C1622" s="1">
        <v>43208</v>
      </c>
      <c r="D1622">
        <f>YEAR(AMAZON_FASHION_5__2[[#This Row],[reviewDate]])</f>
        <v>2018</v>
      </c>
      <c r="E1622" s="1" t="str">
        <f>TEXT(AMAZON_FASHION_5__2[[#This Row],[reviewDate]], "mmmm")</f>
        <v>April</v>
      </c>
      <c r="F1622" t="s">
        <v>253</v>
      </c>
      <c r="G1622" t="s">
        <v>1490</v>
      </c>
      <c r="H1622" t="s">
        <v>205</v>
      </c>
      <c r="I1622" t="s">
        <v>198</v>
      </c>
      <c r="J1622" t="s">
        <v>254</v>
      </c>
      <c r="K1622" t="s">
        <v>255</v>
      </c>
      <c r="L1622" t="s">
        <v>256</v>
      </c>
      <c r="M1622">
        <v>1524009600</v>
      </c>
      <c r="N1622" t="s">
        <v>1628</v>
      </c>
      <c r="O1622" t="s">
        <v>1628</v>
      </c>
      <c r="P1622" t="s">
        <v>1628</v>
      </c>
      <c r="Q1622">
        <f>LEN(AMAZON_FASHION_5__2[[#This Row],[reviewText]])</f>
        <v>123</v>
      </c>
      <c r="R1622" t="str">
        <f>IF(AMAZON_FASHION_5__2[[#This Row],[overall]]&gt;=4,"Positive",IF(AMAZON_FASHION_5__2[[#This Row],[overall]]&lt;=2,"Negative","Neutral"))</f>
        <v>Positive</v>
      </c>
      <c r="S16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23" spans="1:19" x14ac:dyDescent="0.25">
      <c r="A1623">
        <v>5</v>
      </c>
      <c r="B1623" t="b">
        <v>1</v>
      </c>
      <c r="C1623" s="1">
        <v>43208</v>
      </c>
      <c r="D1623">
        <f>YEAR(AMAZON_FASHION_5__2[[#This Row],[reviewDate]])</f>
        <v>2018</v>
      </c>
      <c r="E1623" s="1" t="str">
        <f>TEXT(AMAZON_FASHION_5__2[[#This Row],[reviewDate]], "mmmm")</f>
        <v>April</v>
      </c>
      <c r="F1623" t="s">
        <v>257</v>
      </c>
      <c r="G1623" t="s">
        <v>1490</v>
      </c>
      <c r="H1623" t="s">
        <v>197</v>
      </c>
      <c r="I1623" t="s">
        <v>249</v>
      </c>
      <c r="J1623" t="s">
        <v>63</v>
      </c>
      <c r="K1623" t="s">
        <v>258</v>
      </c>
      <c r="L1623" t="s">
        <v>259</v>
      </c>
      <c r="M1623">
        <v>1524009600</v>
      </c>
      <c r="N1623" t="s">
        <v>1628</v>
      </c>
      <c r="O1623" t="s">
        <v>1628</v>
      </c>
      <c r="P1623" t="s">
        <v>1628</v>
      </c>
      <c r="Q1623">
        <f>LEN(AMAZON_FASHION_5__2[[#This Row],[reviewText]])</f>
        <v>155</v>
      </c>
      <c r="R1623" t="str">
        <f>IF(AMAZON_FASHION_5__2[[#This Row],[overall]]&gt;=4,"Positive",IF(AMAZON_FASHION_5__2[[#This Row],[overall]]&lt;=2,"Negative","Neutral"))</f>
        <v>Positive</v>
      </c>
      <c r="S16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24" spans="1:19" x14ac:dyDescent="0.25">
      <c r="A1624">
        <v>5</v>
      </c>
      <c r="B1624" t="b">
        <v>1</v>
      </c>
      <c r="C1624" s="1">
        <v>43206</v>
      </c>
      <c r="D1624">
        <f>YEAR(AMAZON_FASHION_5__2[[#This Row],[reviewDate]])</f>
        <v>2018</v>
      </c>
      <c r="E1624" s="1" t="str">
        <f>TEXT(AMAZON_FASHION_5__2[[#This Row],[reviewDate]], "mmmm")</f>
        <v>April</v>
      </c>
      <c r="F1624" t="s">
        <v>260</v>
      </c>
      <c r="G1624" t="s">
        <v>1490</v>
      </c>
      <c r="H1624" t="s">
        <v>261</v>
      </c>
      <c r="I1624" t="s">
        <v>1455</v>
      </c>
      <c r="J1624" t="s">
        <v>263</v>
      </c>
      <c r="K1624" t="s">
        <v>264</v>
      </c>
      <c r="L1624" t="s">
        <v>265</v>
      </c>
      <c r="M1624">
        <v>1523836800</v>
      </c>
      <c r="N1624" t="s">
        <v>1628</v>
      </c>
      <c r="O1624" t="s">
        <v>1628</v>
      </c>
      <c r="P1624" t="s">
        <v>1628</v>
      </c>
      <c r="Q1624">
        <f>LEN(AMAZON_FASHION_5__2[[#This Row],[reviewText]])</f>
        <v>158</v>
      </c>
      <c r="R1624" t="str">
        <f>IF(AMAZON_FASHION_5__2[[#This Row],[overall]]&gt;=4,"Positive",IF(AMAZON_FASHION_5__2[[#This Row],[overall]]&lt;=2,"Negative","Neutral"))</f>
        <v>Positive</v>
      </c>
      <c r="S16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25" spans="1:19" x14ac:dyDescent="0.25">
      <c r="A1625">
        <v>5</v>
      </c>
      <c r="B1625" t="b">
        <v>1</v>
      </c>
      <c r="C1625" s="1">
        <v>43205</v>
      </c>
      <c r="D1625">
        <f>YEAR(AMAZON_FASHION_5__2[[#This Row],[reviewDate]])</f>
        <v>2018</v>
      </c>
      <c r="E1625" s="1" t="str">
        <f>TEXT(AMAZON_FASHION_5__2[[#This Row],[reviewDate]], "mmmm")</f>
        <v>April</v>
      </c>
      <c r="F1625" t="s">
        <v>266</v>
      </c>
      <c r="G1625" t="s">
        <v>1490</v>
      </c>
      <c r="H1625" t="s">
        <v>210</v>
      </c>
      <c r="I1625" t="s">
        <v>198</v>
      </c>
      <c r="J1625" t="s">
        <v>267</v>
      </c>
      <c r="K1625" t="s">
        <v>268</v>
      </c>
      <c r="L1625" t="s">
        <v>269</v>
      </c>
      <c r="M1625">
        <v>1523750400</v>
      </c>
      <c r="N1625" t="s">
        <v>1628</v>
      </c>
      <c r="O1625" t="s">
        <v>1628</v>
      </c>
      <c r="P1625">
        <v>2</v>
      </c>
      <c r="Q1625">
        <f>LEN(AMAZON_FASHION_5__2[[#This Row],[reviewText]])</f>
        <v>774</v>
      </c>
      <c r="R1625" t="str">
        <f>IF(AMAZON_FASHION_5__2[[#This Row],[overall]]&gt;=4,"Positive",IF(AMAZON_FASHION_5__2[[#This Row],[overall]]&lt;=2,"Negative","Neutral"))</f>
        <v>Positive</v>
      </c>
      <c r="S16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26" spans="1:19" x14ac:dyDescent="0.25">
      <c r="A1626">
        <v>3</v>
      </c>
      <c r="B1626" t="b">
        <v>1</v>
      </c>
      <c r="C1626" s="1">
        <v>43203</v>
      </c>
      <c r="D1626">
        <f>YEAR(AMAZON_FASHION_5__2[[#This Row],[reviewDate]])</f>
        <v>2018</v>
      </c>
      <c r="E1626" s="1" t="str">
        <f>TEXT(AMAZON_FASHION_5__2[[#This Row],[reviewDate]], "mmmm")</f>
        <v>April</v>
      </c>
      <c r="F1626" t="s">
        <v>270</v>
      </c>
      <c r="G1626" t="s">
        <v>1490</v>
      </c>
      <c r="H1626" t="s">
        <v>201</v>
      </c>
      <c r="I1626" t="s">
        <v>249</v>
      </c>
      <c r="J1626" t="s">
        <v>271</v>
      </c>
      <c r="K1626" t="s">
        <v>272</v>
      </c>
      <c r="L1626" t="s">
        <v>101</v>
      </c>
      <c r="M1626">
        <v>1523577600</v>
      </c>
      <c r="N1626" t="s">
        <v>1628</v>
      </c>
      <c r="O1626" t="s">
        <v>1628</v>
      </c>
      <c r="P1626" t="s">
        <v>1628</v>
      </c>
      <c r="Q1626">
        <f>LEN(AMAZON_FASHION_5__2[[#This Row],[reviewText]])</f>
        <v>85</v>
      </c>
      <c r="R1626" t="str">
        <f>IF(AMAZON_FASHION_5__2[[#This Row],[overall]]&gt;=4,"Positive",IF(AMAZON_FASHION_5__2[[#This Row],[overall]]&lt;=2,"Negative","Neutral"))</f>
        <v>Neutral</v>
      </c>
      <c r="S16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27" spans="1:19" x14ac:dyDescent="0.25">
      <c r="A1627">
        <v>3</v>
      </c>
      <c r="B1627" t="b">
        <v>1</v>
      </c>
      <c r="C1627" s="1">
        <v>43199</v>
      </c>
      <c r="D1627">
        <f>YEAR(AMAZON_FASHION_5__2[[#This Row],[reviewDate]])</f>
        <v>2018</v>
      </c>
      <c r="E1627" s="1" t="str">
        <f>TEXT(AMAZON_FASHION_5__2[[#This Row],[reviewDate]], "mmmm")</f>
        <v>April</v>
      </c>
      <c r="F1627" t="s">
        <v>273</v>
      </c>
      <c r="G1627" t="s">
        <v>1490</v>
      </c>
      <c r="H1627" t="s">
        <v>197</v>
      </c>
      <c r="I1627" t="s">
        <v>274</v>
      </c>
      <c r="J1627" t="s">
        <v>275</v>
      </c>
      <c r="K1627" t="s">
        <v>276</v>
      </c>
      <c r="L1627" t="s">
        <v>101</v>
      </c>
      <c r="M1627">
        <v>1523232000</v>
      </c>
      <c r="N1627" t="s">
        <v>1628</v>
      </c>
      <c r="O1627" t="s">
        <v>1628</v>
      </c>
      <c r="P1627" t="s">
        <v>1628</v>
      </c>
      <c r="Q1627">
        <f>LEN(AMAZON_FASHION_5__2[[#This Row],[reviewText]])</f>
        <v>4</v>
      </c>
      <c r="R1627" t="str">
        <f>IF(AMAZON_FASHION_5__2[[#This Row],[overall]]&gt;=4,"Positive",IF(AMAZON_FASHION_5__2[[#This Row],[overall]]&lt;=2,"Negative","Neutral"))</f>
        <v>Neutral</v>
      </c>
      <c r="S16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28" spans="1:19" x14ac:dyDescent="0.25">
      <c r="A1628">
        <v>5</v>
      </c>
      <c r="B1628" t="b">
        <v>1</v>
      </c>
      <c r="C1628" s="1">
        <v>43199</v>
      </c>
      <c r="D1628">
        <f>YEAR(AMAZON_FASHION_5__2[[#This Row],[reviewDate]])</f>
        <v>2018</v>
      </c>
      <c r="E1628" s="1" t="str">
        <f>TEXT(AMAZON_FASHION_5__2[[#This Row],[reviewDate]], "mmmm")</f>
        <v>April</v>
      </c>
      <c r="F1628" t="s">
        <v>277</v>
      </c>
      <c r="G1628" t="s">
        <v>1490</v>
      </c>
      <c r="H1628" t="s">
        <v>197</v>
      </c>
      <c r="I1628" t="s">
        <v>198</v>
      </c>
      <c r="J1628" t="s">
        <v>278</v>
      </c>
      <c r="K1628" t="s">
        <v>279</v>
      </c>
      <c r="L1628" t="s">
        <v>17</v>
      </c>
      <c r="M1628">
        <v>1523232000</v>
      </c>
      <c r="N1628" t="s">
        <v>1628</v>
      </c>
      <c r="O1628" t="s">
        <v>1628</v>
      </c>
      <c r="P1628" t="s">
        <v>1628</v>
      </c>
      <c r="Q1628">
        <f>LEN(AMAZON_FASHION_5__2[[#This Row],[reviewText]])</f>
        <v>7</v>
      </c>
      <c r="R1628" t="str">
        <f>IF(AMAZON_FASHION_5__2[[#This Row],[overall]]&gt;=4,"Positive",IF(AMAZON_FASHION_5__2[[#This Row],[overall]]&lt;=2,"Negative","Neutral"))</f>
        <v>Positive</v>
      </c>
      <c r="S16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29" spans="1:19" x14ac:dyDescent="0.25">
      <c r="A1629">
        <v>5</v>
      </c>
      <c r="B1629" t="b">
        <v>1</v>
      </c>
      <c r="C1629" s="1">
        <v>43198</v>
      </c>
      <c r="D1629">
        <f>YEAR(AMAZON_FASHION_5__2[[#This Row],[reviewDate]])</f>
        <v>2018</v>
      </c>
      <c r="E1629" s="1" t="str">
        <f>TEXT(AMAZON_FASHION_5__2[[#This Row],[reviewDate]], "mmmm")</f>
        <v>April</v>
      </c>
      <c r="F1629" t="s">
        <v>280</v>
      </c>
      <c r="G1629" t="s">
        <v>1490</v>
      </c>
      <c r="H1629" t="s">
        <v>201</v>
      </c>
      <c r="I1629" t="s">
        <v>198</v>
      </c>
      <c r="J1629" t="s">
        <v>281</v>
      </c>
      <c r="K1629" t="s">
        <v>282</v>
      </c>
      <c r="L1629" t="s">
        <v>247</v>
      </c>
      <c r="M1629">
        <v>1523145600</v>
      </c>
      <c r="N1629" t="s">
        <v>1628</v>
      </c>
      <c r="O1629" t="s">
        <v>1628</v>
      </c>
      <c r="P1629" t="s">
        <v>1628</v>
      </c>
      <c r="Q1629">
        <f>LEN(AMAZON_FASHION_5__2[[#This Row],[reviewText]])</f>
        <v>157</v>
      </c>
      <c r="R1629" t="str">
        <f>IF(AMAZON_FASHION_5__2[[#This Row],[overall]]&gt;=4,"Positive",IF(AMAZON_FASHION_5__2[[#This Row],[overall]]&lt;=2,"Negative","Neutral"))</f>
        <v>Positive</v>
      </c>
      <c r="S16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30" spans="1:19" x14ac:dyDescent="0.25">
      <c r="A1630">
        <v>5</v>
      </c>
      <c r="B1630" t="b">
        <v>1</v>
      </c>
      <c r="C1630" s="1">
        <v>43197</v>
      </c>
      <c r="D1630">
        <f>YEAR(AMAZON_FASHION_5__2[[#This Row],[reviewDate]])</f>
        <v>2018</v>
      </c>
      <c r="E1630" s="1" t="str">
        <f>TEXT(AMAZON_FASHION_5__2[[#This Row],[reviewDate]], "mmmm")</f>
        <v>April</v>
      </c>
      <c r="F1630" t="s">
        <v>283</v>
      </c>
      <c r="G1630" t="s">
        <v>1490</v>
      </c>
      <c r="H1630" t="s">
        <v>284</v>
      </c>
      <c r="I1630" t="s">
        <v>274</v>
      </c>
      <c r="J1630" t="s">
        <v>285</v>
      </c>
      <c r="K1630" t="s">
        <v>18</v>
      </c>
      <c r="L1630" t="s">
        <v>17</v>
      </c>
      <c r="M1630">
        <v>1523059200</v>
      </c>
      <c r="N1630" t="s">
        <v>1628</v>
      </c>
      <c r="O1630" t="s">
        <v>1628</v>
      </c>
      <c r="P1630" t="s">
        <v>1628</v>
      </c>
      <c r="Q1630">
        <f>LEN(AMAZON_FASHION_5__2[[#This Row],[reviewText]])</f>
        <v>0</v>
      </c>
      <c r="R1630" t="str">
        <f>IF(AMAZON_FASHION_5__2[[#This Row],[overall]]&gt;=4,"Positive",IF(AMAZON_FASHION_5__2[[#This Row],[overall]]&lt;=2,"Negative","Neutral"))</f>
        <v>Positive</v>
      </c>
      <c r="S16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31" spans="1:19" x14ac:dyDescent="0.25">
      <c r="A1631">
        <v>5</v>
      </c>
      <c r="B1631" t="b">
        <v>1</v>
      </c>
      <c r="C1631" s="1">
        <v>43194</v>
      </c>
      <c r="D1631">
        <f>YEAR(AMAZON_FASHION_5__2[[#This Row],[reviewDate]])</f>
        <v>2018</v>
      </c>
      <c r="E1631" s="1" t="str">
        <f>TEXT(AMAZON_FASHION_5__2[[#This Row],[reviewDate]], "mmmm")</f>
        <v>April</v>
      </c>
      <c r="F1631" t="s">
        <v>286</v>
      </c>
      <c r="G1631" t="s">
        <v>1490</v>
      </c>
      <c r="H1631" t="s">
        <v>210</v>
      </c>
      <c r="I1631" t="s">
        <v>198</v>
      </c>
      <c r="J1631" t="s">
        <v>287</v>
      </c>
      <c r="K1631" t="s">
        <v>288</v>
      </c>
      <c r="L1631" t="s">
        <v>289</v>
      </c>
      <c r="M1631">
        <v>1522800000</v>
      </c>
      <c r="N1631" t="s">
        <v>1628</v>
      </c>
      <c r="O1631" t="s">
        <v>1628</v>
      </c>
      <c r="P1631" t="s">
        <v>1628</v>
      </c>
      <c r="Q1631">
        <f>LEN(AMAZON_FASHION_5__2[[#This Row],[reviewText]])</f>
        <v>35</v>
      </c>
      <c r="R1631" t="str">
        <f>IF(AMAZON_FASHION_5__2[[#This Row],[overall]]&gt;=4,"Positive",IF(AMAZON_FASHION_5__2[[#This Row],[overall]]&lt;=2,"Negative","Neutral"))</f>
        <v>Positive</v>
      </c>
      <c r="S16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32" spans="1:19" x14ac:dyDescent="0.25">
      <c r="A1632">
        <v>4</v>
      </c>
      <c r="B1632" t="b">
        <v>1</v>
      </c>
      <c r="C1632" s="1">
        <v>43193</v>
      </c>
      <c r="D1632">
        <f>YEAR(AMAZON_FASHION_5__2[[#This Row],[reviewDate]])</f>
        <v>2018</v>
      </c>
      <c r="E1632" s="1" t="str">
        <f>TEXT(AMAZON_FASHION_5__2[[#This Row],[reviewDate]], "mmmm")</f>
        <v>April</v>
      </c>
      <c r="F1632" t="s">
        <v>290</v>
      </c>
      <c r="G1632" t="s">
        <v>1490</v>
      </c>
      <c r="H1632" t="s">
        <v>230</v>
      </c>
      <c r="I1632" t="s">
        <v>274</v>
      </c>
      <c r="J1632" t="s">
        <v>291</v>
      </c>
      <c r="K1632" t="s">
        <v>292</v>
      </c>
      <c r="L1632" t="s">
        <v>293</v>
      </c>
      <c r="M1632">
        <v>1522713600</v>
      </c>
      <c r="N1632" t="s">
        <v>1628</v>
      </c>
      <c r="O1632" t="s">
        <v>1628</v>
      </c>
      <c r="P1632" t="s">
        <v>1628</v>
      </c>
      <c r="Q1632">
        <f>LEN(AMAZON_FASHION_5__2[[#This Row],[reviewText]])</f>
        <v>213</v>
      </c>
      <c r="R1632" t="str">
        <f>IF(AMAZON_FASHION_5__2[[#This Row],[overall]]&gt;=4,"Positive",IF(AMAZON_FASHION_5__2[[#This Row],[overall]]&lt;=2,"Negative","Neutral"))</f>
        <v>Positive</v>
      </c>
      <c r="S16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33" spans="1:19" x14ac:dyDescent="0.25">
      <c r="A1633">
        <v>5</v>
      </c>
      <c r="B1633" t="b">
        <v>1</v>
      </c>
      <c r="C1633" s="1">
        <v>43193</v>
      </c>
      <c r="D1633">
        <f>YEAR(AMAZON_FASHION_5__2[[#This Row],[reviewDate]])</f>
        <v>2018</v>
      </c>
      <c r="E1633" s="1" t="str">
        <f>TEXT(AMAZON_FASHION_5__2[[#This Row],[reviewDate]], "mmmm")</f>
        <v>April</v>
      </c>
      <c r="F1633" t="s">
        <v>294</v>
      </c>
      <c r="G1633" t="s">
        <v>1490</v>
      </c>
      <c r="H1633" t="s">
        <v>210</v>
      </c>
      <c r="I1633" t="s">
        <v>198</v>
      </c>
      <c r="J1633" t="s">
        <v>295</v>
      </c>
      <c r="K1633" t="s">
        <v>296</v>
      </c>
      <c r="L1633" t="s">
        <v>297</v>
      </c>
      <c r="M1633">
        <v>1522713600</v>
      </c>
      <c r="N1633" t="s">
        <v>1628</v>
      </c>
      <c r="O1633" t="s">
        <v>1628</v>
      </c>
      <c r="P1633" t="s">
        <v>1628</v>
      </c>
      <c r="Q1633">
        <f>LEN(AMAZON_FASHION_5__2[[#This Row],[reviewText]])</f>
        <v>105</v>
      </c>
      <c r="R1633" t="str">
        <f>IF(AMAZON_FASHION_5__2[[#This Row],[overall]]&gt;=4,"Positive",IF(AMAZON_FASHION_5__2[[#This Row],[overall]]&lt;=2,"Negative","Neutral"))</f>
        <v>Positive</v>
      </c>
      <c r="S16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34" spans="1:19" x14ac:dyDescent="0.25">
      <c r="A1634">
        <v>5</v>
      </c>
      <c r="B1634" t="b">
        <v>1</v>
      </c>
      <c r="C1634" s="1">
        <v>43190</v>
      </c>
      <c r="D1634">
        <f>YEAR(AMAZON_FASHION_5__2[[#This Row],[reviewDate]])</f>
        <v>2018</v>
      </c>
      <c r="E1634" s="1" t="str">
        <f>TEXT(AMAZON_FASHION_5__2[[#This Row],[reviewDate]], "mmmm")</f>
        <v>March</v>
      </c>
      <c r="F1634" t="s">
        <v>298</v>
      </c>
      <c r="G1634" t="s">
        <v>1490</v>
      </c>
      <c r="H1634" t="s">
        <v>230</v>
      </c>
      <c r="I1634" t="s">
        <v>198</v>
      </c>
      <c r="J1634" t="s">
        <v>299</v>
      </c>
      <c r="K1634" t="s">
        <v>300</v>
      </c>
      <c r="L1634" t="s">
        <v>301</v>
      </c>
      <c r="M1634">
        <v>1522454400</v>
      </c>
      <c r="N1634" t="s">
        <v>1628</v>
      </c>
      <c r="O1634" t="s">
        <v>1628</v>
      </c>
      <c r="P1634" t="s">
        <v>1628</v>
      </c>
      <c r="Q1634">
        <f>LEN(AMAZON_FASHION_5__2[[#This Row],[reviewText]])</f>
        <v>48</v>
      </c>
      <c r="R1634" t="str">
        <f>IF(AMAZON_FASHION_5__2[[#This Row],[overall]]&gt;=4,"Positive",IF(AMAZON_FASHION_5__2[[#This Row],[overall]]&lt;=2,"Negative","Neutral"))</f>
        <v>Positive</v>
      </c>
      <c r="S16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35" spans="1:19" x14ac:dyDescent="0.25">
      <c r="A1635">
        <v>5</v>
      </c>
      <c r="B1635" t="b">
        <v>1</v>
      </c>
      <c r="C1635" s="1">
        <v>43187</v>
      </c>
      <c r="D1635">
        <f>YEAR(AMAZON_FASHION_5__2[[#This Row],[reviewDate]])</f>
        <v>2018</v>
      </c>
      <c r="E1635" s="1" t="str">
        <f>TEXT(AMAZON_FASHION_5__2[[#This Row],[reviewDate]], "mmmm")</f>
        <v>March</v>
      </c>
      <c r="F1635" t="s">
        <v>302</v>
      </c>
      <c r="G1635" t="s">
        <v>1490</v>
      </c>
      <c r="H1635" t="s">
        <v>197</v>
      </c>
      <c r="I1635" t="s">
        <v>303</v>
      </c>
      <c r="J1635" t="s">
        <v>304</v>
      </c>
      <c r="K1635" t="s">
        <v>305</v>
      </c>
      <c r="L1635" t="s">
        <v>306</v>
      </c>
      <c r="M1635">
        <v>1522195200</v>
      </c>
      <c r="N1635" t="s">
        <v>1628</v>
      </c>
      <c r="O1635" t="s">
        <v>1628</v>
      </c>
      <c r="P1635" t="s">
        <v>1628</v>
      </c>
      <c r="Q1635">
        <f>LEN(AMAZON_FASHION_5__2[[#This Row],[reviewText]])</f>
        <v>90</v>
      </c>
      <c r="R1635" t="str">
        <f>IF(AMAZON_FASHION_5__2[[#This Row],[overall]]&gt;=4,"Positive",IF(AMAZON_FASHION_5__2[[#This Row],[overall]]&lt;=2,"Negative","Neutral"))</f>
        <v>Positive</v>
      </c>
      <c r="S16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36" spans="1:19" x14ac:dyDescent="0.25">
      <c r="A1636">
        <v>3</v>
      </c>
      <c r="B1636" t="b">
        <v>1</v>
      </c>
      <c r="C1636" s="1">
        <v>43186</v>
      </c>
      <c r="D1636">
        <f>YEAR(AMAZON_FASHION_5__2[[#This Row],[reviewDate]])</f>
        <v>2018</v>
      </c>
      <c r="E1636" s="1" t="str">
        <f>TEXT(AMAZON_FASHION_5__2[[#This Row],[reviewDate]], "mmmm")</f>
        <v>March</v>
      </c>
      <c r="F1636" t="s">
        <v>307</v>
      </c>
      <c r="G1636" t="s">
        <v>1490</v>
      </c>
      <c r="H1636" t="s">
        <v>230</v>
      </c>
      <c r="I1636" t="s">
        <v>274</v>
      </c>
      <c r="J1636" t="s">
        <v>308</v>
      </c>
      <c r="K1636" t="s">
        <v>309</v>
      </c>
      <c r="L1636" t="s">
        <v>310</v>
      </c>
      <c r="M1636">
        <v>1522108800</v>
      </c>
      <c r="N1636" t="s">
        <v>1628</v>
      </c>
      <c r="O1636" t="s">
        <v>1628</v>
      </c>
      <c r="P1636" t="s">
        <v>1628</v>
      </c>
      <c r="Q1636">
        <f>LEN(AMAZON_FASHION_5__2[[#This Row],[reviewText]])</f>
        <v>121</v>
      </c>
      <c r="R1636" t="str">
        <f>IF(AMAZON_FASHION_5__2[[#This Row],[overall]]&gt;=4,"Positive",IF(AMAZON_FASHION_5__2[[#This Row],[overall]]&lt;=2,"Negative","Neutral"))</f>
        <v>Neutral</v>
      </c>
      <c r="S16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37" spans="1:19" x14ac:dyDescent="0.25">
      <c r="A1637">
        <v>5</v>
      </c>
      <c r="B1637" t="b">
        <v>1</v>
      </c>
      <c r="C1637" s="1">
        <v>43181</v>
      </c>
      <c r="D1637">
        <f>YEAR(AMAZON_FASHION_5__2[[#This Row],[reviewDate]])</f>
        <v>2018</v>
      </c>
      <c r="E1637" s="1" t="str">
        <f>TEXT(AMAZON_FASHION_5__2[[#This Row],[reviewDate]], "mmmm")</f>
        <v>March</v>
      </c>
      <c r="F1637" t="s">
        <v>311</v>
      </c>
      <c r="G1637" t="s">
        <v>1490</v>
      </c>
      <c r="H1637" t="s">
        <v>210</v>
      </c>
      <c r="I1637" t="s">
        <v>249</v>
      </c>
      <c r="J1637" t="s">
        <v>312</v>
      </c>
      <c r="K1637" t="s">
        <v>313</v>
      </c>
      <c r="L1637" t="s">
        <v>314</v>
      </c>
      <c r="M1637">
        <v>1521676800</v>
      </c>
      <c r="N1637" t="s">
        <v>1628</v>
      </c>
      <c r="O1637" t="s">
        <v>1628</v>
      </c>
      <c r="P1637">
        <v>2</v>
      </c>
      <c r="Q1637">
        <f>LEN(AMAZON_FASHION_5__2[[#This Row],[reviewText]])</f>
        <v>277</v>
      </c>
      <c r="R1637" t="str">
        <f>IF(AMAZON_FASHION_5__2[[#This Row],[overall]]&gt;=4,"Positive",IF(AMAZON_FASHION_5__2[[#This Row],[overall]]&lt;=2,"Negative","Neutral"))</f>
        <v>Positive</v>
      </c>
      <c r="S16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38" spans="1:19" x14ac:dyDescent="0.25">
      <c r="A1638">
        <v>5</v>
      </c>
      <c r="B1638" t="b">
        <v>1</v>
      </c>
      <c r="C1638" s="1">
        <v>43181</v>
      </c>
      <c r="D1638">
        <f>YEAR(AMAZON_FASHION_5__2[[#This Row],[reviewDate]])</f>
        <v>2018</v>
      </c>
      <c r="E1638" s="1" t="str">
        <f>TEXT(AMAZON_FASHION_5__2[[#This Row],[reviewDate]], "mmmm")</f>
        <v>March</v>
      </c>
      <c r="F1638" t="s">
        <v>315</v>
      </c>
      <c r="G1638" t="s">
        <v>1490</v>
      </c>
      <c r="H1638" t="s">
        <v>205</v>
      </c>
      <c r="I1638" t="s">
        <v>198</v>
      </c>
      <c r="J1638" t="s">
        <v>316</v>
      </c>
      <c r="K1638" t="s">
        <v>317</v>
      </c>
      <c r="L1638" t="s">
        <v>318</v>
      </c>
      <c r="M1638">
        <v>1521676800</v>
      </c>
      <c r="N1638" t="s">
        <v>1628</v>
      </c>
      <c r="O1638" t="s">
        <v>1628</v>
      </c>
      <c r="P1638" t="s">
        <v>1628</v>
      </c>
      <c r="Q1638">
        <f>LEN(AMAZON_FASHION_5__2[[#This Row],[reviewText]])</f>
        <v>129</v>
      </c>
      <c r="R1638" t="str">
        <f>IF(AMAZON_FASHION_5__2[[#This Row],[overall]]&gt;=4,"Positive",IF(AMAZON_FASHION_5__2[[#This Row],[overall]]&lt;=2,"Negative","Neutral"))</f>
        <v>Positive</v>
      </c>
      <c r="S16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39" spans="1:19" x14ac:dyDescent="0.25">
      <c r="A1639">
        <v>5</v>
      </c>
      <c r="B1639" t="b">
        <v>1</v>
      </c>
      <c r="C1639" s="1">
        <v>43180</v>
      </c>
      <c r="D1639">
        <f>YEAR(AMAZON_FASHION_5__2[[#This Row],[reviewDate]])</f>
        <v>2018</v>
      </c>
      <c r="E1639" s="1" t="str">
        <f>TEXT(AMAZON_FASHION_5__2[[#This Row],[reviewDate]], "mmmm")</f>
        <v>March</v>
      </c>
      <c r="F1639" t="s">
        <v>319</v>
      </c>
      <c r="G1639" t="s">
        <v>1490</v>
      </c>
      <c r="H1639" t="s">
        <v>320</v>
      </c>
      <c r="I1639" t="s">
        <v>274</v>
      </c>
      <c r="J1639" t="s">
        <v>321</v>
      </c>
      <c r="K1639" t="s">
        <v>322</v>
      </c>
      <c r="L1639" t="s">
        <v>17</v>
      </c>
      <c r="M1639">
        <v>1521590400</v>
      </c>
      <c r="N1639" t="s">
        <v>1628</v>
      </c>
      <c r="O1639" t="s">
        <v>1628</v>
      </c>
      <c r="P1639" t="s">
        <v>1628</v>
      </c>
      <c r="Q1639">
        <f>LEN(AMAZON_FASHION_5__2[[#This Row],[reviewText]])</f>
        <v>56</v>
      </c>
      <c r="R1639" t="str">
        <f>IF(AMAZON_FASHION_5__2[[#This Row],[overall]]&gt;=4,"Positive",IF(AMAZON_FASHION_5__2[[#This Row],[overall]]&lt;=2,"Negative","Neutral"))</f>
        <v>Positive</v>
      </c>
      <c r="S16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40" spans="1:19" x14ac:dyDescent="0.25">
      <c r="A1640">
        <v>5</v>
      </c>
      <c r="B1640" t="b">
        <v>1</v>
      </c>
      <c r="C1640" s="1">
        <v>43179</v>
      </c>
      <c r="D1640">
        <f>YEAR(AMAZON_FASHION_5__2[[#This Row],[reviewDate]])</f>
        <v>2018</v>
      </c>
      <c r="E1640" s="1" t="str">
        <f>TEXT(AMAZON_FASHION_5__2[[#This Row],[reviewDate]], "mmmm")</f>
        <v>March</v>
      </c>
      <c r="F1640" t="s">
        <v>323</v>
      </c>
      <c r="G1640" t="s">
        <v>1490</v>
      </c>
      <c r="H1640" t="s">
        <v>201</v>
      </c>
      <c r="I1640" t="s">
        <v>198</v>
      </c>
      <c r="J1640" t="s">
        <v>324</v>
      </c>
      <c r="K1640" t="s">
        <v>325</v>
      </c>
      <c r="L1640" t="s">
        <v>326</v>
      </c>
      <c r="M1640">
        <v>1521504000</v>
      </c>
      <c r="N1640" t="s">
        <v>1628</v>
      </c>
      <c r="O1640" t="s">
        <v>1628</v>
      </c>
      <c r="P1640" t="s">
        <v>1628</v>
      </c>
      <c r="Q1640">
        <f>LEN(AMAZON_FASHION_5__2[[#This Row],[reviewText]])</f>
        <v>137</v>
      </c>
      <c r="R1640" t="str">
        <f>IF(AMAZON_FASHION_5__2[[#This Row],[overall]]&gt;=4,"Positive",IF(AMAZON_FASHION_5__2[[#This Row],[overall]]&lt;=2,"Negative","Neutral"))</f>
        <v>Positive</v>
      </c>
      <c r="S16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41" spans="1:19" x14ac:dyDescent="0.25">
      <c r="A1641">
        <v>5</v>
      </c>
      <c r="B1641" t="b">
        <v>1</v>
      </c>
      <c r="C1641" s="1">
        <v>43178</v>
      </c>
      <c r="D1641">
        <f>YEAR(AMAZON_FASHION_5__2[[#This Row],[reviewDate]])</f>
        <v>2018</v>
      </c>
      <c r="E1641" s="1" t="str">
        <f>TEXT(AMAZON_FASHION_5__2[[#This Row],[reviewDate]], "mmmm")</f>
        <v>March</v>
      </c>
      <c r="F1641" t="s">
        <v>327</v>
      </c>
      <c r="G1641" t="s">
        <v>1490</v>
      </c>
      <c r="H1641" t="s">
        <v>230</v>
      </c>
      <c r="I1641" t="s">
        <v>198</v>
      </c>
      <c r="J1641" t="s">
        <v>328</v>
      </c>
      <c r="K1641" t="s">
        <v>329</v>
      </c>
      <c r="L1641" t="s">
        <v>330</v>
      </c>
      <c r="M1641">
        <v>1521417600</v>
      </c>
      <c r="N1641" t="s">
        <v>1628</v>
      </c>
      <c r="O1641" t="s">
        <v>1628</v>
      </c>
      <c r="P1641" t="s">
        <v>1628</v>
      </c>
      <c r="Q1641">
        <f>LEN(AMAZON_FASHION_5__2[[#This Row],[reviewText]])</f>
        <v>211</v>
      </c>
      <c r="R1641" t="str">
        <f>IF(AMAZON_FASHION_5__2[[#This Row],[overall]]&gt;=4,"Positive",IF(AMAZON_FASHION_5__2[[#This Row],[overall]]&lt;=2,"Negative","Neutral"))</f>
        <v>Positive</v>
      </c>
      <c r="S16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42" spans="1:19" x14ac:dyDescent="0.25">
      <c r="A1642">
        <v>5</v>
      </c>
      <c r="B1642" t="b">
        <v>1</v>
      </c>
      <c r="C1642" s="1">
        <v>43178</v>
      </c>
      <c r="D1642">
        <f>YEAR(AMAZON_FASHION_5__2[[#This Row],[reviewDate]])</f>
        <v>2018</v>
      </c>
      <c r="E1642" s="1" t="str">
        <f>TEXT(AMAZON_FASHION_5__2[[#This Row],[reviewDate]], "mmmm")</f>
        <v>March</v>
      </c>
      <c r="F1642" t="s">
        <v>331</v>
      </c>
      <c r="G1642" t="s">
        <v>1490</v>
      </c>
      <c r="H1642" t="s">
        <v>230</v>
      </c>
      <c r="I1642" t="s">
        <v>303</v>
      </c>
      <c r="J1642" t="s">
        <v>332</v>
      </c>
      <c r="K1642" t="s">
        <v>333</v>
      </c>
      <c r="L1642" t="s">
        <v>17</v>
      </c>
      <c r="M1642">
        <v>1521417600</v>
      </c>
      <c r="N1642" t="s">
        <v>1628</v>
      </c>
      <c r="O1642" t="s">
        <v>1628</v>
      </c>
      <c r="P1642" t="s">
        <v>1628</v>
      </c>
      <c r="Q1642">
        <f>LEN(AMAZON_FASHION_5__2[[#This Row],[reviewText]])</f>
        <v>15</v>
      </c>
      <c r="R1642" t="str">
        <f>IF(AMAZON_FASHION_5__2[[#This Row],[overall]]&gt;=4,"Positive",IF(AMAZON_FASHION_5__2[[#This Row],[overall]]&lt;=2,"Negative","Neutral"))</f>
        <v>Positive</v>
      </c>
      <c r="S16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43" spans="1:19" x14ac:dyDescent="0.25">
      <c r="A1643">
        <v>4</v>
      </c>
      <c r="B1643" t="b">
        <v>1</v>
      </c>
      <c r="C1643" s="1">
        <v>43176</v>
      </c>
      <c r="D1643">
        <f>YEAR(AMAZON_FASHION_5__2[[#This Row],[reviewDate]])</f>
        <v>2018</v>
      </c>
      <c r="E1643" s="1" t="str">
        <f>TEXT(AMAZON_FASHION_5__2[[#This Row],[reviewDate]], "mmmm")</f>
        <v>March</v>
      </c>
      <c r="F1643" t="s">
        <v>334</v>
      </c>
      <c r="G1643" t="s">
        <v>1490</v>
      </c>
      <c r="H1643" t="s">
        <v>1499</v>
      </c>
      <c r="I1643" t="s">
        <v>336</v>
      </c>
      <c r="J1643" t="s">
        <v>337</v>
      </c>
      <c r="K1643" t="s">
        <v>338</v>
      </c>
      <c r="L1643" t="s">
        <v>339</v>
      </c>
      <c r="M1643">
        <v>1521244800</v>
      </c>
      <c r="N1643" t="s">
        <v>1628</v>
      </c>
      <c r="O1643" t="s">
        <v>1628</v>
      </c>
      <c r="P1643" t="s">
        <v>1628</v>
      </c>
      <c r="Q1643">
        <f>LEN(AMAZON_FASHION_5__2[[#This Row],[reviewText]])</f>
        <v>127</v>
      </c>
      <c r="R1643" t="str">
        <f>IF(AMAZON_FASHION_5__2[[#This Row],[overall]]&gt;=4,"Positive",IF(AMAZON_FASHION_5__2[[#This Row],[overall]]&lt;=2,"Negative","Neutral"))</f>
        <v>Positive</v>
      </c>
      <c r="S16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44" spans="1:19" x14ac:dyDescent="0.25">
      <c r="A1644">
        <v>5</v>
      </c>
      <c r="B1644" t="b">
        <v>1</v>
      </c>
      <c r="C1644" s="1">
        <v>43172</v>
      </c>
      <c r="D1644">
        <f>YEAR(AMAZON_FASHION_5__2[[#This Row],[reviewDate]])</f>
        <v>2018</v>
      </c>
      <c r="E1644" s="1" t="str">
        <f>TEXT(AMAZON_FASHION_5__2[[#This Row],[reviewDate]], "mmmm")</f>
        <v>March</v>
      </c>
      <c r="F1644" t="s">
        <v>340</v>
      </c>
      <c r="G1644" t="s">
        <v>1490</v>
      </c>
      <c r="H1644" t="s">
        <v>235</v>
      </c>
      <c r="I1644" t="s">
        <v>198</v>
      </c>
      <c r="J1644" t="s">
        <v>341</v>
      </c>
      <c r="K1644" t="s">
        <v>342</v>
      </c>
      <c r="L1644" t="s">
        <v>269</v>
      </c>
      <c r="M1644">
        <v>1520899200</v>
      </c>
      <c r="N1644" t="s">
        <v>1628</v>
      </c>
      <c r="O1644" t="s">
        <v>1628</v>
      </c>
      <c r="P1644" t="s">
        <v>1628</v>
      </c>
      <c r="Q1644">
        <f>LEN(AMAZON_FASHION_5__2[[#This Row],[reviewText]])</f>
        <v>174</v>
      </c>
      <c r="R1644" t="str">
        <f>IF(AMAZON_FASHION_5__2[[#This Row],[overall]]&gt;=4,"Positive",IF(AMAZON_FASHION_5__2[[#This Row],[overall]]&lt;=2,"Negative","Neutral"))</f>
        <v>Positive</v>
      </c>
      <c r="S16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45" spans="1:19" x14ac:dyDescent="0.25">
      <c r="A1645">
        <v>1</v>
      </c>
      <c r="B1645" t="b">
        <v>1</v>
      </c>
      <c r="C1645" s="1">
        <v>43170</v>
      </c>
      <c r="D1645">
        <f>YEAR(AMAZON_FASHION_5__2[[#This Row],[reviewDate]])</f>
        <v>2018</v>
      </c>
      <c r="E1645" s="1" t="str">
        <f>TEXT(AMAZON_FASHION_5__2[[#This Row],[reviewDate]], "mmmm")</f>
        <v>March</v>
      </c>
      <c r="F1645" t="s">
        <v>343</v>
      </c>
      <c r="G1645" t="s">
        <v>1490</v>
      </c>
      <c r="H1645" t="s">
        <v>205</v>
      </c>
      <c r="I1645" t="s">
        <v>344</v>
      </c>
      <c r="J1645" t="s">
        <v>345</v>
      </c>
      <c r="K1645" t="s">
        <v>346</v>
      </c>
      <c r="L1645" t="s">
        <v>347</v>
      </c>
      <c r="M1645">
        <v>1520726400</v>
      </c>
      <c r="N1645" t="s">
        <v>1628</v>
      </c>
      <c r="O1645" t="s">
        <v>1628</v>
      </c>
      <c r="P1645" t="s">
        <v>1628</v>
      </c>
      <c r="Q1645">
        <f>LEN(AMAZON_FASHION_5__2[[#This Row],[reviewText]])</f>
        <v>22</v>
      </c>
      <c r="R1645" t="str">
        <f>IF(AMAZON_FASHION_5__2[[#This Row],[overall]]&gt;=4,"Positive",IF(AMAZON_FASHION_5__2[[#This Row],[overall]]&lt;=2,"Negative","Neutral"))</f>
        <v>Negative</v>
      </c>
      <c r="S16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46" spans="1:19" x14ac:dyDescent="0.25">
      <c r="A1646">
        <v>5</v>
      </c>
      <c r="B1646" t="b">
        <v>1</v>
      </c>
      <c r="C1646" s="1">
        <v>43164</v>
      </c>
      <c r="D1646">
        <f>YEAR(AMAZON_FASHION_5__2[[#This Row],[reviewDate]])</f>
        <v>2018</v>
      </c>
      <c r="E1646" s="1" t="str">
        <f>TEXT(AMAZON_FASHION_5__2[[#This Row],[reviewDate]], "mmmm")</f>
        <v>March</v>
      </c>
      <c r="F1646" t="s">
        <v>348</v>
      </c>
      <c r="G1646" t="s">
        <v>1490</v>
      </c>
      <c r="H1646" t="s">
        <v>210</v>
      </c>
      <c r="I1646" t="s">
        <v>198</v>
      </c>
      <c r="J1646" t="s">
        <v>63</v>
      </c>
      <c r="K1646" t="s">
        <v>349</v>
      </c>
      <c r="L1646" t="s">
        <v>350</v>
      </c>
      <c r="M1646">
        <v>1520208000</v>
      </c>
      <c r="N1646" t="s">
        <v>1628</v>
      </c>
      <c r="O1646" t="s">
        <v>1628</v>
      </c>
      <c r="P1646" t="s">
        <v>1628</v>
      </c>
      <c r="Q1646">
        <f>LEN(AMAZON_FASHION_5__2[[#This Row],[reviewText]])</f>
        <v>22</v>
      </c>
      <c r="R1646" t="str">
        <f>IF(AMAZON_FASHION_5__2[[#This Row],[overall]]&gt;=4,"Positive",IF(AMAZON_FASHION_5__2[[#This Row],[overall]]&lt;=2,"Negative","Neutral"))</f>
        <v>Positive</v>
      </c>
      <c r="S16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47" spans="1:19" x14ac:dyDescent="0.25">
      <c r="A1647">
        <v>5</v>
      </c>
      <c r="B1647" t="b">
        <v>1</v>
      </c>
      <c r="C1647" s="1">
        <v>43161</v>
      </c>
      <c r="D1647">
        <f>YEAR(AMAZON_FASHION_5__2[[#This Row],[reviewDate]])</f>
        <v>2018</v>
      </c>
      <c r="E1647" s="1" t="str">
        <f>TEXT(AMAZON_FASHION_5__2[[#This Row],[reviewDate]], "mmmm")</f>
        <v>March</v>
      </c>
      <c r="F1647" t="s">
        <v>351</v>
      </c>
      <c r="G1647" t="s">
        <v>1490</v>
      </c>
      <c r="H1647" t="s">
        <v>284</v>
      </c>
      <c r="I1647" t="s">
        <v>198</v>
      </c>
      <c r="J1647" t="s">
        <v>352</v>
      </c>
      <c r="K1647" t="s">
        <v>353</v>
      </c>
      <c r="L1647" t="s">
        <v>354</v>
      </c>
      <c r="M1647">
        <v>1519948800</v>
      </c>
      <c r="N1647" t="s">
        <v>1628</v>
      </c>
      <c r="O1647" t="s">
        <v>1628</v>
      </c>
      <c r="P1647" t="s">
        <v>1628</v>
      </c>
      <c r="Q1647">
        <f>LEN(AMAZON_FASHION_5__2[[#This Row],[reviewText]])</f>
        <v>100</v>
      </c>
      <c r="R1647" t="str">
        <f>IF(AMAZON_FASHION_5__2[[#This Row],[overall]]&gt;=4,"Positive",IF(AMAZON_FASHION_5__2[[#This Row],[overall]]&lt;=2,"Negative","Neutral"))</f>
        <v>Positive</v>
      </c>
      <c r="S16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48" spans="1:19" x14ac:dyDescent="0.25">
      <c r="A1648">
        <v>5</v>
      </c>
      <c r="B1648" t="b">
        <v>1</v>
      </c>
      <c r="C1648" s="1">
        <v>43159</v>
      </c>
      <c r="D1648">
        <f>YEAR(AMAZON_FASHION_5__2[[#This Row],[reviewDate]])</f>
        <v>2018</v>
      </c>
      <c r="E1648" s="1" t="str">
        <f>TEXT(AMAZON_FASHION_5__2[[#This Row],[reviewDate]], "mmmm")</f>
        <v>February</v>
      </c>
      <c r="F1648" t="s">
        <v>355</v>
      </c>
      <c r="G1648" t="s">
        <v>1490</v>
      </c>
      <c r="H1648" t="s">
        <v>235</v>
      </c>
      <c r="I1648" t="s">
        <v>198</v>
      </c>
      <c r="J1648" t="s">
        <v>356</v>
      </c>
      <c r="K1648" t="s">
        <v>357</v>
      </c>
      <c r="L1648" t="s">
        <v>358</v>
      </c>
      <c r="M1648">
        <v>1519776000</v>
      </c>
      <c r="N1648" t="s">
        <v>1628</v>
      </c>
      <c r="O1648" t="s">
        <v>1628</v>
      </c>
      <c r="P1648" t="s">
        <v>1628</v>
      </c>
      <c r="Q1648">
        <f>LEN(AMAZON_FASHION_5__2[[#This Row],[reviewText]])</f>
        <v>58</v>
      </c>
      <c r="R1648" t="str">
        <f>IF(AMAZON_FASHION_5__2[[#This Row],[overall]]&gt;=4,"Positive",IF(AMAZON_FASHION_5__2[[#This Row],[overall]]&lt;=2,"Negative","Neutral"))</f>
        <v>Positive</v>
      </c>
      <c r="S16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49" spans="1:19" x14ac:dyDescent="0.25">
      <c r="A1649">
        <v>5</v>
      </c>
      <c r="B1649" t="b">
        <v>1</v>
      </c>
      <c r="C1649" s="1">
        <v>43158</v>
      </c>
      <c r="D1649">
        <f>YEAR(AMAZON_FASHION_5__2[[#This Row],[reviewDate]])</f>
        <v>2018</v>
      </c>
      <c r="E1649" s="1" t="str">
        <f>TEXT(AMAZON_FASHION_5__2[[#This Row],[reviewDate]], "mmmm")</f>
        <v>February</v>
      </c>
      <c r="F1649" t="s">
        <v>359</v>
      </c>
      <c r="G1649" t="s">
        <v>1490</v>
      </c>
      <c r="H1649" t="s">
        <v>230</v>
      </c>
      <c r="I1649" t="s">
        <v>198</v>
      </c>
      <c r="J1649" t="s">
        <v>63</v>
      </c>
      <c r="K1649" t="s">
        <v>360</v>
      </c>
      <c r="L1649" t="s">
        <v>361</v>
      </c>
      <c r="M1649">
        <v>1519689600</v>
      </c>
      <c r="N1649" t="s">
        <v>1628</v>
      </c>
      <c r="O1649" t="s">
        <v>1628</v>
      </c>
      <c r="P1649" t="s">
        <v>1628</v>
      </c>
      <c r="Q1649">
        <f>LEN(AMAZON_FASHION_5__2[[#This Row],[reviewText]])</f>
        <v>269</v>
      </c>
      <c r="R1649" t="str">
        <f>IF(AMAZON_FASHION_5__2[[#This Row],[overall]]&gt;=4,"Positive",IF(AMAZON_FASHION_5__2[[#This Row],[overall]]&lt;=2,"Negative","Neutral"))</f>
        <v>Positive</v>
      </c>
      <c r="S16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50" spans="1:19" x14ac:dyDescent="0.25">
      <c r="A1650">
        <v>5</v>
      </c>
      <c r="B1650" t="b">
        <v>1</v>
      </c>
      <c r="C1650" s="1">
        <v>43158</v>
      </c>
      <c r="D1650">
        <f>YEAR(AMAZON_FASHION_5__2[[#This Row],[reviewDate]])</f>
        <v>2018</v>
      </c>
      <c r="E1650" s="1" t="str">
        <f>TEXT(AMAZON_FASHION_5__2[[#This Row],[reviewDate]], "mmmm")</f>
        <v>February</v>
      </c>
      <c r="F1650" t="s">
        <v>362</v>
      </c>
      <c r="G1650" t="s">
        <v>1490</v>
      </c>
      <c r="H1650" t="s">
        <v>230</v>
      </c>
      <c r="I1650" t="s">
        <v>249</v>
      </c>
      <c r="J1650" t="s">
        <v>363</v>
      </c>
      <c r="K1650" t="s">
        <v>364</v>
      </c>
      <c r="L1650" t="s">
        <v>365</v>
      </c>
      <c r="M1650">
        <v>1519689600</v>
      </c>
      <c r="N1650" t="s">
        <v>1628</v>
      </c>
      <c r="O1650" t="s">
        <v>1628</v>
      </c>
      <c r="P1650" t="s">
        <v>1628</v>
      </c>
      <c r="Q1650">
        <f>LEN(AMAZON_FASHION_5__2[[#This Row],[reviewText]])</f>
        <v>152</v>
      </c>
      <c r="R1650" t="str">
        <f>IF(AMAZON_FASHION_5__2[[#This Row],[overall]]&gt;=4,"Positive",IF(AMAZON_FASHION_5__2[[#This Row],[overall]]&lt;=2,"Negative","Neutral"))</f>
        <v>Positive</v>
      </c>
      <c r="S16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51" spans="1:19" x14ac:dyDescent="0.25">
      <c r="A1651">
        <v>5</v>
      </c>
      <c r="B1651" t="b">
        <v>1</v>
      </c>
      <c r="C1651" s="1">
        <v>43158</v>
      </c>
      <c r="D1651">
        <f>YEAR(AMAZON_FASHION_5__2[[#This Row],[reviewDate]])</f>
        <v>2018</v>
      </c>
      <c r="E1651" s="1" t="str">
        <f>TEXT(AMAZON_FASHION_5__2[[#This Row],[reviewDate]], "mmmm")</f>
        <v>February</v>
      </c>
      <c r="F1651" t="s">
        <v>366</v>
      </c>
      <c r="G1651" t="s">
        <v>1490</v>
      </c>
      <c r="H1651" t="s">
        <v>205</v>
      </c>
      <c r="I1651" t="s">
        <v>198</v>
      </c>
      <c r="J1651" t="s">
        <v>367</v>
      </c>
      <c r="K1651" t="s">
        <v>368</v>
      </c>
      <c r="L1651" t="s">
        <v>369</v>
      </c>
      <c r="M1651">
        <v>1519689600</v>
      </c>
      <c r="N1651" t="s">
        <v>1628</v>
      </c>
      <c r="O1651" t="s">
        <v>1628</v>
      </c>
      <c r="P1651" t="s">
        <v>1628</v>
      </c>
      <c r="Q1651">
        <f>LEN(AMAZON_FASHION_5__2[[#This Row],[reviewText]])</f>
        <v>46</v>
      </c>
      <c r="R1651" t="str">
        <f>IF(AMAZON_FASHION_5__2[[#This Row],[overall]]&gt;=4,"Positive",IF(AMAZON_FASHION_5__2[[#This Row],[overall]]&lt;=2,"Negative","Neutral"))</f>
        <v>Positive</v>
      </c>
      <c r="S16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52" spans="1:19" x14ac:dyDescent="0.25">
      <c r="A1652">
        <v>1</v>
      </c>
      <c r="B1652" t="b">
        <v>1</v>
      </c>
      <c r="C1652" s="1">
        <v>43156</v>
      </c>
      <c r="D1652">
        <f>YEAR(AMAZON_FASHION_5__2[[#This Row],[reviewDate]])</f>
        <v>2018</v>
      </c>
      <c r="E1652" s="1" t="str">
        <f>TEXT(AMAZON_FASHION_5__2[[#This Row],[reviewDate]], "mmmm")</f>
        <v>February</v>
      </c>
      <c r="F1652" t="s">
        <v>370</v>
      </c>
      <c r="G1652" t="s">
        <v>1490</v>
      </c>
      <c r="H1652" t="s">
        <v>230</v>
      </c>
      <c r="I1652" t="s">
        <v>198</v>
      </c>
      <c r="J1652" t="s">
        <v>371</v>
      </c>
      <c r="K1652" t="s">
        <v>372</v>
      </c>
      <c r="L1652" t="s">
        <v>373</v>
      </c>
      <c r="M1652">
        <v>1519516800</v>
      </c>
      <c r="N1652" t="s">
        <v>1628</v>
      </c>
      <c r="O1652" t="s">
        <v>1628</v>
      </c>
      <c r="P1652" t="s">
        <v>1628</v>
      </c>
      <c r="Q1652">
        <f>LEN(AMAZON_FASHION_5__2[[#This Row],[reviewText]])</f>
        <v>282</v>
      </c>
      <c r="R1652" t="str">
        <f>IF(AMAZON_FASHION_5__2[[#This Row],[overall]]&gt;=4,"Positive",IF(AMAZON_FASHION_5__2[[#This Row],[overall]]&lt;=2,"Negative","Neutral"))</f>
        <v>Negative</v>
      </c>
      <c r="S16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53" spans="1:19" x14ac:dyDescent="0.25">
      <c r="A1653">
        <v>2</v>
      </c>
      <c r="B1653" t="b">
        <v>1</v>
      </c>
      <c r="C1653" s="1">
        <v>43156</v>
      </c>
      <c r="D1653">
        <f>YEAR(AMAZON_FASHION_5__2[[#This Row],[reviewDate]])</f>
        <v>2018</v>
      </c>
      <c r="E1653" s="1" t="str">
        <f>TEXT(AMAZON_FASHION_5__2[[#This Row],[reviewDate]], "mmmm")</f>
        <v>February</v>
      </c>
      <c r="F1653" t="s">
        <v>374</v>
      </c>
      <c r="G1653" t="s">
        <v>1490</v>
      </c>
      <c r="H1653" t="s">
        <v>210</v>
      </c>
      <c r="I1653" t="s">
        <v>198</v>
      </c>
      <c r="J1653" t="s">
        <v>63</v>
      </c>
      <c r="K1653" t="s">
        <v>375</v>
      </c>
      <c r="L1653" t="s">
        <v>376</v>
      </c>
      <c r="M1653">
        <v>1519516800</v>
      </c>
      <c r="N1653" t="s">
        <v>1628</v>
      </c>
      <c r="O1653" t="s">
        <v>1628</v>
      </c>
      <c r="P1653" t="s">
        <v>1628</v>
      </c>
      <c r="Q1653">
        <f>LEN(AMAZON_FASHION_5__2[[#This Row],[reviewText]])</f>
        <v>89</v>
      </c>
      <c r="R1653" t="str">
        <f>IF(AMAZON_FASHION_5__2[[#This Row],[overall]]&gt;=4,"Positive",IF(AMAZON_FASHION_5__2[[#This Row],[overall]]&lt;=2,"Negative","Neutral"))</f>
        <v>Negative</v>
      </c>
      <c r="S16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54" spans="1:19" x14ac:dyDescent="0.25">
      <c r="A1654">
        <v>5</v>
      </c>
      <c r="B1654" t="b">
        <v>1</v>
      </c>
      <c r="C1654" s="1">
        <v>43152</v>
      </c>
      <c r="D1654">
        <f>YEAR(AMAZON_FASHION_5__2[[#This Row],[reviewDate]])</f>
        <v>2018</v>
      </c>
      <c r="E1654" s="1" t="str">
        <f>TEXT(AMAZON_FASHION_5__2[[#This Row],[reviewDate]], "mmmm")</f>
        <v>February</v>
      </c>
      <c r="F1654" t="s">
        <v>377</v>
      </c>
      <c r="G1654" t="s">
        <v>1490</v>
      </c>
      <c r="H1654" t="s">
        <v>201</v>
      </c>
      <c r="I1654" t="s">
        <v>198</v>
      </c>
      <c r="J1654" t="s">
        <v>378</v>
      </c>
      <c r="K1654" t="s">
        <v>379</v>
      </c>
      <c r="L1654" t="s">
        <v>380</v>
      </c>
      <c r="M1654">
        <v>1519171200</v>
      </c>
      <c r="N1654" t="s">
        <v>1628</v>
      </c>
      <c r="O1654" t="s">
        <v>1628</v>
      </c>
      <c r="P1654" t="s">
        <v>1628</v>
      </c>
      <c r="Q1654">
        <f>LEN(AMAZON_FASHION_5__2[[#This Row],[reviewText]])</f>
        <v>45</v>
      </c>
      <c r="R1654" t="str">
        <f>IF(AMAZON_FASHION_5__2[[#This Row],[overall]]&gt;=4,"Positive",IF(AMAZON_FASHION_5__2[[#This Row],[overall]]&lt;=2,"Negative","Neutral"))</f>
        <v>Positive</v>
      </c>
      <c r="S16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55" spans="1:19" x14ac:dyDescent="0.25">
      <c r="A1655">
        <v>5</v>
      </c>
      <c r="B1655" t="b">
        <v>1</v>
      </c>
      <c r="C1655" s="1">
        <v>43151</v>
      </c>
      <c r="D1655">
        <f>YEAR(AMAZON_FASHION_5__2[[#This Row],[reviewDate]])</f>
        <v>2018</v>
      </c>
      <c r="E1655" s="1" t="str">
        <f>TEXT(AMAZON_FASHION_5__2[[#This Row],[reviewDate]], "mmmm")</f>
        <v>February</v>
      </c>
      <c r="F1655" t="s">
        <v>381</v>
      </c>
      <c r="G1655" t="s">
        <v>1490</v>
      </c>
      <c r="H1655" t="s">
        <v>235</v>
      </c>
      <c r="I1655" t="s">
        <v>274</v>
      </c>
      <c r="J1655" t="s">
        <v>382</v>
      </c>
      <c r="K1655" t="s">
        <v>383</v>
      </c>
      <c r="L1655" t="s">
        <v>384</v>
      </c>
      <c r="M1655">
        <v>1519084800</v>
      </c>
      <c r="N1655" t="s">
        <v>1628</v>
      </c>
      <c r="O1655" t="s">
        <v>1628</v>
      </c>
      <c r="P1655" t="s">
        <v>1628</v>
      </c>
      <c r="Q1655">
        <f>LEN(AMAZON_FASHION_5__2[[#This Row],[reviewText]])</f>
        <v>47</v>
      </c>
      <c r="R1655" t="str">
        <f>IF(AMAZON_FASHION_5__2[[#This Row],[overall]]&gt;=4,"Positive",IF(AMAZON_FASHION_5__2[[#This Row],[overall]]&lt;=2,"Negative","Neutral"))</f>
        <v>Positive</v>
      </c>
      <c r="S16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56" spans="1:19" x14ac:dyDescent="0.25">
      <c r="A1656">
        <v>5</v>
      </c>
      <c r="B1656" t="b">
        <v>1</v>
      </c>
      <c r="C1656" s="1">
        <v>43145</v>
      </c>
      <c r="D1656">
        <f>YEAR(AMAZON_FASHION_5__2[[#This Row],[reviewDate]])</f>
        <v>2018</v>
      </c>
      <c r="E1656" s="1" t="str">
        <f>TEXT(AMAZON_FASHION_5__2[[#This Row],[reviewDate]], "mmmm")</f>
        <v>February</v>
      </c>
      <c r="F1656" t="s">
        <v>385</v>
      </c>
      <c r="G1656" t="s">
        <v>1490</v>
      </c>
      <c r="H1656" t="s">
        <v>230</v>
      </c>
      <c r="I1656" t="s">
        <v>249</v>
      </c>
      <c r="J1656" t="s">
        <v>386</v>
      </c>
      <c r="K1656" t="s">
        <v>387</v>
      </c>
      <c r="L1656" t="s">
        <v>17</v>
      </c>
      <c r="M1656">
        <v>1518566400</v>
      </c>
      <c r="N1656" t="s">
        <v>1628</v>
      </c>
      <c r="O1656" t="s">
        <v>1628</v>
      </c>
      <c r="P1656" t="s">
        <v>1628</v>
      </c>
      <c r="Q1656">
        <f>LEN(AMAZON_FASHION_5__2[[#This Row],[reviewText]])</f>
        <v>46</v>
      </c>
      <c r="R1656" t="str">
        <f>IF(AMAZON_FASHION_5__2[[#This Row],[overall]]&gt;=4,"Positive",IF(AMAZON_FASHION_5__2[[#This Row],[overall]]&lt;=2,"Negative","Neutral"))</f>
        <v>Positive</v>
      </c>
      <c r="S16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57" spans="1:19" x14ac:dyDescent="0.25">
      <c r="A1657">
        <v>5</v>
      </c>
      <c r="B1657" t="b">
        <v>1</v>
      </c>
      <c r="C1657" s="1">
        <v>43145</v>
      </c>
      <c r="D1657">
        <f>YEAR(AMAZON_FASHION_5__2[[#This Row],[reviewDate]])</f>
        <v>2018</v>
      </c>
      <c r="E1657" s="1" t="str">
        <f>TEXT(AMAZON_FASHION_5__2[[#This Row],[reviewDate]], "mmmm")</f>
        <v>February</v>
      </c>
      <c r="F1657" t="s">
        <v>388</v>
      </c>
      <c r="G1657" t="s">
        <v>1490</v>
      </c>
      <c r="H1657" t="s">
        <v>197</v>
      </c>
      <c r="I1657" t="s">
        <v>198</v>
      </c>
      <c r="J1657" t="s">
        <v>63</v>
      </c>
      <c r="K1657" t="s">
        <v>389</v>
      </c>
      <c r="L1657" t="s">
        <v>390</v>
      </c>
      <c r="M1657">
        <v>1518566400</v>
      </c>
      <c r="N1657" t="s">
        <v>1628</v>
      </c>
      <c r="O1657" t="s">
        <v>1628</v>
      </c>
      <c r="P1657" t="s">
        <v>1628</v>
      </c>
      <c r="Q1657">
        <f>LEN(AMAZON_FASHION_5__2[[#This Row],[reviewText]])</f>
        <v>17</v>
      </c>
      <c r="R1657" t="str">
        <f>IF(AMAZON_FASHION_5__2[[#This Row],[overall]]&gt;=4,"Positive",IF(AMAZON_FASHION_5__2[[#This Row],[overall]]&lt;=2,"Negative","Neutral"))</f>
        <v>Positive</v>
      </c>
      <c r="S16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58" spans="1:19" x14ac:dyDescent="0.25">
      <c r="A1658">
        <v>5</v>
      </c>
      <c r="B1658" t="b">
        <v>1</v>
      </c>
      <c r="C1658" s="1">
        <v>43143</v>
      </c>
      <c r="D1658">
        <f>YEAR(AMAZON_FASHION_5__2[[#This Row],[reviewDate]])</f>
        <v>2018</v>
      </c>
      <c r="E1658" s="1" t="str">
        <f>TEXT(AMAZON_FASHION_5__2[[#This Row],[reviewDate]], "mmmm")</f>
        <v>February</v>
      </c>
      <c r="F1658" t="s">
        <v>391</v>
      </c>
      <c r="G1658" t="s">
        <v>1490</v>
      </c>
      <c r="H1658" t="s">
        <v>201</v>
      </c>
      <c r="I1658" t="s">
        <v>392</v>
      </c>
      <c r="J1658" t="s">
        <v>393</v>
      </c>
      <c r="K1658" t="s">
        <v>394</v>
      </c>
      <c r="L1658" t="s">
        <v>17</v>
      </c>
      <c r="M1658">
        <v>1518393600</v>
      </c>
      <c r="N1658" t="s">
        <v>1628</v>
      </c>
      <c r="O1658" t="s">
        <v>1628</v>
      </c>
      <c r="P1658" t="s">
        <v>1628</v>
      </c>
      <c r="Q1658">
        <f>LEN(AMAZON_FASHION_5__2[[#This Row],[reviewText]])</f>
        <v>19</v>
      </c>
      <c r="R1658" t="str">
        <f>IF(AMAZON_FASHION_5__2[[#This Row],[overall]]&gt;=4,"Positive",IF(AMAZON_FASHION_5__2[[#This Row],[overall]]&lt;=2,"Negative","Neutral"))</f>
        <v>Positive</v>
      </c>
      <c r="S16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59" spans="1:19" x14ac:dyDescent="0.25">
      <c r="A1659">
        <v>5</v>
      </c>
      <c r="B1659" t="b">
        <v>1</v>
      </c>
      <c r="C1659" s="1">
        <v>43132</v>
      </c>
      <c r="D1659">
        <f>YEAR(AMAZON_FASHION_5__2[[#This Row],[reviewDate]])</f>
        <v>2018</v>
      </c>
      <c r="E1659" s="1" t="str">
        <f>TEXT(AMAZON_FASHION_5__2[[#This Row],[reviewDate]], "mmmm")</f>
        <v>February</v>
      </c>
      <c r="F1659" t="s">
        <v>395</v>
      </c>
      <c r="G1659" t="s">
        <v>1490</v>
      </c>
      <c r="H1659" t="s">
        <v>230</v>
      </c>
      <c r="I1659" t="s">
        <v>1476</v>
      </c>
      <c r="J1659" t="s">
        <v>397</v>
      </c>
      <c r="K1659" t="s">
        <v>398</v>
      </c>
      <c r="L1659" t="s">
        <v>399</v>
      </c>
      <c r="M1659">
        <v>1517443200</v>
      </c>
      <c r="N1659" t="s">
        <v>1628</v>
      </c>
      <c r="O1659" t="s">
        <v>1628</v>
      </c>
      <c r="P1659" t="s">
        <v>1628</v>
      </c>
      <c r="Q1659">
        <f>LEN(AMAZON_FASHION_5__2[[#This Row],[reviewText]])</f>
        <v>102</v>
      </c>
      <c r="R1659" t="str">
        <f>IF(AMAZON_FASHION_5__2[[#This Row],[overall]]&gt;=4,"Positive",IF(AMAZON_FASHION_5__2[[#This Row],[overall]]&lt;=2,"Negative","Neutral"))</f>
        <v>Positive</v>
      </c>
      <c r="S16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60" spans="1:19" x14ac:dyDescent="0.25">
      <c r="A1660">
        <v>5</v>
      </c>
      <c r="B1660" t="b">
        <v>1</v>
      </c>
      <c r="C1660" s="1">
        <v>43132</v>
      </c>
      <c r="D1660">
        <f>YEAR(AMAZON_FASHION_5__2[[#This Row],[reviewDate]])</f>
        <v>2018</v>
      </c>
      <c r="E1660" s="1" t="str">
        <f>TEXT(AMAZON_FASHION_5__2[[#This Row],[reviewDate]], "mmmm")</f>
        <v>February</v>
      </c>
      <c r="F1660" t="s">
        <v>400</v>
      </c>
      <c r="G1660" t="s">
        <v>1490</v>
      </c>
      <c r="H1660" t="s">
        <v>197</v>
      </c>
      <c r="I1660" t="s">
        <v>198</v>
      </c>
      <c r="J1660" t="s">
        <v>401</v>
      </c>
      <c r="K1660" t="s">
        <v>402</v>
      </c>
      <c r="L1660" t="s">
        <v>17</v>
      </c>
      <c r="M1660">
        <v>1517443200</v>
      </c>
      <c r="N1660" t="s">
        <v>1628</v>
      </c>
      <c r="O1660" t="s">
        <v>1628</v>
      </c>
      <c r="P1660" t="s">
        <v>1628</v>
      </c>
      <c r="Q1660">
        <f>LEN(AMAZON_FASHION_5__2[[#This Row],[reviewText]])</f>
        <v>19</v>
      </c>
      <c r="R1660" t="str">
        <f>IF(AMAZON_FASHION_5__2[[#This Row],[overall]]&gt;=4,"Positive",IF(AMAZON_FASHION_5__2[[#This Row],[overall]]&lt;=2,"Negative","Neutral"))</f>
        <v>Positive</v>
      </c>
      <c r="S16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61" spans="1:19" x14ac:dyDescent="0.25">
      <c r="A1661">
        <v>5</v>
      </c>
      <c r="B1661" t="b">
        <v>1</v>
      </c>
      <c r="C1661" s="1">
        <v>43129</v>
      </c>
      <c r="D1661">
        <f>YEAR(AMAZON_FASHION_5__2[[#This Row],[reviewDate]])</f>
        <v>2018</v>
      </c>
      <c r="E1661" s="1" t="str">
        <f>TEXT(AMAZON_FASHION_5__2[[#This Row],[reviewDate]], "mmmm")</f>
        <v>January</v>
      </c>
      <c r="F1661" t="s">
        <v>403</v>
      </c>
      <c r="G1661" t="s">
        <v>1490</v>
      </c>
      <c r="H1661" t="s">
        <v>320</v>
      </c>
      <c r="I1661" t="s">
        <v>396</v>
      </c>
      <c r="J1661" t="s">
        <v>404</v>
      </c>
      <c r="K1661" t="s">
        <v>405</v>
      </c>
      <c r="L1661" t="s">
        <v>406</v>
      </c>
      <c r="M1661">
        <v>1517184000</v>
      </c>
      <c r="N1661" t="s">
        <v>1628</v>
      </c>
      <c r="O1661" t="s">
        <v>1628</v>
      </c>
      <c r="P1661" t="s">
        <v>1628</v>
      </c>
      <c r="Q1661">
        <f>LEN(AMAZON_FASHION_5__2[[#This Row],[reviewText]])</f>
        <v>132</v>
      </c>
      <c r="R1661" t="str">
        <f>IF(AMAZON_FASHION_5__2[[#This Row],[overall]]&gt;=4,"Positive",IF(AMAZON_FASHION_5__2[[#This Row],[overall]]&lt;=2,"Negative","Neutral"))</f>
        <v>Positive</v>
      </c>
      <c r="S16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62" spans="1:19" x14ac:dyDescent="0.25">
      <c r="A1662">
        <v>4</v>
      </c>
      <c r="B1662" t="b">
        <v>1</v>
      </c>
      <c r="C1662" s="1">
        <v>43125</v>
      </c>
      <c r="D1662">
        <f>YEAR(AMAZON_FASHION_5__2[[#This Row],[reviewDate]])</f>
        <v>2018</v>
      </c>
      <c r="E1662" s="1" t="str">
        <f>TEXT(AMAZON_FASHION_5__2[[#This Row],[reviewDate]], "mmmm")</f>
        <v>January</v>
      </c>
      <c r="F1662" t="s">
        <v>407</v>
      </c>
      <c r="G1662" t="s">
        <v>1490</v>
      </c>
      <c r="H1662" t="s">
        <v>205</v>
      </c>
      <c r="I1662" t="s">
        <v>198</v>
      </c>
      <c r="J1662" t="s">
        <v>408</v>
      </c>
      <c r="K1662" t="s">
        <v>409</v>
      </c>
      <c r="L1662" t="s">
        <v>406</v>
      </c>
      <c r="M1662">
        <v>1516838400</v>
      </c>
      <c r="N1662" t="s">
        <v>1628</v>
      </c>
      <c r="O1662" t="s">
        <v>1628</v>
      </c>
      <c r="P1662" t="s">
        <v>1628</v>
      </c>
      <c r="Q1662">
        <f>LEN(AMAZON_FASHION_5__2[[#This Row],[reviewText]])</f>
        <v>860</v>
      </c>
      <c r="R1662" t="str">
        <f>IF(AMAZON_FASHION_5__2[[#This Row],[overall]]&gt;=4,"Positive",IF(AMAZON_FASHION_5__2[[#This Row],[overall]]&lt;=2,"Negative","Neutral"))</f>
        <v>Positive</v>
      </c>
      <c r="S16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63" spans="1:19" x14ac:dyDescent="0.25">
      <c r="A1663">
        <v>5</v>
      </c>
      <c r="B1663" t="b">
        <v>1</v>
      </c>
      <c r="C1663" s="1">
        <v>43118</v>
      </c>
      <c r="D1663">
        <f>YEAR(AMAZON_FASHION_5__2[[#This Row],[reviewDate]])</f>
        <v>2018</v>
      </c>
      <c r="E1663" s="1" t="str">
        <f>TEXT(AMAZON_FASHION_5__2[[#This Row],[reviewDate]], "mmmm")</f>
        <v>January</v>
      </c>
      <c r="F1663" t="s">
        <v>410</v>
      </c>
      <c r="G1663" t="s">
        <v>1490</v>
      </c>
      <c r="H1663" t="s">
        <v>235</v>
      </c>
      <c r="I1663" t="s">
        <v>411</v>
      </c>
      <c r="J1663" t="s">
        <v>412</v>
      </c>
      <c r="K1663" t="s">
        <v>413</v>
      </c>
      <c r="L1663" t="s">
        <v>17</v>
      </c>
      <c r="M1663">
        <v>1516233600</v>
      </c>
      <c r="N1663" t="s">
        <v>1628</v>
      </c>
      <c r="O1663" t="s">
        <v>1628</v>
      </c>
      <c r="P1663" t="s">
        <v>1628</v>
      </c>
      <c r="Q1663">
        <f>LEN(AMAZON_FASHION_5__2[[#This Row],[reviewText]])</f>
        <v>16</v>
      </c>
      <c r="R1663" t="str">
        <f>IF(AMAZON_FASHION_5__2[[#This Row],[overall]]&gt;=4,"Positive",IF(AMAZON_FASHION_5__2[[#This Row],[overall]]&lt;=2,"Negative","Neutral"))</f>
        <v>Positive</v>
      </c>
      <c r="S16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64" spans="1:19" x14ac:dyDescent="0.25">
      <c r="A1664">
        <v>5</v>
      </c>
      <c r="B1664" t="b">
        <v>1</v>
      </c>
      <c r="C1664" s="1">
        <v>43111</v>
      </c>
      <c r="D1664">
        <f>YEAR(AMAZON_FASHION_5__2[[#This Row],[reviewDate]])</f>
        <v>2018</v>
      </c>
      <c r="E1664" s="1" t="str">
        <f>TEXT(AMAZON_FASHION_5__2[[#This Row],[reviewDate]], "mmmm")</f>
        <v>January</v>
      </c>
      <c r="F1664" t="s">
        <v>414</v>
      </c>
      <c r="G1664" t="s">
        <v>1490</v>
      </c>
      <c r="H1664" t="s">
        <v>1488</v>
      </c>
      <c r="I1664" t="s">
        <v>336</v>
      </c>
      <c r="J1664" t="s">
        <v>416</v>
      </c>
      <c r="K1664" t="s">
        <v>417</v>
      </c>
      <c r="L1664" t="s">
        <v>17</v>
      </c>
      <c r="M1664">
        <v>1515628800</v>
      </c>
      <c r="N1664" t="s">
        <v>1628</v>
      </c>
      <c r="O1664" t="s">
        <v>1628</v>
      </c>
      <c r="P1664" t="s">
        <v>1628</v>
      </c>
      <c r="Q1664">
        <f>LEN(AMAZON_FASHION_5__2[[#This Row],[reviewText]])</f>
        <v>81</v>
      </c>
      <c r="R1664" t="str">
        <f>IF(AMAZON_FASHION_5__2[[#This Row],[overall]]&gt;=4,"Positive",IF(AMAZON_FASHION_5__2[[#This Row],[overall]]&lt;=2,"Negative","Neutral"))</f>
        <v>Positive</v>
      </c>
      <c r="S16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65" spans="1:19" x14ac:dyDescent="0.25">
      <c r="A1665">
        <v>1</v>
      </c>
      <c r="B1665" t="b">
        <v>1</v>
      </c>
      <c r="C1665" s="1">
        <v>43110</v>
      </c>
      <c r="D1665">
        <f>YEAR(AMAZON_FASHION_5__2[[#This Row],[reviewDate]])</f>
        <v>2018</v>
      </c>
      <c r="E1665" s="1" t="str">
        <f>TEXT(AMAZON_FASHION_5__2[[#This Row],[reviewDate]], "mmmm")</f>
        <v>January</v>
      </c>
      <c r="F1665" t="s">
        <v>418</v>
      </c>
      <c r="G1665" t="s">
        <v>1490</v>
      </c>
      <c r="H1665" t="s">
        <v>261</v>
      </c>
      <c r="I1665" t="s">
        <v>419</v>
      </c>
      <c r="J1665" t="s">
        <v>420</v>
      </c>
      <c r="K1665" t="s">
        <v>421</v>
      </c>
      <c r="L1665" t="s">
        <v>65</v>
      </c>
      <c r="M1665">
        <v>1515542400</v>
      </c>
      <c r="N1665" t="s">
        <v>1628</v>
      </c>
      <c r="O1665" t="s">
        <v>1628</v>
      </c>
      <c r="P1665" t="s">
        <v>1628</v>
      </c>
      <c r="Q1665">
        <f>LEN(AMAZON_FASHION_5__2[[#This Row],[reviewText]])</f>
        <v>27</v>
      </c>
      <c r="R1665" t="str">
        <f>IF(AMAZON_FASHION_5__2[[#This Row],[overall]]&gt;=4,"Positive",IF(AMAZON_FASHION_5__2[[#This Row],[overall]]&lt;=2,"Negative","Neutral"))</f>
        <v>Negative</v>
      </c>
      <c r="S16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66" spans="1:19" x14ac:dyDescent="0.25">
      <c r="A1666">
        <v>3</v>
      </c>
      <c r="B1666" t="b">
        <v>1</v>
      </c>
      <c r="C1666" s="1">
        <v>43109</v>
      </c>
      <c r="D1666">
        <f>YEAR(AMAZON_FASHION_5__2[[#This Row],[reviewDate]])</f>
        <v>2018</v>
      </c>
      <c r="E1666" s="1" t="str">
        <f>TEXT(AMAZON_FASHION_5__2[[#This Row],[reviewDate]], "mmmm")</f>
        <v>January</v>
      </c>
      <c r="F1666" t="s">
        <v>426</v>
      </c>
      <c r="G1666" t="s">
        <v>1490</v>
      </c>
      <c r="H1666" t="s">
        <v>205</v>
      </c>
      <c r="I1666" t="s">
        <v>249</v>
      </c>
      <c r="J1666" t="s">
        <v>427</v>
      </c>
      <c r="K1666" t="s">
        <v>428</v>
      </c>
      <c r="L1666" t="s">
        <v>429</v>
      </c>
      <c r="M1666">
        <v>1515456000</v>
      </c>
      <c r="N1666" t="s">
        <v>1628</v>
      </c>
      <c r="O1666" t="s">
        <v>1628</v>
      </c>
      <c r="P1666" t="s">
        <v>1628</v>
      </c>
      <c r="Q1666">
        <f>LEN(AMAZON_FASHION_5__2[[#This Row],[reviewText]])</f>
        <v>54</v>
      </c>
      <c r="R1666" t="str">
        <f>IF(AMAZON_FASHION_5__2[[#This Row],[overall]]&gt;=4,"Positive",IF(AMAZON_FASHION_5__2[[#This Row],[overall]]&lt;=2,"Negative","Neutral"))</f>
        <v>Neutral</v>
      </c>
      <c r="S16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67" spans="1:19" x14ac:dyDescent="0.25">
      <c r="A1667">
        <v>5</v>
      </c>
      <c r="B1667" t="b">
        <v>1</v>
      </c>
      <c r="C1667" s="1">
        <v>43108</v>
      </c>
      <c r="D1667">
        <f>YEAR(AMAZON_FASHION_5__2[[#This Row],[reviewDate]])</f>
        <v>2018</v>
      </c>
      <c r="E1667" s="1" t="str">
        <f>TEXT(AMAZON_FASHION_5__2[[#This Row],[reviewDate]], "mmmm")</f>
        <v>January</v>
      </c>
      <c r="F1667" t="s">
        <v>430</v>
      </c>
      <c r="G1667" t="s">
        <v>1490</v>
      </c>
      <c r="H1667" t="s">
        <v>210</v>
      </c>
      <c r="I1667" t="s">
        <v>198</v>
      </c>
      <c r="J1667" t="s">
        <v>431</v>
      </c>
      <c r="K1667" t="s">
        <v>432</v>
      </c>
      <c r="L1667" t="s">
        <v>433</v>
      </c>
      <c r="M1667">
        <v>1515369600</v>
      </c>
      <c r="N1667" t="s">
        <v>1628</v>
      </c>
      <c r="O1667" t="s">
        <v>1628</v>
      </c>
      <c r="P1667" t="s">
        <v>1628</v>
      </c>
      <c r="Q1667">
        <f>LEN(AMAZON_FASHION_5__2[[#This Row],[reviewText]])</f>
        <v>715</v>
      </c>
      <c r="R1667" t="str">
        <f>IF(AMAZON_FASHION_5__2[[#This Row],[overall]]&gt;=4,"Positive",IF(AMAZON_FASHION_5__2[[#This Row],[overall]]&lt;=2,"Negative","Neutral"))</f>
        <v>Positive</v>
      </c>
      <c r="S16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68" spans="1:19" x14ac:dyDescent="0.25">
      <c r="A1668">
        <v>5</v>
      </c>
      <c r="B1668" t="b">
        <v>1</v>
      </c>
      <c r="C1668" s="1">
        <v>43108</v>
      </c>
      <c r="D1668">
        <f>YEAR(AMAZON_FASHION_5__2[[#This Row],[reviewDate]])</f>
        <v>2018</v>
      </c>
      <c r="E1668" s="1" t="str">
        <f>TEXT(AMAZON_FASHION_5__2[[#This Row],[reviewDate]], "mmmm")</f>
        <v>January</v>
      </c>
      <c r="F1668" t="s">
        <v>434</v>
      </c>
      <c r="G1668" t="s">
        <v>1490</v>
      </c>
      <c r="H1668" t="s">
        <v>261</v>
      </c>
      <c r="I1668" t="s">
        <v>435</v>
      </c>
      <c r="J1668" t="s">
        <v>436</v>
      </c>
      <c r="K1668" t="s">
        <v>437</v>
      </c>
      <c r="L1668" t="s">
        <v>438</v>
      </c>
      <c r="M1668">
        <v>1515369600</v>
      </c>
      <c r="N1668" t="s">
        <v>1628</v>
      </c>
      <c r="O1668" t="s">
        <v>1628</v>
      </c>
      <c r="P1668" t="s">
        <v>1628</v>
      </c>
      <c r="Q1668">
        <f>LEN(AMAZON_FASHION_5__2[[#This Row],[reviewText]])</f>
        <v>1003</v>
      </c>
      <c r="R1668" t="str">
        <f>IF(AMAZON_FASHION_5__2[[#This Row],[overall]]&gt;=4,"Positive",IF(AMAZON_FASHION_5__2[[#This Row],[overall]]&lt;=2,"Negative","Neutral"))</f>
        <v>Positive</v>
      </c>
      <c r="S16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69" spans="1:19" x14ac:dyDescent="0.25">
      <c r="A1669">
        <v>5</v>
      </c>
      <c r="B1669" t="b">
        <v>1</v>
      </c>
      <c r="C1669" s="1">
        <v>43107</v>
      </c>
      <c r="D1669">
        <f>YEAR(AMAZON_FASHION_5__2[[#This Row],[reviewDate]])</f>
        <v>2018</v>
      </c>
      <c r="E1669" s="1" t="str">
        <f>TEXT(AMAZON_FASHION_5__2[[#This Row],[reviewDate]], "mmmm")</f>
        <v>January</v>
      </c>
      <c r="F1669" t="s">
        <v>439</v>
      </c>
      <c r="G1669" t="s">
        <v>1490</v>
      </c>
      <c r="H1669" t="s">
        <v>230</v>
      </c>
      <c r="I1669" t="s">
        <v>274</v>
      </c>
      <c r="J1669" t="s">
        <v>440</v>
      </c>
      <c r="K1669" t="s">
        <v>441</v>
      </c>
      <c r="L1669" t="s">
        <v>17</v>
      </c>
      <c r="M1669">
        <v>1515283200</v>
      </c>
      <c r="N1669" t="s">
        <v>1628</v>
      </c>
      <c r="O1669" t="s">
        <v>1628</v>
      </c>
      <c r="P1669" t="s">
        <v>1628</v>
      </c>
      <c r="Q1669">
        <f>LEN(AMAZON_FASHION_5__2[[#This Row],[reviewText]])</f>
        <v>51</v>
      </c>
      <c r="R1669" t="str">
        <f>IF(AMAZON_FASHION_5__2[[#This Row],[overall]]&gt;=4,"Positive",IF(AMAZON_FASHION_5__2[[#This Row],[overall]]&lt;=2,"Negative","Neutral"))</f>
        <v>Positive</v>
      </c>
      <c r="S16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70" spans="1:19" x14ac:dyDescent="0.25">
      <c r="A1670">
        <v>5</v>
      </c>
      <c r="B1670" t="b">
        <v>1</v>
      </c>
      <c r="C1670" s="1">
        <v>43098</v>
      </c>
      <c r="D1670">
        <f>YEAR(AMAZON_FASHION_5__2[[#This Row],[reviewDate]])</f>
        <v>2017</v>
      </c>
      <c r="E1670" s="1" t="str">
        <f>TEXT(AMAZON_FASHION_5__2[[#This Row],[reviewDate]], "mmmm")</f>
        <v>December</v>
      </c>
      <c r="F1670" t="s">
        <v>442</v>
      </c>
      <c r="G1670" t="s">
        <v>1490</v>
      </c>
      <c r="H1670" t="s">
        <v>1477</v>
      </c>
      <c r="I1670" t="s">
        <v>336</v>
      </c>
      <c r="J1670" t="s">
        <v>63</v>
      </c>
      <c r="K1670" t="s">
        <v>444</v>
      </c>
      <c r="L1670" t="s">
        <v>445</v>
      </c>
      <c r="M1670">
        <v>1514505600</v>
      </c>
      <c r="N1670" t="s">
        <v>1628</v>
      </c>
      <c r="O1670" t="s">
        <v>1628</v>
      </c>
      <c r="P1670" t="s">
        <v>1628</v>
      </c>
      <c r="Q1670">
        <f>LEN(AMAZON_FASHION_5__2[[#This Row],[reviewText]])</f>
        <v>240</v>
      </c>
      <c r="R1670" t="str">
        <f>IF(AMAZON_FASHION_5__2[[#This Row],[overall]]&gt;=4,"Positive",IF(AMAZON_FASHION_5__2[[#This Row],[overall]]&lt;=2,"Negative","Neutral"))</f>
        <v>Positive</v>
      </c>
      <c r="S16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71" spans="1:19" x14ac:dyDescent="0.25">
      <c r="A1671">
        <v>5</v>
      </c>
      <c r="B1671" t="b">
        <v>1</v>
      </c>
      <c r="C1671" s="1">
        <v>43097</v>
      </c>
      <c r="D1671">
        <f>YEAR(AMAZON_FASHION_5__2[[#This Row],[reviewDate]])</f>
        <v>2017</v>
      </c>
      <c r="E1671" s="1" t="str">
        <f>TEXT(AMAZON_FASHION_5__2[[#This Row],[reviewDate]], "mmmm")</f>
        <v>December</v>
      </c>
      <c r="F1671" t="s">
        <v>446</v>
      </c>
      <c r="G1671" t="s">
        <v>1490</v>
      </c>
      <c r="H1671" t="s">
        <v>201</v>
      </c>
      <c r="I1671" t="s">
        <v>392</v>
      </c>
      <c r="J1671" t="s">
        <v>447</v>
      </c>
      <c r="K1671" t="s">
        <v>448</v>
      </c>
      <c r="L1671" t="s">
        <v>449</v>
      </c>
      <c r="M1671">
        <v>1514419200</v>
      </c>
      <c r="N1671" t="s">
        <v>1628</v>
      </c>
      <c r="O1671" t="s">
        <v>1628</v>
      </c>
      <c r="P1671" t="s">
        <v>1628</v>
      </c>
      <c r="Q1671">
        <f>LEN(AMAZON_FASHION_5__2[[#This Row],[reviewText]])</f>
        <v>68</v>
      </c>
      <c r="R1671" t="str">
        <f>IF(AMAZON_FASHION_5__2[[#This Row],[overall]]&gt;=4,"Positive",IF(AMAZON_FASHION_5__2[[#This Row],[overall]]&lt;=2,"Negative","Neutral"))</f>
        <v>Positive</v>
      </c>
      <c r="S16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72" spans="1:19" x14ac:dyDescent="0.25">
      <c r="A1672">
        <v>2</v>
      </c>
      <c r="B1672" t="b">
        <v>1</v>
      </c>
      <c r="C1672" s="1">
        <v>43086</v>
      </c>
      <c r="D1672">
        <f>YEAR(AMAZON_FASHION_5__2[[#This Row],[reviewDate]])</f>
        <v>2017</v>
      </c>
      <c r="E1672" s="1" t="str">
        <f>TEXT(AMAZON_FASHION_5__2[[#This Row],[reviewDate]], "mmmm")</f>
        <v>December</v>
      </c>
      <c r="F1672" t="s">
        <v>450</v>
      </c>
      <c r="G1672" t="s">
        <v>1490</v>
      </c>
      <c r="H1672" t="s">
        <v>284</v>
      </c>
      <c r="I1672" t="s">
        <v>411</v>
      </c>
      <c r="J1672" t="s">
        <v>451</v>
      </c>
      <c r="K1672" t="s">
        <v>452</v>
      </c>
      <c r="L1672" t="s">
        <v>453</v>
      </c>
      <c r="M1672">
        <v>1513468800</v>
      </c>
      <c r="N1672" t="s">
        <v>1628</v>
      </c>
      <c r="O1672" t="s">
        <v>1628</v>
      </c>
      <c r="P1672" t="s">
        <v>1628</v>
      </c>
      <c r="Q1672">
        <f>LEN(AMAZON_FASHION_5__2[[#This Row],[reviewText]])</f>
        <v>263</v>
      </c>
      <c r="R1672" t="str">
        <f>IF(AMAZON_FASHION_5__2[[#This Row],[overall]]&gt;=4,"Positive",IF(AMAZON_FASHION_5__2[[#This Row],[overall]]&lt;=2,"Negative","Neutral"))</f>
        <v>Negative</v>
      </c>
      <c r="S16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73" spans="1:19" x14ac:dyDescent="0.25">
      <c r="A1673">
        <v>5</v>
      </c>
      <c r="B1673" t="b">
        <v>1</v>
      </c>
      <c r="C1673" s="1">
        <v>43086</v>
      </c>
      <c r="D1673">
        <f>YEAR(AMAZON_FASHION_5__2[[#This Row],[reviewDate]])</f>
        <v>2017</v>
      </c>
      <c r="E1673" s="1" t="str">
        <f>TEXT(AMAZON_FASHION_5__2[[#This Row],[reviewDate]], "mmmm")</f>
        <v>December</v>
      </c>
      <c r="F1673" t="s">
        <v>454</v>
      </c>
      <c r="G1673" t="s">
        <v>1490</v>
      </c>
      <c r="H1673" t="s">
        <v>230</v>
      </c>
      <c r="I1673" t="s">
        <v>198</v>
      </c>
      <c r="J1673" t="s">
        <v>455</v>
      </c>
      <c r="K1673" t="s">
        <v>456</v>
      </c>
      <c r="L1673" t="s">
        <v>17</v>
      </c>
      <c r="M1673">
        <v>1513468800</v>
      </c>
      <c r="N1673" t="s">
        <v>1628</v>
      </c>
      <c r="O1673" t="s">
        <v>1628</v>
      </c>
      <c r="P1673" t="s">
        <v>1628</v>
      </c>
      <c r="Q1673">
        <f>LEN(AMAZON_FASHION_5__2[[#This Row],[reviewText]])</f>
        <v>14</v>
      </c>
      <c r="R1673" t="str">
        <f>IF(AMAZON_FASHION_5__2[[#This Row],[overall]]&gt;=4,"Positive",IF(AMAZON_FASHION_5__2[[#This Row],[overall]]&lt;=2,"Negative","Neutral"))</f>
        <v>Positive</v>
      </c>
      <c r="S16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74" spans="1:19" x14ac:dyDescent="0.25">
      <c r="A1674">
        <v>3</v>
      </c>
      <c r="B1674" t="b">
        <v>1</v>
      </c>
      <c r="C1674" s="1">
        <v>43074</v>
      </c>
      <c r="D1674">
        <f>YEAR(AMAZON_FASHION_5__2[[#This Row],[reviewDate]])</f>
        <v>2017</v>
      </c>
      <c r="E1674" s="1" t="str">
        <f>TEXT(AMAZON_FASHION_5__2[[#This Row],[reviewDate]], "mmmm")</f>
        <v>December</v>
      </c>
      <c r="F1674" t="s">
        <v>457</v>
      </c>
      <c r="G1674" t="s">
        <v>1490</v>
      </c>
      <c r="H1674" t="s">
        <v>210</v>
      </c>
      <c r="I1674" t="s">
        <v>274</v>
      </c>
      <c r="J1674" t="s">
        <v>458</v>
      </c>
      <c r="K1674" t="s">
        <v>459</v>
      </c>
      <c r="L1674" t="s">
        <v>460</v>
      </c>
      <c r="M1674">
        <v>1512432000</v>
      </c>
      <c r="N1674" t="s">
        <v>1628</v>
      </c>
      <c r="O1674" t="s">
        <v>1628</v>
      </c>
      <c r="P1674" t="s">
        <v>1628</v>
      </c>
      <c r="Q1674">
        <f>LEN(AMAZON_FASHION_5__2[[#This Row],[reviewText]])</f>
        <v>757</v>
      </c>
      <c r="R1674" t="str">
        <f>IF(AMAZON_FASHION_5__2[[#This Row],[overall]]&gt;=4,"Positive",IF(AMAZON_FASHION_5__2[[#This Row],[overall]]&lt;=2,"Negative","Neutral"))</f>
        <v>Neutral</v>
      </c>
      <c r="S16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75" spans="1:19" x14ac:dyDescent="0.25">
      <c r="A1675">
        <v>5</v>
      </c>
      <c r="B1675" t="b">
        <v>1</v>
      </c>
      <c r="C1675" s="1">
        <v>43074</v>
      </c>
      <c r="D1675">
        <f>YEAR(AMAZON_FASHION_5__2[[#This Row],[reviewDate]])</f>
        <v>2017</v>
      </c>
      <c r="E1675" s="1" t="str">
        <f>TEXT(AMAZON_FASHION_5__2[[#This Row],[reviewDate]], "mmmm")</f>
        <v>December</v>
      </c>
      <c r="F1675" t="s">
        <v>461</v>
      </c>
      <c r="G1675" t="s">
        <v>1490</v>
      </c>
      <c r="H1675" t="s">
        <v>230</v>
      </c>
      <c r="I1675" t="s">
        <v>303</v>
      </c>
      <c r="J1675" t="s">
        <v>462</v>
      </c>
      <c r="K1675" t="s">
        <v>463</v>
      </c>
      <c r="L1675" t="s">
        <v>17</v>
      </c>
      <c r="M1675">
        <v>1512432000</v>
      </c>
      <c r="N1675" t="s">
        <v>1628</v>
      </c>
      <c r="O1675" t="s">
        <v>1628</v>
      </c>
      <c r="P1675" t="s">
        <v>1628</v>
      </c>
      <c r="Q1675">
        <f>LEN(AMAZON_FASHION_5__2[[#This Row],[reviewText]])</f>
        <v>5</v>
      </c>
      <c r="R1675" t="str">
        <f>IF(AMAZON_FASHION_5__2[[#This Row],[overall]]&gt;=4,"Positive",IF(AMAZON_FASHION_5__2[[#This Row],[overall]]&lt;=2,"Negative","Neutral"))</f>
        <v>Positive</v>
      </c>
      <c r="S16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76" spans="1:19" x14ac:dyDescent="0.25">
      <c r="A1676">
        <v>5</v>
      </c>
      <c r="B1676" t="b">
        <v>1</v>
      </c>
      <c r="C1676" s="1">
        <v>43073</v>
      </c>
      <c r="D1676">
        <f>YEAR(AMAZON_FASHION_5__2[[#This Row],[reviewDate]])</f>
        <v>2017</v>
      </c>
      <c r="E1676" s="1" t="str">
        <f>TEXT(AMAZON_FASHION_5__2[[#This Row],[reviewDate]], "mmmm")</f>
        <v>December</v>
      </c>
      <c r="F1676" t="s">
        <v>464</v>
      </c>
      <c r="G1676" t="s">
        <v>1490</v>
      </c>
      <c r="H1676" t="s">
        <v>320</v>
      </c>
      <c r="I1676" t="s">
        <v>303</v>
      </c>
      <c r="J1676" t="s">
        <v>63</v>
      </c>
      <c r="K1676" t="s">
        <v>465</v>
      </c>
      <c r="L1676" t="s">
        <v>17</v>
      </c>
      <c r="M1676">
        <v>1512345600</v>
      </c>
      <c r="N1676" t="s">
        <v>1628</v>
      </c>
      <c r="O1676" t="s">
        <v>1628</v>
      </c>
      <c r="P1676" t="s">
        <v>1628</v>
      </c>
      <c r="Q1676">
        <f>LEN(AMAZON_FASHION_5__2[[#This Row],[reviewText]])</f>
        <v>1</v>
      </c>
      <c r="R1676" t="str">
        <f>IF(AMAZON_FASHION_5__2[[#This Row],[overall]]&gt;=4,"Positive",IF(AMAZON_FASHION_5__2[[#This Row],[overall]]&lt;=2,"Negative","Neutral"))</f>
        <v>Positive</v>
      </c>
      <c r="S16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77" spans="1:19" x14ac:dyDescent="0.25">
      <c r="A1677">
        <v>5</v>
      </c>
      <c r="B1677" t="b">
        <v>1</v>
      </c>
      <c r="C1677" s="1">
        <v>43069</v>
      </c>
      <c r="D1677">
        <f>YEAR(AMAZON_FASHION_5__2[[#This Row],[reviewDate]])</f>
        <v>2017</v>
      </c>
      <c r="E1677" s="1" t="str">
        <f>TEXT(AMAZON_FASHION_5__2[[#This Row],[reviewDate]], "mmmm")</f>
        <v>November</v>
      </c>
      <c r="F1677" t="s">
        <v>466</v>
      </c>
      <c r="G1677" t="s">
        <v>1490</v>
      </c>
      <c r="H1677" t="s">
        <v>210</v>
      </c>
      <c r="I1677" t="s">
        <v>274</v>
      </c>
      <c r="J1677" t="s">
        <v>467</v>
      </c>
      <c r="K1677" t="s">
        <v>468</v>
      </c>
      <c r="L1677" t="s">
        <v>17</v>
      </c>
      <c r="M1677">
        <v>1512000000</v>
      </c>
      <c r="N1677" t="s">
        <v>1628</v>
      </c>
      <c r="O1677" t="s">
        <v>1628</v>
      </c>
      <c r="P1677" t="s">
        <v>1628</v>
      </c>
      <c r="Q1677">
        <f>LEN(AMAZON_FASHION_5__2[[#This Row],[reviewText]])</f>
        <v>10</v>
      </c>
      <c r="R1677" t="str">
        <f>IF(AMAZON_FASHION_5__2[[#This Row],[overall]]&gt;=4,"Positive",IF(AMAZON_FASHION_5__2[[#This Row],[overall]]&lt;=2,"Negative","Neutral"))</f>
        <v>Positive</v>
      </c>
      <c r="S16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78" spans="1:19" x14ac:dyDescent="0.25">
      <c r="A1678">
        <v>3</v>
      </c>
      <c r="B1678" t="b">
        <v>1</v>
      </c>
      <c r="C1678" s="1">
        <v>43069</v>
      </c>
      <c r="D1678">
        <f>YEAR(AMAZON_FASHION_5__2[[#This Row],[reviewDate]])</f>
        <v>2017</v>
      </c>
      <c r="E1678" s="1" t="str">
        <f>TEXT(AMAZON_FASHION_5__2[[#This Row],[reviewDate]], "mmmm")</f>
        <v>November</v>
      </c>
      <c r="F1678" t="s">
        <v>469</v>
      </c>
      <c r="G1678" t="s">
        <v>1490</v>
      </c>
      <c r="H1678" t="s">
        <v>210</v>
      </c>
      <c r="I1678" t="s">
        <v>198</v>
      </c>
      <c r="J1678" t="s">
        <v>63</v>
      </c>
      <c r="K1678" t="s">
        <v>470</v>
      </c>
      <c r="L1678" t="s">
        <v>471</v>
      </c>
      <c r="M1678">
        <v>1512000000</v>
      </c>
      <c r="N1678" t="s">
        <v>1628</v>
      </c>
      <c r="O1678" t="s">
        <v>1628</v>
      </c>
      <c r="P1678" t="s">
        <v>1628</v>
      </c>
      <c r="Q1678">
        <f>LEN(AMAZON_FASHION_5__2[[#This Row],[reviewText]])</f>
        <v>192</v>
      </c>
      <c r="R1678" t="str">
        <f>IF(AMAZON_FASHION_5__2[[#This Row],[overall]]&gt;=4,"Positive",IF(AMAZON_FASHION_5__2[[#This Row],[overall]]&lt;=2,"Negative","Neutral"))</f>
        <v>Neutral</v>
      </c>
      <c r="S16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79" spans="1:19" x14ac:dyDescent="0.25">
      <c r="A1679">
        <v>3</v>
      </c>
      <c r="B1679" t="b">
        <v>1</v>
      </c>
      <c r="C1679" s="1">
        <v>43067</v>
      </c>
      <c r="D1679">
        <f>YEAR(AMAZON_FASHION_5__2[[#This Row],[reviewDate]])</f>
        <v>2017</v>
      </c>
      <c r="E1679" s="1" t="str">
        <f>TEXT(AMAZON_FASHION_5__2[[#This Row],[reviewDate]], "mmmm")</f>
        <v>November</v>
      </c>
      <c r="F1679" t="s">
        <v>472</v>
      </c>
      <c r="G1679" t="s">
        <v>1490</v>
      </c>
      <c r="H1679" t="s">
        <v>261</v>
      </c>
      <c r="I1679" t="s">
        <v>1455</v>
      </c>
      <c r="J1679" t="s">
        <v>473</v>
      </c>
      <c r="K1679" t="s">
        <v>474</v>
      </c>
      <c r="L1679" t="s">
        <v>475</v>
      </c>
      <c r="M1679">
        <v>1511827200</v>
      </c>
      <c r="N1679" t="s">
        <v>1628</v>
      </c>
      <c r="O1679" t="s">
        <v>1628</v>
      </c>
      <c r="P1679" t="s">
        <v>1628</v>
      </c>
      <c r="Q1679">
        <f>LEN(AMAZON_FASHION_5__2[[#This Row],[reviewText]])</f>
        <v>194</v>
      </c>
      <c r="R1679" t="str">
        <f>IF(AMAZON_FASHION_5__2[[#This Row],[overall]]&gt;=4,"Positive",IF(AMAZON_FASHION_5__2[[#This Row],[overall]]&lt;=2,"Negative","Neutral"))</f>
        <v>Neutral</v>
      </c>
      <c r="S16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80" spans="1:19" x14ac:dyDescent="0.25">
      <c r="A1680">
        <v>4</v>
      </c>
      <c r="B1680" t="b">
        <v>1</v>
      </c>
      <c r="C1680" s="1">
        <v>43067</v>
      </c>
      <c r="D1680">
        <f>YEAR(AMAZON_FASHION_5__2[[#This Row],[reviewDate]])</f>
        <v>2017</v>
      </c>
      <c r="E1680" s="1" t="str">
        <f>TEXT(AMAZON_FASHION_5__2[[#This Row],[reviewDate]], "mmmm")</f>
        <v>November</v>
      </c>
      <c r="F1680" t="s">
        <v>476</v>
      </c>
      <c r="G1680" t="s">
        <v>1490</v>
      </c>
      <c r="H1680" t="s">
        <v>477</v>
      </c>
      <c r="I1680" t="s">
        <v>396</v>
      </c>
      <c r="J1680" t="s">
        <v>478</v>
      </c>
      <c r="K1680" t="s">
        <v>479</v>
      </c>
      <c r="L1680" t="s">
        <v>480</v>
      </c>
      <c r="M1680">
        <v>1511827200</v>
      </c>
      <c r="N1680" t="s">
        <v>1628</v>
      </c>
      <c r="O1680" t="s">
        <v>1628</v>
      </c>
      <c r="P1680" t="s">
        <v>1628</v>
      </c>
      <c r="Q1680">
        <f>LEN(AMAZON_FASHION_5__2[[#This Row],[reviewText]])</f>
        <v>27</v>
      </c>
      <c r="R1680" t="str">
        <f>IF(AMAZON_FASHION_5__2[[#This Row],[overall]]&gt;=4,"Positive",IF(AMAZON_FASHION_5__2[[#This Row],[overall]]&lt;=2,"Negative","Neutral"))</f>
        <v>Positive</v>
      </c>
      <c r="S16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81" spans="1:19" x14ac:dyDescent="0.25">
      <c r="A1681">
        <v>5</v>
      </c>
      <c r="B1681" t="b">
        <v>1</v>
      </c>
      <c r="C1681" s="1">
        <v>43066</v>
      </c>
      <c r="D1681">
        <f>YEAR(AMAZON_FASHION_5__2[[#This Row],[reviewDate]])</f>
        <v>2017</v>
      </c>
      <c r="E1681" s="1" t="str">
        <f>TEXT(AMAZON_FASHION_5__2[[#This Row],[reviewDate]], "mmmm")</f>
        <v>November</v>
      </c>
      <c r="F1681" t="s">
        <v>481</v>
      </c>
      <c r="G1681" t="s">
        <v>1490</v>
      </c>
      <c r="H1681" t="s">
        <v>210</v>
      </c>
      <c r="I1681" t="s">
        <v>303</v>
      </c>
      <c r="J1681" t="s">
        <v>482</v>
      </c>
      <c r="K1681" t="s">
        <v>483</v>
      </c>
      <c r="L1681" t="s">
        <v>17</v>
      </c>
      <c r="M1681">
        <v>1511740800</v>
      </c>
      <c r="N1681" t="s">
        <v>1628</v>
      </c>
      <c r="O1681" t="s">
        <v>1628</v>
      </c>
      <c r="P1681" t="s">
        <v>1628</v>
      </c>
      <c r="Q1681">
        <f>LEN(AMAZON_FASHION_5__2[[#This Row],[reviewText]])</f>
        <v>8</v>
      </c>
      <c r="R1681" t="str">
        <f>IF(AMAZON_FASHION_5__2[[#This Row],[overall]]&gt;=4,"Positive",IF(AMAZON_FASHION_5__2[[#This Row],[overall]]&lt;=2,"Negative","Neutral"))</f>
        <v>Positive</v>
      </c>
      <c r="S16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82" spans="1:19" x14ac:dyDescent="0.25">
      <c r="A1682">
        <v>5</v>
      </c>
      <c r="B1682" t="b">
        <v>1</v>
      </c>
      <c r="C1682" s="1">
        <v>43066</v>
      </c>
      <c r="D1682">
        <f>YEAR(AMAZON_FASHION_5__2[[#This Row],[reviewDate]])</f>
        <v>2017</v>
      </c>
      <c r="E1682" s="1" t="str">
        <f>TEXT(AMAZON_FASHION_5__2[[#This Row],[reviewDate]], "mmmm")</f>
        <v>November</v>
      </c>
      <c r="F1682" t="s">
        <v>481</v>
      </c>
      <c r="G1682" t="s">
        <v>1490</v>
      </c>
      <c r="H1682" t="s">
        <v>210</v>
      </c>
      <c r="I1682" t="s">
        <v>392</v>
      </c>
      <c r="J1682" t="s">
        <v>482</v>
      </c>
      <c r="K1682" t="s">
        <v>483</v>
      </c>
      <c r="L1682" t="s">
        <v>17</v>
      </c>
      <c r="M1682">
        <v>1511740800</v>
      </c>
      <c r="N1682" t="s">
        <v>1628</v>
      </c>
      <c r="O1682" t="s">
        <v>1628</v>
      </c>
      <c r="P1682" t="s">
        <v>1628</v>
      </c>
      <c r="Q1682">
        <f>LEN(AMAZON_FASHION_5__2[[#This Row],[reviewText]])</f>
        <v>8</v>
      </c>
      <c r="R1682" t="str">
        <f>IF(AMAZON_FASHION_5__2[[#This Row],[overall]]&gt;=4,"Positive",IF(AMAZON_FASHION_5__2[[#This Row],[overall]]&lt;=2,"Negative","Neutral"))</f>
        <v>Positive</v>
      </c>
      <c r="S16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83" spans="1:19" x14ac:dyDescent="0.25">
      <c r="A1683">
        <v>1</v>
      </c>
      <c r="B1683" t="b">
        <v>1</v>
      </c>
      <c r="C1683" s="1">
        <v>43058</v>
      </c>
      <c r="D1683">
        <f>YEAR(AMAZON_FASHION_5__2[[#This Row],[reviewDate]])</f>
        <v>2017</v>
      </c>
      <c r="E1683" s="1" t="str">
        <f>TEXT(AMAZON_FASHION_5__2[[#This Row],[reviewDate]], "mmmm")</f>
        <v>November</v>
      </c>
      <c r="F1683" t="s">
        <v>484</v>
      </c>
      <c r="G1683" t="s">
        <v>1490</v>
      </c>
      <c r="H1683" t="s">
        <v>201</v>
      </c>
      <c r="I1683" t="s">
        <v>198</v>
      </c>
      <c r="J1683" t="s">
        <v>485</v>
      </c>
      <c r="K1683" t="s">
        <v>486</v>
      </c>
      <c r="L1683" t="s">
        <v>487</v>
      </c>
      <c r="M1683">
        <v>1511049600</v>
      </c>
      <c r="N1683" t="s">
        <v>1628</v>
      </c>
      <c r="O1683" t="s">
        <v>1628</v>
      </c>
      <c r="P1683" t="s">
        <v>1628</v>
      </c>
      <c r="Q1683">
        <f>LEN(AMAZON_FASHION_5__2[[#This Row],[reviewText]])</f>
        <v>133</v>
      </c>
      <c r="R1683" t="str">
        <f>IF(AMAZON_FASHION_5__2[[#This Row],[overall]]&gt;=4,"Positive",IF(AMAZON_FASHION_5__2[[#This Row],[overall]]&lt;=2,"Negative","Neutral"))</f>
        <v>Negative</v>
      </c>
      <c r="S16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84" spans="1:19" x14ac:dyDescent="0.25">
      <c r="A1684">
        <v>5</v>
      </c>
      <c r="B1684" t="b">
        <v>1</v>
      </c>
      <c r="C1684" s="1">
        <v>43053</v>
      </c>
      <c r="D1684">
        <f>YEAR(AMAZON_FASHION_5__2[[#This Row],[reviewDate]])</f>
        <v>2017</v>
      </c>
      <c r="E1684" s="1" t="str">
        <f>TEXT(AMAZON_FASHION_5__2[[#This Row],[reviewDate]], "mmmm")</f>
        <v>November</v>
      </c>
      <c r="F1684" t="s">
        <v>488</v>
      </c>
      <c r="G1684" t="s">
        <v>1490</v>
      </c>
      <c r="H1684" t="s">
        <v>210</v>
      </c>
      <c r="I1684" t="s">
        <v>303</v>
      </c>
      <c r="J1684" t="s">
        <v>489</v>
      </c>
      <c r="K1684" t="s">
        <v>490</v>
      </c>
      <c r="L1684" t="s">
        <v>491</v>
      </c>
      <c r="M1684">
        <v>1510617600</v>
      </c>
      <c r="N1684" t="s">
        <v>1628</v>
      </c>
      <c r="O1684" t="s">
        <v>1628</v>
      </c>
      <c r="P1684" t="s">
        <v>1628</v>
      </c>
      <c r="Q1684">
        <f>LEN(AMAZON_FASHION_5__2[[#This Row],[reviewText]])</f>
        <v>232</v>
      </c>
      <c r="R1684" t="str">
        <f>IF(AMAZON_FASHION_5__2[[#This Row],[overall]]&gt;=4,"Positive",IF(AMAZON_FASHION_5__2[[#This Row],[overall]]&lt;=2,"Negative","Neutral"))</f>
        <v>Positive</v>
      </c>
      <c r="S16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85" spans="1:19" x14ac:dyDescent="0.25">
      <c r="A1685">
        <v>4</v>
      </c>
      <c r="B1685" t="b">
        <v>1</v>
      </c>
      <c r="C1685" s="1">
        <v>43050</v>
      </c>
      <c r="D1685">
        <f>YEAR(AMAZON_FASHION_5__2[[#This Row],[reviewDate]])</f>
        <v>2017</v>
      </c>
      <c r="E1685" s="1" t="str">
        <f>TEXT(AMAZON_FASHION_5__2[[#This Row],[reviewDate]], "mmmm")</f>
        <v>November</v>
      </c>
      <c r="F1685" t="s">
        <v>492</v>
      </c>
      <c r="G1685" t="s">
        <v>1490</v>
      </c>
      <c r="H1685" t="s">
        <v>230</v>
      </c>
      <c r="I1685" t="s">
        <v>493</v>
      </c>
      <c r="J1685" t="s">
        <v>494</v>
      </c>
      <c r="K1685" t="s">
        <v>495</v>
      </c>
      <c r="L1685" t="s">
        <v>496</v>
      </c>
      <c r="M1685">
        <v>1510358400</v>
      </c>
      <c r="N1685" t="s">
        <v>1628</v>
      </c>
      <c r="O1685" t="s">
        <v>1628</v>
      </c>
      <c r="P1685" t="s">
        <v>1628</v>
      </c>
      <c r="Q1685">
        <f>LEN(AMAZON_FASHION_5__2[[#This Row],[reviewText]])</f>
        <v>104</v>
      </c>
      <c r="R1685" t="str">
        <f>IF(AMAZON_FASHION_5__2[[#This Row],[overall]]&gt;=4,"Positive",IF(AMAZON_FASHION_5__2[[#This Row],[overall]]&lt;=2,"Negative","Neutral"))</f>
        <v>Positive</v>
      </c>
      <c r="S16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86" spans="1:19" x14ac:dyDescent="0.25">
      <c r="A1686">
        <v>5</v>
      </c>
      <c r="B1686" t="b">
        <v>1</v>
      </c>
      <c r="C1686" s="1">
        <v>43049</v>
      </c>
      <c r="D1686">
        <f>YEAR(AMAZON_FASHION_5__2[[#This Row],[reviewDate]])</f>
        <v>2017</v>
      </c>
      <c r="E1686" s="1" t="str">
        <f>TEXT(AMAZON_FASHION_5__2[[#This Row],[reviewDate]], "mmmm")</f>
        <v>November</v>
      </c>
      <c r="F1686" t="s">
        <v>497</v>
      </c>
      <c r="G1686" t="s">
        <v>1490</v>
      </c>
      <c r="H1686" t="s">
        <v>477</v>
      </c>
      <c r="I1686" t="s">
        <v>396</v>
      </c>
      <c r="J1686" t="s">
        <v>498</v>
      </c>
      <c r="K1686" t="s">
        <v>499</v>
      </c>
      <c r="L1686" t="s">
        <v>17</v>
      </c>
      <c r="M1686">
        <v>1510272000</v>
      </c>
      <c r="N1686" t="s">
        <v>1628</v>
      </c>
      <c r="O1686" t="s">
        <v>1628</v>
      </c>
      <c r="P1686" t="s">
        <v>1628</v>
      </c>
      <c r="Q1686">
        <f>LEN(AMAZON_FASHION_5__2[[#This Row],[reviewText]])</f>
        <v>15</v>
      </c>
      <c r="R1686" t="str">
        <f>IF(AMAZON_FASHION_5__2[[#This Row],[overall]]&gt;=4,"Positive",IF(AMAZON_FASHION_5__2[[#This Row],[overall]]&lt;=2,"Negative","Neutral"))</f>
        <v>Positive</v>
      </c>
      <c r="S16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87" spans="1:19" x14ac:dyDescent="0.25">
      <c r="A1687">
        <v>5</v>
      </c>
      <c r="B1687" t="b">
        <v>1</v>
      </c>
      <c r="C1687" s="1">
        <v>43048</v>
      </c>
      <c r="D1687">
        <f>YEAR(AMAZON_FASHION_5__2[[#This Row],[reviewDate]])</f>
        <v>2017</v>
      </c>
      <c r="E1687" s="1" t="str">
        <f>TEXT(AMAZON_FASHION_5__2[[#This Row],[reviewDate]], "mmmm")</f>
        <v>November</v>
      </c>
      <c r="F1687" t="s">
        <v>500</v>
      </c>
      <c r="G1687" t="s">
        <v>1490</v>
      </c>
      <c r="H1687" t="s">
        <v>197</v>
      </c>
      <c r="I1687" t="s">
        <v>198</v>
      </c>
      <c r="J1687" t="s">
        <v>63</v>
      </c>
      <c r="K1687" t="s">
        <v>501</v>
      </c>
      <c r="L1687" t="s">
        <v>502</v>
      </c>
      <c r="M1687">
        <v>1510185600</v>
      </c>
      <c r="N1687" t="s">
        <v>1628</v>
      </c>
      <c r="O1687" t="s">
        <v>1628</v>
      </c>
      <c r="P1687" t="s">
        <v>1628</v>
      </c>
      <c r="Q1687">
        <f>LEN(AMAZON_FASHION_5__2[[#This Row],[reviewText]])</f>
        <v>278</v>
      </c>
      <c r="R1687" t="str">
        <f>IF(AMAZON_FASHION_5__2[[#This Row],[overall]]&gt;=4,"Positive",IF(AMAZON_FASHION_5__2[[#This Row],[overall]]&lt;=2,"Negative","Neutral"))</f>
        <v>Positive</v>
      </c>
      <c r="S16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88" spans="1:19" x14ac:dyDescent="0.25">
      <c r="A1688">
        <v>4</v>
      </c>
      <c r="B1688" t="b">
        <v>1</v>
      </c>
      <c r="C1688" s="1">
        <v>43046</v>
      </c>
      <c r="D1688">
        <f>YEAR(AMAZON_FASHION_5__2[[#This Row],[reviewDate]])</f>
        <v>2017</v>
      </c>
      <c r="E1688" s="1" t="str">
        <f>TEXT(AMAZON_FASHION_5__2[[#This Row],[reviewDate]], "mmmm")</f>
        <v>November</v>
      </c>
      <c r="F1688" t="s">
        <v>503</v>
      </c>
      <c r="G1688" t="s">
        <v>1490</v>
      </c>
      <c r="H1688" t="s">
        <v>210</v>
      </c>
      <c r="I1688" t="s">
        <v>274</v>
      </c>
      <c r="J1688" t="s">
        <v>504</v>
      </c>
      <c r="K1688" t="s">
        <v>505</v>
      </c>
      <c r="L1688" t="s">
        <v>103</v>
      </c>
      <c r="M1688">
        <v>1510012800</v>
      </c>
      <c r="N1688" t="s">
        <v>1628</v>
      </c>
      <c r="O1688" t="s">
        <v>1628</v>
      </c>
      <c r="P1688" t="s">
        <v>1628</v>
      </c>
      <c r="Q1688">
        <f>LEN(AMAZON_FASHION_5__2[[#This Row],[reviewText]])</f>
        <v>8</v>
      </c>
      <c r="R1688" t="str">
        <f>IF(AMAZON_FASHION_5__2[[#This Row],[overall]]&gt;=4,"Positive",IF(AMAZON_FASHION_5__2[[#This Row],[overall]]&lt;=2,"Negative","Neutral"))</f>
        <v>Positive</v>
      </c>
      <c r="S16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89" spans="1:19" x14ac:dyDescent="0.25">
      <c r="A1689">
        <v>2</v>
      </c>
      <c r="B1689" t="b">
        <v>1</v>
      </c>
      <c r="C1689" s="1">
        <v>43044</v>
      </c>
      <c r="D1689">
        <f>YEAR(AMAZON_FASHION_5__2[[#This Row],[reviewDate]])</f>
        <v>2017</v>
      </c>
      <c r="E1689" s="1" t="str">
        <f>TEXT(AMAZON_FASHION_5__2[[#This Row],[reviewDate]], "mmmm")</f>
        <v>November</v>
      </c>
      <c r="F1689" t="s">
        <v>506</v>
      </c>
      <c r="G1689" t="s">
        <v>1490</v>
      </c>
      <c r="H1689" t="s">
        <v>197</v>
      </c>
      <c r="I1689" t="s">
        <v>507</v>
      </c>
      <c r="J1689" t="s">
        <v>63</v>
      </c>
      <c r="K1689" t="s">
        <v>508</v>
      </c>
      <c r="L1689" t="s">
        <v>509</v>
      </c>
      <c r="M1689">
        <v>1509840000</v>
      </c>
      <c r="N1689" t="s">
        <v>1628</v>
      </c>
      <c r="O1689" t="s">
        <v>1628</v>
      </c>
      <c r="P1689">
        <v>6</v>
      </c>
      <c r="Q1689">
        <f>LEN(AMAZON_FASHION_5__2[[#This Row],[reviewText]])</f>
        <v>467</v>
      </c>
      <c r="R1689" t="str">
        <f>IF(AMAZON_FASHION_5__2[[#This Row],[overall]]&gt;=4,"Positive",IF(AMAZON_FASHION_5__2[[#This Row],[overall]]&lt;=2,"Negative","Neutral"))</f>
        <v>Negative</v>
      </c>
      <c r="S16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90" spans="1:19" x14ac:dyDescent="0.25">
      <c r="A1690">
        <v>5</v>
      </c>
      <c r="B1690" t="b">
        <v>1</v>
      </c>
      <c r="C1690" s="1">
        <v>43043</v>
      </c>
      <c r="D1690">
        <f>YEAR(AMAZON_FASHION_5__2[[#This Row],[reviewDate]])</f>
        <v>2017</v>
      </c>
      <c r="E1690" s="1" t="str">
        <f>TEXT(AMAZON_FASHION_5__2[[#This Row],[reviewDate]], "mmmm")</f>
        <v>November</v>
      </c>
      <c r="F1690" t="s">
        <v>510</v>
      </c>
      <c r="G1690" t="s">
        <v>1490</v>
      </c>
      <c r="H1690" t="s">
        <v>235</v>
      </c>
      <c r="I1690" t="s">
        <v>274</v>
      </c>
      <c r="J1690" t="s">
        <v>511</v>
      </c>
      <c r="K1690" t="s">
        <v>512</v>
      </c>
      <c r="L1690" t="s">
        <v>17</v>
      </c>
      <c r="M1690">
        <v>1509753600</v>
      </c>
      <c r="N1690" t="s">
        <v>1628</v>
      </c>
      <c r="O1690" t="s">
        <v>1628</v>
      </c>
      <c r="P1690" t="s">
        <v>1628</v>
      </c>
      <c r="Q1690">
        <f>LEN(AMAZON_FASHION_5__2[[#This Row],[reviewText]])</f>
        <v>39</v>
      </c>
      <c r="R1690" t="str">
        <f>IF(AMAZON_FASHION_5__2[[#This Row],[overall]]&gt;=4,"Positive",IF(AMAZON_FASHION_5__2[[#This Row],[overall]]&lt;=2,"Negative","Neutral"))</f>
        <v>Positive</v>
      </c>
      <c r="S16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91" spans="1:19" x14ac:dyDescent="0.25">
      <c r="A1691">
        <v>3</v>
      </c>
      <c r="B1691" t="b">
        <v>1</v>
      </c>
      <c r="C1691" s="1">
        <v>43043</v>
      </c>
      <c r="D1691">
        <f>YEAR(AMAZON_FASHION_5__2[[#This Row],[reviewDate]])</f>
        <v>2017</v>
      </c>
      <c r="E1691" s="1" t="str">
        <f>TEXT(AMAZON_FASHION_5__2[[#This Row],[reviewDate]], "mmmm")</f>
        <v>November</v>
      </c>
      <c r="F1691" t="s">
        <v>513</v>
      </c>
      <c r="G1691" t="s">
        <v>1490</v>
      </c>
      <c r="H1691" t="s">
        <v>205</v>
      </c>
      <c r="I1691" t="s">
        <v>507</v>
      </c>
      <c r="J1691" t="s">
        <v>514</v>
      </c>
      <c r="K1691" t="s">
        <v>515</v>
      </c>
      <c r="L1691" t="s">
        <v>101</v>
      </c>
      <c r="M1691">
        <v>1509753600</v>
      </c>
      <c r="N1691" t="s">
        <v>1628</v>
      </c>
      <c r="O1691" t="s">
        <v>1628</v>
      </c>
      <c r="P1691" t="s">
        <v>1628</v>
      </c>
      <c r="Q1691">
        <f>LEN(AMAZON_FASHION_5__2[[#This Row],[reviewText]])</f>
        <v>38</v>
      </c>
      <c r="R1691" t="str">
        <f>IF(AMAZON_FASHION_5__2[[#This Row],[overall]]&gt;=4,"Positive",IF(AMAZON_FASHION_5__2[[#This Row],[overall]]&lt;=2,"Negative","Neutral"))</f>
        <v>Neutral</v>
      </c>
      <c r="S16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92" spans="1:19" x14ac:dyDescent="0.25">
      <c r="A1692">
        <v>4</v>
      </c>
      <c r="B1692" t="b">
        <v>1</v>
      </c>
      <c r="C1692" s="1">
        <v>43042</v>
      </c>
      <c r="D1692">
        <f>YEAR(AMAZON_FASHION_5__2[[#This Row],[reviewDate]])</f>
        <v>2017</v>
      </c>
      <c r="E1692" s="1" t="str">
        <f>TEXT(AMAZON_FASHION_5__2[[#This Row],[reviewDate]], "mmmm")</f>
        <v>November</v>
      </c>
      <c r="F1692" t="s">
        <v>516</v>
      </c>
      <c r="G1692" t="s">
        <v>1490</v>
      </c>
      <c r="H1692" t="s">
        <v>230</v>
      </c>
      <c r="I1692" t="s">
        <v>274</v>
      </c>
      <c r="J1692" t="s">
        <v>517</v>
      </c>
      <c r="K1692" t="s">
        <v>518</v>
      </c>
      <c r="L1692" t="s">
        <v>519</v>
      </c>
      <c r="M1692">
        <v>1509667200</v>
      </c>
      <c r="N1692" t="s">
        <v>1628</v>
      </c>
      <c r="O1692" t="s">
        <v>1628</v>
      </c>
      <c r="P1692" t="s">
        <v>1628</v>
      </c>
      <c r="Q1692">
        <f>LEN(AMAZON_FASHION_5__2[[#This Row],[reviewText]])</f>
        <v>23</v>
      </c>
      <c r="R1692" t="str">
        <f>IF(AMAZON_FASHION_5__2[[#This Row],[overall]]&gt;=4,"Positive",IF(AMAZON_FASHION_5__2[[#This Row],[overall]]&lt;=2,"Negative","Neutral"))</f>
        <v>Positive</v>
      </c>
      <c r="S16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93" spans="1:19" x14ac:dyDescent="0.25">
      <c r="A1693">
        <v>5</v>
      </c>
      <c r="B1693" t="b">
        <v>1</v>
      </c>
      <c r="C1693" s="1">
        <v>43041</v>
      </c>
      <c r="D1693">
        <f>YEAR(AMAZON_FASHION_5__2[[#This Row],[reviewDate]])</f>
        <v>2017</v>
      </c>
      <c r="E1693" s="1" t="str">
        <f>TEXT(AMAZON_FASHION_5__2[[#This Row],[reviewDate]], "mmmm")</f>
        <v>November</v>
      </c>
      <c r="F1693" t="s">
        <v>520</v>
      </c>
      <c r="G1693" t="s">
        <v>1490</v>
      </c>
      <c r="H1693" t="s">
        <v>230</v>
      </c>
      <c r="I1693" t="s">
        <v>303</v>
      </c>
      <c r="J1693" t="s">
        <v>521</v>
      </c>
      <c r="K1693" t="s">
        <v>522</v>
      </c>
      <c r="L1693" t="s">
        <v>17</v>
      </c>
      <c r="M1693">
        <v>1509580800</v>
      </c>
      <c r="N1693" t="s">
        <v>1628</v>
      </c>
      <c r="O1693" t="s">
        <v>1628</v>
      </c>
      <c r="P1693" t="s">
        <v>1628</v>
      </c>
      <c r="Q1693">
        <f>LEN(AMAZON_FASHION_5__2[[#This Row],[reviewText]])</f>
        <v>10</v>
      </c>
      <c r="R1693" t="str">
        <f>IF(AMAZON_FASHION_5__2[[#This Row],[overall]]&gt;=4,"Positive",IF(AMAZON_FASHION_5__2[[#This Row],[overall]]&lt;=2,"Negative","Neutral"))</f>
        <v>Positive</v>
      </c>
      <c r="S16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94" spans="1:19" x14ac:dyDescent="0.25">
      <c r="A1694">
        <v>4</v>
      </c>
      <c r="B1694" t="b">
        <v>1</v>
      </c>
      <c r="C1694" s="1">
        <v>43039</v>
      </c>
      <c r="D1694">
        <f>YEAR(AMAZON_FASHION_5__2[[#This Row],[reviewDate]])</f>
        <v>2017</v>
      </c>
      <c r="E1694" s="1" t="str">
        <f>TEXT(AMAZON_FASHION_5__2[[#This Row],[reviewDate]], "mmmm")</f>
        <v>October</v>
      </c>
      <c r="F1694" t="s">
        <v>523</v>
      </c>
      <c r="G1694" t="s">
        <v>1490</v>
      </c>
      <c r="H1694" t="s">
        <v>201</v>
      </c>
      <c r="I1694" t="s">
        <v>524</v>
      </c>
      <c r="J1694" t="s">
        <v>525</v>
      </c>
      <c r="K1694" t="s">
        <v>526</v>
      </c>
      <c r="L1694" t="s">
        <v>527</v>
      </c>
      <c r="M1694">
        <v>1509408000</v>
      </c>
      <c r="N1694" t="s">
        <v>1628</v>
      </c>
      <c r="O1694" t="s">
        <v>1628</v>
      </c>
      <c r="P1694" t="s">
        <v>1628</v>
      </c>
      <c r="Q1694">
        <f>LEN(AMAZON_FASHION_5__2[[#This Row],[reviewText]])</f>
        <v>152</v>
      </c>
      <c r="R1694" t="str">
        <f>IF(AMAZON_FASHION_5__2[[#This Row],[overall]]&gt;=4,"Positive",IF(AMAZON_FASHION_5__2[[#This Row],[overall]]&lt;=2,"Negative","Neutral"))</f>
        <v>Positive</v>
      </c>
      <c r="S16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95" spans="1:19" x14ac:dyDescent="0.25">
      <c r="A1695">
        <v>5</v>
      </c>
      <c r="B1695" t="b">
        <v>1</v>
      </c>
      <c r="C1695" s="1">
        <v>43037</v>
      </c>
      <c r="D1695">
        <f>YEAR(AMAZON_FASHION_5__2[[#This Row],[reviewDate]])</f>
        <v>2017</v>
      </c>
      <c r="E1695" s="1" t="str">
        <f>TEXT(AMAZON_FASHION_5__2[[#This Row],[reviewDate]], "mmmm")</f>
        <v>October</v>
      </c>
      <c r="F1695" t="s">
        <v>528</v>
      </c>
      <c r="G1695" t="s">
        <v>1490</v>
      </c>
      <c r="H1695" t="s">
        <v>235</v>
      </c>
      <c r="I1695" t="s">
        <v>274</v>
      </c>
      <c r="J1695" t="s">
        <v>529</v>
      </c>
      <c r="K1695" t="s">
        <v>530</v>
      </c>
      <c r="L1695" t="s">
        <v>531</v>
      </c>
      <c r="M1695">
        <v>1509235200</v>
      </c>
      <c r="N1695" t="s">
        <v>1628</v>
      </c>
      <c r="O1695" t="s">
        <v>1628</v>
      </c>
      <c r="P1695" t="s">
        <v>1628</v>
      </c>
      <c r="Q1695">
        <f>LEN(AMAZON_FASHION_5__2[[#This Row],[reviewText]])</f>
        <v>21</v>
      </c>
      <c r="R1695" t="str">
        <f>IF(AMAZON_FASHION_5__2[[#This Row],[overall]]&gt;=4,"Positive",IF(AMAZON_FASHION_5__2[[#This Row],[overall]]&lt;=2,"Negative","Neutral"))</f>
        <v>Positive</v>
      </c>
      <c r="S16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96" spans="1:19" x14ac:dyDescent="0.25">
      <c r="A1696">
        <v>5</v>
      </c>
      <c r="B1696" t="b">
        <v>1</v>
      </c>
      <c r="C1696" s="1">
        <v>43034</v>
      </c>
      <c r="D1696">
        <f>YEAR(AMAZON_FASHION_5__2[[#This Row],[reviewDate]])</f>
        <v>2017</v>
      </c>
      <c r="E1696" s="1" t="str">
        <f>TEXT(AMAZON_FASHION_5__2[[#This Row],[reviewDate]], "mmmm")</f>
        <v>October</v>
      </c>
      <c r="F1696" t="s">
        <v>532</v>
      </c>
      <c r="G1696" t="s">
        <v>1490</v>
      </c>
      <c r="H1696" t="s">
        <v>477</v>
      </c>
      <c r="I1696" t="s">
        <v>198</v>
      </c>
      <c r="J1696" t="s">
        <v>533</v>
      </c>
      <c r="K1696" t="s">
        <v>534</v>
      </c>
      <c r="L1696" t="s">
        <v>535</v>
      </c>
      <c r="M1696">
        <v>1508976000</v>
      </c>
      <c r="N1696" t="s">
        <v>1628</v>
      </c>
      <c r="O1696" t="s">
        <v>1628</v>
      </c>
      <c r="P1696" t="s">
        <v>1628</v>
      </c>
      <c r="Q1696">
        <f>LEN(AMAZON_FASHION_5__2[[#This Row],[reviewText]])</f>
        <v>185</v>
      </c>
      <c r="R1696" t="str">
        <f>IF(AMAZON_FASHION_5__2[[#This Row],[overall]]&gt;=4,"Positive",IF(AMAZON_FASHION_5__2[[#This Row],[overall]]&lt;=2,"Negative","Neutral"))</f>
        <v>Positive</v>
      </c>
      <c r="S16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97" spans="1:19" x14ac:dyDescent="0.25">
      <c r="A1697">
        <v>5</v>
      </c>
      <c r="B1697" t="b">
        <v>1</v>
      </c>
      <c r="C1697" s="1">
        <v>43034</v>
      </c>
      <c r="D1697">
        <f>YEAR(AMAZON_FASHION_5__2[[#This Row],[reviewDate]])</f>
        <v>2017</v>
      </c>
      <c r="E1697" s="1" t="str">
        <f>TEXT(AMAZON_FASHION_5__2[[#This Row],[reviewDate]], "mmmm")</f>
        <v>October</v>
      </c>
      <c r="F1697" t="s">
        <v>536</v>
      </c>
      <c r="G1697" t="s">
        <v>1490</v>
      </c>
      <c r="H1697" t="s">
        <v>197</v>
      </c>
      <c r="I1697" t="s">
        <v>303</v>
      </c>
      <c r="J1697" t="s">
        <v>537</v>
      </c>
      <c r="K1697" t="s">
        <v>538</v>
      </c>
      <c r="L1697" t="s">
        <v>539</v>
      </c>
      <c r="M1697">
        <v>1508976000</v>
      </c>
      <c r="N1697" t="s">
        <v>1628</v>
      </c>
      <c r="O1697" t="s">
        <v>1628</v>
      </c>
      <c r="P1697" t="s">
        <v>1628</v>
      </c>
      <c r="Q1697">
        <f>LEN(AMAZON_FASHION_5__2[[#This Row],[reviewText]])</f>
        <v>351</v>
      </c>
      <c r="R1697" t="str">
        <f>IF(AMAZON_FASHION_5__2[[#This Row],[overall]]&gt;=4,"Positive",IF(AMAZON_FASHION_5__2[[#This Row],[overall]]&lt;=2,"Negative","Neutral"))</f>
        <v>Positive</v>
      </c>
      <c r="S16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98" spans="1:19" x14ac:dyDescent="0.25">
      <c r="A1698">
        <v>5</v>
      </c>
      <c r="B1698" t="b">
        <v>1</v>
      </c>
      <c r="C1698" s="1">
        <v>43033</v>
      </c>
      <c r="D1698">
        <f>YEAR(AMAZON_FASHION_5__2[[#This Row],[reviewDate]])</f>
        <v>2017</v>
      </c>
      <c r="E1698" s="1" t="str">
        <f>TEXT(AMAZON_FASHION_5__2[[#This Row],[reviewDate]], "mmmm")</f>
        <v>October</v>
      </c>
      <c r="F1698" t="s">
        <v>540</v>
      </c>
      <c r="G1698" t="s">
        <v>1490</v>
      </c>
      <c r="H1698" t="s">
        <v>230</v>
      </c>
      <c r="I1698" t="s">
        <v>541</v>
      </c>
      <c r="J1698" t="s">
        <v>542</v>
      </c>
      <c r="K1698" t="s">
        <v>543</v>
      </c>
      <c r="L1698" t="s">
        <v>17</v>
      </c>
      <c r="M1698">
        <v>1508889600</v>
      </c>
      <c r="N1698" t="s">
        <v>1628</v>
      </c>
      <c r="O1698" t="s">
        <v>1628</v>
      </c>
      <c r="P1698" t="s">
        <v>1628</v>
      </c>
      <c r="Q1698">
        <f>LEN(AMAZON_FASHION_5__2[[#This Row],[reviewText]])</f>
        <v>11</v>
      </c>
      <c r="R1698" t="str">
        <f>IF(AMAZON_FASHION_5__2[[#This Row],[overall]]&gt;=4,"Positive",IF(AMAZON_FASHION_5__2[[#This Row],[overall]]&lt;=2,"Negative","Neutral"))</f>
        <v>Positive</v>
      </c>
      <c r="S16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699" spans="1:19" x14ac:dyDescent="0.25">
      <c r="A1699">
        <v>5</v>
      </c>
      <c r="B1699" t="b">
        <v>1</v>
      </c>
      <c r="C1699" s="1">
        <v>43032</v>
      </c>
      <c r="D1699">
        <f>YEAR(AMAZON_FASHION_5__2[[#This Row],[reviewDate]])</f>
        <v>2017</v>
      </c>
      <c r="E1699" s="1" t="str">
        <f>TEXT(AMAZON_FASHION_5__2[[#This Row],[reviewDate]], "mmmm")</f>
        <v>October</v>
      </c>
      <c r="F1699" t="s">
        <v>544</v>
      </c>
      <c r="G1699" t="s">
        <v>1490</v>
      </c>
      <c r="H1699" t="s">
        <v>201</v>
      </c>
      <c r="I1699" t="s">
        <v>507</v>
      </c>
      <c r="J1699" t="s">
        <v>545</v>
      </c>
      <c r="K1699" t="s">
        <v>546</v>
      </c>
      <c r="L1699" t="s">
        <v>17</v>
      </c>
      <c r="M1699">
        <v>1508803200</v>
      </c>
      <c r="N1699" t="s">
        <v>1628</v>
      </c>
      <c r="O1699" t="s">
        <v>1628</v>
      </c>
      <c r="P1699" t="s">
        <v>1628</v>
      </c>
      <c r="Q1699">
        <f>LEN(AMAZON_FASHION_5__2[[#This Row],[reviewText]])</f>
        <v>35</v>
      </c>
      <c r="R1699" t="str">
        <f>IF(AMAZON_FASHION_5__2[[#This Row],[overall]]&gt;=4,"Positive",IF(AMAZON_FASHION_5__2[[#This Row],[overall]]&lt;=2,"Negative","Neutral"))</f>
        <v>Positive</v>
      </c>
      <c r="S16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00" spans="1:19" x14ac:dyDescent="0.25">
      <c r="A1700">
        <v>5</v>
      </c>
      <c r="B1700" t="b">
        <v>1</v>
      </c>
      <c r="C1700" s="1">
        <v>43030</v>
      </c>
      <c r="D1700">
        <f>YEAR(AMAZON_FASHION_5__2[[#This Row],[reviewDate]])</f>
        <v>2017</v>
      </c>
      <c r="E1700" s="1" t="str">
        <f>TEXT(AMAZON_FASHION_5__2[[#This Row],[reviewDate]], "mmmm")</f>
        <v>October</v>
      </c>
      <c r="F1700" t="s">
        <v>547</v>
      </c>
      <c r="G1700" t="s">
        <v>1490</v>
      </c>
      <c r="H1700" t="s">
        <v>230</v>
      </c>
      <c r="I1700" t="s">
        <v>548</v>
      </c>
      <c r="J1700" t="s">
        <v>549</v>
      </c>
      <c r="K1700" t="s">
        <v>550</v>
      </c>
      <c r="L1700" t="s">
        <v>17</v>
      </c>
      <c r="M1700">
        <v>1508630400</v>
      </c>
      <c r="N1700" t="s">
        <v>1628</v>
      </c>
      <c r="O1700" t="s">
        <v>1628</v>
      </c>
      <c r="P1700" t="s">
        <v>1628</v>
      </c>
      <c r="Q1700">
        <f>LEN(AMAZON_FASHION_5__2[[#This Row],[reviewText]])</f>
        <v>14</v>
      </c>
      <c r="R1700" t="str">
        <f>IF(AMAZON_FASHION_5__2[[#This Row],[overall]]&gt;=4,"Positive",IF(AMAZON_FASHION_5__2[[#This Row],[overall]]&lt;=2,"Negative","Neutral"))</f>
        <v>Positive</v>
      </c>
      <c r="S17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01" spans="1:19" x14ac:dyDescent="0.25">
      <c r="A1701">
        <v>3</v>
      </c>
      <c r="B1701" t="b">
        <v>1</v>
      </c>
      <c r="C1701" s="1">
        <v>43026</v>
      </c>
      <c r="D1701">
        <f>YEAR(AMAZON_FASHION_5__2[[#This Row],[reviewDate]])</f>
        <v>2017</v>
      </c>
      <c r="E1701" s="1" t="str">
        <f>TEXT(AMAZON_FASHION_5__2[[#This Row],[reviewDate]], "mmmm")</f>
        <v>October</v>
      </c>
      <c r="F1701" t="s">
        <v>551</v>
      </c>
      <c r="G1701" t="s">
        <v>1490</v>
      </c>
      <c r="H1701" t="s">
        <v>210</v>
      </c>
      <c r="I1701" t="s">
        <v>274</v>
      </c>
      <c r="J1701" t="s">
        <v>552</v>
      </c>
      <c r="K1701" t="s">
        <v>553</v>
      </c>
      <c r="L1701" t="s">
        <v>554</v>
      </c>
      <c r="M1701">
        <v>1508284800</v>
      </c>
      <c r="N1701" t="s">
        <v>1628</v>
      </c>
      <c r="O1701" t="s">
        <v>1628</v>
      </c>
      <c r="P1701" t="s">
        <v>1628</v>
      </c>
      <c r="Q1701">
        <f>LEN(AMAZON_FASHION_5__2[[#This Row],[reviewText]])</f>
        <v>201</v>
      </c>
      <c r="R1701" t="str">
        <f>IF(AMAZON_FASHION_5__2[[#This Row],[overall]]&gt;=4,"Positive",IF(AMAZON_FASHION_5__2[[#This Row],[overall]]&lt;=2,"Negative","Neutral"))</f>
        <v>Neutral</v>
      </c>
      <c r="S17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02" spans="1:19" x14ac:dyDescent="0.25">
      <c r="A1702">
        <v>5</v>
      </c>
      <c r="B1702" t="b">
        <v>1</v>
      </c>
      <c r="C1702" s="1">
        <v>43021</v>
      </c>
      <c r="D1702">
        <f>YEAR(AMAZON_FASHION_5__2[[#This Row],[reviewDate]])</f>
        <v>2017</v>
      </c>
      <c r="E1702" s="1" t="str">
        <f>TEXT(AMAZON_FASHION_5__2[[#This Row],[reviewDate]], "mmmm")</f>
        <v>October</v>
      </c>
      <c r="F1702" t="s">
        <v>555</v>
      </c>
      <c r="G1702" t="s">
        <v>1490</v>
      </c>
      <c r="H1702" t="s">
        <v>201</v>
      </c>
      <c r="I1702" t="s">
        <v>303</v>
      </c>
      <c r="J1702" t="s">
        <v>63</v>
      </c>
      <c r="K1702" t="s">
        <v>556</v>
      </c>
      <c r="L1702" t="s">
        <v>17</v>
      </c>
      <c r="M1702">
        <v>1507852800</v>
      </c>
      <c r="N1702" t="s">
        <v>1628</v>
      </c>
      <c r="O1702" t="s">
        <v>1628</v>
      </c>
      <c r="P1702" t="s">
        <v>1628</v>
      </c>
      <c r="Q1702">
        <f>LEN(AMAZON_FASHION_5__2[[#This Row],[reviewText]])</f>
        <v>25</v>
      </c>
      <c r="R1702" t="str">
        <f>IF(AMAZON_FASHION_5__2[[#This Row],[overall]]&gt;=4,"Positive",IF(AMAZON_FASHION_5__2[[#This Row],[overall]]&lt;=2,"Negative","Neutral"))</f>
        <v>Positive</v>
      </c>
      <c r="S17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03" spans="1:19" x14ac:dyDescent="0.25">
      <c r="A1703">
        <v>3</v>
      </c>
      <c r="B1703" t="b">
        <v>1</v>
      </c>
      <c r="C1703" s="1">
        <v>43018</v>
      </c>
      <c r="D1703">
        <f>YEAR(AMAZON_FASHION_5__2[[#This Row],[reviewDate]])</f>
        <v>2017</v>
      </c>
      <c r="E1703" s="1" t="str">
        <f>TEXT(AMAZON_FASHION_5__2[[#This Row],[reviewDate]], "mmmm")</f>
        <v>October</v>
      </c>
      <c r="F1703" t="s">
        <v>557</v>
      </c>
      <c r="G1703" t="s">
        <v>1490</v>
      </c>
      <c r="H1703" t="s">
        <v>558</v>
      </c>
      <c r="I1703" t="s">
        <v>198</v>
      </c>
      <c r="J1703" t="s">
        <v>559</v>
      </c>
      <c r="K1703" t="s">
        <v>560</v>
      </c>
      <c r="L1703" t="s">
        <v>561</v>
      </c>
      <c r="M1703">
        <v>1507593600</v>
      </c>
      <c r="N1703" t="s">
        <v>1628</v>
      </c>
      <c r="O1703" t="s">
        <v>1628</v>
      </c>
      <c r="P1703" t="s">
        <v>1628</v>
      </c>
      <c r="Q1703">
        <f>LEN(AMAZON_FASHION_5__2[[#This Row],[reviewText]])</f>
        <v>192</v>
      </c>
      <c r="R1703" t="str">
        <f>IF(AMAZON_FASHION_5__2[[#This Row],[overall]]&gt;=4,"Positive",IF(AMAZON_FASHION_5__2[[#This Row],[overall]]&lt;=2,"Negative","Neutral"))</f>
        <v>Neutral</v>
      </c>
      <c r="S17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04" spans="1:19" x14ac:dyDescent="0.25">
      <c r="A1704">
        <v>5</v>
      </c>
      <c r="B1704" t="b">
        <v>1</v>
      </c>
      <c r="C1704" s="1">
        <v>43011</v>
      </c>
      <c r="D1704">
        <f>YEAR(AMAZON_FASHION_5__2[[#This Row],[reviewDate]])</f>
        <v>2017</v>
      </c>
      <c r="E1704" s="1" t="str">
        <f>TEXT(AMAZON_FASHION_5__2[[#This Row],[reviewDate]], "mmmm")</f>
        <v>October</v>
      </c>
      <c r="F1704" t="s">
        <v>562</v>
      </c>
      <c r="G1704" t="s">
        <v>1490</v>
      </c>
      <c r="H1704" t="s">
        <v>261</v>
      </c>
      <c r="I1704" t="s">
        <v>99</v>
      </c>
      <c r="J1704" t="s">
        <v>563</v>
      </c>
      <c r="K1704" t="s">
        <v>564</v>
      </c>
      <c r="L1704" t="s">
        <v>565</v>
      </c>
      <c r="M1704">
        <v>1506988800</v>
      </c>
      <c r="N1704" t="s">
        <v>1628</v>
      </c>
      <c r="O1704" t="s">
        <v>1628</v>
      </c>
      <c r="P1704" t="s">
        <v>1628</v>
      </c>
      <c r="Q1704">
        <f>LEN(AMAZON_FASHION_5__2[[#This Row],[reviewText]])</f>
        <v>230</v>
      </c>
      <c r="R1704" t="str">
        <f>IF(AMAZON_FASHION_5__2[[#This Row],[overall]]&gt;=4,"Positive",IF(AMAZON_FASHION_5__2[[#This Row],[overall]]&lt;=2,"Negative","Neutral"))</f>
        <v>Positive</v>
      </c>
      <c r="S17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05" spans="1:19" x14ac:dyDescent="0.25">
      <c r="A1705">
        <v>5</v>
      </c>
      <c r="B1705" t="b">
        <v>1</v>
      </c>
      <c r="C1705" s="1">
        <v>43010</v>
      </c>
      <c r="D1705">
        <f>YEAR(AMAZON_FASHION_5__2[[#This Row],[reviewDate]])</f>
        <v>2017</v>
      </c>
      <c r="E1705" s="1" t="str">
        <f>TEXT(AMAZON_FASHION_5__2[[#This Row],[reviewDate]], "mmmm")</f>
        <v>October</v>
      </c>
      <c r="F1705" t="s">
        <v>566</v>
      </c>
      <c r="G1705" t="s">
        <v>1490</v>
      </c>
      <c r="H1705" t="s">
        <v>201</v>
      </c>
      <c r="I1705" t="s">
        <v>303</v>
      </c>
      <c r="J1705" t="s">
        <v>63</v>
      </c>
      <c r="K1705" t="s">
        <v>567</v>
      </c>
      <c r="L1705" t="s">
        <v>568</v>
      </c>
      <c r="M1705">
        <v>1506902400</v>
      </c>
      <c r="N1705" t="s">
        <v>1628</v>
      </c>
      <c r="O1705" t="s">
        <v>1628</v>
      </c>
      <c r="P1705" t="s">
        <v>1628</v>
      </c>
      <c r="Q1705">
        <f>LEN(AMAZON_FASHION_5__2[[#This Row],[reviewText]])</f>
        <v>171</v>
      </c>
      <c r="R1705" t="str">
        <f>IF(AMAZON_FASHION_5__2[[#This Row],[overall]]&gt;=4,"Positive",IF(AMAZON_FASHION_5__2[[#This Row],[overall]]&lt;=2,"Negative","Neutral"))</f>
        <v>Positive</v>
      </c>
      <c r="S17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06" spans="1:19" x14ac:dyDescent="0.25">
      <c r="A1706">
        <v>5</v>
      </c>
      <c r="B1706" t="b">
        <v>1</v>
      </c>
      <c r="C1706" s="1">
        <v>43005</v>
      </c>
      <c r="D1706">
        <f>YEAR(AMAZON_FASHION_5__2[[#This Row],[reviewDate]])</f>
        <v>2017</v>
      </c>
      <c r="E1706" s="1" t="str">
        <f>TEXT(AMAZON_FASHION_5__2[[#This Row],[reviewDate]], "mmmm")</f>
        <v>September</v>
      </c>
      <c r="F1706" t="s">
        <v>569</v>
      </c>
      <c r="G1706" t="s">
        <v>1490</v>
      </c>
      <c r="H1706" t="s">
        <v>210</v>
      </c>
      <c r="I1706" t="s">
        <v>99</v>
      </c>
      <c r="J1706" t="s">
        <v>570</v>
      </c>
      <c r="K1706" t="s">
        <v>571</v>
      </c>
      <c r="L1706" t="s">
        <v>17</v>
      </c>
      <c r="M1706">
        <v>1506470400</v>
      </c>
      <c r="N1706" t="s">
        <v>1628</v>
      </c>
      <c r="O1706" t="s">
        <v>1628</v>
      </c>
      <c r="P1706" t="s">
        <v>1628</v>
      </c>
      <c r="Q1706">
        <f>LEN(AMAZON_FASHION_5__2[[#This Row],[reviewText]])</f>
        <v>12</v>
      </c>
      <c r="R1706" t="str">
        <f>IF(AMAZON_FASHION_5__2[[#This Row],[overall]]&gt;=4,"Positive",IF(AMAZON_FASHION_5__2[[#This Row],[overall]]&lt;=2,"Negative","Neutral"))</f>
        <v>Positive</v>
      </c>
      <c r="S17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07" spans="1:19" x14ac:dyDescent="0.25">
      <c r="A1707">
        <v>5</v>
      </c>
      <c r="B1707" t="b">
        <v>1</v>
      </c>
      <c r="C1707" s="1">
        <v>43005</v>
      </c>
      <c r="D1707">
        <f>YEAR(AMAZON_FASHION_5__2[[#This Row],[reviewDate]])</f>
        <v>2017</v>
      </c>
      <c r="E1707" s="1" t="str">
        <f>TEXT(AMAZON_FASHION_5__2[[#This Row],[reviewDate]], "mmmm")</f>
        <v>September</v>
      </c>
      <c r="F1707" t="s">
        <v>572</v>
      </c>
      <c r="G1707" t="s">
        <v>1490</v>
      </c>
      <c r="H1707" t="s">
        <v>573</v>
      </c>
      <c r="I1707" t="s">
        <v>574</v>
      </c>
      <c r="J1707" t="s">
        <v>575</v>
      </c>
      <c r="K1707" t="s">
        <v>576</v>
      </c>
      <c r="L1707" t="s">
        <v>577</v>
      </c>
      <c r="M1707">
        <v>1506470400</v>
      </c>
      <c r="N1707" t="s">
        <v>1628</v>
      </c>
      <c r="O1707" t="s">
        <v>1628</v>
      </c>
      <c r="P1707" t="s">
        <v>1628</v>
      </c>
      <c r="Q1707">
        <f>LEN(AMAZON_FASHION_5__2[[#This Row],[reviewText]])</f>
        <v>70</v>
      </c>
      <c r="R1707" t="str">
        <f>IF(AMAZON_FASHION_5__2[[#This Row],[overall]]&gt;=4,"Positive",IF(AMAZON_FASHION_5__2[[#This Row],[overall]]&lt;=2,"Negative","Neutral"))</f>
        <v>Positive</v>
      </c>
      <c r="S17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08" spans="1:19" x14ac:dyDescent="0.25">
      <c r="A1708">
        <v>5</v>
      </c>
      <c r="B1708" t="b">
        <v>1</v>
      </c>
      <c r="C1708" s="1">
        <v>43004</v>
      </c>
      <c r="D1708">
        <f>YEAR(AMAZON_FASHION_5__2[[#This Row],[reviewDate]])</f>
        <v>2017</v>
      </c>
      <c r="E1708" s="1" t="str">
        <f>TEXT(AMAZON_FASHION_5__2[[#This Row],[reviewDate]], "mmmm")</f>
        <v>September</v>
      </c>
      <c r="F1708" t="s">
        <v>578</v>
      </c>
      <c r="G1708" t="s">
        <v>1490</v>
      </c>
      <c r="H1708" t="s">
        <v>205</v>
      </c>
      <c r="I1708" t="s">
        <v>198</v>
      </c>
      <c r="J1708" t="s">
        <v>579</v>
      </c>
      <c r="K1708" t="s">
        <v>580</v>
      </c>
      <c r="L1708" t="s">
        <v>17</v>
      </c>
      <c r="M1708">
        <v>1506384000</v>
      </c>
      <c r="N1708" t="s">
        <v>1628</v>
      </c>
      <c r="O1708" t="s">
        <v>1628</v>
      </c>
      <c r="P1708" t="s">
        <v>1628</v>
      </c>
      <c r="Q1708">
        <f>LEN(AMAZON_FASHION_5__2[[#This Row],[reviewText]])</f>
        <v>9</v>
      </c>
      <c r="R1708" t="str">
        <f>IF(AMAZON_FASHION_5__2[[#This Row],[overall]]&gt;=4,"Positive",IF(AMAZON_FASHION_5__2[[#This Row],[overall]]&lt;=2,"Negative","Neutral"))</f>
        <v>Positive</v>
      </c>
      <c r="S17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09" spans="1:19" x14ac:dyDescent="0.25">
      <c r="A1709">
        <v>5</v>
      </c>
      <c r="B1709" t="b">
        <v>1</v>
      </c>
      <c r="C1709" s="1">
        <v>43003</v>
      </c>
      <c r="D1709">
        <f>YEAR(AMAZON_FASHION_5__2[[#This Row],[reviewDate]])</f>
        <v>2017</v>
      </c>
      <c r="E1709" s="1" t="str">
        <f>TEXT(AMAZON_FASHION_5__2[[#This Row],[reviewDate]], "mmmm")</f>
        <v>September</v>
      </c>
      <c r="F1709" t="s">
        <v>581</v>
      </c>
      <c r="G1709" t="s">
        <v>1490</v>
      </c>
      <c r="H1709" t="s">
        <v>235</v>
      </c>
      <c r="I1709" t="s">
        <v>198</v>
      </c>
      <c r="J1709" t="s">
        <v>582</v>
      </c>
      <c r="K1709" t="s">
        <v>583</v>
      </c>
      <c r="L1709" t="s">
        <v>17</v>
      </c>
      <c r="M1709">
        <v>1506297600</v>
      </c>
      <c r="N1709" t="s">
        <v>1628</v>
      </c>
      <c r="O1709" t="s">
        <v>1628</v>
      </c>
      <c r="P1709" t="s">
        <v>1628</v>
      </c>
      <c r="Q1709">
        <f>LEN(AMAZON_FASHION_5__2[[#This Row],[reviewText]])</f>
        <v>50</v>
      </c>
      <c r="R1709" t="str">
        <f>IF(AMAZON_FASHION_5__2[[#This Row],[overall]]&gt;=4,"Positive",IF(AMAZON_FASHION_5__2[[#This Row],[overall]]&lt;=2,"Negative","Neutral"))</f>
        <v>Positive</v>
      </c>
      <c r="S17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10" spans="1:19" x14ac:dyDescent="0.25">
      <c r="A1710">
        <v>5</v>
      </c>
      <c r="B1710" t="b">
        <v>1</v>
      </c>
      <c r="C1710" s="1">
        <v>42998</v>
      </c>
      <c r="D1710">
        <f>YEAR(AMAZON_FASHION_5__2[[#This Row],[reviewDate]])</f>
        <v>2017</v>
      </c>
      <c r="E1710" s="1" t="str">
        <f>TEXT(AMAZON_FASHION_5__2[[#This Row],[reviewDate]], "mmmm")</f>
        <v>September</v>
      </c>
      <c r="F1710" t="s">
        <v>584</v>
      </c>
      <c r="G1710" t="s">
        <v>1490</v>
      </c>
      <c r="H1710" t="s">
        <v>235</v>
      </c>
      <c r="I1710" t="s">
        <v>99</v>
      </c>
      <c r="J1710" t="s">
        <v>63</v>
      </c>
      <c r="K1710" t="s">
        <v>585</v>
      </c>
      <c r="L1710" t="s">
        <v>586</v>
      </c>
      <c r="M1710">
        <v>1505865600</v>
      </c>
      <c r="N1710" t="s">
        <v>1628</v>
      </c>
      <c r="O1710" t="s">
        <v>1628</v>
      </c>
      <c r="P1710" t="s">
        <v>1628</v>
      </c>
      <c r="Q1710">
        <f>LEN(AMAZON_FASHION_5__2[[#This Row],[reviewText]])</f>
        <v>370</v>
      </c>
      <c r="R1710" t="str">
        <f>IF(AMAZON_FASHION_5__2[[#This Row],[overall]]&gt;=4,"Positive",IF(AMAZON_FASHION_5__2[[#This Row],[overall]]&lt;=2,"Negative","Neutral"))</f>
        <v>Positive</v>
      </c>
      <c r="S17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11" spans="1:19" x14ac:dyDescent="0.25">
      <c r="A1711">
        <v>5</v>
      </c>
      <c r="B1711" t="b">
        <v>1</v>
      </c>
      <c r="C1711" s="1">
        <v>42996</v>
      </c>
      <c r="D1711">
        <f>YEAR(AMAZON_FASHION_5__2[[#This Row],[reviewDate]])</f>
        <v>2017</v>
      </c>
      <c r="E1711" s="1" t="str">
        <f>TEXT(AMAZON_FASHION_5__2[[#This Row],[reviewDate]], "mmmm")</f>
        <v>September</v>
      </c>
      <c r="F1711" t="s">
        <v>587</v>
      </c>
      <c r="G1711" t="s">
        <v>1490</v>
      </c>
      <c r="H1711" t="s">
        <v>230</v>
      </c>
      <c r="I1711" t="s">
        <v>198</v>
      </c>
      <c r="J1711" t="s">
        <v>588</v>
      </c>
      <c r="K1711" t="s">
        <v>589</v>
      </c>
      <c r="L1711" t="s">
        <v>590</v>
      </c>
      <c r="M1711">
        <v>1505692800</v>
      </c>
      <c r="N1711" t="s">
        <v>1628</v>
      </c>
      <c r="O1711" t="s">
        <v>1628</v>
      </c>
      <c r="P1711" t="s">
        <v>1628</v>
      </c>
      <c r="Q1711">
        <f>LEN(AMAZON_FASHION_5__2[[#This Row],[reviewText]])</f>
        <v>49</v>
      </c>
      <c r="R1711" t="str">
        <f>IF(AMAZON_FASHION_5__2[[#This Row],[overall]]&gt;=4,"Positive",IF(AMAZON_FASHION_5__2[[#This Row],[overall]]&lt;=2,"Negative","Neutral"))</f>
        <v>Positive</v>
      </c>
      <c r="S17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12" spans="1:19" x14ac:dyDescent="0.25">
      <c r="A1712">
        <v>5</v>
      </c>
      <c r="B1712" t="b">
        <v>1</v>
      </c>
      <c r="C1712" s="1">
        <v>42994</v>
      </c>
      <c r="D1712">
        <f>YEAR(AMAZON_FASHION_5__2[[#This Row],[reviewDate]])</f>
        <v>2017</v>
      </c>
      <c r="E1712" s="1" t="str">
        <f>TEXT(AMAZON_FASHION_5__2[[#This Row],[reviewDate]], "mmmm")</f>
        <v>September</v>
      </c>
      <c r="F1712" t="s">
        <v>591</v>
      </c>
      <c r="G1712" t="s">
        <v>1490</v>
      </c>
      <c r="H1712" t="s">
        <v>235</v>
      </c>
      <c r="I1712" t="s">
        <v>507</v>
      </c>
      <c r="J1712" t="s">
        <v>63</v>
      </c>
      <c r="K1712" t="s">
        <v>592</v>
      </c>
      <c r="L1712" t="s">
        <v>593</v>
      </c>
      <c r="M1712">
        <v>1505520000</v>
      </c>
      <c r="N1712" t="s">
        <v>1628</v>
      </c>
      <c r="O1712" t="s">
        <v>1628</v>
      </c>
      <c r="P1712" t="s">
        <v>1628</v>
      </c>
      <c r="Q1712">
        <f>LEN(AMAZON_FASHION_5__2[[#This Row],[reviewText]])</f>
        <v>40</v>
      </c>
      <c r="R1712" t="str">
        <f>IF(AMAZON_FASHION_5__2[[#This Row],[overall]]&gt;=4,"Positive",IF(AMAZON_FASHION_5__2[[#This Row],[overall]]&lt;=2,"Negative","Neutral"))</f>
        <v>Positive</v>
      </c>
      <c r="S17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13" spans="1:19" x14ac:dyDescent="0.25">
      <c r="A1713">
        <v>5</v>
      </c>
      <c r="B1713" t="b">
        <v>1</v>
      </c>
      <c r="C1713" s="1">
        <v>42992</v>
      </c>
      <c r="D1713">
        <f>YEAR(AMAZON_FASHION_5__2[[#This Row],[reviewDate]])</f>
        <v>2017</v>
      </c>
      <c r="E1713" s="1" t="str">
        <f>TEXT(AMAZON_FASHION_5__2[[#This Row],[reviewDate]], "mmmm")</f>
        <v>September</v>
      </c>
      <c r="F1713" t="s">
        <v>594</v>
      </c>
      <c r="G1713" t="s">
        <v>1490</v>
      </c>
      <c r="H1713" t="s">
        <v>201</v>
      </c>
      <c r="I1713" t="s">
        <v>524</v>
      </c>
      <c r="J1713" t="s">
        <v>595</v>
      </c>
      <c r="K1713" t="s">
        <v>596</v>
      </c>
      <c r="L1713" t="s">
        <v>597</v>
      </c>
      <c r="M1713">
        <v>1505347200</v>
      </c>
      <c r="N1713" t="s">
        <v>1628</v>
      </c>
      <c r="O1713" t="s">
        <v>1628</v>
      </c>
      <c r="P1713" t="s">
        <v>1628</v>
      </c>
      <c r="Q1713">
        <f>LEN(AMAZON_FASHION_5__2[[#This Row],[reviewText]])</f>
        <v>23</v>
      </c>
      <c r="R1713" t="str">
        <f>IF(AMAZON_FASHION_5__2[[#This Row],[overall]]&gt;=4,"Positive",IF(AMAZON_FASHION_5__2[[#This Row],[overall]]&lt;=2,"Negative","Neutral"))</f>
        <v>Positive</v>
      </c>
      <c r="S17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14" spans="1:19" x14ac:dyDescent="0.25">
      <c r="A1714">
        <v>5</v>
      </c>
      <c r="B1714" t="b">
        <v>1</v>
      </c>
      <c r="C1714" s="1">
        <v>42991</v>
      </c>
      <c r="D1714">
        <f>YEAR(AMAZON_FASHION_5__2[[#This Row],[reviewDate]])</f>
        <v>2017</v>
      </c>
      <c r="E1714" s="1" t="str">
        <f>TEXT(AMAZON_FASHION_5__2[[#This Row],[reviewDate]], "mmmm")</f>
        <v>September</v>
      </c>
      <c r="F1714" t="s">
        <v>598</v>
      </c>
      <c r="G1714" t="s">
        <v>1490</v>
      </c>
      <c r="H1714" t="s">
        <v>230</v>
      </c>
      <c r="I1714" t="s">
        <v>599</v>
      </c>
      <c r="J1714" t="s">
        <v>600</v>
      </c>
      <c r="K1714" t="s">
        <v>601</v>
      </c>
      <c r="L1714" t="s">
        <v>17</v>
      </c>
      <c r="M1714">
        <v>1505260800</v>
      </c>
      <c r="N1714" t="s">
        <v>1628</v>
      </c>
      <c r="O1714" t="s">
        <v>1628</v>
      </c>
      <c r="P1714" t="s">
        <v>1628</v>
      </c>
      <c r="Q1714">
        <f>LEN(AMAZON_FASHION_5__2[[#This Row],[reviewText]])</f>
        <v>28</v>
      </c>
      <c r="R1714" t="str">
        <f>IF(AMAZON_FASHION_5__2[[#This Row],[overall]]&gt;=4,"Positive",IF(AMAZON_FASHION_5__2[[#This Row],[overall]]&lt;=2,"Negative","Neutral"))</f>
        <v>Positive</v>
      </c>
      <c r="S17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15" spans="1:19" x14ac:dyDescent="0.25">
      <c r="A1715">
        <v>5</v>
      </c>
      <c r="B1715" t="b">
        <v>1</v>
      </c>
      <c r="C1715" s="1">
        <v>42988</v>
      </c>
      <c r="D1715">
        <f>YEAR(AMAZON_FASHION_5__2[[#This Row],[reviewDate]])</f>
        <v>2017</v>
      </c>
      <c r="E1715" s="1" t="str">
        <f>TEXT(AMAZON_FASHION_5__2[[#This Row],[reviewDate]], "mmmm")</f>
        <v>September</v>
      </c>
      <c r="F1715" t="s">
        <v>602</v>
      </c>
      <c r="G1715" t="s">
        <v>1490</v>
      </c>
      <c r="H1715" t="s">
        <v>210</v>
      </c>
      <c r="I1715" t="s">
        <v>274</v>
      </c>
      <c r="J1715" t="s">
        <v>63</v>
      </c>
      <c r="K1715" t="s">
        <v>603</v>
      </c>
      <c r="L1715" t="s">
        <v>17</v>
      </c>
      <c r="M1715">
        <v>1505001600</v>
      </c>
      <c r="N1715" t="s">
        <v>1628</v>
      </c>
      <c r="O1715" t="s">
        <v>1628</v>
      </c>
      <c r="P1715" t="s">
        <v>1628</v>
      </c>
      <c r="Q1715">
        <f>LEN(AMAZON_FASHION_5__2[[#This Row],[reviewText]])</f>
        <v>48</v>
      </c>
      <c r="R1715" t="str">
        <f>IF(AMAZON_FASHION_5__2[[#This Row],[overall]]&gt;=4,"Positive",IF(AMAZON_FASHION_5__2[[#This Row],[overall]]&lt;=2,"Negative","Neutral"))</f>
        <v>Positive</v>
      </c>
      <c r="S17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16" spans="1:19" x14ac:dyDescent="0.25">
      <c r="A1716">
        <v>5</v>
      </c>
      <c r="B1716" t="b">
        <v>1</v>
      </c>
      <c r="C1716" s="1">
        <v>42985</v>
      </c>
      <c r="D1716">
        <f>YEAR(AMAZON_FASHION_5__2[[#This Row],[reviewDate]])</f>
        <v>2017</v>
      </c>
      <c r="E1716" s="1" t="str">
        <f>TEXT(AMAZON_FASHION_5__2[[#This Row],[reviewDate]], "mmmm")</f>
        <v>September</v>
      </c>
      <c r="F1716" t="s">
        <v>604</v>
      </c>
      <c r="G1716" t="s">
        <v>1490</v>
      </c>
      <c r="H1716" t="s">
        <v>230</v>
      </c>
      <c r="I1716" t="s">
        <v>507</v>
      </c>
      <c r="J1716" t="s">
        <v>605</v>
      </c>
      <c r="K1716" t="s">
        <v>606</v>
      </c>
      <c r="L1716" t="s">
        <v>607</v>
      </c>
      <c r="M1716">
        <v>1504742400</v>
      </c>
      <c r="N1716" t="s">
        <v>1628</v>
      </c>
      <c r="O1716" t="s">
        <v>1628</v>
      </c>
      <c r="P1716" t="s">
        <v>1628</v>
      </c>
      <c r="Q1716">
        <f>LEN(AMAZON_FASHION_5__2[[#This Row],[reviewText]])</f>
        <v>119</v>
      </c>
      <c r="R1716" t="str">
        <f>IF(AMAZON_FASHION_5__2[[#This Row],[overall]]&gt;=4,"Positive",IF(AMAZON_FASHION_5__2[[#This Row],[overall]]&lt;=2,"Negative","Neutral"))</f>
        <v>Positive</v>
      </c>
      <c r="S17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17" spans="1:19" x14ac:dyDescent="0.25">
      <c r="A1717">
        <v>5</v>
      </c>
      <c r="B1717" t="b">
        <v>1</v>
      </c>
      <c r="C1717" s="1">
        <v>42983</v>
      </c>
      <c r="D1717">
        <f>YEAR(AMAZON_FASHION_5__2[[#This Row],[reviewDate]])</f>
        <v>2017</v>
      </c>
      <c r="E1717" s="1" t="str">
        <f>TEXT(AMAZON_FASHION_5__2[[#This Row],[reviewDate]], "mmmm")</f>
        <v>September</v>
      </c>
      <c r="F1717" t="s">
        <v>608</v>
      </c>
      <c r="G1717" t="s">
        <v>1490</v>
      </c>
      <c r="H1717" t="s">
        <v>235</v>
      </c>
      <c r="I1717" t="s">
        <v>274</v>
      </c>
      <c r="J1717" t="s">
        <v>609</v>
      </c>
      <c r="K1717" t="s">
        <v>610</v>
      </c>
      <c r="L1717" t="s">
        <v>17</v>
      </c>
      <c r="M1717">
        <v>1504569600</v>
      </c>
      <c r="N1717" t="s">
        <v>1628</v>
      </c>
      <c r="O1717" t="s">
        <v>1628</v>
      </c>
      <c r="P1717" t="s">
        <v>1628</v>
      </c>
      <c r="Q1717">
        <f>LEN(AMAZON_FASHION_5__2[[#This Row],[reviewText]])</f>
        <v>16</v>
      </c>
      <c r="R1717" t="str">
        <f>IF(AMAZON_FASHION_5__2[[#This Row],[overall]]&gt;=4,"Positive",IF(AMAZON_FASHION_5__2[[#This Row],[overall]]&lt;=2,"Negative","Neutral"))</f>
        <v>Positive</v>
      </c>
      <c r="S17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18" spans="1:19" x14ac:dyDescent="0.25">
      <c r="A1718">
        <v>5</v>
      </c>
      <c r="B1718" t="b">
        <v>1</v>
      </c>
      <c r="C1718" s="1">
        <v>42982</v>
      </c>
      <c r="D1718">
        <f>YEAR(AMAZON_FASHION_5__2[[#This Row],[reviewDate]])</f>
        <v>2017</v>
      </c>
      <c r="E1718" s="1" t="str">
        <f>TEXT(AMAZON_FASHION_5__2[[#This Row],[reviewDate]], "mmmm")</f>
        <v>September</v>
      </c>
      <c r="F1718" t="s">
        <v>611</v>
      </c>
      <c r="G1718" t="s">
        <v>1490</v>
      </c>
      <c r="H1718" t="s">
        <v>235</v>
      </c>
      <c r="I1718" t="s">
        <v>198</v>
      </c>
      <c r="J1718" t="s">
        <v>612</v>
      </c>
      <c r="K1718" t="s">
        <v>613</v>
      </c>
      <c r="L1718" t="s">
        <v>17</v>
      </c>
      <c r="M1718">
        <v>1504483200</v>
      </c>
      <c r="N1718" t="s">
        <v>1628</v>
      </c>
      <c r="O1718" t="s">
        <v>1628</v>
      </c>
      <c r="P1718" t="s">
        <v>1628</v>
      </c>
      <c r="Q1718">
        <f>LEN(AMAZON_FASHION_5__2[[#This Row],[reviewText]])</f>
        <v>12</v>
      </c>
      <c r="R1718" t="str">
        <f>IF(AMAZON_FASHION_5__2[[#This Row],[overall]]&gt;=4,"Positive",IF(AMAZON_FASHION_5__2[[#This Row],[overall]]&lt;=2,"Negative","Neutral"))</f>
        <v>Positive</v>
      </c>
      <c r="S17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19" spans="1:19" x14ac:dyDescent="0.25">
      <c r="A1719">
        <v>4</v>
      </c>
      <c r="B1719" t="b">
        <v>1</v>
      </c>
      <c r="C1719" s="1">
        <v>42976</v>
      </c>
      <c r="D1719">
        <f>YEAR(AMAZON_FASHION_5__2[[#This Row],[reviewDate]])</f>
        <v>2017</v>
      </c>
      <c r="E1719" s="1" t="str">
        <f>TEXT(AMAZON_FASHION_5__2[[#This Row],[reviewDate]], "mmmm")</f>
        <v>August</v>
      </c>
      <c r="F1719" t="s">
        <v>614</v>
      </c>
      <c r="G1719" t="s">
        <v>1490</v>
      </c>
      <c r="H1719" t="s">
        <v>230</v>
      </c>
      <c r="I1719" t="s">
        <v>507</v>
      </c>
      <c r="J1719" t="s">
        <v>615</v>
      </c>
      <c r="K1719" t="s">
        <v>616</v>
      </c>
      <c r="L1719" t="s">
        <v>617</v>
      </c>
      <c r="M1719">
        <v>1503964800</v>
      </c>
      <c r="N1719" t="s">
        <v>1628</v>
      </c>
      <c r="O1719" t="s">
        <v>1628</v>
      </c>
      <c r="P1719" t="s">
        <v>1628</v>
      </c>
      <c r="Q1719">
        <f>LEN(AMAZON_FASHION_5__2[[#This Row],[reviewText]])</f>
        <v>118</v>
      </c>
      <c r="R1719" t="str">
        <f>IF(AMAZON_FASHION_5__2[[#This Row],[overall]]&gt;=4,"Positive",IF(AMAZON_FASHION_5__2[[#This Row],[overall]]&lt;=2,"Negative","Neutral"))</f>
        <v>Positive</v>
      </c>
      <c r="S17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20" spans="1:19" x14ac:dyDescent="0.25">
      <c r="A1720">
        <v>1</v>
      </c>
      <c r="B1720" t="b">
        <v>1</v>
      </c>
      <c r="C1720" s="1">
        <v>42976</v>
      </c>
      <c r="D1720">
        <f>YEAR(AMAZON_FASHION_5__2[[#This Row],[reviewDate]])</f>
        <v>2017</v>
      </c>
      <c r="E1720" s="1" t="str">
        <f>TEXT(AMAZON_FASHION_5__2[[#This Row],[reviewDate]], "mmmm")</f>
        <v>August</v>
      </c>
      <c r="F1720" t="s">
        <v>618</v>
      </c>
      <c r="G1720" t="s">
        <v>1490</v>
      </c>
      <c r="H1720" t="s">
        <v>558</v>
      </c>
      <c r="I1720" t="s">
        <v>198</v>
      </c>
      <c r="J1720" t="s">
        <v>619</v>
      </c>
      <c r="K1720" t="s">
        <v>620</v>
      </c>
      <c r="L1720" t="s">
        <v>65</v>
      </c>
      <c r="M1720">
        <v>1503964800</v>
      </c>
      <c r="N1720" t="s">
        <v>1628</v>
      </c>
      <c r="O1720" t="s">
        <v>1628</v>
      </c>
      <c r="P1720" t="s">
        <v>1628</v>
      </c>
      <c r="Q1720">
        <f>LEN(AMAZON_FASHION_5__2[[#This Row],[reviewText]])</f>
        <v>52</v>
      </c>
      <c r="R1720" t="str">
        <f>IF(AMAZON_FASHION_5__2[[#This Row],[overall]]&gt;=4,"Positive",IF(AMAZON_FASHION_5__2[[#This Row],[overall]]&lt;=2,"Negative","Neutral"))</f>
        <v>Negative</v>
      </c>
      <c r="S17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21" spans="1:19" x14ac:dyDescent="0.25">
      <c r="A1721">
        <v>5</v>
      </c>
      <c r="B1721" t="b">
        <v>1</v>
      </c>
      <c r="C1721" s="1">
        <v>42976</v>
      </c>
      <c r="D1721">
        <f>YEAR(AMAZON_FASHION_5__2[[#This Row],[reviewDate]])</f>
        <v>2017</v>
      </c>
      <c r="E1721" s="1" t="str">
        <f>TEXT(AMAZON_FASHION_5__2[[#This Row],[reviewDate]], "mmmm")</f>
        <v>August</v>
      </c>
      <c r="F1721" t="s">
        <v>621</v>
      </c>
      <c r="G1721" t="s">
        <v>1490</v>
      </c>
      <c r="H1721" t="s">
        <v>210</v>
      </c>
      <c r="I1721" t="s">
        <v>198</v>
      </c>
      <c r="J1721" t="s">
        <v>622</v>
      </c>
      <c r="K1721" t="s">
        <v>623</v>
      </c>
      <c r="L1721" t="s">
        <v>17</v>
      </c>
      <c r="M1721">
        <v>1503964800</v>
      </c>
      <c r="N1721" t="s">
        <v>1628</v>
      </c>
      <c r="O1721" t="s">
        <v>1628</v>
      </c>
      <c r="P1721" t="s">
        <v>1628</v>
      </c>
      <c r="Q1721">
        <f>LEN(AMAZON_FASHION_5__2[[#This Row],[reviewText]])</f>
        <v>30</v>
      </c>
      <c r="R1721" t="str">
        <f>IF(AMAZON_FASHION_5__2[[#This Row],[overall]]&gt;=4,"Positive",IF(AMAZON_FASHION_5__2[[#This Row],[overall]]&lt;=2,"Negative","Neutral"))</f>
        <v>Positive</v>
      </c>
      <c r="S17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22" spans="1:19" x14ac:dyDescent="0.25">
      <c r="A1722">
        <v>5</v>
      </c>
      <c r="B1722" t="b">
        <v>1</v>
      </c>
      <c r="C1722" s="1">
        <v>42974</v>
      </c>
      <c r="D1722">
        <f>YEAR(AMAZON_FASHION_5__2[[#This Row],[reviewDate]])</f>
        <v>2017</v>
      </c>
      <c r="E1722" s="1" t="str">
        <f>TEXT(AMAZON_FASHION_5__2[[#This Row],[reviewDate]], "mmmm")</f>
        <v>August</v>
      </c>
      <c r="F1722" t="s">
        <v>624</v>
      </c>
      <c r="G1722" t="s">
        <v>1490</v>
      </c>
      <c r="H1722" t="s">
        <v>201</v>
      </c>
      <c r="I1722" t="s">
        <v>99</v>
      </c>
      <c r="J1722" t="s">
        <v>625</v>
      </c>
      <c r="K1722" t="s">
        <v>626</v>
      </c>
      <c r="L1722" t="s">
        <v>627</v>
      </c>
      <c r="M1722">
        <v>1503792000</v>
      </c>
      <c r="N1722" t="s">
        <v>1628</v>
      </c>
      <c r="O1722" t="s">
        <v>1628</v>
      </c>
      <c r="P1722" t="s">
        <v>1628</v>
      </c>
      <c r="Q1722">
        <f>LEN(AMAZON_FASHION_5__2[[#This Row],[reviewText]])</f>
        <v>17</v>
      </c>
      <c r="R1722" t="str">
        <f>IF(AMAZON_FASHION_5__2[[#This Row],[overall]]&gt;=4,"Positive",IF(AMAZON_FASHION_5__2[[#This Row],[overall]]&lt;=2,"Negative","Neutral"))</f>
        <v>Positive</v>
      </c>
      <c r="S17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23" spans="1:19" x14ac:dyDescent="0.25">
      <c r="A1723">
        <v>4</v>
      </c>
      <c r="B1723" t="b">
        <v>1</v>
      </c>
      <c r="C1723" s="1">
        <v>42971</v>
      </c>
      <c r="D1723">
        <f>YEAR(AMAZON_FASHION_5__2[[#This Row],[reviewDate]])</f>
        <v>2017</v>
      </c>
      <c r="E1723" s="1" t="str">
        <f>TEXT(AMAZON_FASHION_5__2[[#This Row],[reviewDate]], "mmmm")</f>
        <v>August</v>
      </c>
      <c r="F1723" t="s">
        <v>628</v>
      </c>
      <c r="G1723" t="s">
        <v>1490</v>
      </c>
      <c r="H1723" t="s">
        <v>210</v>
      </c>
      <c r="I1723" t="s">
        <v>435</v>
      </c>
      <c r="J1723" t="s">
        <v>629</v>
      </c>
      <c r="K1723" t="s">
        <v>630</v>
      </c>
      <c r="L1723" t="s">
        <v>247</v>
      </c>
      <c r="M1723">
        <v>1503532800</v>
      </c>
      <c r="N1723" t="s">
        <v>1628</v>
      </c>
      <c r="O1723" t="s">
        <v>1628</v>
      </c>
      <c r="P1723" t="s">
        <v>1628</v>
      </c>
      <c r="Q1723">
        <f>LEN(AMAZON_FASHION_5__2[[#This Row],[reviewText]])</f>
        <v>225</v>
      </c>
      <c r="R1723" t="str">
        <f>IF(AMAZON_FASHION_5__2[[#This Row],[overall]]&gt;=4,"Positive",IF(AMAZON_FASHION_5__2[[#This Row],[overall]]&lt;=2,"Negative","Neutral"))</f>
        <v>Positive</v>
      </c>
      <c r="S17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24" spans="1:19" x14ac:dyDescent="0.25">
      <c r="A1724">
        <v>1</v>
      </c>
      <c r="B1724" t="b">
        <v>1</v>
      </c>
      <c r="C1724" s="1">
        <v>42971</v>
      </c>
      <c r="D1724">
        <f>YEAR(AMAZON_FASHION_5__2[[#This Row],[reviewDate]])</f>
        <v>2017</v>
      </c>
      <c r="E1724" s="1" t="str">
        <f>TEXT(AMAZON_FASHION_5__2[[#This Row],[reviewDate]], "mmmm")</f>
        <v>August</v>
      </c>
      <c r="F1724" t="s">
        <v>631</v>
      </c>
      <c r="G1724" t="s">
        <v>1490</v>
      </c>
      <c r="H1724" t="s">
        <v>235</v>
      </c>
      <c r="I1724" t="s">
        <v>411</v>
      </c>
      <c r="J1724" t="s">
        <v>632</v>
      </c>
      <c r="K1724" t="s">
        <v>633</v>
      </c>
      <c r="L1724" t="s">
        <v>634</v>
      </c>
      <c r="M1724">
        <v>1503532800</v>
      </c>
      <c r="N1724" t="s">
        <v>1628</v>
      </c>
      <c r="O1724" t="s">
        <v>1628</v>
      </c>
      <c r="P1724" t="s">
        <v>1628</v>
      </c>
      <c r="Q1724">
        <f>LEN(AMAZON_FASHION_5__2[[#This Row],[reviewText]])</f>
        <v>213</v>
      </c>
      <c r="R1724" t="str">
        <f>IF(AMAZON_FASHION_5__2[[#This Row],[overall]]&gt;=4,"Positive",IF(AMAZON_FASHION_5__2[[#This Row],[overall]]&lt;=2,"Negative","Neutral"))</f>
        <v>Negative</v>
      </c>
      <c r="S17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25" spans="1:19" x14ac:dyDescent="0.25">
      <c r="A1725">
        <v>5</v>
      </c>
      <c r="B1725" t="b">
        <v>1</v>
      </c>
      <c r="C1725" s="1">
        <v>42968</v>
      </c>
      <c r="D1725">
        <f>YEAR(AMAZON_FASHION_5__2[[#This Row],[reviewDate]])</f>
        <v>2017</v>
      </c>
      <c r="E1725" s="1" t="str">
        <f>TEXT(AMAZON_FASHION_5__2[[#This Row],[reviewDate]], "mmmm")</f>
        <v>August</v>
      </c>
      <c r="F1725" t="s">
        <v>635</v>
      </c>
      <c r="G1725" t="s">
        <v>1490</v>
      </c>
      <c r="H1725" t="s">
        <v>477</v>
      </c>
      <c r="I1725" t="s">
        <v>303</v>
      </c>
      <c r="J1725" t="s">
        <v>636</v>
      </c>
      <c r="K1725" t="s">
        <v>637</v>
      </c>
      <c r="L1725" t="s">
        <v>638</v>
      </c>
      <c r="M1725">
        <v>1503273600</v>
      </c>
      <c r="N1725" t="s">
        <v>1628</v>
      </c>
      <c r="O1725" t="s">
        <v>1628</v>
      </c>
      <c r="P1725" t="s">
        <v>1628</v>
      </c>
      <c r="Q1725">
        <f>LEN(AMAZON_FASHION_5__2[[#This Row],[reviewText]])</f>
        <v>55</v>
      </c>
      <c r="R1725" t="str">
        <f>IF(AMAZON_FASHION_5__2[[#This Row],[overall]]&gt;=4,"Positive",IF(AMAZON_FASHION_5__2[[#This Row],[overall]]&lt;=2,"Negative","Neutral"))</f>
        <v>Positive</v>
      </c>
      <c r="S17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26" spans="1:19" x14ac:dyDescent="0.25">
      <c r="A1726">
        <v>5</v>
      </c>
      <c r="B1726" t="b">
        <v>1</v>
      </c>
      <c r="C1726" s="1">
        <v>42967</v>
      </c>
      <c r="D1726">
        <f>YEAR(AMAZON_FASHION_5__2[[#This Row],[reviewDate]])</f>
        <v>2017</v>
      </c>
      <c r="E1726" s="1" t="str">
        <f>TEXT(AMAZON_FASHION_5__2[[#This Row],[reviewDate]], "mmmm")</f>
        <v>August</v>
      </c>
      <c r="F1726" t="s">
        <v>639</v>
      </c>
      <c r="G1726" t="s">
        <v>1490</v>
      </c>
      <c r="H1726" t="s">
        <v>197</v>
      </c>
      <c r="I1726" t="s">
        <v>198</v>
      </c>
      <c r="J1726" t="s">
        <v>640</v>
      </c>
      <c r="K1726" t="s">
        <v>406</v>
      </c>
      <c r="L1726" t="s">
        <v>17</v>
      </c>
      <c r="M1726">
        <v>1503187200</v>
      </c>
      <c r="N1726" t="s">
        <v>1628</v>
      </c>
      <c r="O1726" t="s">
        <v>1628</v>
      </c>
      <c r="P1726" t="s">
        <v>1628</v>
      </c>
      <c r="Q1726">
        <f>LEN(AMAZON_FASHION_5__2[[#This Row],[reviewText]])</f>
        <v>10</v>
      </c>
      <c r="R1726" t="str">
        <f>IF(AMAZON_FASHION_5__2[[#This Row],[overall]]&gt;=4,"Positive",IF(AMAZON_FASHION_5__2[[#This Row],[overall]]&lt;=2,"Negative","Neutral"))</f>
        <v>Positive</v>
      </c>
      <c r="S17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27" spans="1:19" x14ac:dyDescent="0.25">
      <c r="A1727">
        <v>3</v>
      </c>
      <c r="B1727" t="b">
        <v>1</v>
      </c>
      <c r="C1727" s="1">
        <v>42964</v>
      </c>
      <c r="D1727">
        <f>YEAR(AMAZON_FASHION_5__2[[#This Row],[reviewDate]])</f>
        <v>2017</v>
      </c>
      <c r="E1727" s="1" t="str">
        <f>TEXT(AMAZON_FASHION_5__2[[#This Row],[reviewDate]], "mmmm")</f>
        <v>August</v>
      </c>
      <c r="F1727" t="s">
        <v>641</v>
      </c>
      <c r="G1727" t="s">
        <v>1490</v>
      </c>
      <c r="H1727" t="s">
        <v>477</v>
      </c>
      <c r="I1727" t="s">
        <v>642</v>
      </c>
      <c r="J1727" t="s">
        <v>643</v>
      </c>
      <c r="K1727" t="s">
        <v>644</v>
      </c>
      <c r="L1727" t="s">
        <v>645</v>
      </c>
      <c r="M1727">
        <v>1502928000</v>
      </c>
      <c r="N1727" t="s">
        <v>1628</v>
      </c>
      <c r="O1727" t="s">
        <v>1628</v>
      </c>
      <c r="P1727" t="s">
        <v>1628</v>
      </c>
      <c r="Q1727">
        <f>LEN(AMAZON_FASHION_5__2[[#This Row],[reviewText]])</f>
        <v>50</v>
      </c>
      <c r="R1727" t="str">
        <f>IF(AMAZON_FASHION_5__2[[#This Row],[overall]]&gt;=4,"Positive",IF(AMAZON_FASHION_5__2[[#This Row],[overall]]&lt;=2,"Negative","Neutral"))</f>
        <v>Neutral</v>
      </c>
      <c r="S17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28" spans="1:19" x14ac:dyDescent="0.25">
      <c r="A1728">
        <v>5</v>
      </c>
      <c r="B1728" t="b">
        <v>1</v>
      </c>
      <c r="C1728" s="1">
        <v>42964</v>
      </c>
      <c r="D1728">
        <f>YEAR(AMAZON_FASHION_5__2[[#This Row],[reviewDate]])</f>
        <v>2017</v>
      </c>
      <c r="E1728" s="1" t="str">
        <f>TEXT(AMAZON_FASHION_5__2[[#This Row],[reviewDate]], "mmmm")</f>
        <v>August</v>
      </c>
      <c r="F1728" t="s">
        <v>646</v>
      </c>
      <c r="G1728" t="s">
        <v>1490</v>
      </c>
      <c r="H1728" t="s">
        <v>201</v>
      </c>
      <c r="I1728" t="s">
        <v>198</v>
      </c>
      <c r="J1728" t="s">
        <v>647</v>
      </c>
      <c r="K1728" t="s">
        <v>648</v>
      </c>
      <c r="L1728" t="s">
        <v>17</v>
      </c>
      <c r="M1728">
        <v>1502928000</v>
      </c>
      <c r="N1728" t="s">
        <v>1628</v>
      </c>
      <c r="O1728" t="s">
        <v>1628</v>
      </c>
      <c r="P1728" t="s">
        <v>1628</v>
      </c>
      <c r="Q1728">
        <f>LEN(AMAZON_FASHION_5__2[[#This Row],[reviewText]])</f>
        <v>37</v>
      </c>
      <c r="R1728" t="str">
        <f>IF(AMAZON_FASHION_5__2[[#This Row],[overall]]&gt;=4,"Positive",IF(AMAZON_FASHION_5__2[[#This Row],[overall]]&lt;=2,"Negative","Neutral"))</f>
        <v>Positive</v>
      </c>
      <c r="S17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29" spans="1:19" x14ac:dyDescent="0.25">
      <c r="A1729">
        <v>5</v>
      </c>
      <c r="B1729" t="b">
        <v>1</v>
      </c>
      <c r="C1729" s="1">
        <v>42962</v>
      </c>
      <c r="D1729">
        <f>YEAR(AMAZON_FASHION_5__2[[#This Row],[reviewDate]])</f>
        <v>2017</v>
      </c>
      <c r="E1729" s="1" t="str">
        <f>TEXT(AMAZON_FASHION_5__2[[#This Row],[reviewDate]], "mmmm")</f>
        <v>August</v>
      </c>
      <c r="F1729" t="s">
        <v>649</v>
      </c>
      <c r="G1729" t="s">
        <v>1490</v>
      </c>
      <c r="H1729" t="s">
        <v>61</v>
      </c>
      <c r="I1729" t="s">
        <v>344</v>
      </c>
      <c r="J1729" t="s">
        <v>63</v>
      </c>
      <c r="K1729" t="s">
        <v>650</v>
      </c>
      <c r="L1729" t="s">
        <v>17</v>
      </c>
      <c r="M1729">
        <v>1502755200</v>
      </c>
      <c r="N1729" t="s">
        <v>1628</v>
      </c>
      <c r="O1729" t="s">
        <v>1628</v>
      </c>
      <c r="P1729" t="s">
        <v>1628</v>
      </c>
      <c r="Q1729">
        <f>LEN(AMAZON_FASHION_5__2[[#This Row],[reviewText]])</f>
        <v>16</v>
      </c>
      <c r="R1729" t="str">
        <f>IF(AMAZON_FASHION_5__2[[#This Row],[overall]]&gt;=4,"Positive",IF(AMAZON_FASHION_5__2[[#This Row],[overall]]&lt;=2,"Negative","Neutral"))</f>
        <v>Positive</v>
      </c>
      <c r="S17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30" spans="1:19" x14ac:dyDescent="0.25">
      <c r="A1730">
        <v>5</v>
      </c>
      <c r="B1730" t="b">
        <v>1</v>
      </c>
      <c r="C1730" s="1">
        <v>42961</v>
      </c>
      <c r="D1730">
        <f>YEAR(AMAZON_FASHION_5__2[[#This Row],[reviewDate]])</f>
        <v>2017</v>
      </c>
      <c r="E1730" s="1" t="str">
        <f>TEXT(AMAZON_FASHION_5__2[[#This Row],[reviewDate]], "mmmm")</f>
        <v>August</v>
      </c>
      <c r="F1730" t="s">
        <v>651</v>
      </c>
      <c r="G1730" t="s">
        <v>1490</v>
      </c>
      <c r="H1730" t="s">
        <v>230</v>
      </c>
      <c r="I1730" t="s">
        <v>198</v>
      </c>
      <c r="J1730" t="s">
        <v>652</v>
      </c>
      <c r="K1730" t="s">
        <v>653</v>
      </c>
      <c r="L1730" t="s">
        <v>654</v>
      </c>
      <c r="M1730">
        <v>1502668800</v>
      </c>
      <c r="N1730" t="s">
        <v>1628</v>
      </c>
      <c r="O1730" t="s">
        <v>1628</v>
      </c>
      <c r="P1730" t="s">
        <v>1628</v>
      </c>
      <c r="Q1730">
        <f>LEN(AMAZON_FASHION_5__2[[#This Row],[reviewText]])</f>
        <v>145</v>
      </c>
      <c r="R1730" t="str">
        <f>IF(AMAZON_FASHION_5__2[[#This Row],[overall]]&gt;=4,"Positive",IF(AMAZON_FASHION_5__2[[#This Row],[overall]]&lt;=2,"Negative","Neutral"))</f>
        <v>Positive</v>
      </c>
      <c r="S17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31" spans="1:19" x14ac:dyDescent="0.25">
      <c r="A1731">
        <v>5</v>
      </c>
      <c r="B1731" t="b">
        <v>1</v>
      </c>
      <c r="C1731" s="1">
        <v>42959</v>
      </c>
      <c r="D1731">
        <f>YEAR(AMAZON_FASHION_5__2[[#This Row],[reviewDate]])</f>
        <v>2017</v>
      </c>
      <c r="E1731" s="1" t="str">
        <f>TEXT(AMAZON_FASHION_5__2[[#This Row],[reviewDate]], "mmmm")</f>
        <v>August</v>
      </c>
      <c r="F1731" t="s">
        <v>655</v>
      </c>
      <c r="G1731" t="s">
        <v>1490</v>
      </c>
      <c r="H1731" t="s">
        <v>210</v>
      </c>
      <c r="I1731" t="s">
        <v>198</v>
      </c>
      <c r="J1731" t="s">
        <v>656</v>
      </c>
      <c r="K1731" t="s">
        <v>657</v>
      </c>
      <c r="L1731" t="s">
        <v>658</v>
      </c>
      <c r="M1731">
        <v>1502496000</v>
      </c>
      <c r="N1731" t="s">
        <v>1628</v>
      </c>
      <c r="O1731" t="s">
        <v>1628</v>
      </c>
      <c r="P1731" t="s">
        <v>1628</v>
      </c>
      <c r="Q1731">
        <f>LEN(AMAZON_FASHION_5__2[[#This Row],[reviewText]])</f>
        <v>230</v>
      </c>
      <c r="R1731" t="str">
        <f>IF(AMAZON_FASHION_5__2[[#This Row],[overall]]&gt;=4,"Positive",IF(AMAZON_FASHION_5__2[[#This Row],[overall]]&lt;=2,"Negative","Neutral"))</f>
        <v>Positive</v>
      </c>
      <c r="S17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32" spans="1:19" x14ac:dyDescent="0.25">
      <c r="A1732">
        <v>4</v>
      </c>
      <c r="B1732" t="b">
        <v>1</v>
      </c>
      <c r="C1732" s="1">
        <v>42958</v>
      </c>
      <c r="D1732">
        <f>YEAR(AMAZON_FASHION_5__2[[#This Row],[reviewDate]])</f>
        <v>2017</v>
      </c>
      <c r="E1732" s="1" t="str">
        <f>TEXT(AMAZON_FASHION_5__2[[#This Row],[reviewDate]], "mmmm")</f>
        <v>August</v>
      </c>
      <c r="F1732" t="s">
        <v>659</v>
      </c>
      <c r="G1732" t="s">
        <v>1490</v>
      </c>
      <c r="H1732" t="s">
        <v>477</v>
      </c>
      <c r="I1732" t="s">
        <v>198</v>
      </c>
      <c r="J1732" t="s">
        <v>660</v>
      </c>
      <c r="K1732" t="s">
        <v>661</v>
      </c>
      <c r="L1732" t="s">
        <v>103</v>
      </c>
      <c r="M1732">
        <v>1502409600</v>
      </c>
      <c r="N1732" t="s">
        <v>1628</v>
      </c>
      <c r="O1732" t="s">
        <v>1628</v>
      </c>
      <c r="P1732" t="s">
        <v>1628</v>
      </c>
      <c r="Q1732">
        <f>LEN(AMAZON_FASHION_5__2[[#This Row],[reviewText]])</f>
        <v>59</v>
      </c>
      <c r="R1732" t="str">
        <f>IF(AMAZON_FASHION_5__2[[#This Row],[overall]]&gt;=4,"Positive",IF(AMAZON_FASHION_5__2[[#This Row],[overall]]&lt;=2,"Negative","Neutral"))</f>
        <v>Positive</v>
      </c>
      <c r="S17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33" spans="1:19" x14ac:dyDescent="0.25">
      <c r="A1733">
        <v>3</v>
      </c>
      <c r="B1733" t="b">
        <v>1</v>
      </c>
      <c r="C1733" s="1">
        <v>42955</v>
      </c>
      <c r="D1733">
        <f>YEAR(AMAZON_FASHION_5__2[[#This Row],[reviewDate]])</f>
        <v>2017</v>
      </c>
      <c r="E1733" s="1" t="str">
        <f>TEXT(AMAZON_FASHION_5__2[[#This Row],[reviewDate]], "mmmm")</f>
        <v>August</v>
      </c>
      <c r="F1733" t="s">
        <v>662</v>
      </c>
      <c r="G1733" t="s">
        <v>1490</v>
      </c>
      <c r="H1733" t="s">
        <v>210</v>
      </c>
      <c r="I1733" t="s">
        <v>198</v>
      </c>
      <c r="J1733" t="s">
        <v>663</v>
      </c>
      <c r="K1733" t="s">
        <v>664</v>
      </c>
      <c r="L1733" t="s">
        <v>665</v>
      </c>
      <c r="M1733">
        <v>1502150400</v>
      </c>
      <c r="N1733" t="s">
        <v>1628</v>
      </c>
      <c r="O1733" t="s">
        <v>1628</v>
      </c>
      <c r="P1733" t="s">
        <v>1628</v>
      </c>
      <c r="Q1733">
        <f>LEN(AMAZON_FASHION_5__2[[#This Row],[reviewText]])</f>
        <v>138</v>
      </c>
      <c r="R1733" t="str">
        <f>IF(AMAZON_FASHION_5__2[[#This Row],[overall]]&gt;=4,"Positive",IF(AMAZON_FASHION_5__2[[#This Row],[overall]]&lt;=2,"Negative","Neutral"))</f>
        <v>Neutral</v>
      </c>
      <c r="S17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34" spans="1:19" x14ac:dyDescent="0.25">
      <c r="A1734">
        <v>5</v>
      </c>
      <c r="B1734" t="b">
        <v>1</v>
      </c>
      <c r="C1734" s="1">
        <v>42955</v>
      </c>
      <c r="D1734">
        <f>YEAR(AMAZON_FASHION_5__2[[#This Row],[reviewDate]])</f>
        <v>2017</v>
      </c>
      <c r="E1734" s="1" t="str">
        <f>TEXT(AMAZON_FASHION_5__2[[#This Row],[reviewDate]], "mmmm")</f>
        <v>August</v>
      </c>
      <c r="F1734" t="s">
        <v>666</v>
      </c>
      <c r="G1734" t="s">
        <v>1490</v>
      </c>
      <c r="H1734" t="s">
        <v>284</v>
      </c>
      <c r="I1734" t="s">
        <v>198</v>
      </c>
      <c r="J1734" t="s">
        <v>667</v>
      </c>
      <c r="K1734" t="s">
        <v>668</v>
      </c>
      <c r="L1734" t="s">
        <v>17</v>
      </c>
      <c r="M1734">
        <v>1502150400</v>
      </c>
      <c r="N1734" t="s">
        <v>1628</v>
      </c>
      <c r="O1734" t="s">
        <v>1628</v>
      </c>
      <c r="P1734" t="s">
        <v>1628</v>
      </c>
      <c r="Q1734">
        <f>LEN(AMAZON_FASHION_5__2[[#This Row],[reviewText]])</f>
        <v>27</v>
      </c>
      <c r="R1734" t="str">
        <f>IF(AMAZON_FASHION_5__2[[#This Row],[overall]]&gt;=4,"Positive",IF(AMAZON_FASHION_5__2[[#This Row],[overall]]&lt;=2,"Negative","Neutral"))</f>
        <v>Positive</v>
      </c>
      <c r="S17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35" spans="1:19" x14ac:dyDescent="0.25">
      <c r="A1735">
        <v>5</v>
      </c>
      <c r="B1735" t="b">
        <v>1</v>
      </c>
      <c r="C1735" s="1">
        <v>42954</v>
      </c>
      <c r="D1735">
        <f>YEAR(AMAZON_FASHION_5__2[[#This Row],[reviewDate]])</f>
        <v>2017</v>
      </c>
      <c r="E1735" s="1" t="str">
        <f>TEXT(AMAZON_FASHION_5__2[[#This Row],[reviewDate]], "mmmm")</f>
        <v>August</v>
      </c>
      <c r="F1735" t="s">
        <v>669</v>
      </c>
      <c r="G1735" t="s">
        <v>1490</v>
      </c>
      <c r="H1735" t="s">
        <v>230</v>
      </c>
      <c r="I1735" t="s">
        <v>1476</v>
      </c>
      <c r="J1735" t="s">
        <v>670</v>
      </c>
      <c r="K1735" t="s">
        <v>671</v>
      </c>
      <c r="L1735" t="s">
        <v>17</v>
      </c>
      <c r="M1735">
        <v>1502064000</v>
      </c>
      <c r="N1735" t="s">
        <v>1628</v>
      </c>
      <c r="O1735" t="s">
        <v>1628</v>
      </c>
      <c r="P1735" t="s">
        <v>1628</v>
      </c>
      <c r="Q1735">
        <f>LEN(AMAZON_FASHION_5__2[[#This Row],[reviewText]])</f>
        <v>10</v>
      </c>
      <c r="R1735" t="str">
        <f>IF(AMAZON_FASHION_5__2[[#This Row],[overall]]&gt;=4,"Positive",IF(AMAZON_FASHION_5__2[[#This Row],[overall]]&lt;=2,"Negative","Neutral"))</f>
        <v>Positive</v>
      </c>
      <c r="S17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36" spans="1:19" x14ac:dyDescent="0.25">
      <c r="A1736">
        <v>5</v>
      </c>
      <c r="B1736" t="b">
        <v>1</v>
      </c>
      <c r="C1736" s="1">
        <v>42951</v>
      </c>
      <c r="D1736">
        <f>YEAR(AMAZON_FASHION_5__2[[#This Row],[reviewDate]])</f>
        <v>2017</v>
      </c>
      <c r="E1736" s="1" t="str">
        <f>TEXT(AMAZON_FASHION_5__2[[#This Row],[reviewDate]], "mmmm")</f>
        <v>August</v>
      </c>
      <c r="F1736" t="s">
        <v>672</v>
      </c>
      <c r="G1736" t="s">
        <v>1490</v>
      </c>
      <c r="H1736" t="s">
        <v>235</v>
      </c>
      <c r="I1736" t="s">
        <v>274</v>
      </c>
      <c r="J1736" t="s">
        <v>673</v>
      </c>
      <c r="K1736" t="s">
        <v>674</v>
      </c>
      <c r="L1736" t="s">
        <v>675</v>
      </c>
      <c r="M1736">
        <v>1501804800</v>
      </c>
      <c r="N1736" t="s">
        <v>1628</v>
      </c>
      <c r="O1736" t="s">
        <v>1628</v>
      </c>
      <c r="P1736" t="s">
        <v>1628</v>
      </c>
      <c r="Q1736">
        <f>LEN(AMAZON_FASHION_5__2[[#This Row],[reviewText]])</f>
        <v>114</v>
      </c>
      <c r="R1736" t="str">
        <f>IF(AMAZON_FASHION_5__2[[#This Row],[overall]]&gt;=4,"Positive",IF(AMAZON_FASHION_5__2[[#This Row],[overall]]&lt;=2,"Negative","Neutral"))</f>
        <v>Positive</v>
      </c>
      <c r="S17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37" spans="1:19" x14ac:dyDescent="0.25">
      <c r="A1737">
        <v>3</v>
      </c>
      <c r="B1737" t="b">
        <v>1</v>
      </c>
      <c r="C1737" s="1">
        <v>42949</v>
      </c>
      <c r="D1737">
        <f>YEAR(AMAZON_FASHION_5__2[[#This Row],[reviewDate]])</f>
        <v>2017</v>
      </c>
      <c r="E1737" s="1" t="str">
        <f>TEXT(AMAZON_FASHION_5__2[[#This Row],[reviewDate]], "mmmm")</f>
        <v>August</v>
      </c>
      <c r="F1737" t="s">
        <v>676</v>
      </c>
      <c r="G1737" t="s">
        <v>1490</v>
      </c>
      <c r="H1737" t="s">
        <v>677</v>
      </c>
      <c r="I1737" t="s">
        <v>198</v>
      </c>
      <c r="J1737" t="s">
        <v>678</v>
      </c>
      <c r="K1737" t="s">
        <v>679</v>
      </c>
      <c r="L1737" t="s">
        <v>680</v>
      </c>
      <c r="M1737">
        <v>1501632000</v>
      </c>
      <c r="N1737" t="s">
        <v>1628</v>
      </c>
      <c r="O1737" t="s">
        <v>1628</v>
      </c>
      <c r="P1737" t="s">
        <v>1628</v>
      </c>
      <c r="Q1737">
        <f>LEN(AMAZON_FASHION_5__2[[#This Row],[reviewText]])</f>
        <v>264</v>
      </c>
      <c r="R1737" t="str">
        <f>IF(AMAZON_FASHION_5__2[[#This Row],[overall]]&gt;=4,"Positive",IF(AMAZON_FASHION_5__2[[#This Row],[overall]]&lt;=2,"Negative","Neutral"))</f>
        <v>Neutral</v>
      </c>
      <c r="S17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38" spans="1:19" x14ac:dyDescent="0.25">
      <c r="A1738">
        <v>5</v>
      </c>
      <c r="B1738" t="b">
        <v>1</v>
      </c>
      <c r="C1738" s="1">
        <v>42936</v>
      </c>
      <c r="D1738">
        <f>YEAR(AMAZON_FASHION_5__2[[#This Row],[reviewDate]])</f>
        <v>2017</v>
      </c>
      <c r="E1738" s="1" t="str">
        <f>TEXT(AMAZON_FASHION_5__2[[#This Row],[reviewDate]], "mmmm")</f>
        <v>July</v>
      </c>
      <c r="F1738" t="s">
        <v>681</v>
      </c>
      <c r="G1738" t="s">
        <v>1490</v>
      </c>
      <c r="H1738" t="s">
        <v>210</v>
      </c>
      <c r="I1738" t="s">
        <v>198</v>
      </c>
      <c r="J1738" t="s">
        <v>63</v>
      </c>
      <c r="K1738" t="s">
        <v>682</v>
      </c>
      <c r="L1738" t="s">
        <v>365</v>
      </c>
      <c r="M1738">
        <v>1500508800</v>
      </c>
      <c r="N1738" t="s">
        <v>1628</v>
      </c>
      <c r="O1738" t="s">
        <v>1628</v>
      </c>
      <c r="P1738" t="s">
        <v>1628</v>
      </c>
      <c r="Q1738">
        <f>LEN(AMAZON_FASHION_5__2[[#This Row],[reviewText]])</f>
        <v>34</v>
      </c>
      <c r="R1738" t="str">
        <f>IF(AMAZON_FASHION_5__2[[#This Row],[overall]]&gt;=4,"Positive",IF(AMAZON_FASHION_5__2[[#This Row],[overall]]&lt;=2,"Negative","Neutral"))</f>
        <v>Positive</v>
      </c>
      <c r="S17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39" spans="1:19" x14ac:dyDescent="0.25">
      <c r="A1739">
        <v>5</v>
      </c>
      <c r="B1739" t="b">
        <v>1</v>
      </c>
      <c r="C1739" s="1">
        <v>42934</v>
      </c>
      <c r="D1739">
        <f>YEAR(AMAZON_FASHION_5__2[[#This Row],[reviewDate]])</f>
        <v>2017</v>
      </c>
      <c r="E1739" s="1" t="str">
        <f>TEXT(AMAZON_FASHION_5__2[[#This Row],[reviewDate]], "mmmm")</f>
        <v>July</v>
      </c>
      <c r="F1739" t="s">
        <v>683</v>
      </c>
      <c r="G1739" t="s">
        <v>1490</v>
      </c>
      <c r="H1739" t="s">
        <v>230</v>
      </c>
      <c r="I1739" t="s">
        <v>507</v>
      </c>
      <c r="J1739" t="s">
        <v>684</v>
      </c>
      <c r="K1739" t="s">
        <v>685</v>
      </c>
      <c r="L1739" t="s">
        <v>686</v>
      </c>
      <c r="M1739">
        <v>1500336000</v>
      </c>
      <c r="N1739" t="s">
        <v>1628</v>
      </c>
      <c r="O1739" t="s">
        <v>1628</v>
      </c>
      <c r="P1739" t="s">
        <v>1628</v>
      </c>
      <c r="Q1739">
        <f>LEN(AMAZON_FASHION_5__2[[#This Row],[reviewText]])</f>
        <v>124</v>
      </c>
      <c r="R1739" t="str">
        <f>IF(AMAZON_FASHION_5__2[[#This Row],[overall]]&gt;=4,"Positive",IF(AMAZON_FASHION_5__2[[#This Row],[overall]]&lt;=2,"Negative","Neutral"))</f>
        <v>Positive</v>
      </c>
      <c r="S17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40" spans="1:19" x14ac:dyDescent="0.25">
      <c r="A1740">
        <v>4</v>
      </c>
      <c r="B1740" t="b">
        <v>1</v>
      </c>
      <c r="C1740" s="1">
        <v>42934</v>
      </c>
      <c r="D1740">
        <f>YEAR(AMAZON_FASHION_5__2[[#This Row],[reviewDate]])</f>
        <v>2017</v>
      </c>
      <c r="E1740" s="1" t="str">
        <f>TEXT(AMAZON_FASHION_5__2[[#This Row],[reviewDate]], "mmmm")</f>
        <v>July</v>
      </c>
      <c r="F1740" t="s">
        <v>687</v>
      </c>
      <c r="G1740" t="s">
        <v>1490</v>
      </c>
      <c r="H1740" t="s">
        <v>235</v>
      </c>
      <c r="I1740" t="s">
        <v>344</v>
      </c>
      <c r="J1740" t="s">
        <v>688</v>
      </c>
      <c r="K1740" t="s">
        <v>689</v>
      </c>
      <c r="L1740" t="s">
        <v>103</v>
      </c>
      <c r="M1740">
        <v>1500336000</v>
      </c>
      <c r="N1740" t="s">
        <v>1628</v>
      </c>
      <c r="O1740" t="s">
        <v>1628</v>
      </c>
      <c r="P1740" t="s">
        <v>1628</v>
      </c>
      <c r="Q1740">
        <f>LEN(AMAZON_FASHION_5__2[[#This Row],[reviewText]])</f>
        <v>28</v>
      </c>
      <c r="R1740" t="str">
        <f>IF(AMAZON_FASHION_5__2[[#This Row],[overall]]&gt;=4,"Positive",IF(AMAZON_FASHION_5__2[[#This Row],[overall]]&lt;=2,"Negative","Neutral"))</f>
        <v>Positive</v>
      </c>
      <c r="S17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41" spans="1:19" x14ac:dyDescent="0.25">
      <c r="A1741">
        <v>5</v>
      </c>
      <c r="B1741" t="b">
        <v>1</v>
      </c>
      <c r="C1741" s="1">
        <v>42934</v>
      </c>
      <c r="D1741">
        <f>YEAR(AMAZON_FASHION_5__2[[#This Row],[reviewDate]])</f>
        <v>2017</v>
      </c>
      <c r="E1741" s="1" t="str">
        <f>TEXT(AMAZON_FASHION_5__2[[#This Row],[reviewDate]], "mmmm")</f>
        <v>July</v>
      </c>
      <c r="F1741" t="s">
        <v>690</v>
      </c>
      <c r="G1741" t="s">
        <v>1490</v>
      </c>
      <c r="H1741" t="s">
        <v>197</v>
      </c>
      <c r="I1741" t="s">
        <v>198</v>
      </c>
      <c r="J1741" t="s">
        <v>691</v>
      </c>
      <c r="K1741" t="s">
        <v>692</v>
      </c>
      <c r="L1741" t="s">
        <v>693</v>
      </c>
      <c r="M1741">
        <v>1500336000</v>
      </c>
      <c r="N1741" t="s">
        <v>1628</v>
      </c>
      <c r="O1741" t="s">
        <v>1628</v>
      </c>
      <c r="P1741" t="s">
        <v>1628</v>
      </c>
      <c r="Q1741">
        <f>LEN(AMAZON_FASHION_5__2[[#This Row],[reviewText]])</f>
        <v>184</v>
      </c>
      <c r="R1741" t="str">
        <f>IF(AMAZON_FASHION_5__2[[#This Row],[overall]]&gt;=4,"Positive",IF(AMAZON_FASHION_5__2[[#This Row],[overall]]&lt;=2,"Negative","Neutral"))</f>
        <v>Positive</v>
      </c>
      <c r="S17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42" spans="1:19" x14ac:dyDescent="0.25">
      <c r="A1742">
        <v>5</v>
      </c>
      <c r="B1742" t="b">
        <v>1</v>
      </c>
      <c r="C1742" s="1">
        <v>42934</v>
      </c>
      <c r="D1742">
        <f>YEAR(AMAZON_FASHION_5__2[[#This Row],[reviewDate]])</f>
        <v>2017</v>
      </c>
      <c r="E1742" s="1" t="str">
        <f>TEXT(AMAZON_FASHION_5__2[[#This Row],[reviewDate]], "mmmm")</f>
        <v>July</v>
      </c>
      <c r="F1742" t="s">
        <v>694</v>
      </c>
      <c r="G1742" t="s">
        <v>1490</v>
      </c>
      <c r="H1742" t="s">
        <v>205</v>
      </c>
      <c r="I1742" t="s">
        <v>198</v>
      </c>
      <c r="J1742" t="s">
        <v>695</v>
      </c>
      <c r="K1742" t="s">
        <v>18</v>
      </c>
      <c r="L1742" t="s">
        <v>17</v>
      </c>
      <c r="M1742">
        <v>1500336000</v>
      </c>
      <c r="N1742" t="s">
        <v>1628</v>
      </c>
      <c r="O1742" t="s">
        <v>1628</v>
      </c>
      <c r="P1742" t="s">
        <v>1628</v>
      </c>
      <c r="Q1742">
        <f>LEN(AMAZON_FASHION_5__2[[#This Row],[reviewText]])</f>
        <v>0</v>
      </c>
      <c r="R1742" t="str">
        <f>IF(AMAZON_FASHION_5__2[[#This Row],[overall]]&gt;=4,"Positive",IF(AMAZON_FASHION_5__2[[#This Row],[overall]]&lt;=2,"Negative","Neutral"))</f>
        <v>Positive</v>
      </c>
      <c r="S17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43" spans="1:19" x14ac:dyDescent="0.25">
      <c r="A1743">
        <v>5</v>
      </c>
      <c r="B1743" t="b">
        <v>1</v>
      </c>
      <c r="C1743" s="1">
        <v>42934</v>
      </c>
      <c r="D1743">
        <f>YEAR(AMAZON_FASHION_5__2[[#This Row],[reviewDate]])</f>
        <v>2017</v>
      </c>
      <c r="E1743" s="1" t="str">
        <f>TEXT(AMAZON_FASHION_5__2[[#This Row],[reviewDate]], "mmmm")</f>
        <v>July</v>
      </c>
      <c r="F1743" t="s">
        <v>696</v>
      </c>
      <c r="G1743" t="s">
        <v>1490</v>
      </c>
      <c r="H1743" t="s">
        <v>210</v>
      </c>
      <c r="I1743" t="s">
        <v>99</v>
      </c>
      <c r="J1743" t="s">
        <v>697</v>
      </c>
      <c r="K1743" t="s">
        <v>276</v>
      </c>
      <c r="L1743" t="s">
        <v>17</v>
      </c>
      <c r="M1743">
        <v>1500336000</v>
      </c>
      <c r="N1743" t="s">
        <v>1628</v>
      </c>
      <c r="O1743" t="s">
        <v>1628</v>
      </c>
      <c r="P1743" t="s">
        <v>1628</v>
      </c>
      <c r="Q1743">
        <f>LEN(AMAZON_FASHION_5__2[[#This Row],[reviewText]])</f>
        <v>4</v>
      </c>
      <c r="R1743" t="str">
        <f>IF(AMAZON_FASHION_5__2[[#This Row],[overall]]&gt;=4,"Positive",IF(AMAZON_FASHION_5__2[[#This Row],[overall]]&lt;=2,"Negative","Neutral"))</f>
        <v>Positive</v>
      </c>
      <c r="S17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44" spans="1:19" x14ac:dyDescent="0.25">
      <c r="A1744">
        <v>5</v>
      </c>
      <c r="B1744" t="b">
        <v>1</v>
      </c>
      <c r="C1744" s="1">
        <v>42934</v>
      </c>
      <c r="D1744">
        <f>YEAR(AMAZON_FASHION_5__2[[#This Row],[reviewDate]])</f>
        <v>2017</v>
      </c>
      <c r="E1744" s="1" t="str">
        <f>TEXT(AMAZON_FASHION_5__2[[#This Row],[reviewDate]], "mmmm")</f>
        <v>July</v>
      </c>
      <c r="F1744" t="s">
        <v>698</v>
      </c>
      <c r="G1744" t="s">
        <v>1490</v>
      </c>
      <c r="H1744" t="s">
        <v>210</v>
      </c>
      <c r="I1744" t="s">
        <v>642</v>
      </c>
      <c r="J1744" t="s">
        <v>63</v>
      </c>
      <c r="K1744" t="s">
        <v>699</v>
      </c>
      <c r="L1744" t="s">
        <v>700</v>
      </c>
      <c r="M1744">
        <v>1500336000</v>
      </c>
      <c r="N1744" t="s">
        <v>1628</v>
      </c>
      <c r="O1744" t="s">
        <v>1628</v>
      </c>
      <c r="P1744" t="s">
        <v>1628</v>
      </c>
      <c r="Q1744">
        <f>LEN(AMAZON_FASHION_5__2[[#This Row],[reviewText]])</f>
        <v>99</v>
      </c>
      <c r="R1744" t="str">
        <f>IF(AMAZON_FASHION_5__2[[#This Row],[overall]]&gt;=4,"Positive",IF(AMAZON_FASHION_5__2[[#This Row],[overall]]&lt;=2,"Negative","Neutral"))</f>
        <v>Positive</v>
      </c>
      <c r="S17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45" spans="1:19" x14ac:dyDescent="0.25">
      <c r="A1745">
        <v>5</v>
      </c>
      <c r="B1745" t="b">
        <v>1</v>
      </c>
      <c r="C1745" s="1">
        <v>42934</v>
      </c>
      <c r="D1745">
        <f>YEAR(AMAZON_FASHION_5__2[[#This Row],[reviewDate]])</f>
        <v>2017</v>
      </c>
      <c r="E1745" s="1" t="str">
        <f>TEXT(AMAZON_FASHION_5__2[[#This Row],[reviewDate]], "mmmm")</f>
        <v>July</v>
      </c>
      <c r="F1745" t="s">
        <v>701</v>
      </c>
      <c r="G1745" t="s">
        <v>1490</v>
      </c>
      <c r="H1745" t="s">
        <v>201</v>
      </c>
      <c r="I1745" t="s">
        <v>198</v>
      </c>
      <c r="J1745" t="s">
        <v>702</v>
      </c>
      <c r="K1745" t="s">
        <v>703</v>
      </c>
      <c r="L1745" t="s">
        <v>704</v>
      </c>
      <c r="M1745">
        <v>1500336000</v>
      </c>
      <c r="N1745" t="s">
        <v>1628</v>
      </c>
      <c r="O1745" t="s">
        <v>1628</v>
      </c>
      <c r="P1745" t="s">
        <v>1628</v>
      </c>
      <c r="Q1745">
        <f>LEN(AMAZON_FASHION_5__2[[#This Row],[reviewText]])</f>
        <v>178</v>
      </c>
      <c r="R1745" t="str">
        <f>IF(AMAZON_FASHION_5__2[[#This Row],[overall]]&gt;=4,"Positive",IF(AMAZON_FASHION_5__2[[#This Row],[overall]]&lt;=2,"Negative","Neutral"))</f>
        <v>Positive</v>
      </c>
      <c r="S17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46" spans="1:19" x14ac:dyDescent="0.25">
      <c r="A1746">
        <v>5</v>
      </c>
      <c r="B1746" t="b">
        <v>1</v>
      </c>
      <c r="C1746" s="1">
        <v>42931</v>
      </c>
      <c r="D1746">
        <f>YEAR(AMAZON_FASHION_5__2[[#This Row],[reviewDate]])</f>
        <v>2017</v>
      </c>
      <c r="E1746" s="1" t="str">
        <f>TEXT(AMAZON_FASHION_5__2[[#This Row],[reviewDate]], "mmmm")</f>
        <v>July</v>
      </c>
      <c r="F1746" t="s">
        <v>705</v>
      </c>
      <c r="G1746" t="s">
        <v>1490</v>
      </c>
      <c r="H1746" t="s">
        <v>205</v>
      </c>
      <c r="I1746" t="s">
        <v>396</v>
      </c>
      <c r="J1746" t="s">
        <v>706</v>
      </c>
      <c r="K1746" t="s">
        <v>707</v>
      </c>
      <c r="L1746" t="s">
        <v>17</v>
      </c>
      <c r="M1746">
        <v>1500076800</v>
      </c>
      <c r="N1746" t="s">
        <v>1628</v>
      </c>
      <c r="O1746" t="s">
        <v>1628</v>
      </c>
      <c r="P1746" t="s">
        <v>1628</v>
      </c>
      <c r="Q1746">
        <f>LEN(AMAZON_FASHION_5__2[[#This Row],[reviewText]])</f>
        <v>30</v>
      </c>
      <c r="R1746" t="str">
        <f>IF(AMAZON_FASHION_5__2[[#This Row],[overall]]&gt;=4,"Positive",IF(AMAZON_FASHION_5__2[[#This Row],[overall]]&lt;=2,"Negative","Neutral"))</f>
        <v>Positive</v>
      </c>
      <c r="S17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47" spans="1:19" x14ac:dyDescent="0.25">
      <c r="A1747">
        <v>3</v>
      </c>
      <c r="B1747" t="b">
        <v>1</v>
      </c>
      <c r="C1747" s="1">
        <v>42931</v>
      </c>
      <c r="D1747">
        <f>YEAR(AMAZON_FASHION_5__2[[#This Row],[reviewDate]])</f>
        <v>2017</v>
      </c>
      <c r="E1747" s="1" t="str">
        <f>TEXT(AMAZON_FASHION_5__2[[#This Row],[reviewDate]], "mmmm")</f>
        <v>July</v>
      </c>
      <c r="F1747" t="s">
        <v>708</v>
      </c>
      <c r="G1747" t="s">
        <v>1490</v>
      </c>
      <c r="H1747" t="s">
        <v>230</v>
      </c>
      <c r="I1747" t="s">
        <v>274</v>
      </c>
      <c r="J1747" t="s">
        <v>709</v>
      </c>
      <c r="K1747" t="s">
        <v>710</v>
      </c>
      <c r="L1747" t="s">
        <v>711</v>
      </c>
      <c r="M1747">
        <v>1500076800</v>
      </c>
      <c r="N1747" t="s">
        <v>1628</v>
      </c>
      <c r="O1747" t="s">
        <v>1628</v>
      </c>
      <c r="P1747" t="s">
        <v>1628</v>
      </c>
      <c r="Q1747">
        <f>LEN(AMAZON_FASHION_5__2[[#This Row],[reviewText]])</f>
        <v>130</v>
      </c>
      <c r="R1747" t="str">
        <f>IF(AMAZON_FASHION_5__2[[#This Row],[overall]]&gt;=4,"Positive",IF(AMAZON_FASHION_5__2[[#This Row],[overall]]&lt;=2,"Negative","Neutral"))</f>
        <v>Neutral</v>
      </c>
      <c r="S17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48" spans="1:19" x14ac:dyDescent="0.25">
      <c r="A1748">
        <v>5</v>
      </c>
      <c r="B1748" t="b">
        <v>1</v>
      </c>
      <c r="C1748" s="1">
        <v>42925</v>
      </c>
      <c r="D1748">
        <f>YEAR(AMAZON_FASHION_5__2[[#This Row],[reviewDate]])</f>
        <v>2017</v>
      </c>
      <c r="E1748" s="1" t="str">
        <f>TEXT(AMAZON_FASHION_5__2[[#This Row],[reviewDate]], "mmmm")</f>
        <v>July</v>
      </c>
      <c r="F1748" t="s">
        <v>712</v>
      </c>
      <c r="G1748" t="s">
        <v>1490</v>
      </c>
      <c r="H1748" t="s">
        <v>477</v>
      </c>
      <c r="I1748" t="s">
        <v>419</v>
      </c>
      <c r="J1748" t="s">
        <v>713</v>
      </c>
      <c r="K1748" t="s">
        <v>714</v>
      </c>
      <c r="L1748" t="s">
        <v>715</v>
      </c>
      <c r="M1748">
        <v>1499558400</v>
      </c>
      <c r="N1748" t="s">
        <v>1628</v>
      </c>
      <c r="O1748" t="s">
        <v>1628</v>
      </c>
      <c r="P1748" t="s">
        <v>1628</v>
      </c>
      <c r="Q1748">
        <f>LEN(AMAZON_FASHION_5__2[[#This Row],[reviewText]])</f>
        <v>112</v>
      </c>
      <c r="R1748" t="str">
        <f>IF(AMAZON_FASHION_5__2[[#This Row],[overall]]&gt;=4,"Positive",IF(AMAZON_FASHION_5__2[[#This Row],[overall]]&lt;=2,"Negative","Neutral"))</f>
        <v>Positive</v>
      </c>
      <c r="S17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49" spans="1:19" x14ac:dyDescent="0.25">
      <c r="A1749">
        <v>5</v>
      </c>
      <c r="B1749" t="b">
        <v>1</v>
      </c>
      <c r="C1749" s="1">
        <v>42924</v>
      </c>
      <c r="D1749">
        <f>YEAR(AMAZON_FASHION_5__2[[#This Row],[reviewDate]])</f>
        <v>2017</v>
      </c>
      <c r="E1749" s="1" t="str">
        <f>TEXT(AMAZON_FASHION_5__2[[#This Row],[reviewDate]], "mmmm")</f>
        <v>July</v>
      </c>
      <c r="F1749" t="s">
        <v>716</v>
      </c>
      <c r="G1749" t="s">
        <v>1490</v>
      </c>
      <c r="H1749" t="s">
        <v>717</v>
      </c>
      <c r="I1749" t="s">
        <v>336</v>
      </c>
      <c r="J1749" t="s">
        <v>718</v>
      </c>
      <c r="K1749" t="s">
        <v>719</v>
      </c>
      <c r="L1749" t="s">
        <v>720</v>
      </c>
      <c r="M1749">
        <v>1499472000</v>
      </c>
      <c r="N1749" t="s">
        <v>1628</v>
      </c>
      <c r="O1749" t="s">
        <v>1628</v>
      </c>
      <c r="P1749" t="s">
        <v>1628</v>
      </c>
      <c r="Q1749">
        <f>LEN(AMAZON_FASHION_5__2[[#This Row],[reviewText]])</f>
        <v>22</v>
      </c>
      <c r="R1749" t="str">
        <f>IF(AMAZON_FASHION_5__2[[#This Row],[overall]]&gt;=4,"Positive",IF(AMAZON_FASHION_5__2[[#This Row],[overall]]&lt;=2,"Negative","Neutral"))</f>
        <v>Positive</v>
      </c>
      <c r="S17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50" spans="1:19" x14ac:dyDescent="0.25">
      <c r="A1750">
        <v>4</v>
      </c>
      <c r="B1750" t="b">
        <v>1</v>
      </c>
      <c r="C1750" s="1">
        <v>42923</v>
      </c>
      <c r="D1750">
        <f>YEAR(AMAZON_FASHION_5__2[[#This Row],[reviewDate]])</f>
        <v>2017</v>
      </c>
      <c r="E1750" s="1" t="str">
        <f>TEXT(AMAZON_FASHION_5__2[[#This Row],[reviewDate]], "mmmm")</f>
        <v>July</v>
      </c>
      <c r="F1750" t="s">
        <v>721</v>
      </c>
      <c r="G1750" t="s">
        <v>1490</v>
      </c>
      <c r="H1750" t="s">
        <v>201</v>
      </c>
      <c r="I1750" t="s">
        <v>198</v>
      </c>
      <c r="J1750" t="s">
        <v>722</v>
      </c>
      <c r="K1750" t="s">
        <v>723</v>
      </c>
      <c r="L1750" t="s">
        <v>724</v>
      </c>
      <c r="M1750">
        <v>1499385600</v>
      </c>
      <c r="N1750" t="s">
        <v>1628</v>
      </c>
      <c r="O1750" t="s">
        <v>1628</v>
      </c>
      <c r="P1750" t="s">
        <v>1628</v>
      </c>
      <c r="Q1750">
        <f>LEN(AMAZON_FASHION_5__2[[#This Row],[reviewText]])</f>
        <v>453</v>
      </c>
      <c r="R1750" t="str">
        <f>IF(AMAZON_FASHION_5__2[[#This Row],[overall]]&gt;=4,"Positive",IF(AMAZON_FASHION_5__2[[#This Row],[overall]]&lt;=2,"Negative","Neutral"))</f>
        <v>Positive</v>
      </c>
      <c r="S17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51" spans="1:19" x14ac:dyDescent="0.25">
      <c r="A1751">
        <v>3</v>
      </c>
      <c r="B1751" t="b">
        <v>0</v>
      </c>
      <c r="C1751" s="1">
        <v>42917</v>
      </c>
      <c r="D1751">
        <f>YEAR(AMAZON_FASHION_5__2[[#This Row],[reviewDate]])</f>
        <v>2017</v>
      </c>
      <c r="E1751" s="1" t="str">
        <f>TEXT(AMAZON_FASHION_5__2[[#This Row],[reviewDate]], "mmmm")</f>
        <v>July</v>
      </c>
      <c r="F1751" t="s">
        <v>725</v>
      </c>
      <c r="G1751" t="s">
        <v>1490</v>
      </c>
      <c r="H1751" t="s">
        <v>261</v>
      </c>
      <c r="I1751" t="s">
        <v>99</v>
      </c>
      <c r="J1751" t="s">
        <v>726</v>
      </c>
      <c r="K1751" t="s">
        <v>727</v>
      </c>
      <c r="L1751" t="s">
        <v>728</v>
      </c>
      <c r="M1751">
        <v>1498867200</v>
      </c>
      <c r="N1751" t="s">
        <v>1628</v>
      </c>
      <c r="O1751" t="s">
        <v>1628</v>
      </c>
      <c r="P1751" t="s">
        <v>1628</v>
      </c>
      <c r="Q1751">
        <f>LEN(AMAZON_FASHION_5__2[[#This Row],[reviewText]])</f>
        <v>566</v>
      </c>
      <c r="R1751" t="str">
        <f>IF(AMAZON_FASHION_5__2[[#This Row],[overall]]&gt;=4,"Positive",IF(AMAZON_FASHION_5__2[[#This Row],[overall]]&lt;=2,"Negative","Neutral"))</f>
        <v>Neutral</v>
      </c>
      <c r="S17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52" spans="1:19" x14ac:dyDescent="0.25">
      <c r="A1752">
        <v>5</v>
      </c>
      <c r="B1752" t="b">
        <v>1</v>
      </c>
      <c r="C1752" s="1">
        <v>42916</v>
      </c>
      <c r="D1752">
        <f>YEAR(AMAZON_FASHION_5__2[[#This Row],[reviewDate]])</f>
        <v>2017</v>
      </c>
      <c r="E1752" s="1" t="str">
        <f>TEXT(AMAZON_FASHION_5__2[[#This Row],[reviewDate]], "mmmm")</f>
        <v>June</v>
      </c>
      <c r="F1752" t="s">
        <v>729</v>
      </c>
      <c r="G1752" t="s">
        <v>1490</v>
      </c>
      <c r="H1752" t="s">
        <v>201</v>
      </c>
      <c r="I1752" t="s">
        <v>198</v>
      </c>
      <c r="J1752" t="s">
        <v>730</v>
      </c>
      <c r="K1752" t="s">
        <v>731</v>
      </c>
      <c r="L1752" t="s">
        <v>732</v>
      </c>
      <c r="M1752">
        <v>1498780800</v>
      </c>
      <c r="N1752" t="s">
        <v>1628</v>
      </c>
      <c r="O1752" t="s">
        <v>1628</v>
      </c>
      <c r="P1752" t="s">
        <v>1628</v>
      </c>
      <c r="Q1752">
        <f>LEN(AMAZON_FASHION_5__2[[#This Row],[reviewText]])</f>
        <v>5</v>
      </c>
      <c r="R1752" t="str">
        <f>IF(AMAZON_FASHION_5__2[[#This Row],[overall]]&gt;=4,"Positive",IF(AMAZON_FASHION_5__2[[#This Row],[overall]]&lt;=2,"Negative","Neutral"))</f>
        <v>Positive</v>
      </c>
      <c r="S17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53" spans="1:19" x14ac:dyDescent="0.25">
      <c r="A1753">
        <v>5</v>
      </c>
      <c r="B1753" t="b">
        <v>1</v>
      </c>
      <c r="C1753" s="1">
        <v>42914</v>
      </c>
      <c r="D1753">
        <f>YEAR(AMAZON_FASHION_5__2[[#This Row],[reviewDate]])</f>
        <v>2017</v>
      </c>
      <c r="E1753" s="1" t="str">
        <f>TEXT(AMAZON_FASHION_5__2[[#This Row],[reviewDate]], "mmmm")</f>
        <v>June</v>
      </c>
      <c r="F1753" t="s">
        <v>733</v>
      </c>
      <c r="G1753" t="s">
        <v>1490</v>
      </c>
      <c r="H1753" t="s">
        <v>235</v>
      </c>
      <c r="I1753" t="s">
        <v>493</v>
      </c>
      <c r="J1753" t="s">
        <v>734</v>
      </c>
      <c r="K1753" t="s">
        <v>735</v>
      </c>
      <c r="L1753" t="s">
        <v>17</v>
      </c>
      <c r="M1753">
        <v>1498608000</v>
      </c>
      <c r="N1753" t="s">
        <v>1628</v>
      </c>
      <c r="O1753" t="s">
        <v>1628</v>
      </c>
      <c r="P1753" t="s">
        <v>1628</v>
      </c>
      <c r="Q1753">
        <f>LEN(AMAZON_FASHION_5__2[[#This Row],[reviewText]])</f>
        <v>18</v>
      </c>
      <c r="R1753" t="str">
        <f>IF(AMAZON_FASHION_5__2[[#This Row],[overall]]&gt;=4,"Positive",IF(AMAZON_FASHION_5__2[[#This Row],[overall]]&lt;=2,"Negative","Neutral"))</f>
        <v>Positive</v>
      </c>
      <c r="S17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54" spans="1:19" x14ac:dyDescent="0.25">
      <c r="A1754">
        <v>5</v>
      </c>
      <c r="B1754" t="b">
        <v>1</v>
      </c>
      <c r="C1754" s="1">
        <v>42912</v>
      </c>
      <c r="D1754">
        <f>YEAR(AMAZON_FASHION_5__2[[#This Row],[reviewDate]])</f>
        <v>2017</v>
      </c>
      <c r="E1754" s="1" t="str">
        <f>TEXT(AMAZON_FASHION_5__2[[#This Row],[reviewDate]], "mmmm")</f>
        <v>June</v>
      </c>
      <c r="F1754" t="s">
        <v>736</v>
      </c>
      <c r="G1754" t="s">
        <v>1490</v>
      </c>
      <c r="H1754" t="s">
        <v>201</v>
      </c>
      <c r="I1754" t="s">
        <v>524</v>
      </c>
      <c r="J1754" t="s">
        <v>737</v>
      </c>
      <c r="K1754" t="s">
        <v>738</v>
      </c>
      <c r="L1754" t="s">
        <v>17</v>
      </c>
      <c r="M1754">
        <v>1498435200</v>
      </c>
      <c r="N1754" t="s">
        <v>1628</v>
      </c>
      <c r="O1754" t="s">
        <v>1628</v>
      </c>
      <c r="P1754" t="s">
        <v>1628</v>
      </c>
      <c r="Q1754">
        <f>LEN(AMAZON_FASHION_5__2[[#This Row],[reviewText]])</f>
        <v>8</v>
      </c>
      <c r="R1754" t="str">
        <f>IF(AMAZON_FASHION_5__2[[#This Row],[overall]]&gt;=4,"Positive",IF(AMAZON_FASHION_5__2[[#This Row],[overall]]&lt;=2,"Negative","Neutral"))</f>
        <v>Positive</v>
      </c>
      <c r="S17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55" spans="1:19" x14ac:dyDescent="0.25">
      <c r="A1755">
        <v>5</v>
      </c>
      <c r="B1755" t="b">
        <v>1</v>
      </c>
      <c r="C1755" s="1">
        <v>42907</v>
      </c>
      <c r="D1755">
        <f>YEAR(AMAZON_FASHION_5__2[[#This Row],[reviewDate]])</f>
        <v>2017</v>
      </c>
      <c r="E1755" s="1" t="str">
        <f>TEXT(AMAZON_FASHION_5__2[[#This Row],[reviewDate]], "mmmm")</f>
        <v>June</v>
      </c>
      <c r="F1755" t="s">
        <v>739</v>
      </c>
      <c r="G1755" t="s">
        <v>1490</v>
      </c>
      <c r="H1755" t="s">
        <v>210</v>
      </c>
      <c r="I1755" t="s">
        <v>303</v>
      </c>
      <c r="J1755" t="s">
        <v>63</v>
      </c>
      <c r="K1755" t="s">
        <v>740</v>
      </c>
      <c r="L1755" t="s">
        <v>741</v>
      </c>
      <c r="M1755">
        <v>1498003200</v>
      </c>
      <c r="N1755" t="s">
        <v>1628</v>
      </c>
      <c r="O1755" t="s">
        <v>1628</v>
      </c>
      <c r="P1755" t="s">
        <v>1628</v>
      </c>
      <c r="Q1755">
        <f>LEN(AMAZON_FASHION_5__2[[#This Row],[reviewText]])</f>
        <v>141</v>
      </c>
      <c r="R1755" t="str">
        <f>IF(AMAZON_FASHION_5__2[[#This Row],[overall]]&gt;=4,"Positive",IF(AMAZON_FASHION_5__2[[#This Row],[overall]]&lt;=2,"Negative","Neutral"))</f>
        <v>Positive</v>
      </c>
      <c r="S17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56" spans="1:19" x14ac:dyDescent="0.25">
      <c r="A1756">
        <v>5</v>
      </c>
      <c r="B1756" t="b">
        <v>1</v>
      </c>
      <c r="C1756" s="1">
        <v>42906</v>
      </c>
      <c r="D1756">
        <f>YEAR(AMAZON_FASHION_5__2[[#This Row],[reviewDate]])</f>
        <v>2017</v>
      </c>
      <c r="E1756" s="1" t="str">
        <f>TEXT(AMAZON_FASHION_5__2[[#This Row],[reviewDate]], "mmmm")</f>
        <v>June</v>
      </c>
      <c r="F1756" t="s">
        <v>742</v>
      </c>
      <c r="G1756" t="s">
        <v>1490</v>
      </c>
      <c r="H1756" t="s">
        <v>1488</v>
      </c>
      <c r="I1756" t="s">
        <v>336</v>
      </c>
      <c r="J1756" t="s">
        <v>743</v>
      </c>
      <c r="K1756" t="s">
        <v>744</v>
      </c>
      <c r="L1756" t="s">
        <v>745</v>
      </c>
      <c r="M1756">
        <v>1497916800</v>
      </c>
      <c r="N1756" t="s">
        <v>1628</v>
      </c>
      <c r="O1756" t="s">
        <v>1628</v>
      </c>
      <c r="P1756" t="s">
        <v>1628</v>
      </c>
      <c r="Q1756">
        <f>LEN(AMAZON_FASHION_5__2[[#This Row],[reviewText]])</f>
        <v>275</v>
      </c>
      <c r="R1756" t="str">
        <f>IF(AMAZON_FASHION_5__2[[#This Row],[overall]]&gt;=4,"Positive",IF(AMAZON_FASHION_5__2[[#This Row],[overall]]&lt;=2,"Negative","Neutral"))</f>
        <v>Positive</v>
      </c>
      <c r="S17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57" spans="1:19" x14ac:dyDescent="0.25">
      <c r="A1757">
        <v>5</v>
      </c>
      <c r="B1757" t="b">
        <v>1</v>
      </c>
      <c r="C1757" s="1">
        <v>42906</v>
      </c>
      <c r="D1757">
        <f>YEAR(AMAZON_FASHION_5__2[[#This Row],[reviewDate]])</f>
        <v>2017</v>
      </c>
      <c r="E1757" s="1" t="str">
        <f>TEXT(AMAZON_FASHION_5__2[[#This Row],[reviewDate]], "mmmm")</f>
        <v>June</v>
      </c>
      <c r="F1757" t="s">
        <v>746</v>
      </c>
      <c r="G1757" t="s">
        <v>1490</v>
      </c>
      <c r="H1757" t="s">
        <v>201</v>
      </c>
      <c r="I1757" t="s">
        <v>198</v>
      </c>
      <c r="J1757" t="s">
        <v>747</v>
      </c>
      <c r="K1757" t="s">
        <v>748</v>
      </c>
      <c r="L1757" t="s">
        <v>749</v>
      </c>
      <c r="M1757">
        <v>1497916800</v>
      </c>
      <c r="N1757" t="s">
        <v>1628</v>
      </c>
      <c r="O1757" t="s">
        <v>1628</v>
      </c>
      <c r="P1757" t="s">
        <v>1628</v>
      </c>
      <c r="Q1757">
        <f>LEN(AMAZON_FASHION_5__2[[#This Row],[reviewText]])</f>
        <v>69</v>
      </c>
      <c r="R1757" t="str">
        <f>IF(AMAZON_FASHION_5__2[[#This Row],[overall]]&gt;=4,"Positive",IF(AMAZON_FASHION_5__2[[#This Row],[overall]]&lt;=2,"Negative","Neutral"))</f>
        <v>Positive</v>
      </c>
      <c r="S17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58" spans="1:19" x14ac:dyDescent="0.25">
      <c r="A1758">
        <v>4</v>
      </c>
      <c r="B1758" t="b">
        <v>1</v>
      </c>
      <c r="C1758" s="1">
        <v>42905</v>
      </c>
      <c r="D1758">
        <f>YEAR(AMAZON_FASHION_5__2[[#This Row],[reviewDate]])</f>
        <v>2017</v>
      </c>
      <c r="E1758" s="1" t="str">
        <f>TEXT(AMAZON_FASHION_5__2[[#This Row],[reviewDate]], "mmmm")</f>
        <v>June</v>
      </c>
      <c r="F1758" t="s">
        <v>750</v>
      </c>
      <c r="G1758" t="s">
        <v>1490</v>
      </c>
      <c r="H1758" t="s">
        <v>201</v>
      </c>
      <c r="I1758" t="s">
        <v>198</v>
      </c>
      <c r="J1758" t="s">
        <v>751</v>
      </c>
      <c r="K1758" t="s">
        <v>752</v>
      </c>
      <c r="L1758" t="s">
        <v>103</v>
      </c>
      <c r="M1758">
        <v>1497830400</v>
      </c>
      <c r="N1758" t="s">
        <v>1628</v>
      </c>
      <c r="O1758" t="s">
        <v>1628</v>
      </c>
      <c r="P1758" t="s">
        <v>1628</v>
      </c>
      <c r="Q1758">
        <f>LEN(AMAZON_FASHION_5__2[[#This Row],[reviewText]])</f>
        <v>12</v>
      </c>
      <c r="R1758" t="str">
        <f>IF(AMAZON_FASHION_5__2[[#This Row],[overall]]&gt;=4,"Positive",IF(AMAZON_FASHION_5__2[[#This Row],[overall]]&lt;=2,"Negative","Neutral"))</f>
        <v>Positive</v>
      </c>
      <c r="S17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59" spans="1:19" x14ac:dyDescent="0.25">
      <c r="A1759">
        <v>5</v>
      </c>
      <c r="B1759" t="b">
        <v>1</v>
      </c>
      <c r="C1759" s="1">
        <v>42905</v>
      </c>
      <c r="D1759">
        <f>YEAR(AMAZON_FASHION_5__2[[#This Row],[reviewDate]])</f>
        <v>2017</v>
      </c>
      <c r="E1759" s="1" t="str">
        <f>TEXT(AMAZON_FASHION_5__2[[#This Row],[reviewDate]], "mmmm")</f>
        <v>June</v>
      </c>
      <c r="F1759" t="s">
        <v>753</v>
      </c>
      <c r="G1759" t="s">
        <v>1490</v>
      </c>
      <c r="H1759" t="s">
        <v>284</v>
      </c>
      <c r="I1759" t="s">
        <v>198</v>
      </c>
      <c r="J1759" t="s">
        <v>754</v>
      </c>
      <c r="K1759" t="s">
        <v>755</v>
      </c>
      <c r="L1759" t="s">
        <v>756</v>
      </c>
      <c r="M1759">
        <v>1497830400</v>
      </c>
      <c r="N1759" t="s">
        <v>1628</v>
      </c>
      <c r="O1759" t="s">
        <v>1628</v>
      </c>
      <c r="P1759" t="s">
        <v>1628</v>
      </c>
      <c r="Q1759">
        <f>LEN(AMAZON_FASHION_5__2[[#This Row],[reviewText]])</f>
        <v>108</v>
      </c>
      <c r="R1759" t="str">
        <f>IF(AMAZON_FASHION_5__2[[#This Row],[overall]]&gt;=4,"Positive",IF(AMAZON_FASHION_5__2[[#This Row],[overall]]&lt;=2,"Negative","Neutral"))</f>
        <v>Positive</v>
      </c>
      <c r="S17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60" spans="1:19" x14ac:dyDescent="0.25">
      <c r="A1760">
        <v>5</v>
      </c>
      <c r="B1760" t="b">
        <v>1</v>
      </c>
      <c r="C1760" s="1">
        <v>42905</v>
      </c>
      <c r="D1760">
        <f>YEAR(AMAZON_FASHION_5__2[[#This Row],[reviewDate]])</f>
        <v>2017</v>
      </c>
      <c r="E1760" s="1" t="str">
        <f>TEXT(AMAZON_FASHION_5__2[[#This Row],[reviewDate]], "mmmm")</f>
        <v>June</v>
      </c>
      <c r="F1760" t="s">
        <v>757</v>
      </c>
      <c r="G1760" t="s">
        <v>1490</v>
      </c>
      <c r="H1760" t="s">
        <v>210</v>
      </c>
      <c r="I1760" t="s">
        <v>198</v>
      </c>
      <c r="J1760" t="s">
        <v>63</v>
      </c>
      <c r="K1760" t="s">
        <v>758</v>
      </c>
      <c r="L1760" t="s">
        <v>759</v>
      </c>
      <c r="M1760">
        <v>1497830400</v>
      </c>
      <c r="N1760" t="s">
        <v>1628</v>
      </c>
      <c r="O1760" t="s">
        <v>1628</v>
      </c>
      <c r="P1760" t="s">
        <v>1628</v>
      </c>
      <c r="Q1760">
        <f>LEN(AMAZON_FASHION_5__2[[#This Row],[reviewText]])</f>
        <v>76</v>
      </c>
      <c r="R1760" t="str">
        <f>IF(AMAZON_FASHION_5__2[[#This Row],[overall]]&gt;=4,"Positive",IF(AMAZON_FASHION_5__2[[#This Row],[overall]]&lt;=2,"Negative","Neutral"))</f>
        <v>Positive</v>
      </c>
      <c r="S17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61" spans="1:19" x14ac:dyDescent="0.25">
      <c r="A1761">
        <v>3</v>
      </c>
      <c r="B1761" t="b">
        <v>1</v>
      </c>
      <c r="C1761" s="1">
        <v>42902</v>
      </c>
      <c r="D1761">
        <f>YEAR(AMAZON_FASHION_5__2[[#This Row],[reviewDate]])</f>
        <v>2017</v>
      </c>
      <c r="E1761" s="1" t="str">
        <f>TEXT(AMAZON_FASHION_5__2[[#This Row],[reviewDate]], "mmmm")</f>
        <v>June</v>
      </c>
      <c r="F1761" t="s">
        <v>760</v>
      </c>
      <c r="G1761" t="s">
        <v>1490</v>
      </c>
      <c r="H1761" t="s">
        <v>205</v>
      </c>
      <c r="I1761" t="s">
        <v>198</v>
      </c>
      <c r="J1761" t="s">
        <v>761</v>
      </c>
      <c r="K1761" t="s">
        <v>762</v>
      </c>
      <c r="L1761" t="s">
        <v>763</v>
      </c>
      <c r="M1761">
        <v>1497571200</v>
      </c>
      <c r="N1761" t="s">
        <v>1628</v>
      </c>
      <c r="O1761" t="s">
        <v>1628</v>
      </c>
      <c r="P1761" t="s">
        <v>1628</v>
      </c>
      <c r="Q1761">
        <f>LEN(AMAZON_FASHION_5__2[[#This Row],[reviewText]])</f>
        <v>468</v>
      </c>
      <c r="R1761" t="str">
        <f>IF(AMAZON_FASHION_5__2[[#This Row],[overall]]&gt;=4,"Positive",IF(AMAZON_FASHION_5__2[[#This Row],[overall]]&lt;=2,"Negative","Neutral"))</f>
        <v>Neutral</v>
      </c>
      <c r="S17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62" spans="1:19" x14ac:dyDescent="0.25">
      <c r="A1762">
        <v>5</v>
      </c>
      <c r="B1762" t="b">
        <v>1</v>
      </c>
      <c r="C1762" s="1">
        <v>42901</v>
      </c>
      <c r="D1762">
        <f>YEAR(AMAZON_FASHION_5__2[[#This Row],[reviewDate]])</f>
        <v>2017</v>
      </c>
      <c r="E1762" s="1" t="str">
        <f>TEXT(AMAZON_FASHION_5__2[[#This Row],[reviewDate]], "mmmm")</f>
        <v>June</v>
      </c>
      <c r="F1762" t="s">
        <v>764</v>
      </c>
      <c r="G1762" t="s">
        <v>1490</v>
      </c>
      <c r="H1762" t="s">
        <v>235</v>
      </c>
      <c r="I1762" t="s">
        <v>198</v>
      </c>
      <c r="J1762" t="s">
        <v>765</v>
      </c>
      <c r="K1762" t="s">
        <v>766</v>
      </c>
      <c r="L1762" t="s">
        <v>767</v>
      </c>
      <c r="M1762">
        <v>1497484800</v>
      </c>
      <c r="N1762" t="s">
        <v>1628</v>
      </c>
      <c r="O1762" t="s">
        <v>1628</v>
      </c>
      <c r="P1762" t="s">
        <v>1628</v>
      </c>
      <c r="Q1762">
        <f>LEN(AMAZON_FASHION_5__2[[#This Row],[reviewText]])</f>
        <v>125</v>
      </c>
      <c r="R1762" t="str">
        <f>IF(AMAZON_FASHION_5__2[[#This Row],[overall]]&gt;=4,"Positive",IF(AMAZON_FASHION_5__2[[#This Row],[overall]]&lt;=2,"Negative","Neutral"))</f>
        <v>Positive</v>
      </c>
      <c r="S17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63" spans="1:19" x14ac:dyDescent="0.25">
      <c r="A1763">
        <v>5</v>
      </c>
      <c r="B1763" t="b">
        <v>1</v>
      </c>
      <c r="C1763" s="1">
        <v>42901</v>
      </c>
      <c r="D1763">
        <f>YEAR(AMAZON_FASHION_5__2[[#This Row],[reviewDate]])</f>
        <v>2017</v>
      </c>
      <c r="E1763" s="1" t="str">
        <f>TEXT(AMAZON_FASHION_5__2[[#This Row],[reviewDate]], "mmmm")</f>
        <v>June</v>
      </c>
      <c r="F1763" t="s">
        <v>768</v>
      </c>
      <c r="G1763" t="s">
        <v>1490</v>
      </c>
      <c r="H1763" t="s">
        <v>210</v>
      </c>
      <c r="I1763" t="s">
        <v>419</v>
      </c>
      <c r="J1763" t="s">
        <v>769</v>
      </c>
      <c r="K1763" t="s">
        <v>770</v>
      </c>
      <c r="L1763" t="s">
        <v>17</v>
      </c>
      <c r="M1763">
        <v>1497484800</v>
      </c>
      <c r="N1763" t="s">
        <v>1628</v>
      </c>
      <c r="O1763" t="s">
        <v>1628</v>
      </c>
      <c r="P1763" t="s">
        <v>1628</v>
      </c>
      <c r="Q1763">
        <f>LEN(AMAZON_FASHION_5__2[[#This Row],[reviewText]])</f>
        <v>56</v>
      </c>
      <c r="R1763" t="str">
        <f>IF(AMAZON_FASHION_5__2[[#This Row],[overall]]&gt;=4,"Positive",IF(AMAZON_FASHION_5__2[[#This Row],[overall]]&lt;=2,"Negative","Neutral"))</f>
        <v>Positive</v>
      </c>
      <c r="S17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64" spans="1:19" x14ac:dyDescent="0.25">
      <c r="A1764">
        <v>5</v>
      </c>
      <c r="B1764" t="b">
        <v>1</v>
      </c>
      <c r="C1764" s="1">
        <v>42900</v>
      </c>
      <c r="D1764">
        <f>YEAR(AMAZON_FASHION_5__2[[#This Row],[reviewDate]])</f>
        <v>2017</v>
      </c>
      <c r="E1764" s="1" t="str">
        <f>TEXT(AMAZON_FASHION_5__2[[#This Row],[reviewDate]], "mmmm")</f>
        <v>June</v>
      </c>
      <c r="F1764" t="s">
        <v>771</v>
      </c>
      <c r="G1764" t="s">
        <v>1490</v>
      </c>
      <c r="H1764" t="s">
        <v>201</v>
      </c>
      <c r="I1764" t="s">
        <v>211</v>
      </c>
      <c r="J1764" t="s">
        <v>63</v>
      </c>
      <c r="K1764" t="s">
        <v>772</v>
      </c>
      <c r="L1764" t="s">
        <v>17</v>
      </c>
      <c r="M1764">
        <v>1497398400</v>
      </c>
      <c r="N1764" t="s">
        <v>1628</v>
      </c>
      <c r="O1764" t="s">
        <v>1628</v>
      </c>
      <c r="P1764" t="s">
        <v>1628</v>
      </c>
      <c r="Q1764">
        <f>LEN(AMAZON_FASHION_5__2[[#This Row],[reviewText]])</f>
        <v>21</v>
      </c>
      <c r="R1764" t="str">
        <f>IF(AMAZON_FASHION_5__2[[#This Row],[overall]]&gt;=4,"Positive",IF(AMAZON_FASHION_5__2[[#This Row],[overall]]&lt;=2,"Negative","Neutral"))</f>
        <v>Positive</v>
      </c>
      <c r="S17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65" spans="1:19" x14ac:dyDescent="0.25">
      <c r="A1765">
        <v>5</v>
      </c>
      <c r="B1765" t="b">
        <v>1</v>
      </c>
      <c r="C1765" s="1">
        <v>42899</v>
      </c>
      <c r="D1765">
        <f>YEAR(AMAZON_FASHION_5__2[[#This Row],[reviewDate]])</f>
        <v>2017</v>
      </c>
      <c r="E1765" s="1" t="str">
        <f>TEXT(AMAZON_FASHION_5__2[[#This Row],[reviewDate]], "mmmm")</f>
        <v>June</v>
      </c>
      <c r="F1765" t="s">
        <v>773</v>
      </c>
      <c r="G1765" t="s">
        <v>1490</v>
      </c>
      <c r="H1765" t="s">
        <v>235</v>
      </c>
      <c r="I1765" t="s">
        <v>493</v>
      </c>
      <c r="J1765" t="s">
        <v>774</v>
      </c>
      <c r="K1765" t="s">
        <v>775</v>
      </c>
      <c r="L1765" t="s">
        <v>17</v>
      </c>
      <c r="M1765">
        <v>1497312000</v>
      </c>
      <c r="N1765" t="s">
        <v>1628</v>
      </c>
      <c r="O1765" t="s">
        <v>1628</v>
      </c>
      <c r="P1765" t="s">
        <v>1628</v>
      </c>
      <c r="Q1765">
        <f>LEN(AMAZON_FASHION_5__2[[#This Row],[reviewText]])</f>
        <v>64</v>
      </c>
      <c r="R1765" t="str">
        <f>IF(AMAZON_FASHION_5__2[[#This Row],[overall]]&gt;=4,"Positive",IF(AMAZON_FASHION_5__2[[#This Row],[overall]]&lt;=2,"Negative","Neutral"))</f>
        <v>Positive</v>
      </c>
      <c r="S17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66" spans="1:19" x14ac:dyDescent="0.25">
      <c r="A1766">
        <v>5</v>
      </c>
      <c r="B1766" t="b">
        <v>1</v>
      </c>
      <c r="C1766" s="1">
        <v>42894</v>
      </c>
      <c r="D1766">
        <f>YEAR(AMAZON_FASHION_5__2[[#This Row],[reviewDate]])</f>
        <v>2017</v>
      </c>
      <c r="E1766" s="1" t="str">
        <f>TEXT(AMAZON_FASHION_5__2[[#This Row],[reviewDate]], "mmmm")</f>
        <v>June</v>
      </c>
      <c r="F1766" t="s">
        <v>776</v>
      </c>
      <c r="G1766" t="s">
        <v>1490</v>
      </c>
      <c r="H1766" t="s">
        <v>235</v>
      </c>
      <c r="I1766" t="s">
        <v>303</v>
      </c>
      <c r="J1766" t="s">
        <v>777</v>
      </c>
      <c r="K1766" t="s">
        <v>778</v>
      </c>
      <c r="L1766" t="s">
        <v>17</v>
      </c>
      <c r="M1766">
        <v>1496880000</v>
      </c>
      <c r="N1766" t="s">
        <v>1628</v>
      </c>
      <c r="O1766" t="s">
        <v>1628</v>
      </c>
      <c r="P1766" t="s">
        <v>1628</v>
      </c>
      <c r="Q1766">
        <f>LEN(AMAZON_FASHION_5__2[[#This Row],[reviewText]])</f>
        <v>27</v>
      </c>
      <c r="R1766" t="str">
        <f>IF(AMAZON_FASHION_5__2[[#This Row],[overall]]&gt;=4,"Positive",IF(AMAZON_FASHION_5__2[[#This Row],[overall]]&lt;=2,"Negative","Neutral"))</f>
        <v>Positive</v>
      </c>
      <c r="S17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67" spans="1:19" x14ac:dyDescent="0.25">
      <c r="A1767">
        <v>1</v>
      </c>
      <c r="B1767" t="b">
        <v>1</v>
      </c>
      <c r="C1767" s="1">
        <v>42891</v>
      </c>
      <c r="D1767">
        <f>YEAR(AMAZON_FASHION_5__2[[#This Row],[reviewDate]])</f>
        <v>2017</v>
      </c>
      <c r="E1767" s="1" t="str">
        <f>TEXT(AMAZON_FASHION_5__2[[#This Row],[reviewDate]], "mmmm")</f>
        <v>June</v>
      </c>
      <c r="F1767" t="s">
        <v>779</v>
      </c>
      <c r="G1767" t="s">
        <v>1490</v>
      </c>
      <c r="H1767" t="s">
        <v>1477</v>
      </c>
      <c r="I1767" t="s">
        <v>336</v>
      </c>
      <c r="J1767" t="s">
        <v>780</v>
      </c>
      <c r="K1767" t="s">
        <v>781</v>
      </c>
      <c r="L1767" t="s">
        <v>782</v>
      </c>
      <c r="M1767">
        <v>1496620800</v>
      </c>
      <c r="N1767" t="s">
        <v>1628</v>
      </c>
      <c r="O1767" t="s">
        <v>1628</v>
      </c>
      <c r="P1767" t="s">
        <v>1628</v>
      </c>
      <c r="Q1767">
        <f>LEN(AMAZON_FASHION_5__2[[#This Row],[reviewText]])</f>
        <v>75</v>
      </c>
      <c r="R1767" t="str">
        <f>IF(AMAZON_FASHION_5__2[[#This Row],[overall]]&gt;=4,"Positive",IF(AMAZON_FASHION_5__2[[#This Row],[overall]]&lt;=2,"Negative","Neutral"))</f>
        <v>Negative</v>
      </c>
      <c r="S17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68" spans="1:19" x14ac:dyDescent="0.25">
      <c r="A1768">
        <v>5</v>
      </c>
      <c r="B1768" t="b">
        <v>1</v>
      </c>
      <c r="C1768" s="1">
        <v>42888</v>
      </c>
      <c r="D1768">
        <f>YEAR(AMAZON_FASHION_5__2[[#This Row],[reviewDate]])</f>
        <v>2017</v>
      </c>
      <c r="E1768" s="1" t="str">
        <f>TEXT(AMAZON_FASHION_5__2[[#This Row],[reviewDate]], "mmmm")</f>
        <v>June</v>
      </c>
      <c r="F1768" t="s">
        <v>783</v>
      </c>
      <c r="G1768" t="s">
        <v>1490</v>
      </c>
      <c r="H1768" t="s">
        <v>230</v>
      </c>
      <c r="I1768" t="s">
        <v>198</v>
      </c>
      <c r="J1768" t="s">
        <v>784</v>
      </c>
      <c r="K1768" t="s">
        <v>785</v>
      </c>
      <c r="L1768" t="s">
        <v>17</v>
      </c>
      <c r="M1768">
        <v>1496361600</v>
      </c>
      <c r="N1768" t="s">
        <v>1628</v>
      </c>
      <c r="O1768" t="s">
        <v>1628</v>
      </c>
      <c r="P1768" t="s">
        <v>1628</v>
      </c>
      <c r="Q1768">
        <f>LEN(AMAZON_FASHION_5__2[[#This Row],[reviewText]])</f>
        <v>91</v>
      </c>
      <c r="R1768" t="str">
        <f>IF(AMAZON_FASHION_5__2[[#This Row],[overall]]&gt;=4,"Positive",IF(AMAZON_FASHION_5__2[[#This Row],[overall]]&lt;=2,"Negative","Neutral"))</f>
        <v>Positive</v>
      </c>
      <c r="S17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69" spans="1:19" x14ac:dyDescent="0.25">
      <c r="A1769">
        <v>5</v>
      </c>
      <c r="B1769" t="b">
        <v>1</v>
      </c>
      <c r="C1769" s="1">
        <v>42885</v>
      </c>
      <c r="D1769">
        <f>YEAR(AMAZON_FASHION_5__2[[#This Row],[reviewDate]])</f>
        <v>2017</v>
      </c>
      <c r="E1769" s="1" t="str">
        <f>TEXT(AMAZON_FASHION_5__2[[#This Row],[reviewDate]], "mmmm")</f>
        <v>May</v>
      </c>
      <c r="F1769" t="s">
        <v>786</v>
      </c>
      <c r="G1769" t="s">
        <v>1490</v>
      </c>
      <c r="H1769" t="s">
        <v>197</v>
      </c>
      <c r="I1769" t="s">
        <v>198</v>
      </c>
      <c r="J1769" t="s">
        <v>787</v>
      </c>
      <c r="K1769" t="s">
        <v>543</v>
      </c>
      <c r="L1769" t="s">
        <v>17</v>
      </c>
      <c r="M1769">
        <v>1496102400</v>
      </c>
      <c r="N1769" t="s">
        <v>1628</v>
      </c>
      <c r="O1769" t="s">
        <v>1628</v>
      </c>
      <c r="P1769" t="s">
        <v>1628</v>
      </c>
      <c r="Q1769">
        <f>LEN(AMAZON_FASHION_5__2[[#This Row],[reviewText]])</f>
        <v>11</v>
      </c>
      <c r="R1769" t="str">
        <f>IF(AMAZON_FASHION_5__2[[#This Row],[overall]]&gt;=4,"Positive",IF(AMAZON_FASHION_5__2[[#This Row],[overall]]&lt;=2,"Negative","Neutral"))</f>
        <v>Positive</v>
      </c>
      <c r="S17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70" spans="1:19" x14ac:dyDescent="0.25">
      <c r="A1770">
        <v>5</v>
      </c>
      <c r="B1770" t="b">
        <v>1</v>
      </c>
      <c r="C1770" s="1">
        <v>42885</v>
      </c>
      <c r="D1770">
        <f>YEAR(AMAZON_FASHION_5__2[[#This Row],[reviewDate]])</f>
        <v>2017</v>
      </c>
      <c r="E1770" s="1" t="str">
        <f>TEXT(AMAZON_FASHION_5__2[[#This Row],[reviewDate]], "mmmm")</f>
        <v>May</v>
      </c>
      <c r="F1770" t="s">
        <v>788</v>
      </c>
      <c r="G1770" t="s">
        <v>1490</v>
      </c>
      <c r="H1770" t="s">
        <v>477</v>
      </c>
      <c r="I1770" t="s">
        <v>344</v>
      </c>
      <c r="J1770" t="s">
        <v>789</v>
      </c>
      <c r="K1770" t="s">
        <v>790</v>
      </c>
      <c r="L1770" t="s">
        <v>791</v>
      </c>
      <c r="M1770">
        <v>1496102400</v>
      </c>
      <c r="N1770" t="s">
        <v>1628</v>
      </c>
      <c r="O1770" t="s">
        <v>1628</v>
      </c>
      <c r="P1770" t="s">
        <v>1628</v>
      </c>
      <c r="Q1770">
        <f>LEN(AMAZON_FASHION_5__2[[#This Row],[reviewText]])</f>
        <v>61</v>
      </c>
      <c r="R1770" t="str">
        <f>IF(AMAZON_FASHION_5__2[[#This Row],[overall]]&gt;=4,"Positive",IF(AMAZON_FASHION_5__2[[#This Row],[overall]]&lt;=2,"Negative","Neutral"))</f>
        <v>Positive</v>
      </c>
      <c r="S17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71" spans="1:19" x14ac:dyDescent="0.25">
      <c r="A1771">
        <v>4</v>
      </c>
      <c r="B1771" t="b">
        <v>1</v>
      </c>
      <c r="C1771" s="1">
        <v>42884</v>
      </c>
      <c r="D1771">
        <f>YEAR(AMAZON_FASHION_5__2[[#This Row],[reviewDate]])</f>
        <v>2017</v>
      </c>
      <c r="E1771" s="1" t="str">
        <f>TEXT(AMAZON_FASHION_5__2[[#This Row],[reviewDate]], "mmmm")</f>
        <v>May</v>
      </c>
      <c r="F1771" t="s">
        <v>792</v>
      </c>
      <c r="G1771" t="s">
        <v>1490</v>
      </c>
      <c r="H1771" t="s">
        <v>1488</v>
      </c>
      <c r="I1771" t="s">
        <v>336</v>
      </c>
      <c r="J1771" t="s">
        <v>793</v>
      </c>
      <c r="K1771" t="s">
        <v>794</v>
      </c>
      <c r="L1771" t="s">
        <v>795</v>
      </c>
      <c r="M1771">
        <v>1496016000</v>
      </c>
      <c r="N1771" t="s">
        <v>1628</v>
      </c>
      <c r="O1771" t="s">
        <v>1628</v>
      </c>
      <c r="P1771" t="s">
        <v>1628</v>
      </c>
      <c r="Q1771">
        <f>LEN(AMAZON_FASHION_5__2[[#This Row],[reviewText]])</f>
        <v>65</v>
      </c>
      <c r="R1771" t="str">
        <f>IF(AMAZON_FASHION_5__2[[#This Row],[overall]]&gt;=4,"Positive",IF(AMAZON_FASHION_5__2[[#This Row],[overall]]&lt;=2,"Negative","Neutral"))</f>
        <v>Positive</v>
      </c>
      <c r="S17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72" spans="1:19" x14ac:dyDescent="0.25">
      <c r="A1772">
        <v>3</v>
      </c>
      <c r="B1772" t="b">
        <v>1</v>
      </c>
      <c r="C1772" s="1">
        <v>42880</v>
      </c>
      <c r="D1772">
        <f>YEAR(AMAZON_FASHION_5__2[[#This Row],[reviewDate]])</f>
        <v>2017</v>
      </c>
      <c r="E1772" s="1" t="str">
        <f>TEXT(AMAZON_FASHION_5__2[[#This Row],[reviewDate]], "mmmm")</f>
        <v>May</v>
      </c>
      <c r="F1772" t="s">
        <v>796</v>
      </c>
      <c r="G1772" t="s">
        <v>1490</v>
      </c>
      <c r="H1772" t="s">
        <v>477</v>
      </c>
      <c r="I1772" t="s">
        <v>198</v>
      </c>
      <c r="J1772" t="s">
        <v>797</v>
      </c>
      <c r="K1772" t="s">
        <v>798</v>
      </c>
      <c r="L1772" t="s">
        <v>799</v>
      </c>
      <c r="M1772">
        <v>1495670400</v>
      </c>
      <c r="N1772" t="s">
        <v>1628</v>
      </c>
      <c r="O1772" t="s">
        <v>1628</v>
      </c>
      <c r="P1772" t="s">
        <v>1628</v>
      </c>
      <c r="Q1772">
        <f>LEN(AMAZON_FASHION_5__2[[#This Row],[reviewText]])</f>
        <v>40</v>
      </c>
      <c r="R1772" t="str">
        <f>IF(AMAZON_FASHION_5__2[[#This Row],[overall]]&gt;=4,"Positive",IF(AMAZON_FASHION_5__2[[#This Row],[overall]]&lt;=2,"Negative","Neutral"))</f>
        <v>Neutral</v>
      </c>
      <c r="S17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73" spans="1:19" x14ac:dyDescent="0.25">
      <c r="A1773">
        <v>5</v>
      </c>
      <c r="B1773" t="b">
        <v>1</v>
      </c>
      <c r="C1773" s="1">
        <v>42877</v>
      </c>
      <c r="D1773">
        <f>YEAR(AMAZON_FASHION_5__2[[#This Row],[reviewDate]])</f>
        <v>2017</v>
      </c>
      <c r="E1773" s="1" t="str">
        <f>TEXT(AMAZON_FASHION_5__2[[#This Row],[reviewDate]], "mmmm")</f>
        <v>May</v>
      </c>
      <c r="F1773" t="s">
        <v>800</v>
      </c>
      <c r="G1773" t="s">
        <v>1490</v>
      </c>
      <c r="H1773" t="s">
        <v>230</v>
      </c>
      <c r="I1773" t="s">
        <v>198</v>
      </c>
      <c r="J1773" t="s">
        <v>801</v>
      </c>
      <c r="K1773" t="s">
        <v>802</v>
      </c>
      <c r="L1773" t="s">
        <v>803</v>
      </c>
      <c r="M1773">
        <v>1495411200</v>
      </c>
      <c r="N1773" t="s">
        <v>1628</v>
      </c>
      <c r="O1773" t="s">
        <v>1628</v>
      </c>
      <c r="P1773" t="s">
        <v>1628</v>
      </c>
      <c r="Q1773">
        <f>LEN(AMAZON_FASHION_5__2[[#This Row],[reviewText]])</f>
        <v>45</v>
      </c>
      <c r="R1773" t="str">
        <f>IF(AMAZON_FASHION_5__2[[#This Row],[overall]]&gt;=4,"Positive",IF(AMAZON_FASHION_5__2[[#This Row],[overall]]&lt;=2,"Negative","Neutral"))</f>
        <v>Positive</v>
      </c>
      <c r="S17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74" spans="1:19" x14ac:dyDescent="0.25">
      <c r="A1774">
        <v>5</v>
      </c>
      <c r="B1774" t="b">
        <v>1</v>
      </c>
      <c r="C1774" s="1">
        <v>42877</v>
      </c>
      <c r="D1774">
        <f>YEAR(AMAZON_FASHION_5__2[[#This Row],[reviewDate]])</f>
        <v>2017</v>
      </c>
      <c r="E1774" s="1" t="str">
        <f>TEXT(AMAZON_FASHION_5__2[[#This Row],[reviewDate]], "mmmm")</f>
        <v>May</v>
      </c>
      <c r="F1774" t="s">
        <v>804</v>
      </c>
      <c r="G1774" t="s">
        <v>1490</v>
      </c>
      <c r="H1774" t="s">
        <v>210</v>
      </c>
      <c r="I1774" t="s">
        <v>198</v>
      </c>
      <c r="J1774" t="s">
        <v>805</v>
      </c>
      <c r="K1774" t="s">
        <v>806</v>
      </c>
      <c r="L1774" t="s">
        <v>807</v>
      </c>
      <c r="M1774">
        <v>1495411200</v>
      </c>
      <c r="N1774" t="s">
        <v>1628</v>
      </c>
      <c r="O1774" t="s">
        <v>1628</v>
      </c>
      <c r="P1774" t="s">
        <v>1628</v>
      </c>
      <c r="Q1774">
        <f>LEN(AMAZON_FASHION_5__2[[#This Row],[reviewText]])</f>
        <v>86</v>
      </c>
      <c r="R1774" t="str">
        <f>IF(AMAZON_FASHION_5__2[[#This Row],[overall]]&gt;=4,"Positive",IF(AMAZON_FASHION_5__2[[#This Row],[overall]]&lt;=2,"Negative","Neutral"))</f>
        <v>Positive</v>
      </c>
      <c r="S17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75" spans="1:19" x14ac:dyDescent="0.25">
      <c r="A1775">
        <v>5</v>
      </c>
      <c r="B1775" t="b">
        <v>0</v>
      </c>
      <c r="C1775" s="1">
        <v>42874</v>
      </c>
      <c r="D1775">
        <f>YEAR(AMAZON_FASHION_5__2[[#This Row],[reviewDate]])</f>
        <v>2017</v>
      </c>
      <c r="E1775" s="1" t="str">
        <f>TEXT(AMAZON_FASHION_5__2[[#This Row],[reviewDate]], "mmmm")</f>
        <v>May</v>
      </c>
      <c r="F1775" t="s">
        <v>808</v>
      </c>
      <c r="G1775" t="s">
        <v>1490</v>
      </c>
      <c r="H1775" t="s">
        <v>1489</v>
      </c>
      <c r="I1775" t="s">
        <v>336</v>
      </c>
      <c r="J1775" t="s">
        <v>810</v>
      </c>
      <c r="K1775" t="s">
        <v>811</v>
      </c>
      <c r="L1775" t="s">
        <v>812</v>
      </c>
      <c r="M1775">
        <v>1495152000</v>
      </c>
      <c r="N1775" t="s">
        <v>1628</v>
      </c>
      <c r="O1775" t="s">
        <v>1628</v>
      </c>
      <c r="P1775">
        <v>2</v>
      </c>
      <c r="Q1775">
        <f>LEN(AMAZON_FASHION_5__2[[#This Row],[reviewText]])</f>
        <v>109</v>
      </c>
      <c r="R1775" t="str">
        <f>IF(AMAZON_FASHION_5__2[[#This Row],[overall]]&gt;=4,"Positive",IF(AMAZON_FASHION_5__2[[#This Row],[overall]]&lt;=2,"Negative","Neutral"))</f>
        <v>Positive</v>
      </c>
      <c r="S17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76" spans="1:19" x14ac:dyDescent="0.25">
      <c r="A1776">
        <v>5</v>
      </c>
      <c r="B1776" t="b">
        <v>0</v>
      </c>
      <c r="C1776" s="1">
        <v>42874</v>
      </c>
      <c r="D1776">
        <f>YEAR(AMAZON_FASHION_5__2[[#This Row],[reviewDate]])</f>
        <v>2017</v>
      </c>
      <c r="E1776" s="1" t="str">
        <f>TEXT(AMAZON_FASHION_5__2[[#This Row],[reviewDate]], "mmmm")</f>
        <v>May</v>
      </c>
      <c r="F1776" t="s">
        <v>808</v>
      </c>
      <c r="G1776" t="s">
        <v>1490</v>
      </c>
      <c r="H1776" t="s">
        <v>477</v>
      </c>
      <c r="I1776" t="s">
        <v>396</v>
      </c>
      <c r="J1776" t="s">
        <v>810</v>
      </c>
      <c r="K1776" t="s">
        <v>813</v>
      </c>
      <c r="L1776" t="s">
        <v>814</v>
      </c>
      <c r="M1776">
        <v>1495152000</v>
      </c>
      <c r="N1776" t="s">
        <v>1628</v>
      </c>
      <c r="O1776" t="s">
        <v>1628</v>
      </c>
      <c r="P1776">
        <v>4</v>
      </c>
      <c r="Q1776">
        <f>LEN(AMAZON_FASHION_5__2[[#This Row],[reviewText]])</f>
        <v>274</v>
      </c>
      <c r="R1776" t="str">
        <f>IF(AMAZON_FASHION_5__2[[#This Row],[overall]]&gt;=4,"Positive",IF(AMAZON_FASHION_5__2[[#This Row],[overall]]&lt;=2,"Negative","Neutral"))</f>
        <v>Positive</v>
      </c>
      <c r="S17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77" spans="1:19" x14ac:dyDescent="0.25">
      <c r="A1777">
        <v>4</v>
      </c>
      <c r="B1777" t="b">
        <v>1</v>
      </c>
      <c r="C1777" s="1">
        <v>42873</v>
      </c>
      <c r="D1777">
        <f>YEAR(AMAZON_FASHION_5__2[[#This Row],[reviewDate]])</f>
        <v>2017</v>
      </c>
      <c r="E1777" s="1" t="str">
        <f>TEXT(AMAZON_FASHION_5__2[[#This Row],[reviewDate]], "mmmm")</f>
        <v>May</v>
      </c>
      <c r="F1777" t="s">
        <v>815</v>
      </c>
      <c r="G1777" t="s">
        <v>1490</v>
      </c>
      <c r="H1777" t="s">
        <v>201</v>
      </c>
      <c r="I1777" t="s">
        <v>198</v>
      </c>
      <c r="J1777" t="s">
        <v>816</v>
      </c>
      <c r="K1777" t="s">
        <v>817</v>
      </c>
      <c r="L1777" t="s">
        <v>818</v>
      </c>
      <c r="M1777">
        <v>1495065600</v>
      </c>
      <c r="N1777" t="s">
        <v>1628</v>
      </c>
      <c r="O1777" t="s">
        <v>1628</v>
      </c>
      <c r="P1777" t="s">
        <v>1628</v>
      </c>
      <c r="Q1777">
        <f>LEN(AMAZON_FASHION_5__2[[#This Row],[reviewText]])</f>
        <v>20</v>
      </c>
      <c r="R1777" t="str">
        <f>IF(AMAZON_FASHION_5__2[[#This Row],[overall]]&gt;=4,"Positive",IF(AMAZON_FASHION_5__2[[#This Row],[overall]]&lt;=2,"Negative","Neutral"))</f>
        <v>Positive</v>
      </c>
      <c r="S17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78" spans="1:19" x14ac:dyDescent="0.25">
      <c r="A1778">
        <v>4</v>
      </c>
      <c r="B1778" t="b">
        <v>1</v>
      </c>
      <c r="C1778" s="1">
        <v>42870</v>
      </c>
      <c r="D1778">
        <f>YEAR(AMAZON_FASHION_5__2[[#This Row],[reviewDate]])</f>
        <v>2017</v>
      </c>
      <c r="E1778" s="1" t="str">
        <f>TEXT(AMAZON_FASHION_5__2[[#This Row],[reviewDate]], "mmmm")</f>
        <v>May</v>
      </c>
      <c r="F1778" t="s">
        <v>819</v>
      </c>
      <c r="G1778" t="s">
        <v>1490</v>
      </c>
      <c r="H1778" t="s">
        <v>201</v>
      </c>
      <c r="I1778" t="s">
        <v>524</v>
      </c>
      <c r="J1778" t="s">
        <v>820</v>
      </c>
      <c r="K1778" t="s">
        <v>821</v>
      </c>
      <c r="L1778" t="s">
        <v>103</v>
      </c>
      <c r="M1778">
        <v>1494806400</v>
      </c>
      <c r="N1778" t="s">
        <v>1628</v>
      </c>
      <c r="O1778" t="s">
        <v>1628</v>
      </c>
      <c r="P1778" t="s">
        <v>1628</v>
      </c>
      <c r="Q1778">
        <f>LEN(AMAZON_FASHION_5__2[[#This Row],[reviewText]])</f>
        <v>40</v>
      </c>
      <c r="R1778" t="str">
        <f>IF(AMAZON_FASHION_5__2[[#This Row],[overall]]&gt;=4,"Positive",IF(AMAZON_FASHION_5__2[[#This Row],[overall]]&lt;=2,"Negative","Neutral"))</f>
        <v>Positive</v>
      </c>
      <c r="S17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79" spans="1:19" x14ac:dyDescent="0.25">
      <c r="A1779">
        <v>3</v>
      </c>
      <c r="B1779" t="b">
        <v>1</v>
      </c>
      <c r="C1779" s="1">
        <v>42865</v>
      </c>
      <c r="D1779">
        <f>YEAR(AMAZON_FASHION_5__2[[#This Row],[reviewDate]])</f>
        <v>2017</v>
      </c>
      <c r="E1779" s="1" t="str">
        <f>TEXT(AMAZON_FASHION_5__2[[#This Row],[reviewDate]], "mmmm")</f>
        <v>May</v>
      </c>
      <c r="F1779" t="s">
        <v>822</v>
      </c>
      <c r="G1779" t="s">
        <v>1490</v>
      </c>
      <c r="H1779" t="s">
        <v>210</v>
      </c>
      <c r="I1779" t="s">
        <v>198</v>
      </c>
      <c r="J1779" t="s">
        <v>823</v>
      </c>
      <c r="K1779" t="s">
        <v>824</v>
      </c>
      <c r="L1779" t="s">
        <v>825</v>
      </c>
      <c r="M1779">
        <v>1494374400</v>
      </c>
      <c r="N1779" t="s">
        <v>1628</v>
      </c>
      <c r="O1779" t="s">
        <v>1628</v>
      </c>
      <c r="P1779" t="s">
        <v>1628</v>
      </c>
      <c r="Q1779">
        <f>LEN(AMAZON_FASHION_5__2[[#This Row],[reviewText]])</f>
        <v>170</v>
      </c>
      <c r="R1779" t="str">
        <f>IF(AMAZON_FASHION_5__2[[#This Row],[overall]]&gt;=4,"Positive",IF(AMAZON_FASHION_5__2[[#This Row],[overall]]&lt;=2,"Negative","Neutral"))</f>
        <v>Neutral</v>
      </c>
      <c r="S17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80" spans="1:19" x14ac:dyDescent="0.25">
      <c r="A1780">
        <v>5</v>
      </c>
      <c r="B1780" t="b">
        <v>1</v>
      </c>
      <c r="C1780" s="1">
        <v>42862</v>
      </c>
      <c r="D1780">
        <f>YEAR(AMAZON_FASHION_5__2[[#This Row],[reviewDate]])</f>
        <v>2017</v>
      </c>
      <c r="E1780" s="1" t="str">
        <f>TEXT(AMAZON_FASHION_5__2[[#This Row],[reviewDate]], "mmmm")</f>
        <v>May</v>
      </c>
      <c r="F1780" t="s">
        <v>826</v>
      </c>
      <c r="G1780" t="s">
        <v>1490</v>
      </c>
      <c r="H1780" t="s">
        <v>320</v>
      </c>
      <c r="I1780" t="s">
        <v>827</v>
      </c>
      <c r="J1780" t="s">
        <v>828</v>
      </c>
      <c r="K1780" t="s">
        <v>829</v>
      </c>
      <c r="L1780" t="s">
        <v>830</v>
      </c>
      <c r="M1780">
        <v>1494115200</v>
      </c>
      <c r="N1780" t="s">
        <v>1628</v>
      </c>
      <c r="O1780" t="s">
        <v>1628</v>
      </c>
      <c r="P1780" t="s">
        <v>1628</v>
      </c>
      <c r="Q1780">
        <f>LEN(AMAZON_FASHION_5__2[[#This Row],[reviewText]])</f>
        <v>193</v>
      </c>
      <c r="R1780" t="str">
        <f>IF(AMAZON_FASHION_5__2[[#This Row],[overall]]&gt;=4,"Positive",IF(AMAZON_FASHION_5__2[[#This Row],[overall]]&lt;=2,"Negative","Neutral"))</f>
        <v>Positive</v>
      </c>
      <c r="S17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81" spans="1:19" x14ac:dyDescent="0.25">
      <c r="A1781">
        <v>5</v>
      </c>
      <c r="B1781" t="b">
        <v>1</v>
      </c>
      <c r="C1781" s="1">
        <v>42861</v>
      </c>
      <c r="D1781">
        <f>YEAR(AMAZON_FASHION_5__2[[#This Row],[reviewDate]])</f>
        <v>2017</v>
      </c>
      <c r="E1781" s="1" t="str">
        <f>TEXT(AMAZON_FASHION_5__2[[#This Row],[reviewDate]], "mmmm")</f>
        <v>May</v>
      </c>
      <c r="F1781" t="s">
        <v>831</v>
      </c>
      <c r="G1781" t="s">
        <v>1490</v>
      </c>
      <c r="H1781" t="s">
        <v>717</v>
      </c>
      <c r="I1781" t="s">
        <v>336</v>
      </c>
      <c r="J1781" t="s">
        <v>832</v>
      </c>
      <c r="K1781" t="s">
        <v>833</v>
      </c>
      <c r="L1781" t="s">
        <v>834</v>
      </c>
      <c r="M1781">
        <v>1494028800</v>
      </c>
      <c r="N1781" t="s">
        <v>1628</v>
      </c>
      <c r="O1781" t="s">
        <v>1628</v>
      </c>
      <c r="P1781" t="s">
        <v>1628</v>
      </c>
      <c r="Q1781">
        <f>LEN(AMAZON_FASHION_5__2[[#This Row],[reviewText]])</f>
        <v>126</v>
      </c>
      <c r="R1781" t="str">
        <f>IF(AMAZON_FASHION_5__2[[#This Row],[overall]]&gt;=4,"Positive",IF(AMAZON_FASHION_5__2[[#This Row],[overall]]&lt;=2,"Negative","Neutral"))</f>
        <v>Positive</v>
      </c>
      <c r="S17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82" spans="1:19" x14ac:dyDescent="0.25">
      <c r="A1782">
        <v>5</v>
      </c>
      <c r="B1782" t="b">
        <v>1</v>
      </c>
      <c r="C1782" s="1">
        <v>42860</v>
      </c>
      <c r="D1782">
        <f>YEAR(AMAZON_FASHION_5__2[[#This Row],[reviewDate]])</f>
        <v>2017</v>
      </c>
      <c r="E1782" s="1" t="str">
        <f>TEXT(AMAZON_FASHION_5__2[[#This Row],[reviewDate]], "mmmm")</f>
        <v>May</v>
      </c>
      <c r="F1782" t="s">
        <v>835</v>
      </c>
      <c r="G1782" t="s">
        <v>1490</v>
      </c>
      <c r="H1782" t="s">
        <v>230</v>
      </c>
      <c r="I1782" t="s">
        <v>1476</v>
      </c>
      <c r="J1782" t="s">
        <v>836</v>
      </c>
      <c r="K1782" t="s">
        <v>837</v>
      </c>
      <c r="L1782" t="s">
        <v>838</v>
      </c>
      <c r="M1782">
        <v>1493942400</v>
      </c>
      <c r="N1782" t="s">
        <v>1628</v>
      </c>
      <c r="O1782" t="s">
        <v>1628</v>
      </c>
      <c r="P1782" t="s">
        <v>1628</v>
      </c>
      <c r="Q1782">
        <f>LEN(AMAZON_FASHION_5__2[[#This Row],[reviewText]])</f>
        <v>110</v>
      </c>
      <c r="R1782" t="str">
        <f>IF(AMAZON_FASHION_5__2[[#This Row],[overall]]&gt;=4,"Positive",IF(AMAZON_FASHION_5__2[[#This Row],[overall]]&lt;=2,"Negative","Neutral"))</f>
        <v>Positive</v>
      </c>
      <c r="S17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83" spans="1:19" x14ac:dyDescent="0.25">
      <c r="A1783">
        <v>5</v>
      </c>
      <c r="B1783" t="b">
        <v>1</v>
      </c>
      <c r="C1783" s="1">
        <v>42858</v>
      </c>
      <c r="D1783">
        <f>YEAR(AMAZON_FASHION_5__2[[#This Row],[reviewDate]])</f>
        <v>2017</v>
      </c>
      <c r="E1783" s="1" t="str">
        <f>TEXT(AMAZON_FASHION_5__2[[#This Row],[reviewDate]], "mmmm")</f>
        <v>May</v>
      </c>
      <c r="F1783" t="s">
        <v>839</v>
      </c>
      <c r="G1783" t="s">
        <v>1490</v>
      </c>
      <c r="H1783" t="s">
        <v>205</v>
      </c>
      <c r="I1783" t="s">
        <v>198</v>
      </c>
      <c r="J1783" t="s">
        <v>840</v>
      </c>
      <c r="K1783" t="s">
        <v>841</v>
      </c>
      <c r="L1783" t="s">
        <v>17</v>
      </c>
      <c r="M1783">
        <v>1493769600</v>
      </c>
      <c r="N1783" t="s">
        <v>1628</v>
      </c>
      <c r="O1783" t="s">
        <v>1628</v>
      </c>
      <c r="P1783" t="s">
        <v>1628</v>
      </c>
      <c r="Q1783">
        <f>LEN(AMAZON_FASHION_5__2[[#This Row],[reviewText]])</f>
        <v>42</v>
      </c>
      <c r="R1783" t="str">
        <f>IF(AMAZON_FASHION_5__2[[#This Row],[overall]]&gt;=4,"Positive",IF(AMAZON_FASHION_5__2[[#This Row],[overall]]&lt;=2,"Negative","Neutral"))</f>
        <v>Positive</v>
      </c>
      <c r="S17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84" spans="1:19" x14ac:dyDescent="0.25">
      <c r="A1784">
        <v>5</v>
      </c>
      <c r="B1784" t="b">
        <v>1</v>
      </c>
      <c r="C1784" s="1">
        <v>42858</v>
      </c>
      <c r="D1784">
        <f>YEAR(AMAZON_FASHION_5__2[[#This Row],[reviewDate]])</f>
        <v>2017</v>
      </c>
      <c r="E1784" s="1" t="str">
        <f>TEXT(AMAZON_FASHION_5__2[[#This Row],[reviewDate]], "mmmm")</f>
        <v>May</v>
      </c>
      <c r="F1784" t="s">
        <v>842</v>
      </c>
      <c r="G1784" t="s">
        <v>1490</v>
      </c>
      <c r="H1784" t="s">
        <v>230</v>
      </c>
      <c r="I1784" t="s">
        <v>198</v>
      </c>
      <c r="J1784" t="s">
        <v>843</v>
      </c>
      <c r="K1784" t="s">
        <v>844</v>
      </c>
      <c r="L1784" t="s">
        <v>17</v>
      </c>
      <c r="M1784">
        <v>1493769600</v>
      </c>
      <c r="N1784" t="s">
        <v>1628</v>
      </c>
      <c r="O1784" t="s">
        <v>1628</v>
      </c>
      <c r="P1784" t="s">
        <v>1628</v>
      </c>
      <c r="Q1784">
        <f>LEN(AMAZON_FASHION_5__2[[#This Row],[reviewText]])</f>
        <v>12</v>
      </c>
      <c r="R1784" t="str">
        <f>IF(AMAZON_FASHION_5__2[[#This Row],[overall]]&gt;=4,"Positive",IF(AMAZON_FASHION_5__2[[#This Row],[overall]]&lt;=2,"Negative","Neutral"))</f>
        <v>Positive</v>
      </c>
      <c r="S17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85" spans="1:19" x14ac:dyDescent="0.25">
      <c r="A1785">
        <v>4</v>
      </c>
      <c r="B1785" t="b">
        <v>1</v>
      </c>
      <c r="C1785" s="1">
        <v>42857</v>
      </c>
      <c r="D1785">
        <f>YEAR(AMAZON_FASHION_5__2[[#This Row],[reviewDate]])</f>
        <v>2017</v>
      </c>
      <c r="E1785" s="1" t="str">
        <f>TEXT(AMAZON_FASHION_5__2[[#This Row],[reviewDate]], "mmmm")</f>
        <v>May</v>
      </c>
      <c r="F1785" t="s">
        <v>845</v>
      </c>
      <c r="G1785" t="s">
        <v>1490</v>
      </c>
      <c r="H1785" t="s">
        <v>320</v>
      </c>
      <c r="I1785" t="s">
        <v>827</v>
      </c>
      <c r="J1785" t="s">
        <v>846</v>
      </c>
      <c r="K1785" t="s">
        <v>847</v>
      </c>
      <c r="L1785" t="s">
        <v>812</v>
      </c>
      <c r="M1785">
        <v>1493683200</v>
      </c>
      <c r="N1785" t="s">
        <v>1628</v>
      </c>
      <c r="O1785" t="s">
        <v>1628</v>
      </c>
      <c r="P1785" t="s">
        <v>1628</v>
      </c>
      <c r="Q1785">
        <f>LEN(AMAZON_FASHION_5__2[[#This Row],[reviewText]])</f>
        <v>86</v>
      </c>
      <c r="R1785" t="str">
        <f>IF(AMAZON_FASHION_5__2[[#This Row],[overall]]&gt;=4,"Positive",IF(AMAZON_FASHION_5__2[[#This Row],[overall]]&lt;=2,"Negative","Neutral"))</f>
        <v>Positive</v>
      </c>
      <c r="S17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86" spans="1:19" x14ac:dyDescent="0.25">
      <c r="A1786">
        <v>5</v>
      </c>
      <c r="B1786" t="b">
        <v>1</v>
      </c>
      <c r="C1786" s="1">
        <v>42856</v>
      </c>
      <c r="D1786">
        <f>YEAR(AMAZON_FASHION_5__2[[#This Row],[reviewDate]])</f>
        <v>2017</v>
      </c>
      <c r="E1786" s="1" t="str">
        <f>TEXT(AMAZON_FASHION_5__2[[#This Row],[reviewDate]], "mmmm")</f>
        <v>May</v>
      </c>
      <c r="F1786" t="s">
        <v>848</v>
      </c>
      <c r="G1786" t="s">
        <v>1490</v>
      </c>
      <c r="H1786" t="s">
        <v>320</v>
      </c>
      <c r="I1786" t="s">
        <v>849</v>
      </c>
      <c r="J1786" t="s">
        <v>850</v>
      </c>
      <c r="K1786" t="s">
        <v>851</v>
      </c>
      <c r="L1786" t="s">
        <v>17</v>
      </c>
      <c r="M1786">
        <v>1493596800</v>
      </c>
      <c r="N1786" t="s">
        <v>1628</v>
      </c>
      <c r="O1786" t="s">
        <v>1628</v>
      </c>
      <c r="P1786" t="s">
        <v>1628</v>
      </c>
      <c r="Q1786">
        <f>LEN(AMAZON_FASHION_5__2[[#This Row],[reviewText]])</f>
        <v>89</v>
      </c>
      <c r="R1786" t="str">
        <f>IF(AMAZON_FASHION_5__2[[#This Row],[overall]]&gt;=4,"Positive",IF(AMAZON_FASHION_5__2[[#This Row],[overall]]&lt;=2,"Negative","Neutral"))</f>
        <v>Positive</v>
      </c>
      <c r="S17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87" spans="1:19" x14ac:dyDescent="0.25">
      <c r="A1787">
        <v>5</v>
      </c>
      <c r="B1787" t="b">
        <v>1</v>
      </c>
      <c r="C1787" s="1">
        <v>42853</v>
      </c>
      <c r="D1787">
        <f>YEAR(AMAZON_FASHION_5__2[[#This Row],[reviewDate]])</f>
        <v>2017</v>
      </c>
      <c r="E1787" s="1" t="str">
        <f>TEXT(AMAZON_FASHION_5__2[[#This Row],[reviewDate]], "mmmm")</f>
        <v>April</v>
      </c>
      <c r="F1787" t="s">
        <v>852</v>
      </c>
      <c r="G1787" t="s">
        <v>1490</v>
      </c>
      <c r="H1787" t="s">
        <v>235</v>
      </c>
      <c r="I1787" t="s">
        <v>211</v>
      </c>
      <c r="J1787" t="s">
        <v>853</v>
      </c>
      <c r="K1787" t="s">
        <v>854</v>
      </c>
      <c r="L1787" t="s">
        <v>17</v>
      </c>
      <c r="M1787">
        <v>1493337600</v>
      </c>
      <c r="N1787" t="s">
        <v>1628</v>
      </c>
      <c r="O1787" t="s">
        <v>1628</v>
      </c>
      <c r="P1787" t="s">
        <v>1628</v>
      </c>
      <c r="Q1787">
        <f>LEN(AMAZON_FASHION_5__2[[#This Row],[reviewText]])</f>
        <v>12</v>
      </c>
      <c r="R1787" t="str">
        <f>IF(AMAZON_FASHION_5__2[[#This Row],[overall]]&gt;=4,"Positive",IF(AMAZON_FASHION_5__2[[#This Row],[overall]]&lt;=2,"Negative","Neutral"))</f>
        <v>Positive</v>
      </c>
      <c r="S17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88" spans="1:19" x14ac:dyDescent="0.25">
      <c r="A1788">
        <v>4</v>
      </c>
      <c r="B1788" t="b">
        <v>1</v>
      </c>
      <c r="C1788" s="1">
        <v>42852</v>
      </c>
      <c r="D1788">
        <f>YEAR(AMAZON_FASHION_5__2[[#This Row],[reviewDate]])</f>
        <v>2017</v>
      </c>
      <c r="E1788" s="1" t="str">
        <f>TEXT(AMAZON_FASHION_5__2[[#This Row],[reviewDate]], "mmmm")</f>
        <v>April</v>
      </c>
      <c r="F1788" t="s">
        <v>855</v>
      </c>
      <c r="G1788" t="s">
        <v>1490</v>
      </c>
      <c r="H1788" t="s">
        <v>1489</v>
      </c>
      <c r="I1788" t="s">
        <v>336</v>
      </c>
      <c r="J1788" t="s">
        <v>63</v>
      </c>
      <c r="K1788" t="s">
        <v>856</v>
      </c>
      <c r="L1788" t="s">
        <v>103</v>
      </c>
      <c r="M1788">
        <v>1493251200</v>
      </c>
      <c r="N1788" t="s">
        <v>1628</v>
      </c>
      <c r="O1788" t="s">
        <v>1628</v>
      </c>
      <c r="P1788" t="s">
        <v>1628</v>
      </c>
      <c r="Q1788">
        <f>LEN(AMAZON_FASHION_5__2[[#This Row],[reviewText]])</f>
        <v>58</v>
      </c>
      <c r="R1788" t="str">
        <f>IF(AMAZON_FASHION_5__2[[#This Row],[overall]]&gt;=4,"Positive",IF(AMAZON_FASHION_5__2[[#This Row],[overall]]&lt;=2,"Negative","Neutral"))</f>
        <v>Positive</v>
      </c>
      <c r="S17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89" spans="1:19" x14ac:dyDescent="0.25">
      <c r="A1789">
        <v>4</v>
      </c>
      <c r="B1789" t="b">
        <v>1</v>
      </c>
      <c r="C1789" s="1">
        <v>42852</v>
      </c>
      <c r="D1789">
        <f>YEAR(AMAZON_FASHION_5__2[[#This Row],[reviewDate]])</f>
        <v>2017</v>
      </c>
      <c r="E1789" s="1" t="str">
        <f>TEXT(AMAZON_FASHION_5__2[[#This Row],[reviewDate]], "mmmm")</f>
        <v>April</v>
      </c>
      <c r="F1789" t="s">
        <v>857</v>
      </c>
      <c r="G1789" t="s">
        <v>1490</v>
      </c>
      <c r="H1789" t="s">
        <v>1478</v>
      </c>
      <c r="I1789" t="s">
        <v>336</v>
      </c>
      <c r="J1789" t="s">
        <v>859</v>
      </c>
      <c r="K1789" t="s">
        <v>860</v>
      </c>
      <c r="L1789" t="s">
        <v>861</v>
      </c>
      <c r="M1789">
        <v>1493251200</v>
      </c>
      <c r="N1789" t="s">
        <v>1628</v>
      </c>
      <c r="O1789" t="s">
        <v>1628</v>
      </c>
      <c r="P1789" t="s">
        <v>1628</v>
      </c>
      <c r="Q1789">
        <f>LEN(AMAZON_FASHION_5__2[[#This Row],[reviewText]])</f>
        <v>199</v>
      </c>
      <c r="R1789" t="str">
        <f>IF(AMAZON_FASHION_5__2[[#This Row],[overall]]&gt;=4,"Positive",IF(AMAZON_FASHION_5__2[[#This Row],[overall]]&lt;=2,"Negative","Neutral"))</f>
        <v>Positive</v>
      </c>
      <c r="S17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90" spans="1:19" x14ac:dyDescent="0.25">
      <c r="A1790">
        <v>5</v>
      </c>
      <c r="B1790" t="b">
        <v>1</v>
      </c>
      <c r="C1790" s="1">
        <v>42851</v>
      </c>
      <c r="D1790">
        <f>YEAR(AMAZON_FASHION_5__2[[#This Row],[reviewDate]])</f>
        <v>2017</v>
      </c>
      <c r="E1790" s="1" t="str">
        <f>TEXT(AMAZON_FASHION_5__2[[#This Row],[reviewDate]], "mmmm")</f>
        <v>April</v>
      </c>
      <c r="F1790" t="s">
        <v>862</v>
      </c>
      <c r="G1790" t="s">
        <v>1490</v>
      </c>
      <c r="H1790" t="s">
        <v>235</v>
      </c>
      <c r="I1790" t="s">
        <v>198</v>
      </c>
      <c r="J1790" t="s">
        <v>863</v>
      </c>
      <c r="K1790" t="s">
        <v>864</v>
      </c>
      <c r="L1790" t="s">
        <v>17</v>
      </c>
      <c r="M1790">
        <v>1493164800</v>
      </c>
      <c r="N1790" t="s">
        <v>1628</v>
      </c>
      <c r="O1790" t="s">
        <v>1628</v>
      </c>
      <c r="P1790" t="s">
        <v>1628</v>
      </c>
      <c r="Q1790">
        <f>LEN(AMAZON_FASHION_5__2[[#This Row],[reviewText]])</f>
        <v>28</v>
      </c>
      <c r="R1790" t="str">
        <f>IF(AMAZON_FASHION_5__2[[#This Row],[overall]]&gt;=4,"Positive",IF(AMAZON_FASHION_5__2[[#This Row],[overall]]&lt;=2,"Negative","Neutral"))</f>
        <v>Positive</v>
      </c>
      <c r="S17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91" spans="1:19" x14ac:dyDescent="0.25">
      <c r="A1791">
        <v>5</v>
      </c>
      <c r="B1791" t="b">
        <v>1</v>
      </c>
      <c r="C1791" s="1">
        <v>42850</v>
      </c>
      <c r="D1791">
        <f>YEAR(AMAZON_FASHION_5__2[[#This Row],[reviewDate]])</f>
        <v>2017</v>
      </c>
      <c r="E1791" s="1" t="str">
        <f>TEXT(AMAZON_FASHION_5__2[[#This Row],[reviewDate]], "mmmm")</f>
        <v>April</v>
      </c>
      <c r="F1791" t="s">
        <v>865</v>
      </c>
      <c r="G1791" t="s">
        <v>1490</v>
      </c>
      <c r="H1791" t="s">
        <v>1488</v>
      </c>
      <c r="I1791" t="s">
        <v>336</v>
      </c>
      <c r="J1791" t="s">
        <v>866</v>
      </c>
      <c r="K1791" t="s">
        <v>867</v>
      </c>
      <c r="L1791" t="s">
        <v>868</v>
      </c>
      <c r="M1791">
        <v>1493078400</v>
      </c>
      <c r="N1791" t="s">
        <v>1628</v>
      </c>
      <c r="O1791" t="s">
        <v>1628</v>
      </c>
      <c r="P1791" t="s">
        <v>1628</v>
      </c>
      <c r="Q1791">
        <f>LEN(AMAZON_FASHION_5__2[[#This Row],[reviewText]])</f>
        <v>235</v>
      </c>
      <c r="R1791" t="str">
        <f>IF(AMAZON_FASHION_5__2[[#This Row],[overall]]&gt;=4,"Positive",IF(AMAZON_FASHION_5__2[[#This Row],[overall]]&lt;=2,"Negative","Neutral"))</f>
        <v>Positive</v>
      </c>
      <c r="S17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92" spans="1:19" x14ac:dyDescent="0.25">
      <c r="A1792">
        <v>4</v>
      </c>
      <c r="B1792" t="b">
        <v>1</v>
      </c>
      <c r="C1792" s="1">
        <v>42849</v>
      </c>
      <c r="D1792">
        <f>YEAR(AMAZON_FASHION_5__2[[#This Row],[reviewDate]])</f>
        <v>2017</v>
      </c>
      <c r="E1792" s="1" t="str">
        <f>TEXT(AMAZON_FASHION_5__2[[#This Row],[reviewDate]], "mmmm")</f>
        <v>April</v>
      </c>
      <c r="F1792" t="s">
        <v>869</v>
      </c>
      <c r="G1792" t="s">
        <v>1490</v>
      </c>
      <c r="H1792" t="s">
        <v>201</v>
      </c>
      <c r="I1792" t="s">
        <v>198</v>
      </c>
      <c r="J1792" t="s">
        <v>870</v>
      </c>
      <c r="K1792" t="s">
        <v>871</v>
      </c>
      <c r="L1792" t="s">
        <v>872</v>
      </c>
      <c r="M1792">
        <v>1492992000</v>
      </c>
      <c r="N1792" t="s">
        <v>1628</v>
      </c>
      <c r="O1792" t="s">
        <v>1628</v>
      </c>
      <c r="P1792" t="s">
        <v>1628</v>
      </c>
      <c r="Q1792">
        <f>LEN(AMAZON_FASHION_5__2[[#This Row],[reviewText]])</f>
        <v>140</v>
      </c>
      <c r="R1792" t="str">
        <f>IF(AMAZON_FASHION_5__2[[#This Row],[overall]]&gt;=4,"Positive",IF(AMAZON_FASHION_5__2[[#This Row],[overall]]&lt;=2,"Negative","Neutral"))</f>
        <v>Positive</v>
      </c>
      <c r="S17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93" spans="1:19" x14ac:dyDescent="0.25">
      <c r="A1793">
        <v>5</v>
      </c>
      <c r="B1793" t="b">
        <v>1</v>
      </c>
      <c r="C1793" s="1">
        <v>42849</v>
      </c>
      <c r="D1793">
        <f>YEAR(AMAZON_FASHION_5__2[[#This Row],[reviewDate]])</f>
        <v>2017</v>
      </c>
      <c r="E1793" s="1" t="str">
        <f>TEXT(AMAZON_FASHION_5__2[[#This Row],[reviewDate]], "mmmm")</f>
        <v>April</v>
      </c>
      <c r="F1793" t="s">
        <v>873</v>
      </c>
      <c r="G1793" t="s">
        <v>1490</v>
      </c>
      <c r="H1793" t="s">
        <v>197</v>
      </c>
      <c r="I1793" t="s">
        <v>524</v>
      </c>
      <c r="J1793" t="s">
        <v>63</v>
      </c>
      <c r="K1793" t="s">
        <v>874</v>
      </c>
      <c r="L1793" t="s">
        <v>17</v>
      </c>
      <c r="M1793">
        <v>1492992000</v>
      </c>
      <c r="N1793" t="s">
        <v>1628</v>
      </c>
      <c r="O1793" t="s">
        <v>1628</v>
      </c>
      <c r="P1793" t="s">
        <v>1628</v>
      </c>
      <c r="Q1793">
        <f>LEN(AMAZON_FASHION_5__2[[#This Row],[reviewText]])</f>
        <v>39</v>
      </c>
      <c r="R1793" t="str">
        <f>IF(AMAZON_FASHION_5__2[[#This Row],[overall]]&gt;=4,"Positive",IF(AMAZON_FASHION_5__2[[#This Row],[overall]]&lt;=2,"Negative","Neutral"))</f>
        <v>Positive</v>
      </c>
      <c r="S17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94" spans="1:19" x14ac:dyDescent="0.25">
      <c r="A1794">
        <v>5</v>
      </c>
      <c r="B1794" t="b">
        <v>1</v>
      </c>
      <c r="C1794" s="1">
        <v>42845</v>
      </c>
      <c r="D1794">
        <f>YEAR(AMAZON_FASHION_5__2[[#This Row],[reviewDate]])</f>
        <v>2017</v>
      </c>
      <c r="E1794" s="1" t="str">
        <f>TEXT(AMAZON_FASHION_5__2[[#This Row],[reviewDate]], "mmmm")</f>
        <v>April</v>
      </c>
      <c r="F1794" t="s">
        <v>875</v>
      </c>
      <c r="G1794" t="s">
        <v>1490</v>
      </c>
      <c r="H1794" t="s">
        <v>230</v>
      </c>
      <c r="I1794" t="s">
        <v>198</v>
      </c>
      <c r="J1794" t="s">
        <v>63</v>
      </c>
      <c r="K1794" t="s">
        <v>715</v>
      </c>
      <c r="L1794" t="s">
        <v>17</v>
      </c>
      <c r="M1794">
        <v>1492646400</v>
      </c>
      <c r="N1794" t="s">
        <v>1628</v>
      </c>
      <c r="O1794" t="s">
        <v>1628</v>
      </c>
      <c r="P1794" t="s">
        <v>1628</v>
      </c>
      <c r="Q1794">
        <f>LEN(AMAZON_FASHION_5__2[[#This Row],[reviewText]])</f>
        <v>7</v>
      </c>
      <c r="R1794" t="str">
        <f>IF(AMAZON_FASHION_5__2[[#This Row],[overall]]&gt;=4,"Positive",IF(AMAZON_FASHION_5__2[[#This Row],[overall]]&lt;=2,"Negative","Neutral"))</f>
        <v>Positive</v>
      </c>
      <c r="S17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95" spans="1:19" x14ac:dyDescent="0.25">
      <c r="A1795">
        <v>5</v>
      </c>
      <c r="B1795" t="b">
        <v>1</v>
      </c>
      <c r="C1795" s="1">
        <v>42844</v>
      </c>
      <c r="D1795">
        <f>YEAR(AMAZON_FASHION_5__2[[#This Row],[reviewDate]])</f>
        <v>2017</v>
      </c>
      <c r="E1795" s="1" t="str">
        <f>TEXT(AMAZON_FASHION_5__2[[#This Row],[reviewDate]], "mmmm")</f>
        <v>April</v>
      </c>
      <c r="F1795" t="s">
        <v>876</v>
      </c>
      <c r="G1795" t="s">
        <v>1490</v>
      </c>
      <c r="H1795" t="s">
        <v>210</v>
      </c>
      <c r="I1795" t="s">
        <v>198</v>
      </c>
      <c r="J1795" t="s">
        <v>63</v>
      </c>
      <c r="K1795" t="s">
        <v>877</v>
      </c>
      <c r="L1795" t="s">
        <v>17</v>
      </c>
      <c r="M1795">
        <v>1492560000</v>
      </c>
      <c r="N1795" t="s">
        <v>1628</v>
      </c>
      <c r="O1795" t="s">
        <v>1628</v>
      </c>
      <c r="P1795" t="s">
        <v>1628</v>
      </c>
      <c r="Q1795">
        <f>LEN(AMAZON_FASHION_5__2[[#This Row],[reviewText]])</f>
        <v>9</v>
      </c>
      <c r="R1795" t="str">
        <f>IF(AMAZON_FASHION_5__2[[#This Row],[overall]]&gt;=4,"Positive",IF(AMAZON_FASHION_5__2[[#This Row],[overall]]&lt;=2,"Negative","Neutral"))</f>
        <v>Positive</v>
      </c>
      <c r="S17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96" spans="1:19" x14ac:dyDescent="0.25">
      <c r="A1796">
        <v>5</v>
      </c>
      <c r="B1796" t="b">
        <v>0</v>
      </c>
      <c r="C1796" s="1">
        <v>42843</v>
      </c>
      <c r="D1796">
        <f>YEAR(AMAZON_FASHION_5__2[[#This Row],[reviewDate]])</f>
        <v>2017</v>
      </c>
      <c r="E1796" s="1" t="str">
        <f>TEXT(AMAZON_FASHION_5__2[[#This Row],[reviewDate]], "mmmm")</f>
        <v>April</v>
      </c>
      <c r="F1796" t="s">
        <v>878</v>
      </c>
      <c r="G1796" t="s">
        <v>1490</v>
      </c>
      <c r="H1796" t="s">
        <v>201</v>
      </c>
      <c r="I1796" t="s">
        <v>198</v>
      </c>
      <c r="J1796" t="s">
        <v>879</v>
      </c>
      <c r="K1796" t="s">
        <v>880</v>
      </c>
      <c r="L1796" t="s">
        <v>881</v>
      </c>
      <c r="M1796">
        <v>1492473600</v>
      </c>
      <c r="N1796" t="s">
        <v>1628</v>
      </c>
      <c r="O1796" t="s">
        <v>1628</v>
      </c>
      <c r="P1796" t="s">
        <v>1628</v>
      </c>
      <c r="Q1796">
        <f>LEN(AMAZON_FASHION_5__2[[#This Row],[reviewText]])</f>
        <v>115</v>
      </c>
      <c r="R1796" t="str">
        <f>IF(AMAZON_FASHION_5__2[[#This Row],[overall]]&gt;=4,"Positive",IF(AMAZON_FASHION_5__2[[#This Row],[overall]]&lt;=2,"Negative","Neutral"))</f>
        <v>Positive</v>
      </c>
      <c r="S17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97" spans="1:19" x14ac:dyDescent="0.25">
      <c r="A1797">
        <v>5</v>
      </c>
      <c r="B1797" t="b">
        <v>1</v>
      </c>
      <c r="C1797" s="1">
        <v>42842</v>
      </c>
      <c r="D1797">
        <f>YEAR(AMAZON_FASHION_5__2[[#This Row],[reviewDate]])</f>
        <v>2017</v>
      </c>
      <c r="E1797" s="1" t="str">
        <f>TEXT(AMAZON_FASHION_5__2[[#This Row],[reviewDate]], "mmmm")</f>
        <v>April</v>
      </c>
      <c r="F1797" t="s">
        <v>882</v>
      </c>
      <c r="G1797" t="s">
        <v>1490</v>
      </c>
      <c r="H1797" t="s">
        <v>230</v>
      </c>
      <c r="I1797" t="s">
        <v>198</v>
      </c>
      <c r="J1797" t="s">
        <v>883</v>
      </c>
      <c r="K1797" t="s">
        <v>884</v>
      </c>
      <c r="L1797" t="s">
        <v>543</v>
      </c>
      <c r="M1797">
        <v>1492387200</v>
      </c>
      <c r="N1797" t="s">
        <v>1628</v>
      </c>
      <c r="O1797" t="s">
        <v>1628</v>
      </c>
      <c r="P1797" t="s">
        <v>1628</v>
      </c>
      <c r="Q1797">
        <f>LEN(AMAZON_FASHION_5__2[[#This Row],[reviewText]])</f>
        <v>62</v>
      </c>
      <c r="R1797" t="str">
        <f>IF(AMAZON_FASHION_5__2[[#This Row],[overall]]&gt;=4,"Positive",IF(AMAZON_FASHION_5__2[[#This Row],[overall]]&lt;=2,"Negative","Neutral"))</f>
        <v>Positive</v>
      </c>
      <c r="S17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98" spans="1:19" x14ac:dyDescent="0.25">
      <c r="A1798">
        <v>5</v>
      </c>
      <c r="B1798" t="b">
        <v>1</v>
      </c>
      <c r="C1798" s="1">
        <v>42840</v>
      </c>
      <c r="D1798">
        <f>YEAR(AMAZON_FASHION_5__2[[#This Row],[reviewDate]])</f>
        <v>2017</v>
      </c>
      <c r="E1798" s="1" t="str">
        <f>TEXT(AMAZON_FASHION_5__2[[#This Row],[reviewDate]], "mmmm")</f>
        <v>April</v>
      </c>
      <c r="F1798" t="s">
        <v>885</v>
      </c>
      <c r="G1798" t="s">
        <v>1490</v>
      </c>
      <c r="H1798" t="s">
        <v>261</v>
      </c>
      <c r="I1798" t="s">
        <v>1455</v>
      </c>
      <c r="J1798" t="s">
        <v>886</v>
      </c>
      <c r="K1798" t="s">
        <v>887</v>
      </c>
      <c r="L1798" t="s">
        <v>247</v>
      </c>
      <c r="M1798">
        <v>1492214400</v>
      </c>
      <c r="N1798" t="s">
        <v>1628</v>
      </c>
      <c r="O1798" t="s">
        <v>1628</v>
      </c>
      <c r="P1798" t="s">
        <v>1628</v>
      </c>
      <c r="Q1798">
        <f>LEN(AMAZON_FASHION_5__2[[#This Row],[reviewText]])</f>
        <v>112</v>
      </c>
      <c r="R1798" t="str">
        <f>IF(AMAZON_FASHION_5__2[[#This Row],[overall]]&gt;=4,"Positive",IF(AMAZON_FASHION_5__2[[#This Row],[overall]]&lt;=2,"Negative","Neutral"))</f>
        <v>Positive</v>
      </c>
      <c r="S17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799" spans="1:19" x14ac:dyDescent="0.25">
      <c r="A1799">
        <v>5</v>
      </c>
      <c r="B1799" t="b">
        <v>1</v>
      </c>
      <c r="C1799" s="1">
        <v>42839</v>
      </c>
      <c r="D1799">
        <f>YEAR(AMAZON_FASHION_5__2[[#This Row],[reviewDate]])</f>
        <v>2017</v>
      </c>
      <c r="E1799" s="1" t="str">
        <f>TEXT(AMAZON_FASHION_5__2[[#This Row],[reviewDate]], "mmmm")</f>
        <v>April</v>
      </c>
      <c r="F1799" t="s">
        <v>888</v>
      </c>
      <c r="G1799" t="s">
        <v>1490</v>
      </c>
      <c r="H1799" t="s">
        <v>235</v>
      </c>
      <c r="I1799" t="s">
        <v>198</v>
      </c>
      <c r="J1799" t="s">
        <v>63</v>
      </c>
      <c r="K1799" t="s">
        <v>889</v>
      </c>
      <c r="L1799" t="s">
        <v>17</v>
      </c>
      <c r="M1799">
        <v>1492128000</v>
      </c>
      <c r="N1799" t="s">
        <v>1628</v>
      </c>
      <c r="O1799" t="s">
        <v>1628</v>
      </c>
      <c r="P1799" t="s">
        <v>1628</v>
      </c>
      <c r="Q1799">
        <f>LEN(AMAZON_FASHION_5__2[[#This Row],[reviewText]])</f>
        <v>38</v>
      </c>
      <c r="R1799" t="str">
        <f>IF(AMAZON_FASHION_5__2[[#This Row],[overall]]&gt;=4,"Positive",IF(AMAZON_FASHION_5__2[[#This Row],[overall]]&lt;=2,"Negative","Neutral"))</f>
        <v>Positive</v>
      </c>
      <c r="S17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00" spans="1:19" x14ac:dyDescent="0.25">
      <c r="A1800">
        <v>4</v>
      </c>
      <c r="B1800" t="b">
        <v>1</v>
      </c>
      <c r="C1800" s="1">
        <v>42836</v>
      </c>
      <c r="D1800">
        <f>YEAR(AMAZON_FASHION_5__2[[#This Row],[reviewDate]])</f>
        <v>2017</v>
      </c>
      <c r="E1800" s="1" t="str">
        <f>TEXT(AMAZON_FASHION_5__2[[#This Row],[reviewDate]], "mmmm")</f>
        <v>April</v>
      </c>
      <c r="F1800" t="s">
        <v>890</v>
      </c>
      <c r="G1800" t="s">
        <v>1490</v>
      </c>
      <c r="H1800" t="s">
        <v>284</v>
      </c>
      <c r="I1800" t="s">
        <v>198</v>
      </c>
      <c r="J1800" t="s">
        <v>891</v>
      </c>
      <c r="K1800" t="s">
        <v>892</v>
      </c>
      <c r="L1800" t="s">
        <v>893</v>
      </c>
      <c r="M1800">
        <v>1491868800</v>
      </c>
      <c r="N1800" t="s">
        <v>1628</v>
      </c>
      <c r="O1800" t="s">
        <v>1628</v>
      </c>
      <c r="P1800" t="s">
        <v>1628</v>
      </c>
      <c r="Q1800">
        <f>LEN(AMAZON_FASHION_5__2[[#This Row],[reviewText]])</f>
        <v>67</v>
      </c>
      <c r="R1800" t="str">
        <f>IF(AMAZON_FASHION_5__2[[#This Row],[overall]]&gt;=4,"Positive",IF(AMAZON_FASHION_5__2[[#This Row],[overall]]&lt;=2,"Negative","Neutral"))</f>
        <v>Positive</v>
      </c>
      <c r="S18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01" spans="1:19" x14ac:dyDescent="0.25">
      <c r="A1801">
        <v>5</v>
      </c>
      <c r="B1801" t="b">
        <v>1</v>
      </c>
      <c r="C1801" s="1">
        <v>42836</v>
      </c>
      <c r="D1801">
        <f>YEAR(AMAZON_FASHION_5__2[[#This Row],[reviewDate]])</f>
        <v>2017</v>
      </c>
      <c r="E1801" s="1" t="str">
        <f>TEXT(AMAZON_FASHION_5__2[[#This Row],[reviewDate]], "mmmm")</f>
        <v>April</v>
      </c>
      <c r="F1801" t="s">
        <v>894</v>
      </c>
      <c r="G1801" t="s">
        <v>1490</v>
      </c>
      <c r="H1801" t="s">
        <v>1500</v>
      </c>
      <c r="I1801" t="s">
        <v>336</v>
      </c>
      <c r="J1801" t="s">
        <v>896</v>
      </c>
      <c r="K1801" t="s">
        <v>897</v>
      </c>
      <c r="L1801" t="s">
        <v>17</v>
      </c>
      <c r="M1801">
        <v>1491868800</v>
      </c>
      <c r="N1801" t="s">
        <v>1628</v>
      </c>
      <c r="O1801" t="s">
        <v>1628</v>
      </c>
      <c r="P1801" t="s">
        <v>1628</v>
      </c>
      <c r="Q1801">
        <f>LEN(AMAZON_FASHION_5__2[[#This Row],[reviewText]])</f>
        <v>13</v>
      </c>
      <c r="R1801" t="str">
        <f>IF(AMAZON_FASHION_5__2[[#This Row],[overall]]&gt;=4,"Positive",IF(AMAZON_FASHION_5__2[[#This Row],[overall]]&lt;=2,"Negative","Neutral"))</f>
        <v>Positive</v>
      </c>
      <c r="S18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02" spans="1:19" x14ac:dyDescent="0.25">
      <c r="A1802">
        <v>5</v>
      </c>
      <c r="B1802" t="b">
        <v>1</v>
      </c>
      <c r="C1802" s="1">
        <v>42835</v>
      </c>
      <c r="D1802">
        <f>YEAR(AMAZON_FASHION_5__2[[#This Row],[reviewDate]])</f>
        <v>2017</v>
      </c>
      <c r="E1802" s="1" t="str">
        <f>TEXT(AMAZON_FASHION_5__2[[#This Row],[reviewDate]], "mmmm")</f>
        <v>April</v>
      </c>
      <c r="F1802" t="s">
        <v>898</v>
      </c>
      <c r="G1802" t="s">
        <v>1490</v>
      </c>
      <c r="H1802" t="s">
        <v>235</v>
      </c>
      <c r="I1802" t="s">
        <v>411</v>
      </c>
      <c r="J1802" t="s">
        <v>899</v>
      </c>
      <c r="K1802" t="s">
        <v>900</v>
      </c>
      <c r="L1802" t="s">
        <v>901</v>
      </c>
      <c r="M1802">
        <v>1491782400</v>
      </c>
      <c r="N1802" t="s">
        <v>1628</v>
      </c>
      <c r="O1802" t="s">
        <v>1628</v>
      </c>
      <c r="P1802" t="s">
        <v>1628</v>
      </c>
      <c r="Q1802">
        <f>LEN(AMAZON_FASHION_5__2[[#This Row],[reviewText]])</f>
        <v>49</v>
      </c>
      <c r="R1802" t="str">
        <f>IF(AMAZON_FASHION_5__2[[#This Row],[overall]]&gt;=4,"Positive",IF(AMAZON_FASHION_5__2[[#This Row],[overall]]&lt;=2,"Negative","Neutral"))</f>
        <v>Positive</v>
      </c>
      <c r="S18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03" spans="1:19" x14ac:dyDescent="0.25">
      <c r="A1803">
        <v>5</v>
      </c>
      <c r="B1803" t="b">
        <v>1</v>
      </c>
      <c r="C1803" s="1">
        <v>42835</v>
      </c>
      <c r="D1803">
        <f>YEAR(AMAZON_FASHION_5__2[[#This Row],[reviewDate]])</f>
        <v>2017</v>
      </c>
      <c r="E1803" s="1" t="str">
        <f>TEXT(AMAZON_FASHION_5__2[[#This Row],[reviewDate]], "mmmm")</f>
        <v>April</v>
      </c>
      <c r="F1803" t="s">
        <v>902</v>
      </c>
      <c r="G1803" t="s">
        <v>1490</v>
      </c>
      <c r="H1803" t="s">
        <v>205</v>
      </c>
      <c r="I1803" t="s">
        <v>396</v>
      </c>
      <c r="J1803" t="s">
        <v>903</v>
      </c>
      <c r="K1803" t="s">
        <v>904</v>
      </c>
      <c r="L1803" t="s">
        <v>905</v>
      </c>
      <c r="M1803">
        <v>1491782400</v>
      </c>
      <c r="N1803" t="s">
        <v>1628</v>
      </c>
      <c r="O1803" t="s">
        <v>1628</v>
      </c>
      <c r="P1803" t="s">
        <v>1628</v>
      </c>
      <c r="Q1803">
        <f>LEN(AMAZON_FASHION_5__2[[#This Row],[reviewText]])</f>
        <v>17</v>
      </c>
      <c r="R1803" t="str">
        <f>IF(AMAZON_FASHION_5__2[[#This Row],[overall]]&gt;=4,"Positive",IF(AMAZON_FASHION_5__2[[#This Row],[overall]]&lt;=2,"Negative","Neutral"))</f>
        <v>Positive</v>
      </c>
      <c r="S18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04" spans="1:19" x14ac:dyDescent="0.25">
      <c r="A1804">
        <v>4</v>
      </c>
      <c r="B1804" t="b">
        <v>1</v>
      </c>
      <c r="C1804" s="1">
        <v>42835</v>
      </c>
      <c r="D1804">
        <f>YEAR(AMAZON_FASHION_5__2[[#This Row],[reviewDate]])</f>
        <v>2017</v>
      </c>
      <c r="E1804" s="1" t="str">
        <f>TEXT(AMAZON_FASHION_5__2[[#This Row],[reviewDate]], "mmmm")</f>
        <v>April</v>
      </c>
      <c r="F1804" t="s">
        <v>906</v>
      </c>
      <c r="G1804" t="s">
        <v>1490</v>
      </c>
      <c r="H1804" t="s">
        <v>284</v>
      </c>
      <c r="I1804" t="s">
        <v>411</v>
      </c>
      <c r="J1804" t="s">
        <v>907</v>
      </c>
      <c r="K1804" t="s">
        <v>908</v>
      </c>
      <c r="L1804" t="s">
        <v>909</v>
      </c>
      <c r="M1804">
        <v>1491782400</v>
      </c>
      <c r="N1804" t="s">
        <v>1628</v>
      </c>
      <c r="O1804" t="s">
        <v>1628</v>
      </c>
      <c r="P1804" t="s">
        <v>1628</v>
      </c>
      <c r="Q1804">
        <f>LEN(AMAZON_FASHION_5__2[[#This Row],[reviewText]])</f>
        <v>177</v>
      </c>
      <c r="R1804" t="str">
        <f>IF(AMAZON_FASHION_5__2[[#This Row],[overall]]&gt;=4,"Positive",IF(AMAZON_FASHION_5__2[[#This Row],[overall]]&lt;=2,"Negative","Neutral"))</f>
        <v>Positive</v>
      </c>
      <c r="S18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05" spans="1:19" x14ac:dyDescent="0.25">
      <c r="A1805">
        <v>5</v>
      </c>
      <c r="B1805" t="b">
        <v>1</v>
      </c>
      <c r="C1805" s="1">
        <v>42833</v>
      </c>
      <c r="D1805">
        <f>YEAR(AMAZON_FASHION_5__2[[#This Row],[reviewDate]])</f>
        <v>2017</v>
      </c>
      <c r="E1805" s="1" t="str">
        <f>TEXT(AMAZON_FASHION_5__2[[#This Row],[reviewDate]], "mmmm")</f>
        <v>April</v>
      </c>
      <c r="F1805" t="s">
        <v>910</v>
      </c>
      <c r="G1805" t="s">
        <v>1490</v>
      </c>
      <c r="H1805" t="s">
        <v>230</v>
      </c>
      <c r="I1805" t="s">
        <v>198</v>
      </c>
      <c r="J1805" t="s">
        <v>63</v>
      </c>
      <c r="K1805" t="s">
        <v>911</v>
      </c>
      <c r="L1805" t="s">
        <v>912</v>
      </c>
      <c r="M1805">
        <v>1491609600</v>
      </c>
      <c r="N1805" t="s">
        <v>1628</v>
      </c>
      <c r="O1805" t="s">
        <v>1628</v>
      </c>
      <c r="P1805" t="s">
        <v>1628</v>
      </c>
      <c r="Q1805">
        <f>LEN(AMAZON_FASHION_5__2[[#This Row],[reviewText]])</f>
        <v>163</v>
      </c>
      <c r="R1805" t="str">
        <f>IF(AMAZON_FASHION_5__2[[#This Row],[overall]]&gt;=4,"Positive",IF(AMAZON_FASHION_5__2[[#This Row],[overall]]&lt;=2,"Negative","Neutral"))</f>
        <v>Positive</v>
      </c>
      <c r="S18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06" spans="1:19" x14ac:dyDescent="0.25">
      <c r="A1806">
        <v>4</v>
      </c>
      <c r="B1806" t="b">
        <v>1</v>
      </c>
      <c r="C1806" s="1">
        <v>42830</v>
      </c>
      <c r="D1806">
        <f>YEAR(AMAZON_FASHION_5__2[[#This Row],[reviewDate]])</f>
        <v>2017</v>
      </c>
      <c r="E1806" s="1" t="str">
        <f>TEXT(AMAZON_FASHION_5__2[[#This Row],[reviewDate]], "mmmm")</f>
        <v>April</v>
      </c>
      <c r="F1806" t="s">
        <v>913</v>
      </c>
      <c r="G1806" t="s">
        <v>1490</v>
      </c>
      <c r="H1806" t="s">
        <v>477</v>
      </c>
      <c r="I1806" t="s">
        <v>198</v>
      </c>
      <c r="J1806" t="s">
        <v>63</v>
      </c>
      <c r="K1806" t="s">
        <v>914</v>
      </c>
      <c r="L1806" t="s">
        <v>103</v>
      </c>
      <c r="M1806">
        <v>1491350400</v>
      </c>
      <c r="N1806" t="s">
        <v>1628</v>
      </c>
      <c r="O1806" t="s">
        <v>1628</v>
      </c>
      <c r="P1806" t="s">
        <v>1628</v>
      </c>
      <c r="Q1806">
        <f>LEN(AMAZON_FASHION_5__2[[#This Row],[reviewText]])</f>
        <v>17</v>
      </c>
      <c r="R1806" t="str">
        <f>IF(AMAZON_FASHION_5__2[[#This Row],[overall]]&gt;=4,"Positive",IF(AMAZON_FASHION_5__2[[#This Row],[overall]]&lt;=2,"Negative","Neutral"))</f>
        <v>Positive</v>
      </c>
      <c r="S18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07" spans="1:19" x14ac:dyDescent="0.25">
      <c r="A1807">
        <v>5</v>
      </c>
      <c r="B1807" t="b">
        <v>1</v>
      </c>
      <c r="C1807" s="1">
        <v>42830</v>
      </c>
      <c r="D1807">
        <f>YEAR(AMAZON_FASHION_5__2[[#This Row],[reviewDate]])</f>
        <v>2017</v>
      </c>
      <c r="E1807" s="1" t="str">
        <f>TEXT(AMAZON_FASHION_5__2[[#This Row],[reviewDate]], "mmmm")</f>
        <v>April</v>
      </c>
      <c r="F1807" t="s">
        <v>915</v>
      </c>
      <c r="G1807" t="s">
        <v>1490</v>
      </c>
      <c r="H1807" t="s">
        <v>210</v>
      </c>
      <c r="I1807" t="s">
        <v>198</v>
      </c>
      <c r="J1807" t="s">
        <v>916</v>
      </c>
      <c r="K1807" t="s">
        <v>917</v>
      </c>
      <c r="L1807" t="s">
        <v>17</v>
      </c>
      <c r="M1807">
        <v>1491350400</v>
      </c>
      <c r="N1807" t="s">
        <v>1628</v>
      </c>
      <c r="O1807" t="s">
        <v>1628</v>
      </c>
      <c r="P1807" t="s">
        <v>1628</v>
      </c>
      <c r="Q1807">
        <f>LEN(AMAZON_FASHION_5__2[[#This Row],[reviewText]])</f>
        <v>30</v>
      </c>
      <c r="R1807" t="str">
        <f>IF(AMAZON_FASHION_5__2[[#This Row],[overall]]&gt;=4,"Positive",IF(AMAZON_FASHION_5__2[[#This Row],[overall]]&lt;=2,"Negative","Neutral"))</f>
        <v>Positive</v>
      </c>
      <c r="S18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08" spans="1:19" x14ac:dyDescent="0.25">
      <c r="A1808">
        <v>5</v>
      </c>
      <c r="B1808" t="b">
        <v>1</v>
      </c>
      <c r="C1808" s="1">
        <v>42829</v>
      </c>
      <c r="D1808">
        <f>YEAR(AMAZON_FASHION_5__2[[#This Row],[reviewDate]])</f>
        <v>2017</v>
      </c>
      <c r="E1808" s="1" t="str">
        <f>TEXT(AMAZON_FASHION_5__2[[#This Row],[reviewDate]], "mmmm")</f>
        <v>April</v>
      </c>
      <c r="F1808" t="s">
        <v>918</v>
      </c>
      <c r="G1808" t="s">
        <v>1490</v>
      </c>
      <c r="H1808" t="s">
        <v>477</v>
      </c>
      <c r="I1808" t="s">
        <v>827</v>
      </c>
      <c r="J1808" t="s">
        <v>919</v>
      </c>
      <c r="K1808" t="s">
        <v>920</v>
      </c>
      <c r="L1808" t="s">
        <v>17</v>
      </c>
      <c r="M1808">
        <v>1491264000</v>
      </c>
      <c r="N1808" t="s">
        <v>1628</v>
      </c>
      <c r="O1808" t="s">
        <v>1628</v>
      </c>
      <c r="P1808" t="s">
        <v>1628</v>
      </c>
      <c r="Q1808">
        <f>LEN(AMAZON_FASHION_5__2[[#This Row],[reviewText]])</f>
        <v>38</v>
      </c>
      <c r="R1808" t="str">
        <f>IF(AMAZON_FASHION_5__2[[#This Row],[overall]]&gt;=4,"Positive",IF(AMAZON_FASHION_5__2[[#This Row],[overall]]&lt;=2,"Negative","Neutral"))</f>
        <v>Positive</v>
      </c>
      <c r="S18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09" spans="1:19" x14ac:dyDescent="0.25">
      <c r="A1809">
        <v>5</v>
      </c>
      <c r="B1809" t="b">
        <v>1</v>
      </c>
      <c r="C1809" s="1">
        <v>42827</v>
      </c>
      <c r="D1809">
        <f>YEAR(AMAZON_FASHION_5__2[[#This Row],[reviewDate]])</f>
        <v>2017</v>
      </c>
      <c r="E1809" s="1" t="str">
        <f>TEXT(AMAZON_FASHION_5__2[[#This Row],[reviewDate]], "mmmm")</f>
        <v>April</v>
      </c>
      <c r="F1809" t="s">
        <v>921</v>
      </c>
      <c r="G1809" t="s">
        <v>1490</v>
      </c>
      <c r="H1809" t="s">
        <v>205</v>
      </c>
      <c r="I1809" t="s">
        <v>344</v>
      </c>
      <c r="J1809" t="s">
        <v>922</v>
      </c>
      <c r="K1809" t="s">
        <v>923</v>
      </c>
      <c r="L1809" t="s">
        <v>17</v>
      </c>
      <c r="M1809">
        <v>1491091200</v>
      </c>
      <c r="N1809" t="s">
        <v>1628</v>
      </c>
      <c r="O1809" t="s">
        <v>1628</v>
      </c>
      <c r="P1809" t="s">
        <v>1628</v>
      </c>
      <c r="Q1809">
        <f>LEN(AMAZON_FASHION_5__2[[#This Row],[reviewText]])</f>
        <v>39</v>
      </c>
      <c r="R1809" t="str">
        <f>IF(AMAZON_FASHION_5__2[[#This Row],[overall]]&gt;=4,"Positive",IF(AMAZON_FASHION_5__2[[#This Row],[overall]]&lt;=2,"Negative","Neutral"))</f>
        <v>Positive</v>
      </c>
      <c r="S18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10" spans="1:19" x14ac:dyDescent="0.25">
      <c r="A1810">
        <v>4</v>
      </c>
      <c r="B1810" t="b">
        <v>1</v>
      </c>
      <c r="C1810" s="1">
        <v>42824</v>
      </c>
      <c r="D1810">
        <f>YEAR(AMAZON_FASHION_5__2[[#This Row],[reviewDate]])</f>
        <v>2017</v>
      </c>
      <c r="E1810" s="1" t="str">
        <f>TEXT(AMAZON_FASHION_5__2[[#This Row],[reviewDate]], "mmmm")</f>
        <v>March</v>
      </c>
      <c r="F1810" t="s">
        <v>924</v>
      </c>
      <c r="G1810" t="s">
        <v>1490</v>
      </c>
      <c r="H1810" t="s">
        <v>205</v>
      </c>
      <c r="I1810" t="s">
        <v>198</v>
      </c>
      <c r="J1810" t="s">
        <v>925</v>
      </c>
      <c r="K1810" t="s">
        <v>926</v>
      </c>
      <c r="L1810" t="s">
        <v>927</v>
      </c>
      <c r="M1810">
        <v>1490832000</v>
      </c>
      <c r="N1810" t="s">
        <v>1628</v>
      </c>
      <c r="O1810" t="s">
        <v>1628</v>
      </c>
      <c r="P1810" t="s">
        <v>1628</v>
      </c>
      <c r="Q1810">
        <f>LEN(AMAZON_FASHION_5__2[[#This Row],[reviewText]])</f>
        <v>87</v>
      </c>
      <c r="R1810" t="str">
        <f>IF(AMAZON_FASHION_5__2[[#This Row],[overall]]&gt;=4,"Positive",IF(AMAZON_FASHION_5__2[[#This Row],[overall]]&lt;=2,"Negative","Neutral"))</f>
        <v>Positive</v>
      </c>
      <c r="S18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11" spans="1:19" x14ac:dyDescent="0.25">
      <c r="A1811">
        <v>5</v>
      </c>
      <c r="B1811" t="b">
        <v>1</v>
      </c>
      <c r="C1811" s="1">
        <v>42823</v>
      </c>
      <c r="D1811">
        <f>YEAR(AMAZON_FASHION_5__2[[#This Row],[reviewDate]])</f>
        <v>2017</v>
      </c>
      <c r="E1811" s="1" t="str">
        <f>TEXT(AMAZON_FASHION_5__2[[#This Row],[reviewDate]], "mmmm")</f>
        <v>March</v>
      </c>
      <c r="F1811" t="s">
        <v>928</v>
      </c>
      <c r="G1811" t="s">
        <v>1490</v>
      </c>
      <c r="H1811" t="s">
        <v>235</v>
      </c>
      <c r="I1811" t="s">
        <v>411</v>
      </c>
      <c r="J1811" t="s">
        <v>929</v>
      </c>
      <c r="K1811" t="s">
        <v>930</v>
      </c>
      <c r="L1811" t="s">
        <v>931</v>
      </c>
      <c r="M1811">
        <v>1490745600</v>
      </c>
      <c r="N1811" t="s">
        <v>1628</v>
      </c>
      <c r="O1811" t="s">
        <v>1628</v>
      </c>
      <c r="P1811" t="s">
        <v>1628</v>
      </c>
      <c r="Q1811">
        <f>LEN(AMAZON_FASHION_5__2[[#This Row],[reviewText]])</f>
        <v>120</v>
      </c>
      <c r="R1811" t="str">
        <f>IF(AMAZON_FASHION_5__2[[#This Row],[overall]]&gt;=4,"Positive",IF(AMAZON_FASHION_5__2[[#This Row],[overall]]&lt;=2,"Negative","Neutral"))</f>
        <v>Positive</v>
      </c>
      <c r="S18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12" spans="1:19" x14ac:dyDescent="0.25">
      <c r="A1812">
        <v>2</v>
      </c>
      <c r="B1812" t="b">
        <v>1</v>
      </c>
      <c r="C1812" s="1">
        <v>42820</v>
      </c>
      <c r="D1812">
        <f>YEAR(AMAZON_FASHION_5__2[[#This Row],[reviewDate]])</f>
        <v>2017</v>
      </c>
      <c r="E1812" s="1" t="str">
        <f>TEXT(AMAZON_FASHION_5__2[[#This Row],[reviewDate]], "mmmm")</f>
        <v>March</v>
      </c>
      <c r="F1812" t="s">
        <v>932</v>
      </c>
      <c r="G1812" t="s">
        <v>1490</v>
      </c>
      <c r="H1812" t="s">
        <v>477</v>
      </c>
      <c r="I1812" t="s">
        <v>211</v>
      </c>
      <c r="J1812" t="s">
        <v>933</v>
      </c>
      <c r="K1812" t="s">
        <v>934</v>
      </c>
      <c r="L1812" t="s">
        <v>935</v>
      </c>
      <c r="M1812">
        <v>1490486400</v>
      </c>
      <c r="N1812" t="s">
        <v>1628</v>
      </c>
      <c r="O1812" t="s">
        <v>1628</v>
      </c>
      <c r="P1812" t="s">
        <v>1628</v>
      </c>
      <c r="Q1812">
        <f>LEN(AMAZON_FASHION_5__2[[#This Row],[reviewText]])</f>
        <v>178</v>
      </c>
      <c r="R1812" t="str">
        <f>IF(AMAZON_FASHION_5__2[[#This Row],[overall]]&gt;=4,"Positive",IF(AMAZON_FASHION_5__2[[#This Row],[overall]]&lt;=2,"Negative","Neutral"))</f>
        <v>Negative</v>
      </c>
      <c r="S18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13" spans="1:19" x14ac:dyDescent="0.25">
      <c r="A1813">
        <v>1</v>
      </c>
      <c r="B1813" t="b">
        <v>1</v>
      </c>
      <c r="C1813" s="1">
        <v>42819</v>
      </c>
      <c r="D1813">
        <f>YEAR(AMAZON_FASHION_5__2[[#This Row],[reviewDate]])</f>
        <v>2017</v>
      </c>
      <c r="E1813" s="1" t="str">
        <f>TEXT(AMAZON_FASHION_5__2[[#This Row],[reviewDate]], "mmmm")</f>
        <v>March</v>
      </c>
      <c r="F1813" t="s">
        <v>936</v>
      </c>
      <c r="G1813" t="s">
        <v>1490</v>
      </c>
      <c r="H1813" t="s">
        <v>1488</v>
      </c>
      <c r="I1813" t="s">
        <v>336</v>
      </c>
      <c r="J1813" t="s">
        <v>937</v>
      </c>
      <c r="K1813" t="s">
        <v>938</v>
      </c>
      <c r="L1813" t="s">
        <v>65</v>
      </c>
      <c r="M1813">
        <v>1490400000</v>
      </c>
      <c r="N1813" t="s">
        <v>1628</v>
      </c>
      <c r="O1813" t="s">
        <v>1628</v>
      </c>
      <c r="P1813" t="s">
        <v>1628</v>
      </c>
      <c r="Q1813">
        <f>LEN(AMAZON_FASHION_5__2[[#This Row],[reviewText]])</f>
        <v>84</v>
      </c>
      <c r="R1813" t="str">
        <f>IF(AMAZON_FASHION_5__2[[#This Row],[overall]]&gt;=4,"Positive",IF(AMAZON_FASHION_5__2[[#This Row],[overall]]&lt;=2,"Negative","Neutral"))</f>
        <v>Negative</v>
      </c>
      <c r="S18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14" spans="1:19" x14ac:dyDescent="0.25">
      <c r="A1814">
        <v>5</v>
      </c>
      <c r="B1814" t="b">
        <v>1</v>
      </c>
      <c r="C1814" s="1">
        <v>42818</v>
      </c>
      <c r="D1814">
        <f>YEAR(AMAZON_FASHION_5__2[[#This Row],[reviewDate]])</f>
        <v>2017</v>
      </c>
      <c r="E1814" s="1" t="str">
        <f>TEXT(AMAZON_FASHION_5__2[[#This Row],[reviewDate]], "mmmm")</f>
        <v>March</v>
      </c>
      <c r="F1814" t="s">
        <v>939</v>
      </c>
      <c r="G1814" t="s">
        <v>1490</v>
      </c>
      <c r="H1814" t="s">
        <v>235</v>
      </c>
      <c r="I1814" t="s">
        <v>198</v>
      </c>
      <c r="J1814" t="s">
        <v>63</v>
      </c>
      <c r="K1814" t="s">
        <v>940</v>
      </c>
      <c r="L1814" t="s">
        <v>17</v>
      </c>
      <c r="M1814">
        <v>1490313600</v>
      </c>
      <c r="N1814" t="s">
        <v>1628</v>
      </c>
      <c r="O1814" t="s">
        <v>1628</v>
      </c>
      <c r="P1814" t="s">
        <v>1628</v>
      </c>
      <c r="Q1814">
        <f>LEN(AMAZON_FASHION_5__2[[#This Row],[reviewText]])</f>
        <v>10</v>
      </c>
      <c r="R1814" t="str">
        <f>IF(AMAZON_FASHION_5__2[[#This Row],[overall]]&gt;=4,"Positive",IF(AMAZON_FASHION_5__2[[#This Row],[overall]]&lt;=2,"Negative","Neutral"))</f>
        <v>Positive</v>
      </c>
      <c r="S18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15" spans="1:19" x14ac:dyDescent="0.25">
      <c r="A1815">
        <v>5</v>
      </c>
      <c r="B1815" t="b">
        <v>1</v>
      </c>
      <c r="C1815" s="1">
        <v>42818</v>
      </c>
      <c r="D1815">
        <f>YEAR(AMAZON_FASHION_5__2[[#This Row],[reviewDate]])</f>
        <v>2017</v>
      </c>
      <c r="E1815" s="1" t="str">
        <f>TEXT(AMAZON_FASHION_5__2[[#This Row],[reviewDate]], "mmmm")</f>
        <v>March</v>
      </c>
      <c r="F1815" t="s">
        <v>941</v>
      </c>
      <c r="G1815" t="s">
        <v>1490</v>
      </c>
      <c r="H1815" t="s">
        <v>210</v>
      </c>
      <c r="I1815" t="s">
        <v>198</v>
      </c>
      <c r="J1815" t="s">
        <v>942</v>
      </c>
      <c r="K1815" t="s">
        <v>943</v>
      </c>
      <c r="L1815" t="s">
        <v>944</v>
      </c>
      <c r="M1815">
        <v>1490313600</v>
      </c>
      <c r="N1815" t="s">
        <v>1628</v>
      </c>
      <c r="O1815" t="s">
        <v>1628</v>
      </c>
      <c r="P1815" t="s">
        <v>1628</v>
      </c>
      <c r="Q1815">
        <f>LEN(AMAZON_FASHION_5__2[[#This Row],[reviewText]])</f>
        <v>225</v>
      </c>
      <c r="R1815" t="str">
        <f>IF(AMAZON_FASHION_5__2[[#This Row],[overall]]&gt;=4,"Positive",IF(AMAZON_FASHION_5__2[[#This Row],[overall]]&lt;=2,"Negative","Neutral"))</f>
        <v>Positive</v>
      </c>
      <c r="S18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16" spans="1:19" x14ac:dyDescent="0.25">
      <c r="A1816">
        <v>5</v>
      </c>
      <c r="B1816" t="b">
        <v>1</v>
      </c>
      <c r="C1816" s="1">
        <v>42817</v>
      </c>
      <c r="D1816">
        <f>YEAR(AMAZON_FASHION_5__2[[#This Row],[reviewDate]])</f>
        <v>2017</v>
      </c>
      <c r="E1816" s="1" t="str">
        <f>TEXT(AMAZON_FASHION_5__2[[#This Row],[reviewDate]], "mmmm")</f>
        <v>March</v>
      </c>
      <c r="F1816" t="s">
        <v>945</v>
      </c>
      <c r="G1816" t="s">
        <v>1490</v>
      </c>
      <c r="H1816" t="s">
        <v>230</v>
      </c>
      <c r="I1816" t="s">
        <v>574</v>
      </c>
      <c r="J1816" t="s">
        <v>946</v>
      </c>
      <c r="K1816" t="s">
        <v>947</v>
      </c>
      <c r="L1816" t="s">
        <v>948</v>
      </c>
      <c r="M1816">
        <v>1490227200</v>
      </c>
      <c r="N1816" t="s">
        <v>1628</v>
      </c>
      <c r="O1816" t="s">
        <v>1628</v>
      </c>
      <c r="P1816">
        <v>3</v>
      </c>
      <c r="Q1816">
        <f>LEN(AMAZON_FASHION_5__2[[#This Row],[reviewText]])</f>
        <v>401</v>
      </c>
      <c r="R1816" t="str">
        <f>IF(AMAZON_FASHION_5__2[[#This Row],[overall]]&gt;=4,"Positive",IF(AMAZON_FASHION_5__2[[#This Row],[overall]]&lt;=2,"Negative","Neutral"))</f>
        <v>Positive</v>
      </c>
      <c r="S18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17" spans="1:19" x14ac:dyDescent="0.25">
      <c r="A1817">
        <v>5</v>
      </c>
      <c r="B1817" t="b">
        <v>1</v>
      </c>
      <c r="C1817" s="1">
        <v>42815</v>
      </c>
      <c r="D1817">
        <f>YEAR(AMAZON_FASHION_5__2[[#This Row],[reviewDate]])</f>
        <v>2017</v>
      </c>
      <c r="E1817" s="1" t="str">
        <f>TEXT(AMAZON_FASHION_5__2[[#This Row],[reviewDate]], "mmmm")</f>
        <v>March</v>
      </c>
      <c r="F1817" t="s">
        <v>949</v>
      </c>
      <c r="G1817" t="s">
        <v>1490</v>
      </c>
      <c r="H1817" t="s">
        <v>210</v>
      </c>
      <c r="I1817" t="s">
        <v>419</v>
      </c>
      <c r="J1817" t="s">
        <v>950</v>
      </c>
      <c r="K1817" t="s">
        <v>951</v>
      </c>
      <c r="L1817" t="s">
        <v>543</v>
      </c>
      <c r="M1817">
        <v>1490054400</v>
      </c>
      <c r="N1817" t="s">
        <v>1628</v>
      </c>
      <c r="O1817" t="s">
        <v>1628</v>
      </c>
      <c r="P1817" t="s">
        <v>1628</v>
      </c>
      <c r="Q1817">
        <f>LEN(AMAZON_FASHION_5__2[[#This Row],[reviewText]])</f>
        <v>110</v>
      </c>
      <c r="R1817" t="str">
        <f>IF(AMAZON_FASHION_5__2[[#This Row],[overall]]&gt;=4,"Positive",IF(AMAZON_FASHION_5__2[[#This Row],[overall]]&lt;=2,"Negative","Neutral"))</f>
        <v>Positive</v>
      </c>
      <c r="S18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18" spans="1:19" x14ac:dyDescent="0.25">
      <c r="A1818">
        <v>4</v>
      </c>
      <c r="B1818" t="b">
        <v>1</v>
      </c>
      <c r="C1818" s="1">
        <v>42814</v>
      </c>
      <c r="D1818">
        <f>YEAR(AMAZON_FASHION_5__2[[#This Row],[reviewDate]])</f>
        <v>2017</v>
      </c>
      <c r="E1818" s="1" t="str">
        <f>TEXT(AMAZON_FASHION_5__2[[#This Row],[reviewDate]], "mmmm")</f>
        <v>March</v>
      </c>
      <c r="F1818" t="s">
        <v>952</v>
      </c>
      <c r="G1818" t="s">
        <v>1490</v>
      </c>
      <c r="H1818" t="s">
        <v>477</v>
      </c>
      <c r="I1818" t="s">
        <v>344</v>
      </c>
      <c r="J1818" t="s">
        <v>953</v>
      </c>
      <c r="K1818" t="s">
        <v>954</v>
      </c>
      <c r="L1818" t="s">
        <v>955</v>
      </c>
      <c r="M1818">
        <v>1489968000</v>
      </c>
      <c r="N1818" t="s">
        <v>1628</v>
      </c>
      <c r="O1818" t="s">
        <v>1628</v>
      </c>
      <c r="P1818" t="s">
        <v>1628</v>
      </c>
      <c r="Q1818">
        <f>LEN(AMAZON_FASHION_5__2[[#This Row],[reviewText]])</f>
        <v>23</v>
      </c>
      <c r="R1818" t="str">
        <f>IF(AMAZON_FASHION_5__2[[#This Row],[overall]]&gt;=4,"Positive",IF(AMAZON_FASHION_5__2[[#This Row],[overall]]&lt;=2,"Negative","Neutral"))</f>
        <v>Positive</v>
      </c>
      <c r="S18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19" spans="1:19" x14ac:dyDescent="0.25">
      <c r="A1819">
        <v>5</v>
      </c>
      <c r="B1819" t="b">
        <v>1</v>
      </c>
      <c r="C1819" s="1">
        <v>42812</v>
      </c>
      <c r="D1819">
        <f>YEAR(AMAZON_FASHION_5__2[[#This Row],[reviewDate]])</f>
        <v>2017</v>
      </c>
      <c r="E1819" s="1" t="str">
        <f>TEXT(AMAZON_FASHION_5__2[[#This Row],[reviewDate]], "mmmm")</f>
        <v>March</v>
      </c>
      <c r="F1819" t="s">
        <v>956</v>
      </c>
      <c r="G1819" t="s">
        <v>1490</v>
      </c>
      <c r="H1819" t="s">
        <v>201</v>
      </c>
      <c r="I1819" t="s">
        <v>198</v>
      </c>
      <c r="J1819" t="s">
        <v>957</v>
      </c>
      <c r="K1819" t="s">
        <v>958</v>
      </c>
      <c r="L1819" t="s">
        <v>17</v>
      </c>
      <c r="M1819">
        <v>1489795200</v>
      </c>
      <c r="N1819" t="s">
        <v>1628</v>
      </c>
      <c r="O1819" t="s">
        <v>1628</v>
      </c>
      <c r="P1819" t="s">
        <v>1628</v>
      </c>
      <c r="Q1819">
        <f>LEN(AMAZON_FASHION_5__2[[#This Row],[reviewText]])</f>
        <v>40</v>
      </c>
      <c r="R1819" t="str">
        <f>IF(AMAZON_FASHION_5__2[[#This Row],[overall]]&gt;=4,"Positive",IF(AMAZON_FASHION_5__2[[#This Row],[overall]]&lt;=2,"Negative","Neutral"))</f>
        <v>Positive</v>
      </c>
      <c r="S18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20" spans="1:19" x14ac:dyDescent="0.25">
      <c r="A1820">
        <v>5</v>
      </c>
      <c r="B1820" t="b">
        <v>1</v>
      </c>
      <c r="C1820" s="1">
        <v>42812</v>
      </c>
      <c r="D1820">
        <f>YEAR(AMAZON_FASHION_5__2[[#This Row],[reviewDate]])</f>
        <v>2017</v>
      </c>
      <c r="E1820" s="1" t="str">
        <f>TEXT(AMAZON_FASHION_5__2[[#This Row],[reviewDate]], "mmmm")</f>
        <v>March</v>
      </c>
      <c r="F1820" t="s">
        <v>959</v>
      </c>
      <c r="G1820" t="s">
        <v>1490</v>
      </c>
      <c r="H1820" t="s">
        <v>201</v>
      </c>
      <c r="I1820" t="s">
        <v>419</v>
      </c>
      <c r="J1820" t="s">
        <v>960</v>
      </c>
      <c r="K1820" t="s">
        <v>961</v>
      </c>
      <c r="L1820" t="s">
        <v>962</v>
      </c>
      <c r="M1820">
        <v>1489795200</v>
      </c>
      <c r="N1820" t="s">
        <v>1628</v>
      </c>
      <c r="O1820" t="s">
        <v>1628</v>
      </c>
      <c r="P1820">
        <v>8</v>
      </c>
      <c r="Q1820">
        <f>LEN(AMAZON_FASHION_5__2[[#This Row],[reviewText]])</f>
        <v>267</v>
      </c>
      <c r="R1820" t="str">
        <f>IF(AMAZON_FASHION_5__2[[#This Row],[overall]]&gt;=4,"Positive",IF(AMAZON_FASHION_5__2[[#This Row],[overall]]&lt;=2,"Negative","Neutral"))</f>
        <v>Positive</v>
      </c>
      <c r="S18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21" spans="1:19" x14ac:dyDescent="0.25">
      <c r="A1821">
        <v>3</v>
      </c>
      <c r="B1821" t="b">
        <v>1</v>
      </c>
      <c r="C1821" s="1">
        <v>42811</v>
      </c>
      <c r="D1821">
        <f>YEAR(AMAZON_FASHION_5__2[[#This Row],[reviewDate]])</f>
        <v>2017</v>
      </c>
      <c r="E1821" s="1" t="str">
        <f>TEXT(AMAZON_FASHION_5__2[[#This Row],[reviewDate]], "mmmm")</f>
        <v>March</v>
      </c>
      <c r="F1821" t="s">
        <v>963</v>
      </c>
      <c r="G1821" t="s">
        <v>1490</v>
      </c>
      <c r="H1821" t="s">
        <v>477</v>
      </c>
      <c r="I1821" t="s">
        <v>344</v>
      </c>
      <c r="J1821" t="s">
        <v>1076</v>
      </c>
      <c r="K1821" t="s">
        <v>965</v>
      </c>
      <c r="L1821" t="s">
        <v>966</v>
      </c>
      <c r="M1821">
        <v>1489708800</v>
      </c>
      <c r="N1821" t="s">
        <v>1628</v>
      </c>
      <c r="O1821" t="s">
        <v>1628</v>
      </c>
      <c r="P1821" t="s">
        <v>1628</v>
      </c>
      <c r="Q1821">
        <f>LEN(AMAZON_FASHION_5__2[[#This Row],[reviewText]])</f>
        <v>143</v>
      </c>
      <c r="R1821" t="str">
        <f>IF(AMAZON_FASHION_5__2[[#This Row],[overall]]&gt;=4,"Positive",IF(AMAZON_FASHION_5__2[[#This Row],[overall]]&lt;=2,"Negative","Neutral"))</f>
        <v>Neutral</v>
      </c>
      <c r="S18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22" spans="1:19" x14ac:dyDescent="0.25">
      <c r="A1822">
        <v>4</v>
      </c>
      <c r="B1822" t="b">
        <v>1</v>
      </c>
      <c r="C1822" s="1">
        <v>42809</v>
      </c>
      <c r="D1822">
        <f>YEAR(AMAZON_FASHION_5__2[[#This Row],[reviewDate]])</f>
        <v>2017</v>
      </c>
      <c r="E1822" s="1" t="str">
        <f>TEXT(AMAZON_FASHION_5__2[[#This Row],[reviewDate]], "mmmm")</f>
        <v>March</v>
      </c>
      <c r="F1822" t="s">
        <v>967</v>
      </c>
      <c r="G1822" t="s">
        <v>1490</v>
      </c>
      <c r="H1822" t="s">
        <v>201</v>
      </c>
      <c r="I1822" t="s">
        <v>524</v>
      </c>
      <c r="J1822" t="s">
        <v>968</v>
      </c>
      <c r="K1822" t="s">
        <v>969</v>
      </c>
      <c r="L1822" t="s">
        <v>970</v>
      </c>
      <c r="M1822">
        <v>1489536000</v>
      </c>
      <c r="N1822" t="s">
        <v>1628</v>
      </c>
      <c r="O1822" t="s">
        <v>1628</v>
      </c>
      <c r="P1822" t="s">
        <v>1628</v>
      </c>
      <c r="Q1822">
        <f>LEN(AMAZON_FASHION_5__2[[#This Row],[reviewText]])</f>
        <v>118</v>
      </c>
      <c r="R1822" t="str">
        <f>IF(AMAZON_FASHION_5__2[[#This Row],[overall]]&gt;=4,"Positive",IF(AMAZON_FASHION_5__2[[#This Row],[overall]]&lt;=2,"Negative","Neutral"))</f>
        <v>Positive</v>
      </c>
      <c r="S18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23" spans="1:19" x14ac:dyDescent="0.25">
      <c r="A1823">
        <v>3</v>
      </c>
      <c r="B1823" t="b">
        <v>1</v>
      </c>
      <c r="C1823" s="1">
        <v>42809</v>
      </c>
      <c r="D1823">
        <f>YEAR(AMAZON_FASHION_5__2[[#This Row],[reviewDate]])</f>
        <v>2017</v>
      </c>
      <c r="E1823" s="1" t="str">
        <f>TEXT(AMAZON_FASHION_5__2[[#This Row],[reviewDate]], "mmmm")</f>
        <v>March</v>
      </c>
      <c r="F1823" t="s">
        <v>971</v>
      </c>
      <c r="G1823" t="s">
        <v>1490</v>
      </c>
      <c r="H1823" t="s">
        <v>235</v>
      </c>
      <c r="I1823" t="s">
        <v>411</v>
      </c>
      <c r="J1823" t="s">
        <v>972</v>
      </c>
      <c r="K1823" t="s">
        <v>973</v>
      </c>
      <c r="L1823" t="s">
        <v>974</v>
      </c>
      <c r="M1823">
        <v>1489536000</v>
      </c>
      <c r="N1823" t="s">
        <v>1628</v>
      </c>
      <c r="O1823" t="s">
        <v>1628</v>
      </c>
      <c r="P1823">
        <v>2</v>
      </c>
      <c r="Q1823">
        <f>LEN(AMAZON_FASHION_5__2[[#This Row],[reviewText]])</f>
        <v>150</v>
      </c>
      <c r="R1823" t="str">
        <f>IF(AMAZON_FASHION_5__2[[#This Row],[overall]]&gt;=4,"Positive",IF(AMAZON_FASHION_5__2[[#This Row],[overall]]&lt;=2,"Negative","Neutral"))</f>
        <v>Neutral</v>
      </c>
      <c r="S18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24" spans="1:19" x14ac:dyDescent="0.25">
      <c r="A1824">
        <v>5</v>
      </c>
      <c r="B1824" t="b">
        <v>1</v>
      </c>
      <c r="C1824" s="1">
        <v>42809</v>
      </c>
      <c r="D1824">
        <f>YEAR(AMAZON_FASHION_5__2[[#This Row],[reviewDate]])</f>
        <v>2017</v>
      </c>
      <c r="E1824" s="1" t="str">
        <f>TEXT(AMAZON_FASHION_5__2[[#This Row],[reviewDate]], "mmmm")</f>
        <v>March</v>
      </c>
      <c r="F1824" t="s">
        <v>975</v>
      </c>
      <c r="G1824" t="s">
        <v>1490</v>
      </c>
      <c r="H1824" t="s">
        <v>201</v>
      </c>
      <c r="I1824" t="s">
        <v>524</v>
      </c>
      <c r="J1824" t="s">
        <v>976</v>
      </c>
      <c r="K1824" t="s">
        <v>977</v>
      </c>
      <c r="L1824" t="s">
        <v>17</v>
      </c>
      <c r="M1824">
        <v>1489536000</v>
      </c>
      <c r="N1824" t="s">
        <v>1628</v>
      </c>
      <c r="O1824" t="s">
        <v>1628</v>
      </c>
      <c r="P1824" t="s">
        <v>1628</v>
      </c>
      <c r="Q1824">
        <f>LEN(AMAZON_FASHION_5__2[[#This Row],[reviewText]])</f>
        <v>40</v>
      </c>
      <c r="R1824" t="str">
        <f>IF(AMAZON_FASHION_5__2[[#This Row],[overall]]&gt;=4,"Positive",IF(AMAZON_FASHION_5__2[[#This Row],[overall]]&lt;=2,"Negative","Neutral"))</f>
        <v>Positive</v>
      </c>
      <c r="S18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25" spans="1:19" x14ac:dyDescent="0.25">
      <c r="A1825">
        <v>5</v>
      </c>
      <c r="B1825" t="b">
        <v>1</v>
      </c>
      <c r="C1825" s="1">
        <v>42808</v>
      </c>
      <c r="D1825">
        <f>YEAR(AMAZON_FASHION_5__2[[#This Row],[reviewDate]])</f>
        <v>2017</v>
      </c>
      <c r="E1825" s="1" t="str">
        <f>TEXT(AMAZON_FASHION_5__2[[#This Row],[reviewDate]], "mmmm")</f>
        <v>March</v>
      </c>
      <c r="F1825" t="s">
        <v>978</v>
      </c>
      <c r="G1825" t="s">
        <v>1490</v>
      </c>
      <c r="H1825" t="s">
        <v>205</v>
      </c>
      <c r="I1825" t="s">
        <v>827</v>
      </c>
      <c r="J1825" t="s">
        <v>979</v>
      </c>
      <c r="K1825" t="s">
        <v>980</v>
      </c>
      <c r="L1825" t="s">
        <v>17</v>
      </c>
      <c r="M1825">
        <v>1489449600</v>
      </c>
      <c r="N1825" t="s">
        <v>1628</v>
      </c>
      <c r="O1825" t="s">
        <v>1628</v>
      </c>
      <c r="P1825" t="s">
        <v>1628</v>
      </c>
      <c r="Q1825">
        <f>LEN(AMAZON_FASHION_5__2[[#This Row],[reviewText]])</f>
        <v>33</v>
      </c>
      <c r="R1825" t="str">
        <f>IF(AMAZON_FASHION_5__2[[#This Row],[overall]]&gt;=4,"Positive",IF(AMAZON_FASHION_5__2[[#This Row],[overall]]&lt;=2,"Negative","Neutral"))</f>
        <v>Positive</v>
      </c>
      <c r="S18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26" spans="1:19" x14ac:dyDescent="0.25">
      <c r="A1826">
        <v>5</v>
      </c>
      <c r="B1826" t="b">
        <v>1</v>
      </c>
      <c r="C1826" s="1">
        <v>42807</v>
      </c>
      <c r="D1826">
        <f>YEAR(AMAZON_FASHION_5__2[[#This Row],[reviewDate]])</f>
        <v>2017</v>
      </c>
      <c r="E1826" s="1" t="str">
        <f>TEXT(AMAZON_FASHION_5__2[[#This Row],[reviewDate]], "mmmm")</f>
        <v>March</v>
      </c>
      <c r="F1826" t="s">
        <v>981</v>
      </c>
      <c r="G1826" t="s">
        <v>1490</v>
      </c>
      <c r="H1826" t="s">
        <v>210</v>
      </c>
      <c r="I1826" t="s">
        <v>524</v>
      </c>
      <c r="J1826" t="s">
        <v>982</v>
      </c>
      <c r="K1826" t="s">
        <v>983</v>
      </c>
      <c r="L1826" t="s">
        <v>984</v>
      </c>
      <c r="M1826">
        <v>1489363200</v>
      </c>
      <c r="N1826" t="s">
        <v>1628</v>
      </c>
      <c r="O1826" t="s">
        <v>1628</v>
      </c>
      <c r="P1826" t="s">
        <v>1628</v>
      </c>
      <c r="Q1826">
        <f>LEN(AMAZON_FASHION_5__2[[#This Row],[reviewText]])</f>
        <v>297</v>
      </c>
      <c r="R1826" t="str">
        <f>IF(AMAZON_FASHION_5__2[[#This Row],[overall]]&gt;=4,"Positive",IF(AMAZON_FASHION_5__2[[#This Row],[overall]]&lt;=2,"Negative","Neutral"))</f>
        <v>Positive</v>
      </c>
      <c r="S18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27" spans="1:19" x14ac:dyDescent="0.25">
      <c r="A1827">
        <v>5</v>
      </c>
      <c r="B1827" t="b">
        <v>1</v>
      </c>
      <c r="C1827" s="1">
        <v>42806</v>
      </c>
      <c r="D1827">
        <f>YEAR(AMAZON_FASHION_5__2[[#This Row],[reviewDate]])</f>
        <v>2017</v>
      </c>
      <c r="E1827" s="1" t="str">
        <f>TEXT(AMAZON_FASHION_5__2[[#This Row],[reviewDate]], "mmmm")</f>
        <v>March</v>
      </c>
      <c r="F1827" t="s">
        <v>985</v>
      </c>
      <c r="G1827" t="s">
        <v>1490</v>
      </c>
      <c r="H1827" t="s">
        <v>235</v>
      </c>
      <c r="I1827" t="s">
        <v>198</v>
      </c>
      <c r="J1827" t="s">
        <v>986</v>
      </c>
      <c r="K1827" t="s">
        <v>987</v>
      </c>
      <c r="L1827" t="s">
        <v>988</v>
      </c>
      <c r="M1827">
        <v>1489276800</v>
      </c>
      <c r="N1827" t="s">
        <v>1628</v>
      </c>
      <c r="O1827" t="s">
        <v>1628</v>
      </c>
      <c r="P1827" t="s">
        <v>1628</v>
      </c>
      <c r="Q1827">
        <f>LEN(AMAZON_FASHION_5__2[[#This Row],[reviewText]])</f>
        <v>81</v>
      </c>
      <c r="R1827" t="str">
        <f>IF(AMAZON_FASHION_5__2[[#This Row],[overall]]&gt;=4,"Positive",IF(AMAZON_FASHION_5__2[[#This Row],[overall]]&lt;=2,"Negative","Neutral"))</f>
        <v>Positive</v>
      </c>
      <c r="S18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28" spans="1:19" x14ac:dyDescent="0.25">
      <c r="A1828">
        <v>5</v>
      </c>
      <c r="B1828" t="b">
        <v>1</v>
      </c>
      <c r="C1828" s="1">
        <v>42802</v>
      </c>
      <c r="D1828">
        <f>YEAR(AMAZON_FASHION_5__2[[#This Row],[reviewDate]])</f>
        <v>2017</v>
      </c>
      <c r="E1828" s="1" t="str">
        <f>TEXT(AMAZON_FASHION_5__2[[#This Row],[reviewDate]], "mmmm")</f>
        <v>March</v>
      </c>
      <c r="F1828" t="s">
        <v>989</v>
      </c>
      <c r="G1828" t="s">
        <v>1490</v>
      </c>
      <c r="H1828" t="s">
        <v>477</v>
      </c>
      <c r="I1828" t="s">
        <v>198</v>
      </c>
      <c r="J1828" t="s">
        <v>990</v>
      </c>
      <c r="K1828" t="s">
        <v>991</v>
      </c>
      <c r="L1828" t="s">
        <v>17</v>
      </c>
      <c r="M1828">
        <v>1488931200</v>
      </c>
      <c r="N1828" t="s">
        <v>1628</v>
      </c>
      <c r="O1828" t="s">
        <v>1628</v>
      </c>
      <c r="P1828" t="s">
        <v>1628</v>
      </c>
      <c r="Q1828">
        <f>LEN(AMAZON_FASHION_5__2[[#This Row],[reviewText]])</f>
        <v>13</v>
      </c>
      <c r="R1828" t="str">
        <f>IF(AMAZON_FASHION_5__2[[#This Row],[overall]]&gt;=4,"Positive",IF(AMAZON_FASHION_5__2[[#This Row],[overall]]&lt;=2,"Negative","Neutral"))</f>
        <v>Positive</v>
      </c>
      <c r="S18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29" spans="1:19" x14ac:dyDescent="0.25">
      <c r="A1829">
        <v>4</v>
      </c>
      <c r="B1829" t="b">
        <v>1</v>
      </c>
      <c r="C1829" s="1">
        <v>42802</v>
      </c>
      <c r="D1829">
        <f>YEAR(AMAZON_FASHION_5__2[[#This Row],[reviewDate]])</f>
        <v>2017</v>
      </c>
      <c r="E1829" s="1" t="str">
        <f>TEXT(AMAZON_FASHION_5__2[[#This Row],[reviewDate]], "mmmm")</f>
        <v>March</v>
      </c>
      <c r="F1829" t="s">
        <v>992</v>
      </c>
      <c r="G1829" t="s">
        <v>1490</v>
      </c>
      <c r="H1829" t="s">
        <v>205</v>
      </c>
      <c r="I1829" t="s">
        <v>827</v>
      </c>
      <c r="J1829" t="s">
        <v>63</v>
      </c>
      <c r="K1829" t="s">
        <v>993</v>
      </c>
      <c r="L1829" t="s">
        <v>994</v>
      </c>
      <c r="M1829">
        <v>1488931200</v>
      </c>
      <c r="N1829" t="s">
        <v>1628</v>
      </c>
      <c r="O1829" t="s">
        <v>1628</v>
      </c>
      <c r="P1829" t="s">
        <v>1628</v>
      </c>
      <c r="Q1829">
        <f>LEN(AMAZON_FASHION_5__2[[#This Row],[reviewText]])</f>
        <v>182</v>
      </c>
      <c r="R1829" t="str">
        <f>IF(AMAZON_FASHION_5__2[[#This Row],[overall]]&gt;=4,"Positive",IF(AMAZON_FASHION_5__2[[#This Row],[overall]]&lt;=2,"Negative","Neutral"))</f>
        <v>Positive</v>
      </c>
      <c r="S18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30" spans="1:19" x14ac:dyDescent="0.25">
      <c r="A1830">
        <v>4</v>
      </c>
      <c r="B1830" t="b">
        <v>1</v>
      </c>
      <c r="C1830" s="1">
        <v>42802</v>
      </c>
      <c r="D1830">
        <f>YEAR(AMAZON_FASHION_5__2[[#This Row],[reviewDate]])</f>
        <v>2017</v>
      </c>
      <c r="E1830" s="1" t="str">
        <f>TEXT(AMAZON_FASHION_5__2[[#This Row],[reviewDate]], "mmmm")</f>
        <v>March</v>
      </c>
      <c r="F1830" t="s">
        <v>992</v>
      </c>
      <c r="G1830" t="s">
        <v>1490</v>
      </c>
      <c r="H1830" t="s">
        <v>205</v>
      </c>
      <c r="I1830" t="s">
        <v>344</v>
      </c>
      <c r="J1830" t="s">
        <v>63</v>
      </c>
      <c r="K1830" t="s">
        <v>993</v>
      </c>
      <c r="L1830" t="s">
        <v>994</v>
      </c>
      <c r="M1830">
        <v>1488931200</v>
      </c>
      <c r="N1830" t="s">
        <v>1628</v>
      </c>
      <c r="O1830" t="s">
        <v>1628</v>
      </c>
      <c r="P1830" t="s">
        <v>1628</v>
      </c>
      <c r="Q1830">
        <f>LEN(AMAZON_FASHION_5__2[[#This Row],[reviewText]])</f>
        <v>182</v>
      </c>
      <c r="R1830" t="str">
        <f>IF(AMAZON_FASHION_5__2[[#This Row],[overall]]&gt;=4,"Positive",IF(AMAZON_FASHION_5__2[[#This Row],[overall]]&lt;=2,"Negative","Neutral"))</f>
        <v>Positive</v>
      </c>
      <c r="S18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31" spans="1:19" x14ac:dyDescent="0.25">
      <c r="A1831">
        <v>5</v>
      </c>
      <c r="B1831" t="b">
        <v>1</v>
      </c>
      <c r="C1831" s="1">
        <v>42800</v>
      </c>
      <c r="D1831">
        <f>YEAR(AMAZON_FASHION_5__2[[#This Row],[reviewDate]])</f>
        <v>2017</v>
      </c>
      <c r="E1831" s="1" t="str">
        <f>TEXT(AMAZON_FASHION_5__2[[#This Row],[reviewDate]], "mmmm")</f>
        <v>March</v>
      </c>
      <c r="F1831" t="s">
        <v>995</v>
      </c>
      <c r="G1831" t="s">
        <v>1490</v>
      </c>
      <c r="H1831" t="s">
        <v>230</v>
      </c>
      <c r="I1831" t="s">
        <v>198</v>
      </c>
      <c r="J1831" t="s">
        <v>996</v>
      </c>
      <c r="K1831" t="s">
        <v>997</v>
      </c>
      <c r="L1831" t="s">
        <v>17</v>
      </c>
      <c r="M1831">
        <v>1488758400</v>
      </c>
      <c r="N1831" t="s">
        <v>1628</v>
      </c>
      <c r="O1831" t="s">
        <v>1628</v>
      </c>
      <c r="P1831" t="s">
        <v>1628</v>
      </c>
      <c r="Q1831">
        <f>LEN(AMAZON_FASHION_5__2[[#This Row],[reviewText]])</f>
        <v>10</v>
      </c>
      <c r="R1831" t="str">
        <f>IF(AMAZON_FASHION_5__2[[#This Row],[overall]]&gt;=4,"Positive",IF(AMAZON_FASHION_5__2[[#This Row],[overall]]&lt;=2,"Negative","Neutral"))</f>
        <v>Positive</v>
      </c>
      <c r="S18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32" spans="1:19" x14ac:dyDescent="0.25">
      <c r="A1832">
        <v>5</v>
      </c>
      <c r="B1832" t="b">
        <v>0</v>
      </c>
      <c r="C1832" s="1">
        <v>42792</v>
      </c>
      <c r="D1832">
        <f>YEAR(AMAZON_FASHION_5__2[[#This Row],[reviewDate]])</f>
        <v>2017</v>
      </c>
      <c r="E1832" s="1" t="str">
        <f>TEXT(AMAZON_FASHION_5__2[[#This Row],[reviewDate]], "mmmm")</f>
        <v>February</v>
      </c>
      <c r="F1832" t="s">
        <v>998</v>
      </c>
      <c r="G1832" t="s">
        <v>1490</v>
      </c>
      <c r="H1832" t="s">
        <v>261</v>
      </c>
      <c r="I1832" t="s">
        <v>1455</v>
      </c>
      <c r="J1832" t="s">
        <v>999</v>
      </c>
      <c r="K1832" t="s">
        <v>1000</v>
      </c>
      <c r="L1832" t="s">
        <v>1001</v>
      </c>
      <c r="M1832">
        <v>1488067200</v>
      </c>
      <c r="N1832" t="s">
        <v>1628</v>
      </c>
      <c r="O1832" t="s">
        <v>1628</v>
      </c>
      <c r="P1832" t="s">
        <v>1628</v>
      </c>
      <c r="Q1832">
        <f>LEN(AMAZON_FASHION_5__2[[#This Row],[reviewText]])</f>
        <v>206</v>
      </c>
      <c r="R1832" t="str">
        <f>IF(AMAZON_FASHION_5__2[[#This Row],[overall]]&gt;=4,"Positive",IF(AMAZON_FASHION_5__2[[#This Row],[overall]]&lt;=2,"Negative","Neutral"))</f>
        <v>Positive</v>
      </c>
      <c r="S18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33" spans="1:19" x14ac:dyDescent="0.25">
      <c r="A1833">
        <v>4</v>
      </c>
      <c r="B1833" t="b">
        <v>1</v>
      </c>
      <c r="C1833" s="1">
        <v>42790</v>
      </c>
      <c r="D1833">
        <f>YEAR(AMAZON_FASHION_5__2[[#This Row],[reviewDate]])</f>
        <v>2017</v>
      </c>
      <c r="E1833" s="1" t="str">
        <f>TEXT(AMAZON_FASHION_5__2[[#This Row],[reviewDate]], "mmmm")</f>
        <v>February</v>
      </c>
      <c r="F1833" t="s">
        <v>1002</v>
      </c>
      <c r="G1833" t="s">
        <v>1490</v>
      </c>
      <c r="H1833" t="s">
        <v>197</v>
      </c>
      <c r="I1833" t="s">
        <v>198</v>
      </c>
      <c r="J1833" t="s">
        <v>1003</v>
      </c>
      <c r="K1833" t="s">
        <v>1004</v>
      </c>
      <c r="L1833" t="s">
        <v>1005</v>
      </c>
      <c r="M1833">
        <v>1487894400</v>
      </c>
      <c r="N1833" t="s">
        <v>1628</v>
      </c>
      <c r="O1833" t="s">
        <v>1628</v>
      </c>
      <c r="P1833" t="s">
        <v>1628</v>
      </c>
      <c r="Q1833">
        <f>LEN(AMAZON_FASHION_5__2[[#This Row],[reviewText]])</f>
        <v>171</v>
      </c>
      <c r="R1833" t="str">
        <f>IF(AMAZON_FASHION_5__2[[#This Row],[overall]]&gt;=4,"Positive",IF(AMAZON_FASHION_5__2[[#This Row],[overall]]&lt;=2,"Negative","Neutral"))</f>
        <v>Positive</v>
      </c>
      <c r="S18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34" spans="1:19" x14ac:dyDescent="0.25">
      <c r="A1834">
        <v>5</v>
      </c>
      <c r="B1834" t="b">
        <v>1</v>
      </c>
      <c r="C1834" s="1">
        <v>42790</v>
      </c>
      <c r="D1834">
        <f>YEAR(AMAZON_FASHION_5__2[[#This Row],[reviewDate]])</f>
        <v>2017</v>
      </c>
      <c r="E1834" s="1" t="str">
        <f>TEXT(AMAZON_FASHION_5__2[[#This Row],[reviewDate]], "mmmm")</f>
        <v>February</v>
      </c>
      <c r="F1834" t="s">
        <v>1006</v>
      </c>
      <c r="G1834" t="s">
        <v>1490</v>
      </c>
      <c r="H1834" t="s">
        <v>197</v>
      </c>
      <c r="I1834" t="s">
        <v>198</v>
      </c>
      <c r="J1834" t="s">
        <v>1007</v>
      </c>
      <c r="K1834" t="s">
        <v>1008</v>
      </c>
      <c r="L1834" t="s">
        <v>17</v>
      </c>
      <c r="M1834">
        <v>1487894400</v>
      </c>
      <c r="N1834" t="s">
        <v>1628</v>
      </c>
      <c r="O1834" t="s">
        <v>1628</v>
      </c>
      <c r="P1834" t="s">
        <v>1628</v>
      </c>
      <c r="Q1834">
        <f>LEN(AMAZON_FASHION_5__2[[#This Row],[reviewText]])</f>
        <v>12</v>
      </c>
      <c r="R1834" t="str">
        <f>IF(AMAZON_FASHION_5__2[[#This Row],[overall]]&gt;=4,"Positive",IF(AMAZON_FASHION_5__2[[#This Row],[overall]]&lt;=2,"Negative","Neutral"))</f>
        <v>Positive</v>
      </c>
      <c r="S18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35" spans="1:19" x14ac:dyDescent="0.25">
      <c r="A1835">
        <v>4</v>
      </c>
      <c r="B1835" t="b">
        <v>1</v>
      </c>
      <c r="C1835" s="1">
        <v>42787</v>
      </c>
      <c r="D1835">
        <f>YEAR(AMAZON_FASHION_5__2[[#This Row],[reviewDate]])</f>
        <v>2017</v>
      </c>
      <c r="E1835" s="1" t="str">
        <f>TEXT(AMAZON_FASHION_5__2[[#This Row],[reviewDate]], "mmmm")</f>
        <v>February</v>
      </c>
      <c r="F1835" t="s">
        <v>1009</v>
      </c>
      <c r="G1835" t="s">
        <v>1490</v>
      </c>
      <c r="H1835" t="s">
        <v>201</v>
      </c>
      <c r="I1835" t="s">
        <v>642</v>
      </c>
      <c r="J1835" t="s">
        <v>1010</v>
      </c>
      <c r="K1835" t="s">
        <v>1011</v>
      </c>
      <c r="L1835" t="s">
        <v>1012</v>
      </c>
      <c r="M1835">
        <v>1487635200</v>
      </c>
      <c r="N1835" t="s">
        <v>1628</v>
      </c>
      <c r="O1835" t="s">
        <v>1628</v>
      </c>
      <c r="P1835" t="s">
        <v>1628</v>
      </c>
      <c r="Q1835">
        <f>LEN(AMAZON_FASHION_5__2[[#This Row],[reviewText]])</f>
        <v>126</v>
      </c>
      <c r="R1835" t="str">
        <f>IF(AMAZON_FASHION_5__2[[#This Row],[overall]]&gt;=4,"Positive",IF(AMAZON_FASHION_5__2[[#This Row],[overall]]&lt;=2,"Negative","Neutral"))</f>
        <v>Positive</v>
      </c>
      <c r="S18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36" spans="1:19" x14ac:dyDescent="0.25">
      <c r="A1836">
        <v>5</v>
      </c>
      <c r="B1836" t="b">
        <v>1</v>
      </c>
      <c r="C1836" s="1">
        <v>42787</v>
      </c>
      <c r="D1836">
        <f>YEAR(AMAZON_FASHION_5__2[[#This Row],[reviewDate]])</f>
        <v>2017</v>
      </c>
      <c r="E1836" s="1" t="str">
        <f>TEXT(AMAZON_FASHION_5__2[[#This Row],[reviewDate]], "mmmm")</f>
        <v>February</v>
      </c>
      <c r="F1836" t="s">
        <v>1013</v>
      </c>
      <c r="G1836" t="s">
        <v>1490</v>
      </c>
      <c r="H1836" t="s">
        <v>210</v>
      </c>
      <c r="I1836" t="s">
        <v>198</v>
      </c>
      <c r="J1836" t="s">
        <v>1014</v>
      </c>
      <c r="K1836" t="s">
        <v>1015</v>
      </c>
      <c r="L1836" t="s">
        <v>17</v>
      </c>
      <c r="M1836">
        <v>1487635200</v>
      </c>
      <c r="N1836" t="s">
        <v>1628</v>
      </c>
      <c r="O1836" t="s">
        <v>1628</v>
      </c>
      <c r="P1836" t="s">
        <v>1628</v>
      </c>
      <c r="Q1836">
        <f>LEN(AMAZON_FASHION_5__2[[#This Row],[reviewText]])</f>
        <v>56</v>
      </c>
      <c r="R1836" t="str">
        <f>IF(AMAZON_FASHION_5__2[[#This Row],[overall]]&gt;=4,"Positive",IF(AMAZON_FASHION_5__2[[#This Row],[overall]]&lt;=2,"Negative","Neutral"))</f>
        <v>Positive</v>
      </c>
      <c r="S18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37" spans="1:19" x14ac:dyDescent="0.25">
      <c r="A1837">
        <v>3</v>
      </c>
      <c r="B1837" t="b">
        <v>1</v>
      </c>
      <c r="C1837" s="1">
        <v>42782</v>
      </c>
      <c r="D1837">
        <f>YEAR(AMAZON_FASHION_5__2[[#This Row],[reviewDate]])</f>
        <v>2017</v>
      </c>
      <c r="E1837" s="1" t="str">
        <f>TEXT(AMAZON_FASHION_5__2[[#This Row],[reviewDate]], "mmmm")</f>
        <v>February</v>
      </c>
      <c r="F1837" t="s">
        <v>1016</v>
      </c>
      <c r="G1837" t="s">
        <v>1490</v>
      </c>
      <c r="H1837" t="s">
        <v>197</v>
      </c>
      <c r="I1837" t="s">
        <v>524</v>
      </c>
      <c r="J1837" t="s">
        <v>63</v>
      </c>
      <c r="K1837" t="s">
        <v>1017</v>
      </c>
      <c r="L1837" t="s">
        <v>1018</v>
      </c>
      <c r="M1837">
        <v>1487203200</v>
      </c>
      <c r="N1837" t="s">
        <v>1628</v>
      </c>
      <c r="O1837" t="s">
        <v>1628</v>
      </c>
      <c r="P1837" t="s">
        <v>1628</v>
      </c>
      <c r="Q1837">
        <f>LEN(AMAZON_FASHION_5__2[[#This Row],[reviewText]])</f>
        <v>198</v>
      </c>
      <c r="R1837" t="str">
        <f>IF(AMAZON_FASHION_5__2[[#This Row],[overall]]&gt;=4,"Positive",IF(AMAZON_FASHION_5__2[[#This Row],[overall]]&lt;=2,"Negative","Neutral"))</f>
        <v>Neutral</v>
      </c>
      <c r="S18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38" spans="1:19" x14ac:dyDescent="0.25">
      <c r="A1838">
        <v>5</v>
      </c>
      <c r="B1838" t="b">
        <v>1</v>
      </c>
      <c r="C1838" s="1">
        <v>42781</v>
      </c>
      <c r="D1838">
        <f>YEAR(AMAZON_FASHION_5__2[[#This Row],[reviewDate]])</f>
        <v>2017</v>
      </c>
      <c r="E1838" s="1" t="str">
        <f>TEXT(AMAZON_FASHION_5__2[[#This Row],[reviewDate]], "mmmm")</f>
        <v>February</v>
      </c>
      <c r="F1838" t="s">
        <v>1019</v>
      </c>
      <c r="G1838" t="s">
        <v>1490</v>
      </c>
      <c r="H1838" t="s">
        <v>235</v>
      </c>
      <c r="I1838" t="s">
        <v>827</v>
      </c>
      <c r="J1838" t="s">
        <v>1020</v>
      </c>
      <c r="K1838" t="s">
        <v>1021</v>
      </c>
      <c r="L1838" t="s">
        <v>1022</v>
      </c>
      <c r="M1838">
        <v>1487116800</v>
      </c>
      <c r="N1838" t="s">
        <v>1628</v>
      </c>
      <c r="O1838" t="s">
        <v>1628</v>
      </c>
      <c r="P1838">
        <v>5</v>
      </c>
      <c r="Q1838">
        <f>LEN(AMAZON_FASHION_5__2[[#This Row],[reviewText]])</f>
        <v>388</v>
      </c>
      <c r="R1838" t="str">
        <f>IF(AMAZON_FASHION_5__2[[#This Row],[overall]]&gt;=4,"Positive",IF(AMAZON_FASHION_5__2[[#This Row],[overall]]&lt;=2,"Negative","Neutral"))</f>
        <v>Positive</v>
      </c>
      <c r="S18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39" spans="1:19" x14ac:dyDescent="0.25">
      <c r="A1839">
        <v>5</v>
      </c>
      <c r="B1839" t="b">
        <v>1</v>
      </c>
      <c r="C1839" s="1">
        <v>42779</v>
      </c>
      <c r="D1839">
        <f>YEAR(AMAZON_FASHION_5__2[[#This Row],[reviewDate]])</f>
        <v>2017</v>
      </c>
      <c r="E1839" s="1" t="str">
        <f>TEXT(AMAZON_FASHION_5__2[[#This Row],[reviewDate]], "mmmm")</f>
        <v>February</v>
      </c>
      <c r="F1839" t="s">
        <v>1023</v>
      </c>
      <c r="G1839" t="s">
        <v>1490</v>
      </c>
      <c r="H1839" t="s">
        <v>205</v>
      </c>
      <c r="I1839" t="s">
        <v>198</v>
      </c>
      <c r="J1839" t="s">
        <v>1024</v>
      </c>
      <c r="K1839" t="s">
        <v>1025</v>
      </c>
      <c r="L1839" t="s">
        <v>1026</v>
      </c>
      <c r="M1839">
        <v>1486944000</v>
      </c>
      <c r="N1839" t="s">
        <v>1628</v>
      </c>
      <c r="O1839" t="s">
        <v>1628</v>
      </c>
      <c r="P1839" t="s">
        <v>1628</v>
      </c>
      <c r="Q1839">
        <f>LEN(AMAZON_FASHION_5__2[[#This Row],[reviewText]])</f>
        <v>87</v>
      </c>
      <c r="R1839" t="str">
        <f>IF(AMAZON_FASHION_5__2[[#This Row],[overall]]&gt;=4,"Positive",IF(AMAZON_FASHION_5__2[[#This Row],[overall]]&lt;=2,"Negative","Neutral"))</f>
        <v>Positive</v>
      </c>
      <c r="S18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40" spans="1:19" x14ac:dyDescent="0.25">
      <c r="A1840">
        <v>5</v>
      </c>
      <c r="B1840" t="b">
        <v>1</v>
      </c>
      <c r="C1840" s="1">
        <v>42778</v>
      </c>
      <c r="D1840">
        <f>YEAR(AMAZON_FASHION_5__2[[#This Row],[reviewDate]])</f>
        <v>2017</v>
      </c>
      <c r="E1840" s="1" t="str">
        <f>TEXT(AMAZON_FASHION_5__2[[#This Row],[reviewDate]], "mmmm")</f>
        <v>February</v>
      </c>
      <c r="F1840" t="s">
        <v>1027</v>
      </c>
      <c r="G1840" t="s">
        <v>1490</v>
      </c>
      <c r="H1840" t="s">
        <v>201</v>
      </c>
      <c r="I1840" t="s">
        <v>198</v>
      </c>
      <c r="J1840" t="s">
        <v>1028</v>
      </c>
      <c r="K1840" t="s">
        <v>1029</v>
      </c>
      <c r="L1840" t="s">
        <v>1030</v>
      </c>
      <c r="M1840">
        <v>1486857600</v>
      </c>
      <c r="N1840" t="s">
        <v>1628</v>
      </c>
      <c r="O1840" t="s">
        <v>1628</v>
      </c>
      <c r="P1840" t="s">
        <v>1628</v>
      </c>
      <c r="Q1840">
        <f>LEN(AMAZON_FASHION_5__2[[#This Row],[reviewText]])</f>
        <v>140</v>
      </c>
      <c r="R1840" t="str">
        <f>IF(AMAZON_FASHION_5__2[[#This Row],[overall]]&gt;=4,"Positive",IF(AMAZON_FASHION_5__2[[#This Row],[overall]]&lt;=2,"Negative","Neutral"))</f>
        <v>Positive</v>
      </c>
      <c r="S18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41" spans="1:19" x14ac:dyDescent="0.25">
      <c r="A1841">
        <v>5</v>
      </c>
      <c r="B1841" t="b">
        <v>1</v>
      </c>
      <c r="C1841" s="1">
        <v>42777</v>
      </c>
      <c r="D1841">
        <f>YEAR(AMAZON_FASHION_5__2[[#This Row],[reviewDate]])</f>
        <v>2017</v>
      </c>
      <c r="E1841" s="1" t="str">
        <f>TEXT(AMAZON_FASHION_5__2[[#This Row],[reviewDate]], "mmmm")</f>
        <v>February</v>
      </c>
      <c r="F1841" t="s">
        <v>1031</v>
      </c>
      <c r="G1841" t="s">
        <v>1490</v>
      </c>
      <c r="H1841" t="s">
        <v>320</v>
      </c>
      <c r="I1841" t="s">
        <v>198</v>
      </c>
      <c r="J1841" t="s">
        <v>1032</v>
      </c>
      <c r="K1841" t="s">
        <v>1033</v>
      </c>
      <c r="L1841" t="s">
        <v>17</v>
      </c>
      <c r="M1841">
        <v>1486771200</v>
      </c>
      <c r="N1841" t="s">
        <v>1628</v>
      </c>
      <c r="O1841" t="s">
        <v>1628</v>
      </c>
      <c r="P1841" t="s">
        <v>1628</v>
      </c>
      <c r="Q1841">
        <f>LEN(AMAZON_FASHION_5__2[[#This Row],[reviewText]])</f>
        <v>28</v>
      </c>
      <c r="R1841" t="str">
        <f>IF(AMAZON_FASHION_5__2[[#This Row],[overall]]&gt;=4,"Positive",IF(AMAZON_FASHION_5__2[[#This Row],[overall]]&lt;=2,"Negative","Neutral"))</f>
        <v>Positive</v>
      </c>
      <c r="S18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42" spans="1:19" x14ac:dyDescent="0.25">
      <c r="A1842">
        <v>4</v>
      </c>
      <c r="B1842" t="b">
        <v>1</v>
      </c>
      <c r="C1842" s="1">
        <v>42774</v>
      </c>
      <c r="D1842">
        <f>YEAR(AMAZON_FASHION_5__2[[#This Row],[reviewDate]])</f>
        <v>2017</v>
      </c>
      <c r="E1842" s="1" t="str">
        <f>TEXT(AMAZON_FASHION_5__2[[#This Row],[reviewDate]], "mmmm")</f>
        <v>February</v>
      </c>
      <c r="F1842" t="s">
        <v>1034</v>
      </c>
      <c r="G1842" t="s">
        <v>1490</v>
      </c>
      <c r="H1842" t="s">
        <v>201</v>
      </c>
      <c r="I1842" t="s">
        <v>827</v>
      </c>
      <c r="J1842" t="s">
        <v>1035</v>
      </c>
      <c r="K1842" t="s">
        <v>1036</v>
      </c>
      <c r="L1842" t="s">
        <v>1037</v>
      </c>
      <c r="M1842">
        <v>1486512000</v>
      </c>
      <c r="N1842" t="s">
        <v>1628</v>
      </c>
      <c r="O1842" t="s">
        <v>1628</v>
      </c>
      <c r="P1842">
        <v>4</v>
      </c>
      <c r="Q1842">
        <f>LEN(AMAZON_FASHION_5__2[[#This Row],[reviewText]])</f>
        <v>570</v>
      </c>
      <c r="R1842" t="str">
        <f>IF(AMAZON_FASHION_5__2[[#This Row],[overall]]&gt;=4,"Positive",IF(AMAZON_FASHION_5__2[[#This Row],[overall]]&lt;=2,"Negative","Neutral"))</f>
        <v>Positive</v>
      </c>
      <c r="S18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43" spans="1:19" x14ac:dyDescent="0.25">
      <c r="A1843">
        <v>4</v>
      </c>
      <c r="B1843" t="b">
        <v>1</v>
      </c>
      <c r="C1843" s="1">
        <v>42772</v>
      </c>
      <c r="D1843">
        <f>YEAR(AMAZON_FASHION_5__2[[#This Row],[reviewDate]])</f>
        <v>2017</v>
      </c>
      <c r="E1843" s="1" t="str">
        <f>TEXT(AMAZON_FASHION_5__2[[#This Row],[reviewDate]], "mmmm")</f>
        <v>February</v>
      </c>
      <c r="F1843" t="s">
        <v>1038</v>
      </c>
      <c r="G1843" t="s">
        <v>1490</v>
      </c>
      <c r="H1843" t="s">
        <v>201</v>
      </c>
      <c r="I1843" t="s">
        <v>236</v>
      </c>
      <c r="J1843" t="s">
        <v>1039</v>
      </c>
      <c r="K1843" t="s">
        <v>1040</v>
      </c>
      <c r="L1843" t="s">
        <v>1041</v>
      </c>
      <c r="M1843">
        <v>1486339200</v>
      </c>
      <c r="N1843" t="s">
        <v>1628</v>
      </c>
      <c r="O1843" t="s">
        <v>1628</v>
      </c>
      <c r="P1843" t="s">
        <v>1628</v>
      </c>
      <c r="Q1843">
        <f>LEN(AMAZON_FASHION_5__2[[#This Row],[reviewText]])</f>
        <v>316</v>
      </c>
      <c r="R1843" t="str">
        <f>IF(AMAZON_FASHION_5__2[[#This Row],[overall]]&gt;=4,"Positive",IF(AMAZON_FASHION_5__2[[#This Row],[overall]]&lt;=2,"Negative","Neutral"))</f>
        <v>Positive</v>
      </c>
      <c r="S18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44" spans="1:19" x14ac:dyDescent="0.25">
      <c r="A1844">
        <v>2</v>
      </c>
      <c r="B1844" t="b">
        <v>1</v>
      </c>
      <c r="C1844" s="1">
        <v>42768</v>
      </c>
      <c r="D1844">
        <f>YEAR(AMAZON_FASHION_5__2[[#This Row],[reviewDate]])</f>
        <v>2017</v>
      </c>
      <c r="E1844" s="1" t="str">
        <f>TEXT(AMAZON_FASHION_5__2[[#This Row],[reviewDate]], "mmmm")</f>
        <v>February</v>
      </c>
      <c r="F1844" t="s">
        <v>1042</v>
      </c>
      <c r="G1844" t="s">
        <v>1490</v>
      </c>
      <c r="H1844" t="s">
        <v>205</v>
      </c>
      <c r="I1844" t="s">
        <v>344</v>
      </c>
      <c r="J1844" t="s">
        <v>63</v>
      </c>
      <c r="K1844" t="s">
        <v>1043</v>
      </c>
      <c r="L1844" t="s">
        <v>1044</v>
      </c>
      <c r="M1844">
        <v>1485993600</v>
      </c>
      <c r="N1844" t="s">
        <v>1628</v>
      </c>
      <c r="O1844" t="s">
        <v>1628</v>
      </c>
      <c r="P1844" t="s">
        <v>1628</v>
      </c>
      <c r="Q1844">
        <f>LEN(AMAZON_FASHION_5__2[[#This Row],[reviewText]])</f>
        <v>107</v>
      </c>
      <c r="R1844" t="str">
        <f>IF(AMAZON_FASHION_5__2[[#This Row],[overall]]&gt;=4,"Positive",IF(AMAZON_FASHION_5__2[[#This Row],[overall]]&lt;=2,"Negative","Neutral"))</f>
        <v>Negative</v>
      </c>
      <c r="S18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45" spans="1:19" x14ac:dyDescent="0.25">
      <c r="A1845">
        <v>5</v>
      </c>
      <c r="B1845" t="b">
        <v>1</v>
      </c>
      <c r="C1845" s="1">
        <v>42767</v>
      </c>
      <c r="D1845">
        <f>YEAR(AMAZON_FASHION_5__2[[#This Row],[reviewDate]])</f>
        <v>2017</v>
      </c>
      <c r="E1845" s="1" t="str">
        <f>TEXT(AMAZON_FASHION_5__2[[#This Row],[reviewDate]], "mmmm")</f>
        <v>February</v>
      </c>
      <c r="F1845" t="s">
        <v>158</v>
      </c>
      <c r="G1845" t="s">
        <v>1490</v>
      </c>
      <c r="H1845" t="s">
        <v>320</v>
      </c>
      <c r="I1845" t="s">
        <v>198</v>
      </c>
      <c r="J1845" t="s">
        <v>160</v>
      </c>
      <c r="K1845" t="s">
        <v>1045</v>
      </c>
      <c r="L1845" t="s">
        <v>1046</v>
      </c>
      <c r="M1845">
        <v>1485907200</v>
      </c>
      <c r="N1845" t="s">
        <v>1628</v>
      </c>
      <c r="O1845" t="s">
        <v>1628</v>
      </c>
      <c r="P1845" t="s">
        <v>1628</v>
      </c>
      <c r="Q1845">
        <f>LEN(AMAZON_FASHION_5__2[[#This Row],[reviewText]])</f>
        <v>122</v>
      </c>
      <c r="R1845" t="str">
        <f>IF(AMAZON_FASHION_5__2[[#This Row],[overall]]&gt;=4,"Positive",IF(AMAZON_FASHION_5__2[[#This Row],[overall]]&lt;=2,"Negative","Neutral"))</f>
        <v>Positive</v>
      </c>
      <c r="S18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46" spans="1:19" x14ac:dyDescent="0.25">
      <c r="A1846">
        <v>3</v>
      </c>
      <c r="B1846" t="b">
        <v>1</v>
      </c>
      <c r="C1846" s="1">
        <v>42766</v>
      </c>
      <c r="D1846">
        <f>YEAR(AMAZON_FASHION_5__2[[#This Row],[reviewDate]])</f>
        <v>2017</v>
      </c>
      <c r="E1846" s="1" t="str">
        <f>TEXT(AMAZON_FASHION_5__2[[#This Row],[reviewDate]], "mmmm")</f>
        <v>January</v>
      </c>
      <c r="F1846" t="s">
        <v>1047</v>
      </c>
      <c r="G1846" t="s">
        <v>1490</v>
      </c>
      <c r="H1846" t="s">
        <v>235</v>
      </c>
      <c r="I1846" t="s">
        <v>419</v>
      </c>
      <c r="J1846" t="s">
        <v>1048</v>
      </c>
      <c r="K1846" t="s">
        <v>1049</v>
      </c>
      <c r="L1846" t="s">
        <v>101</v>
      </c>
      <c r="M1846">
        <v>1485820800</v>
      </c>
      <c r="N1846" t="s">
        <v>1628</v>
      </c>
      <c r="O1846" t="s">
        <v>1628</v>
      </c>
      <c r="P1846">
        <v>3</v>
      </c>
      <c r="Q1846">
        <f>LEN(AMAZON_FASHION_5__2[[#This Row],[reviewText]])</f>
        <v>7</v>
      </c>
      <c r="R1846" t="str">
        <f>IF(AMAZON_FASHION_5__2[[#This Row],[overall]]&gt;=4,"Positive",IF(AMAZON_FASHION_5__2[[#This Row],[overall]]&lt;=2,"Negative","Neutral"))</f>
        <v>Neutral</v>
      </c>
      <c r="S18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47" spans="1:19" x14ac:dyDescent="0.25">
      <c r="A1847">
        <v>5</v>
      </c>
      <c r="B1847" t="b">
        <v>1</v>
      </c>
      <c r="C1847" s="1">
        <v>42760</v>
      </c>
      <c r="D1847">
        <f>YEAR(AMAZON_FASHION_5__2[[#This Row],[reviewDate]])</f>
        <v>2017</v>
      </c>
      <c r="E1847" s="1" t="str">
        <f>TEXT(AMAZON_FASHION_5__2[[#This Row],[reviewDate]], "mmmm")</f>
        <v>January</v>
      </c>
      <c r="F1847" t="s">
        <v>1050</v>
      </c>
      <c r="G1847" t="s">
        <v>1490</v>
      </c>
      <c r="H1847" t="s">
        <v>197</v>
      </c>
      <c r="I1847" t="s">
        <v>524</v>
      </c>
      <c r="J1847" t="s">
        <v>63</v>
      </c>
      <c r="K1847" t="s">
        <v>1051</v>
      </c>
      <c r="L1847" t="s">
        <v>1052</v>
      </c>
      <c r="M1847">
        <v>1485302400</v>
      </c>
      <c r="N1847" t="s">
        <v>1628</v>
      </c>
      <c r="O1847" t="s">
        <v>1628</v>
      </c>
      <c r="P1847" t="s">
        <v>1628</v>
      </c>
      <c r="Q1847">
        <f>LEN(AMAZON_FASHION_5__2[[#This Row],[reviewText]])</f>
        <v>521</v>
      </c>
      <c r="R1847" t="str">
        <f>IF(AMAZON_FASHION_5__2[[#This Row],[overall]]&gt;=4,"Positive",IF(AMAZON_FASHION_5__2[[#This Row],[overall]]&lt;=2,"Negative","Neutral"))</f>
        <v>Positive</v>
      </c>
      <c r="S18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48" spans="1:19" x14ac:dyDescent="0.25">
      <c r="A1848">
        <v>5</v>
      </c>
      <c r="B1848" t="b">
        <v>1</v>
      </c>
      <c r="C1848" s="1">
        <v>42757</v>
      </c>
      <c r="D1848">
        <f>YEAR(AMAZON_FASHION_5__2[[#This Row],[reviewDate]])</f>
        <v>2017</v>
      </c>
      <c r="E1848" s="1" t="str">
        <f>TEXT(AMAZON_FASHION_5__2[[#This Row],[reviewDate]], "mmmm")</f>
        <v>January</v>
      </c>
      <c r="F1848" t="s">
        <v>1053</v>
      </c>
      <c r="G1848" t="s">
        <v>1490</v>
      </c>
      <c r="H1848" t="s">
        <v>205</v>
      </c>
      <c r="I1848" t="s">
        <v>827</v>
      </c>
      <c r="J1848" t="s">
        <v>1054</v>
      </c>
      <c r="K1848" t="s">
        <v>1055</v>
      </c>
      <c r="L1848" t="s">
        <v>1056</v>
      </c>
      <c r="M1848">
        <v>1485043200</v>
      </c>
      <c r="N1848" t="s">
        <v>1628</v>
      </c>
      <c r="O1848" t="s">
        <v>1628</v>
      </c>
      <c r="P1848" t="s">
        <v>1628</v>
      </c>
      <c r="Q1848">
        <f>LEN(AMAZON_FASHION_5__2[[#This Row],[reviewText]])</f>
        <v>90</v>
      </c>
      <c r="R1848" t="str">
        <f>IF(AMAZON_FASHION_5__2[[#This Row],[overall]]&gt;=4,"Positive",IF(AMAZON_FASHION_5__2[[#This Row],[overall]]&lt;=2,"Negative","Neutral"))</f>
        <v>Positive</v>
      </c>
      <c r="S18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49" spans="1:19" x14ac:dyDescent="0.25">
      <c r="A1849">
        <v>5</v>
      </c>
      <c r="B1849" t="b">
        <v>1</v>
      </c>
      <c r="C1849" s="1">
        <v>42755</v>
      </c>
      <c r="D1849">
        <f>YEAR(AMAZON_FASHION_5__2[[#This Row],[reviewDate]])</f>
        <v>2017</v>
      </c>
      <c r="E1849" s="1" t="str">
        <f>TEXT(AMAZON_FASHION_5__2[[#This Row],[reviewDate]], "mmmm")</f>
        <v>January</v>
      </c>
      <c r="F1849" t="s">
        <v>1057</v>
      </c>
      <c r="G1849" t="s">
        <v>1490</v>
      </c>
      <c r="H1849" t="s">
        <v>210</v>
      </c>
      <c r="I1849" t="s">
        <v>524</v>
      </c>
      <c r="J1849" t="s">
        <v>1058</v>
      </c>
      <c r="K1849" t="s">
        <v>1059</v>
      </c>
      <c r="L1849" t="s">
        <v>1060</v>
      </c>
      <c r="M1849">
        <v>1484870400</v>
      </c>
      <c r="N1849" t="s">
        <v>1628</v>
      </c>
      <c r="O1849" t="s">
        <v>1628</v>
      </c>
      <c r="P1849" t="s">
        <v>1628</v>
      </c>
      <c r="Q1849">
        <f>LEN(AMAZON_FASHION_5__2[[#This Row],[reviewText]])</f>
        <v>40</v>
      </c>
      <c r="R1849" t="str">
        <f>IF(AMAZON_FASHION_5__2[[#This Row],[overall]]&gt;=4,"Positive",IF(AMAZON_FASHION_5__2[[#This Row],[overall]]&lt;=2,"Negative","Neutral"))</f>
        <v>Positive</v>
      </c>
      <c r="S18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50" spans="1:19" x14ac:dyDescent="0.25">
      <c r="A1850">
        <v>5</v>
      </c>
      <c r="B1850" t="b">
        <v>1</v>
      </c>
      <c r="C1850" s="1">
        <v>42753</v>
      </c>
      <c r="D1850">
        <f>YEAR(AMAZON_FASHION_5__2[[#This Row],[reviewDate]])</f>
        <v>2017</v>
      </c>
      <c r="E1850" s="1" t="str">
        <f>TEXT(AMAZON_FASHION_5__2[[#This Row],[reviewDate]], "mmmm")</f>
        <v>January</v>
      </c>
      <c r="F1850" t="s">
        <v>1061</v>
      </c>
      <c r="G1850" t="s">
        <v>1490</v>
      </c>
      <c r="H1850" t="s">
        <v>230</v>
      </c>
      <c r="I1850" t="s">
        <v>1476</v>
      </c>
      <c r="J1850" t="s">
        <v>1062</v>
      </c>
      <c r="K1850" t="s">
        <v>1063</v>
      </c>
      <c r="L1850" t="s">
        <v>1064</v>
      </c>
      <c r="M1850">
        <v>1484697600</v>
      </c>
      <c r="N1850" t="s">
        <v>1628</v>
      </c>
      <c r="O1850" t="s">
        <v>1628</v>
      </c>
      <c r="P1850" t="s">
        <v>1628</v>
      </c>
      <c r="Q1850">
        <f>LEN(AMAZON_FASHION_5__2[[#This Row],[reviewText]])</f>
        <v>105</v>
      </c>
      <c r="R1850" t="str">
        <f>IF(AMAZON_FASHION_5__2[[#This Row],[overall]]&gt;=4,"Positive",IF(AMAZON_FASHION_5__2[[#This Row],[overall]]&lt;=2,"Negative","Neutral"))</f>
        <v>Positive</v>
      </c>
      <c r="S18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51" spans="1:19" x14ac:dyDescent="0.25">
      <c r="A1851">
        <v>2</v>
      </c>
      <c r="B1851" t="b">
        <v>1</v>
      </c>
      <c r="C1851" s="1">
        <v>42753</v>
      </c>
      <c r="D1851">
        <f>YEAR(AMAZON_FASHION_5__2[[#This Row],[reviewDate]])</f>
        <v>2017</v>
      </c>
      <c r="E1851" s="1" t="str">
        <f>TEXT(AMAZON_FASHION_5__2[[#This Row],[reviewDate]], "mmmm")</f>
        <v>January</v>
      </c>
      <c r="F1851" t="s">
        <v>1065</v>
      </c>
      <c r="G1851" t="s">
        <v>1490</v>
      </c>
      <c r="H1851" t="s">
        <v>230</v>
      </c>
      <c r="I1851" t="s">
        <v>198</v>
      </c>
      <c r="J1851" t="s">
        <v>1066</v>
      </c>
      <c r="K1851" t="s">
        <v>1067</v>
      </c>
      <c r="L1851" t="s">
        <v>1068</v>
      </c>
      <c r="M1851">
        <v>1484697600</v>
      </c>
      <c r="N1851" t="s">
        <v>1628</v>
      </c>
      <c r="O1851" t="s">
        <v>1628</v>
      </c>
      <c r="P1851" t="s">
        <v>1628</v>
      </c>
      <c r="Q1851">
        <f>LEN(AMAZON_FASHION_5__2[[#This Row],[reviewText]])</f>
        <v>118</v>
      </c>
      <c r="R1851" t="str">
        <f>IF(AMAZON_FASHION_5__2[[#This Row],[overall]]&gt;=4,"Positive",IF(AMAZON_FASHION_5__2[[#This Row],[overall]]&lt;=2,"Negative","Neutral"))</f>
        <v>Negative</v>
      </c>
      <c r="S18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52" spans="1:19" x14ac:dyDescent="0.25">
      <c r="A1852">
        <v>5</v>
      </c>
      <c r="B1852" t="b">
        <v>1</v>
      </c>
      <c r="C1852" s="1">
        <v>42753</v>
      </c>
      <c r="D1852">
        <f>YEAR(AMAZON_FASHION_5__2[[#This Row],[reviewDate]])</f>
        <v>2017</v>
      </c>
      <c r="E1852" s="1" t="str">
        <f>TEXT(AMAZON_FASHION_5__2[[#This Row],[reviewDate]], "mmmm")</f>
        <v>January</v>
      </c>
      <c r="F1852" t="s">
        <v>1069</v>
      </c>
      <c r="G1852" t="s">
        <v>1490</v>
      </c>
      <c r="H1852" t="s">
        <v>197</v>
      </c>
      <c r="I1852" t="s">
        <v>211</v>
      </c>
      <c r="J1852" t="s">
        <v>1070</v>
      </c>
      <c r="K1852" t="s">
        <v>1071</v>
      </c>
      <c r="L1852" t="s">
        <v>1072</v>
      </c>
      <c r="M1852">
        <v>1484697600</v>
      </c>
      <c r="N1852" t="s">
        <v>1628</v>
      </c>
      <c r="O1852" t="s">
        <v>1628</v>
      </c>
      <c r="P1852" t="s">
        <v>1628</v>
      </c>
      <c r="Q1852">
        <f>LEN(AMAZON_FASHION_5__2[[#This Row],[reviewText]])</f>
        <v>88</v>
      </c>
      <c r="R1852" t="str">
        <f>IF(AMAZON_FASHION_5__2[[#This Row],[overall]]&gt;=4,"Positive",IF(AMAZON_FASHION_5__2[[#This Row],[overall]]&lt;=2,"Negative","Neutral"))</f>
        <v>Positive</v>
      </c>
      <c r="S18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53" spans="1:19" x14ac:dyDescent="0.25">
      <c r="A1853">
        <v>5</v>
      </c>
      <c r="B1853" t="b">
        <v>1</v>
      </c>
      <c r="C1853" s="1">
        <v>42753</v>
      </c>
      <c r="D1853">
        <f>YEAR(AMAZON_FASHION_5__2[[#This Row],[reviewDate]])</f>
        <v>2017</v>
      </c>
      <c r="E1853" s="1" t="str">
        <f>TEXT(AMAZON_FASHION_5__2[[#This Row],[reviewDate]], "mmmm")</f>
        <v>January</v>
      </c>
      <c r="F1853" t="s">
        <v>1073</v>
      </c>
      <c r="G1853" t="s">
        <v>1490</v>
      </c>
      <c r="H1853" t="s">
        <v>235</v>
      </c>
      <c r="I1853" t="s">
        <v>99</v>
      </c>
      <c r="J1853" t="s">
        <v>63</v>
      </c>
      <c r="K1853" t="s">
        <v>1074</v>
      </c>
      <c r="L1853" t="s">
        <v>17</v>
      </c>
      <c r="M1853">
        <v>1484697600</v>
      </c>
      <c r="N1853" t="s">
        <v>1628</v>
      </c>
      <c r="O1853" t="s">
        <v>1628</v>
      </c>
      <c r="P1853" t="s">
        <v>1628</v>
      </c>
      <c r="Q1853">
        <f>LEN(AMAZON_FASHION_5__2[[#This Row],[reviewText]])</f>
        <v>11</v>
      </c>
      <c r="R1853" t="str">
        <f>IF(AMAZON_FASHION_5__2[[#This Row],[overall]]&gt;=4,"Positive",IF(AMAZON_FASHION_5__2[[#This Row],[overall]]&lt;=2,"Negative","Neutral"))</f>
        <v>Positive</v>
      </c>
      <c r="S18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54" spans="1:19" x14ac:dyDescent="0.25">
      <c r="A1854">
        <v>4</v>
      </c>
      <c r="B1854" t="b">
        <v>1</v>
      </c>
      <c r="C1854" s="1">
        <v>42753</v>
      </c>
      <c r="D1854">
        <f>YEAR(AMAZON_FASHION_5__2[[#This Row],[reviewDate]])</f>
        <v>2017</v>
      </c>
      <c r="E1854" s="1" t="str">
        <f>TEXT(AMAZON_FASHION_5__2[[#This Row],[reviewDate]], "mmmm")</f>
        <v>January</v>
      </c>
      <c r="F1854" t="s">
        <v>1075</v>
      </c>
      <c r="G1854" t="s">
        <v>1490</v>
      </c>
      <c r="H1854" t="s">
        <v>201</v>
      </c>
      <c r="I1854" t="s">
        <v>198</v>
      </c>
      <c r="J1854" t="s">
        <v>1076</v>
      </c>
      <c r="K1854" t="s">
        <v>1077</v>
      </c>
      <c r="L1854" t="s">
        <v>1078</v>
      </c>
      <c r="M1854">
        <v>1484697600</v>
      </c>
      <c r="N1854" t="s">
        <v>1628</v>
      </c>
      <c r="O1854" t="s">
        <v>1628</v>
      </c>
      <c r="P1854" t="s">
        <v>1628</v>
      </c>
      <c r="Q1854">
        <f>LEN(AMAZON_FASHION_5__2[[#This Row],[reviewText]])</f>
        <v>316</v>
      </c>
      <c r="R1854" t="str">
        <f>IF(AMAZON_FASHION_5__2[[#This Row],[overall]]&gt;=4,"Positive",IF(AMAZON_FASHION_5__2[[#This Row],[overall]]&lt;=2,"Negative","Neutral"))</f>
        <v>Positive</v>
      </c>
      <c r="S18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55" spans="1:19" x14ac:dyDescent="0.25">
      <c r="A1855">
        <v>1</v>
      </c>
      <c r="B1855" t="b">
        <v>1</v>
      </c>
      <c r="C1855" s="1">
        <v>42750</v>
      </c>
      <c r="D1855">
        <f>YEAR(AMAZON_FASHION_5__2[[#This Row],[reviewDate]])</f>
        <v>2017</v>
      </c>
      <c r="E1855" s="1" t="str">
        <f>TEXT(AMAZON_FASHION_5__2[[#This Row],[reviewDate]], "mmmm")</f>
        <v>January</v>
      </c>
      <c r="F1855" t="s">
        <v>1079</v>
      </c>
      <c r="G1855" t="s">
        <v>1490</v>
      </c>
      <c r="H1855" t="s">
        <v>235</v>
      </c>
      <c r="I1855" t="s">
        <v>411</v>
      </c>
      <c r="J1855" t="s">
        <v>1080</v>
      </c>
      <c r="K1855" t="s">
        <v>1081</v>
      </c>
      <c r="L1855" t="s">
        <v>1082</v>
      </c>
      <c r="M1855">
        <v>1484438400</v>
      </c>
      <c r="N1855" t="s">
        <v>1628</v>
      </c>
      <c r="O1855" t="s">
        <v>1628</v>
      </c>
      <c r="P1855">
        <v>20</v>
      </c>
      <c r="Q1855">
        <f>LEN(AMAZON_FASHION_5__2[[#This Row],[reviewText]])</f>
        <v>69</v>
      </c>
      <c r="R1855" t="str">
        <f>IF(AMAZON_FASHION_5__2[[#This Row],[overall]]&gt;=4,"Positive",IF(AMAZON_FASHION_5__2[[#This Row],[overall]]&lt;=2,"Negative","Neutral"))</f>
        <v>Negative</v>
      </c>
      <c r="S18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56" spans="1:19" x14ac:dyDescent="0.25">
      <c r="A1856">
        <v>4</v>
      </c>
      <c r="B1856" t="b">
        <v>1</v>
      </c>
      <c r="C1856" s="1">
        <v>42748</v>
      </c>
      <c r="D1856">
        <f>YEAR(AMAZON_FASHION_5__2[[#This Row],[reviewDate]])</f>
        <v>2017</v>
      </c>
      <c r="E1856" s="1" t="str">
        <f>TEXT(AMAZON_FASHION_5__2[[#This Row],[reviewDate]], "mmmm")</f>
        <v>January</v>
      </c>
      <c r="F1856" t="s">
        <v>1083</v>
      </c>
      <c r="G1856" t="s">
        <v>1490</v>
      </c>
      <c r="H1856" t="s">
        <v>205</v>
      </c>
      <c r="I1856" t="s">
        <v>1084</v>
      </c>
      <c r="J1856" t="s">
        <v>63</v>
      </c>
      <c r="K1856" t="s">
        <v>1085</v>
      </c>
      <c r="L1856" t="s">
        <v>1086</v>
      </c>
      <c r="M1856">
        <v>1484265600</v>
      </c>
      <c r="N1856" t="s">
        <v>1628</v>
      </c>
      <c r="O1856" t="s">
        <v>1628</v>
      </c>
      <c r="P1856" t="s">
        <v>1628</v>
      </c>
      <c r="Q1856">
        <f>LEN(AMAZON_FASHION_5__2[[#This Row],[reviewText]])</f>
        <v>187</v>
      </c>
      <c r="R1856" t="str">
        <f>IF(AMAZON_FASHION_5__2[[#This Row],[overall]]&gt;=4,"Positive",IF(AMAZON_FASHION_5__2[[#This Row],[overall]]&lt;=2,"Negative","Neutral"))</f>
        <v>Positive</v>
      </c>
      <c r="S18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57" spans="1:19" x14ac:dyDescent="0.25">
      <c r="A1857">
        <v>5</v>
      </c>
      <c r="B1857" t="b">
        <v>1</v>
      </c>
      <c r="C1857" s="1">
        <v>42747</v>
      </c>
      <c r="D1857">
        <f>YEAR(AMAZON_FASHION_5__2[[#This Row],[reviewDate]])</f>
        <v>2017</v>
      </c>
      <c r="E1857" s="1" t="str">
        <f>TEXT(AMAZON_FASHION_5__2[[#This Row],[reviewDate]], "mmmm")</f>
        <v>January</v>
      </c>
      <c r="F1857" t="s">
        <v>1087</v>
      </c>
      <c r="G1857" t="s">
        <v>1490</v>
      </c>
      <c r="H1857" t="s">
        <v>230</v>
      </c>
      <c r="I1857" t="s">
        <v>507</v>
      </c>
      <c r="J1857" t="s">
        <v>1088</v>
      </c>
      <c r="K1857" t="s">
        <v>1089</v>
      </c>
      <c r="L1857" t="s">
        <v>1090</v>
      </c>
      <c r="M1857">
        <v>1484179200</v>
      </c>
      <c r="N1857" t="s">
        <v>1628</v>
      </c>
      <c r="O1857" t="s">
        <v>1628</v>
      </c>
      <c r="P1857" t="s">
        <v>1628</v>
      </c>
      <c r="Q1857">
        <f>LEN(AMAZON_FASHION_5__2[[#This Row],[reviewText]])</f>
        <v>216</v>
      </c>
      <c r="R1857" t="str">
        <f>IF(AMAZON_FASHION_5__2[[#This Row],[overall]]&gt;=4,"Positive",IF(AMAZON_FASHION_5__2[[#This Row],[overall]]&lt;=2,"Negative","Neutral"))</f>
        <v>Positive</v>
      </c>
      <c r="S18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58" spans="1:19" x14ac:dyDescent="0.25">
      <c r="A1858">
        <v>5</v>
      </c>
      <c r="B1858" t="b">
        <v>1</v>
      </c>
      <c r="C1858" s="1">
        <v>42747</v>
      </c>
      <c r="D1858">
        <f>YEAR(AMAZON_FASHION_5__2[[#This Row],[reviewDate]])</f>
        <v>2017</v>
      </c>
      <c r="E1858" s="1" t="str">
        <f>TEXT(AMAZON_FASHION_5__2[[#This Row],[reviewDate]], "mmmm")</f>
        <v>January</v>
      </c>
      <c r="F1858" t="s">
        <v>1091</v>
      </c>
      <c r="G1858" t="s">
        <v>1490</v>
      </c>
      <c r="H1858" t="s">
        <v>201</v>
      </c>
      <c r="I1858" t="s">
        <v>198</v>
      </c>
      <c r="J1858" t="s">
        <v>1092</v>
      </c>
      <c r="K1858" t="s">
        <v>1093</v>
      </c>
      <c r="L1858" t="s">
        <v>17</v>
      </c>
      <c r="M1858">
        <v>1484179200</v>
      </c>
      <c r="N1858" t="s">
        <v>1628</v>
      </c>
      <c r="O1858" t="s">
        <v>1628</v>
      </c>
      <c r="P1858" t="s">
        <v>1628</v>
      </c>
      <c r="Q1858">
        <f>LEN(AMAZON_FASHION_5__2[[#This Row],[reviewText]])</f>
        <v>20</v>
      </c>
      <c r="R1858" t="str">
        <f>IF(AMAZON_FASHION_5__2[[#This Row],[overall]]&gt;=4,"Positive",IF(AMAZON_FASHION_5__2[[#This Row],[overall]]&lt;=2,"Negative","Neutral"))</f>
        <v>Positive</v>
      </c>
      <c r="S18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59" spans="1:19" x14ac:dyDescent="0.25">
      <c r="A1859">
        <v>5</v>
      </c>
      <c r="B1859" t="b">
        <v>1</v>
      </c>
      <c r="C1859" s="1">
        <v>42745</v>
      </c>
      <c r="D1859">
        <f>YEAR(AMAZON_FASHION_5__2[[#This Row],[reviewDate]])</f>
        <v>2017</v>
      </c>
      <c r="E1859" s="1" t="str">
        <f>TEXT(AMAZON_FASHION_5__2[[#This Row],[reviewDate]], "mmmm")</f>
        <v>January</v>
      </c>
      <c r="F1859" t="s">
        <v>1094</v>
      </c>
      <c r="G1859" t="s">
        <v>1490</v>
      </c>
      <c r="H1859" t="s">
        <v>235</v>
      </c>
      <c r="I1859" t="s">
        <v>574</v>
      </c>
      <c r="J1859" t="s">
        <v>63</v>
      </c>
      <c r="K1859" t="s">
        <v>914</v>
      </c>
      <c r="L1859" t="s">
        <v>17</v>
      </c>
      <c r="M1859">
        <v>1484006400</v>
      </c>
      <c r="N1859" t="s">
        <v>1628</v>
      </c>
      <c r="O1859" t="s">
        <v>1628</v>
      </c>
      <c r="P1859" t="s">
        <v>1628</v>
      </c>
      <c r="Q1859">
        <f>LEN(AMAZON_FASHION_5__2[[#This Row],[reviewText]])</f>
        <v>17</v>
      </c>
      <c r="R1859" t="str">
        <f>IF(AMAZON_FASHION_5__2[[#This Row],[overall]]&gt;=4,"Positive",IF(AMAZON_FASHION_5__2[[#This Row],[overall]]&lt;=2,"Negative","Neutral"))</f>
        <v>Positive</v>
      </c>
      <c r="S18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60" spans="1:19" x14ac:dyDescent="0.25">
      <c r="A1860">
        <v>5</v>
      </c>
      <c r="B1860" t="b">
        <v>1</v>
      </c>
      <c r="C1860" s="1">
        <v>42742</v>
      </c>
      <c r="D1860">
        <f>YEAR(AMAZON_FASHION_5__2[[#This Row],[reviewDate]])</f>
        <v>2017</v>
      </c>
      <c r="E1860" s="1" t="str">
        <f>TEXT(AMAZON_FASHION_5__2[[#This Row],[reviewDate]], "mmmm")</f>
        <v>January</v>
      </c>
      <c r="F1860" t="s">
        <v>1095</v>
      </c>
      <c r="G1860" t="s">
        <v>1490</v>
      </c>
      <c r="H1860" t="s">
        <v>235</v>
      </c>
      <c r="I1860" t="s">
        <v>1084</v>
      </c>
      <c r="J1860" t="s">
        <v>63</v>
      </c>
      <c r="K1860" t="s">
        <v>1096</v>
      </c>
      <c r="L1860" t="s">
        <v>1097</v>
      </c>
      <c r="M1860">
        <v>1483747200</v>
      </c>
      <c r="N1860" t="s">
        <v>1628</v>
      </c>
      <c r="O1860" t="s">
        <v>1628</v>
      </c>
      <c r="P1860" t="s">
        <v>1628</v>
      </c>
      <c r="Q1860">
        <f>LEN(AMAZON_FASHION_5__2[[#This Row],[reviewText]])</f>
        <v>92</v>
      </c>
      <c r="R1860" t="str">
        <f>IF(AMAZON_FASHION_5__2[[#This Row],[overall]]&gt;=4,"Positive",IF(AMAZON_FASHION_5__2[[#This Row],[overall]]&lt;=2,"Negative","Neutral"))</f>
        <v>Positive</v>
      </c>
      <c r="S18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61" spans="1:19" x14ac:dyDescent="0.25">
      <c r="A1861">
        <v>5</v>
      </c>
      <c r="B1861" t="b">
        <v>1</v>
      </c>
      <c r="C1861" s="1">
        <v>42742</v>
      </c>
      <c r="D1861">
        <f>YEAR(AMAZON_FASHION_5__2[[#This Row],[reviewDate]])</f>
        <v>2017</v>
      </c>
      <c r="E1861" s="1" t="str">
        <f>TEXT(AMAZON_FASHION_5__2[[#This Row],[reviewDate]], "mmmm")</f>
        <v>January</v>
      </c>
      <c r="F1861" t="s">
        <v>1098</v>
      </c>
      <c r="G1861" t="s">
        <v>1490</v>
      </c>
      <c r="H1861" t="s">
        <v>320</v>
      </c>
      <c r="I1861" t="s">
        <v>1084</v>
      </c>
      <c r="J1861" t="s">
        <v>1099</v>
      </c>
      <c r="K1861" t="s">
        <v>1100</v>
      </c>
      <c r="L1861" t="s">
        <v>970</v>
      </c>
      <c r="M1861">
        <v>1483747200</v>
      </c>
      <c r="N1861" t="s">
        <v>1628</v>
      </c>
      <c r="O1861" t="s">
        <v>1628</v>
      </c>
      <c r="P1861" t="s">
        <v>1628</v>
      </c>
      <c r="Q1861">
        <f>LEN(AMAZON_FASHION_5__2[[#This Row],[reviewText]])</f>
        <v>182</v>
      </c>
      <c r="R1861" t="str">
        <f>IF(AMAZON_FASHION_5__2[[#This Row],[overall]]&gt;=4,"Positive",IF(AMAZON_FASHION_5__2[[#This Row],[overall]]&lt;=2,"Negative","Neutral"))</f>
        <v>Positive</v>
      </c>
      <c r="S18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62" spans="1:19" x14ac:dyDescent="0.25">
      <c r="A1862">
        <v>4</v>
      </c>
      <c r="B1862" t="b">
        <v>1</v>
      </c>
      <c r="C1862" s="1">
        <v>42741</v>
      </c>
      <c r="D1862">
        <f>YEAR(AMAZON_FASHION_5__2[[#This Row],[reviewDate]])</f>
        <v>2017</v>
      </c>
      <c r="E1862" s="1" t="str">
        <f>TEXT(AMAZON_FASHION_5__2[[#This Row],[reviewDate]], "mmmm")</f>
        <v>January</v>
      </c>
      <c r="F1862" t="s">
        <v>1101</v>
      </c>
      <c r="G1862" t="s">
        <v>1490</v>
      </c>
      <c r="H1862" t="s">
        <v>197</v>
      </c>
      <c r="I1862" t="s">
        <v>1084</v>
      </c>
      <c r="J1862" t="s">
        <v>63</v>
      </c>
      <c r="K1862" t="s">
        <v>1102</v>
      </c>
      <c r="L1862" t="s">
        <v>1103</v>
      </c>
      <c r="M1862">
        <v>1483660800</v>
      </c>
      <c r="N1862" t="s">
        <v>1628</v>
      </c>
      <c r="O1862" t="s">
        <v>1628</v>
      </c>
      <c r="P1862" t="s">
        <v>1628</v>
      </c>
      <c r="Q1862">
        <f>LEN(AMAZON_FASHION_5__2[[#This Row],[reviewText]])</f>
        <v>219</v>
      </c>
      <c r="R1862" t="str">
        <f>IF(AMAZON_FASHION_5__2[[#This Row],[overall]]&gt;=4,"Positive",IF(AMAZON_FASHION_5__2[[#This Row],[overall]]&lt;=2,"Negative","Neutral"))</f>
        <v>Positive</v>
      </c>
      <c r="S18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63" spans="1:19" x14ac:dyDescent="0.25">
      <c r="A1863">
        <v>1</v>
      </c>
      <c r="B1863" t="b">
        <v>1</v>
      </c>
      <c r="C1863" s="1">
        <v>42739</v>
      </c>
      <c r="D1863">
        <f>YEAR(AMAZON_FASHION_5__2[[#This Row],[reviewDate]])</f>
        <v>2017</v>
      </c>
      <c r="E1863" s="1" t="str">
        <f>TEXT(AMAZON_FASHION_5__2[[#This Row],[reviewDate]], "mmmm")</f>
        <v>January</v>
      </c>
      <c r="F1863" t="s">
        <v>1104</v>
      </c>
      <c r="G1863" t="s">
        <v>1490</v>
      </c>
      <c r="H1863" t="s">
        <v>205</v>
      </c>
      <c r="I1863" t="s">
        <v>211</v>
      </c>
      <c r="J1863" t="s">
        <v>1105</v>
      </c>
      <c r="K1863" t="s">
        <v>1106</v>
      </c>
      <c r="L1863" t="s">
        <v>1107</v>
      </c>
      <c r="M1863">
        <v>1483488000</v>
      </c>
      <c r="N1863" t="s">
        <v>1628</v>
      </c>
      <c r="O1863" t="s">
        <v>1628</v>
      </c>
      <c r="P1863" t="s">
        <v>1628</v>
      </c>
      <c r="Q1863">
        <f>LEN(AMAZON_FASHION_5__2[[#This Row],[reviewText]])</f>
        <v>258</v>
      </c>
      <c r="R1863" t="str">
        <f>IF(AMAZON_FASHION_5__2[[#This Row],[overall]]&gt;=4,"Positive",IF(AMAZON_FASHION_5__2[[#This Row],[overall]]&lt;=2,"Negative","Neutral"))</f>
        <v>Negative</v>
      </c>
      <c r="S18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64" spans="1:19" x14ac:dyDescent="0.25">
      <c r="A1864">
        <v>5</v>
      </c>
      <c r="B1864" t="b">
        <v>1</v>
      </c>
      <c r="C1864" s="1">
        <v>42739</v>
      </c>
      <c r="D1864">
        <f>YEAR(AMAZON_FASHION_5__2[[#This Row],[reviewDate]])</f>
        <v>2017</v>
      </c>
      <c r="E1864" s="1" t="str">
        <f>TEXT(AMAZON_FASHION_5__2[[#This Row],[reviewDate]], "mmmm")</f>
        <v>January</v>
      </c>
      <c r="F1864" t="s">
        <v>1108</v>
      </c>
      <c r="G1864" t="s">
        <v>1490</v>
      </c>
      <c r="H1864" t="s">
        <v>235</v>
      </c>
      <c r="I1864" t="s">
        <v>99</v>
      </c>
      <c r="J1864" t="s">
        <v>1109</v>
      </c>
      <c r="K1864" t="s">
        <v>1110</v>
      </c>
      <c r="L1864" t="s">
        <v>1111</v>
      </c>
      <c r="M1864">
        <v>1483488000</v>
      </c>
      <c r="N1864" t="s">
        <v>1628</v>
      </c>
      <c r="O1864" t="s">
        <v>1628</v>
      </c>
      <c r="P1864" t="s">
        <v>1628</v>
      </c>
      <c r="Q1864">
        <f>LEN(AMAZON_FASHION_5__2[[#This Row],[reviewText]])</f>
        <v>69</v>
      </c>
      <c r="R1864" t="str">
        <f>IF(AMAZON_FASHION_5__2[[#This Row],[overall]]&gt;=4,"Positive",IF(AMAZON_FASHION_5__2[[#This Row],[overall]]&lt;=2,"Negative","Neutral"))</f>
        <v>Positive</v>
      </c>
      <c r="S18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65" spans="1:19" x14ac:dyDescent="0.25">
      <c r="A1865">
        <v>5</v>
      </c>
      <c r="B1865" t="b">
        <v>1</v>
      </c>
      <c r="C1865" s="1">
        <v>42736</v>
      </c>
      <c r="D1865">
        <f>YEAR(AMAZON_FASHION_5__2[[#This Row],[reviewDate]])</f>
        <v>2017</v>
      </c>
      <c r="E1865" s="1" t="str">
        <f>TEXT(AMAZON_FASHION_5__2[[#This Row],[reviewDate]], "mmmm")</f>
        <v>January</v>
      </c>
      <c r="F1865" t="s">
        <v>1112</v>
      </c>
      <c r="G1865" t="s">
        <v>1490</v>
      </c>
      <c r="H1865" t="s">
        <v>197</v>
      </c>
      <c r="I1865" t="s">
        <v>1084</v>
      </c>
      <c r="J1865" t="s">
        <v>1113</v>
      </c>
      <c r="K1865" t="s">
        <v>1114</v>
      </c>
      <c r="L1865" t="s">
        <v>17</v>
      </c>
      <c r="M1865">
        <v>1483228800</v>
      </c>
      <c r="N1865" t="s">
        <v>1628</v>
      </c>
      <c r="O1865" t="s">
        <v>1628</v>
      </c>
      <c r="P1865" t="s">
        <v>1628</v>
      </c>
      <c r="Q1865">
        <f>LEN(AMAZON_FASHION_5__2[[#This Row],[reviewText]])</f>
        <v>32</v>
      </c>
      <c r="R1865" t="str">
        <f>IF(AMAZON_FASHION_5__2[[#This Row],[overall]]&gt;=4,"Positive",IF(AMAZON_FASHION_5__2[[#This Row],[overall]]&lt;=2,"Negative","Neutral"))</f>
        <v>Positive</v>
      </c>
      <c r="S18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66" spans="1:19" x14ac:dyDescent="0.25">
      <c r="A1866">
        <v>5</v>
      </c>
      <c r="B1866" t="b">
        <v>1</v>
      </c>
      <c r="C1866" s="1">
        <v>42736</v>
      </c>
      <c r="D1866">
        <f>YEAR(AMAZON_FASHION_5__2[[#This Row],[reviewDate]])</f>
        <v>2017</v>
      </c>
      <c r="E1866" s="1" t="str">
        <f>TEXT(AMAZON_FASHION_5__2[[#This Row],[reviewDate]], "mmmm")</f>
        <v>January</v>
      </c>
      <c r="F1866" t="s">
        <v>1115</v>
      </c>
      <c r="G1866" t="s">
        <v>1490</v>
      </c>
      <c r="H1866" t="s">
        <v>205</v>
      </c>
      <c r="I1866" t="s">
        <v>198</v>
      </c>
      <c r="J1866" t="s">
        <v>1116</v>
      </c>
      <c r="K1866" t="s">
        <v>1117</v>
      </c>
      <c r="L1866" t="s">
        <v>17</v>
      </c>
      <c r="M1866">
        <v>1483228800</v>
      </c>
      <c r="N1866" t="s">
        <v>1628</v>
      </c>
      <c r="O1866" t="s">
        <v>1628</v>
      </c>
      <c r="P1866" t="s">
        <v>1628</v>
      </c>
      <c r="Q1866">
        <f>LEN(AMAZON_FASHION_5__2[[#This Row],[reviewText]])</f>
        <v>36</v>
      </c>
      <c r="R1866" t="str">
        <f>IF(AMAZON_FASHION_5__2[[#This Row],[overall]]&gt;=4,"Positive",IF(AMAZON_FASHION_5__2[[#This Row],[overall]]&lt;=2,"Negative","Neutral"))</f>
        <v>Positive</v>
      </c>
      <c r="S18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67" spans="1:19" x14ac:dyDescent="0.25">
      <c r="A1867">
        <v>5</v>
      </c>
      <c r="B1867" t="b">
        <v>1</v>
      </c>
      <c r="C1867" s="1">
        <v>42735</v>
      </c>
      <c r="D1867">
        <f>YEAR(AMAZON_FASHION_5__2[[#This Row],[reviewDate]])</f>
        <v>2016</v>
      </c>
      <c r="E1867" s="1" t="str">
        <f>TEXT(AMAZON_FASHION_5__2[[#This Row],[reviewDate]], "mmmm")</f>
        <v>December</v>
      </c>
      <c r="F1867" t="s">
        <v>1118</v>
      </c>
      <c r="G1867" t="s">
        <v>1490</v>
      </c>
      <c r="H1867" t="s">
        <v>201</v>
      </c>
      <c r="I1867" t="s">
        <v>198</v>
      </c>
      <c r="J1867" t="s">
        <v>1119</v>
      </c>
      <c r="K1867" t="s">
        <v>1120</v>
      </c>
      <c r="L1867" t="s">
        <v>1121</v>
      </c>
      <c r="M1867">
        <v>1483142400</v>
      </c>
      <c r="N1867" t="s">
        <v>1628</v>
      </c>
      <c r="O1867" t="s">
        <v>1628</v>
      </c>
      <c r="P1867" t="s">
        <v>1628</v>
      </c>
      <c r="Q1867">
        <f>LEN(AMAZON_FASHION_5__2[[#This Row],[reviewText]])</f>
        <v>169</v>
      </c>
      <c r="R1867" t="str">
        <f>IF(AMAZON_FASHION_5__2[[#This Row],[overall]]&gt;=4,"Positive",IF(AMAZON_FASHION_5__2[[#This Row],[overall]]&lt;=2,"Negative","Neutral"))</f>
        <v>Positive</v>
      </c>
      <c r="S18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68" spans="1:19" x14ac:dyDescent="0.25">
      <c r="A1868">
        <v>5</v>
      </c>
      <c r="B1868" t="b">
        <v>1</v>
      </c>
      <c r="C1868" s="1">
        <v>42733</v>
      </c>
      <c r="D1868">
        <f>YEAR(AMAZON_FASHION_5__2[[#This Row],[reviewDate]])</f>
        <v>2016</v>
      </c>
      <c r="E1868" s="1" t="str">
        <f>TEXT(AMAZON_FASHION_5__2[[#This Row],[reviewDate]], "mmmm")</f>
        <v>December</v>
      </c>
      <c r="F1868" t="s">
        <v>1122</v>
      </c>
      <c r="G1868" t="s">
        <v>1490</v>
      </c>
      <c r="H1868" t="s">
        <v>201</v>
      </c>
      <c r="I1868" t="s">
        <v>198</v>
      </c>
      <c r="J1868" t="s">
        <v>1123</v>
      </c>
      <c r="K1868" t="s">
        <v>1124</v>
      </c>
      <c r="L1868" t="s">
        <v>17</v>
      </c>
      <c r="M1868">
        <v>1482969600</v>
      </c>
      <c r="N1868" t="s">
        <v>1628</v>
      </c>
      <c r="O1868" t="s">
        <v>1628</v>
      </c>
      <c r="P1868" t="s">
        <v>1628</v>
      </c>
      <c r="Q1868">
        <f>LEN(AMAZON_FASHION_5__2[[#This Row],[reviewText]])</f>
        <v>37</v>
      </c>
      <c r="R1868" t="str">
        <f>IF(AMAZON_FASHION_5__2[[#This Row],[overall]]&gt;=4,"Positive",IF(AMAZON_FASHION_5__2[[#This Row],[overall]]&lt;=2,"Negative","Neutral"))</f>
        <v>Positive</v>
      </c>
      <c r="S18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69" spans="1:19" x14ac:dyDescent="0.25">
      <c r="A1869">
        <v>5</v>
      </c>
      <c r="B1869" t="b">
        <v>1</v>
      </c>
      <c r="C1869" s="1">
        <v>42733</v>
      </c>
      <c r="D1869">
        <f>YEAR(AMAZON_FASHION_5__2[[#This Row],[reviewDate]])</f>
        <v>2016</v>
      </c>
      <c r="E1869" s="1" t="str">
        <f>TEXT(AMAZON_FASHION_5__2[[#This Row],[reviewDate]], "mmmm")</f>
        <v>December</v>
      </c>
      <c r="F1869" t="s">
        <v>1125</v>
      </c>
      <c r="G1869" t="s">
        <v>1490</v>
      </c>
      <c r="H1869" t="s">
        <v>210</v>
      </c>
      <c r="I1869" t="s">
        <v>1084</v>
      </c>
      <c r="J1869" t="s">
        <v>63</v>
      </c>
      <c r="K1869" t="s">
        <v>1126</v>
      </c>
      <c r="L1869" t="s">
        <v>17</v>
      </c>
      <c r="M1869">
        <v>1482969600</v>
      </c>
      <c r="N1869" t="s">
        <v>1628</v>
      </c>
      <c r="O1869" t="s">
        <v>1628</v>
      </c>
      <c r="P1869" t="s">
        <v>1628</v>
      </c>
      <c r="Q1869">
        <f>LEN(AMAZON_FASHION_5__2[[#This Row],[reviewText]])</f>
        <v>45</v>
      </c>
      <c r="R1869" t="str">
        <f>IF(AMAZON_FASHION_5__2[[#This Row],[overall]]&gt;=4,"Positive",IF(AMAZON_FASHION_5__2[[#This Row],[overall]]&lt;=2,"Negative","Neutral"))</f>
        <v>Positive</v>
      </c>
      <c r="S18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70" spans="1:19" x14ac:dyDescent="0.25">
      <c r="A1870">
        <v>5</v>
      </c>
      <c r="B1870" t="b">
        <v>1</v>
      </c>
      <c r="C1870" s="1">
        <v>42732</v>
      </c>
      <c r="D1870">
        <f>YEAR(AMAZON_FASHION_5__2[[#This Row],[reviewDate]])</f>
        <v>2016</v>
      </c>
      <c r="E1870" s="1" t="str">
        <f>TEXT(AMAZON_FASHION_5__2[[#This Row],[reviewDate]], "mmmm")</f>
        <v>December</v>
      </c>
      <c r="F1870" t="s">
        <v>1127</v>
      </c>
      <c r="G1870" t="s">
        <v>1490</v>
      </c>
      <c r="H1870" t="s">
        <v>201</v>
      </c>
      <c r="I1870" t="s">
        <v>198</v>
      </c>
      <c r="J1870" t="s">
        <v>63</v>
      </c>
      <c r="K1870" t="s">
        <v>483</v>
      </c>
      <c r="L1870" t="s">
        <v>1128</v>
      </c>
      <c r="M1870">
        <v>1482883200</v>
      </c>
      <c r="N1870" t="s">
        <v>1628</v>
      </c>
      <c r="O1870" t="s">
        <v>1628</v>
      </c>
      <c r="P1870" t="s">
        <v>1628</v>
      </c>
      <c r="Q1870">
        <f>LEN(AMAZON_FASHION_5__2[[#This Row],[reviewText]])</f>
        <v>8</v>
      </c>
      <c r="R1870" t="str">
        <f>IF(AMAZON_FASHION_5__2[[#This Row],[overall]]&gt;=4,"Positive",IF(AMAZON_FASHION_5__2[[#This Row],[overall]]&lt;=2,"Negative","Neutral"))</f>
        <v>Positive</v>
      </c>
      <c r="S18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71" spans="1:19" x14ac:dyDescent="0.25">
      <c r="A1871">
        <v>5</v>
      </c>
      <c r="B1871" t="b">
        <v>1</v>
      </c>
      <c r="C1871" s="1">
        <v>42732</v>
      </c>
      <c r="D1871">
        <f>YEAR(AMAZON_FASHION_5__2[[#This Row],[reviewDate]])</f>
        <v>2016</v>
      </c>
      <c r="E1871" s="1" t="str">
        <f>TEXT(AMAZON_FASHION_5__2[[#This Row],[reviewDate]], "mmmm")</f>
        <v>December</v>
      </c>
      <c r="F1871" t="s">
        <v>1129</v>
      </c>
      <c r="G1871" t="s">
        <v>1490</v>
      </c>
      <c r="H1871" t="s">
        <v>230</v>
      </c>
      <c r="I1871" t="s">
        <v>211</v>
      </c>
      <c r="J1871" t="s">
        <v>1130</v>
      </c>
      <c r="K1871" t="s">
        <v>1131</v>
      </c>
      <c r="L1871" t="s">
        <v>1132</v>
      </c>
      <c r="M1871">
        <v>1482883200</v>
      </c>
      <c r="N1871" t="s">
        <v>1628</v>
      </c>
      <c r="O1871" t="s">
        <v>1628</v>
      </c>
      <c r="P1871" t="s">
        <v>1628</v>
      </c>
      <c r="Q1871">
        <f>LEN(AMAZON_FASHION_5__2[[#This Row],[reviewText]])</f>
        <v>134</v>
      </c>
      <c r="R1871" t="str">
        <f>IF(AMAZON_FASHION_5__2[[#This Row],[overall]]&gt;=4,"Positive",IF(AMAZON_FASHION_5__2[[#This Row],[overall]]&lt;=2,"Negative","Neutral"))</f>
        <v>Positive</v>
      </c>
      <c r="S18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72" spans="1:19" x14ac:dyDescent="0.25">
      <c r="A1872">
        <v>5</v>
      </c>
      <c r="B1872" t="b">
        <v>1</v>
      </c>
      <c r="C1872" s="1">
        <v>42731</v>
      </c>
      <c r="D1872">
        <f>YEAR(AMAZON_FASHION_5__2[[#This Row],[reviewDate]])</f>
        <v>2016</v>
      </c>
      <c r="E1872" s="1" t="str">
        <f>TEXT(AMAZON_FASHION_5__2[[#This Row],[reviewDate]], "mmmm")</f>
        <v>December</v>
      </c>
      <c r="F1872" t="s">
        <v>1133</v>
      </c>
      <c r="G1872" t="s">
        <v>1490</v>
      </c>
      <c r="H1872" t="s">
        <v>205</v>
      </c>
      <c r="I1872" t="s">
        <v>198</v>
      </c>
      <c r="J1872" t="s">
        <v>1134</v>
      </c>
      <c r="K1872" t="s">
        <v>1135</v>
      </c>
      <c r="L1872" t="s">
        <v>17</v>
      </c>
      <c r="M1872">
        <v>1482796800</v>
      </c>
      <c r="N1872" t="s">
        <v>1628</v>
      </c>
      <c r="O1872" t="s">
        <v>1628</v>
      </c>
      <c r="P1872" t="s">
        <v>1628</v>
      </c>
      <c r="Q1872">
        <f>LEN(AMAZON_FASHION_5__2[[#This Row],[reviewText]])</f>
        <v>32</v>
      </c>
      <c r="R1872" t="str">
        <f>IF(AMAZON_FASHION_5__2[[#This Row],[overall]]&gt;=4,"Positive",IF(AMAZON_FASHION_5__2[[#This Row],[overall]]&lt;=2,"Negative","Neutral"))</f>
        <v>Positive</v>
      </c>
      <c r="S18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73" spans="1:19" x14ac:dyDescent="0.25">
      <c r="A1873">
        <v>2</v>
      </c>
      <c r="B1873" t="b">
        <v>1</v>
      </c>
      <c r="C1873" s="1">
        <v>42729</v>
      </c>
      <c r="D1873">
        <f>YEAR(AMAZON_FASHION_5__2[[#This Row],[reviewDate]])</f>
        <v>2016</v>
      </c>
      <c r="E1873" s="1" t="str">
        <f>TEXT(AMAZON_FASHION_5__2[[#This Row],[reviewDate]], "mmmm")</f>
        <v>December</v>
      </c>
      <c r="F1873" t="s">
        <v>1136</v>
      </c>
      <c r="G1873" t="s">
        <v>1490</v>
      </c>
      <c r="H1873" t="s">
        <v>477</v>
      </c>
      <c r="I1873" t="s">
        <v>396</v>
      </c>
      <c r="J1873" t="s">
        <v>1137</v>
      </c>
      <c r="K1873" t="s">
        <v>1138</v>
      </c>
      <c r="L1873" t="s">
        <v>1139</v>
      </c>
      <c r="M1873">
        <v>1482624000</v>
      </c>
      <c r="N1873" t="s">
        <v>1628</v>
      </c>
      <c r="O1873" t="s">
        <v>1628</v>
      </c>
      <c r="P1873">
        <v>2</v>
      </c>
      <c r="Q1873">
        <f>LEN(AMAZON_FASHION_5__2[[#This Row],[reviewText]])</f>
        <v>108</v>
      </c>
      <c r="R1873" t="str">
        <f>IF(AMAZON_FASHION_5__2[[#This Row],[overall]]&gt;=4,"Positive",IF(AMAZON_FASHION_5__2[[#This Row],[overall]]&lt;=2,"Negative","Neutral"))</f>
        <v>Negative</v>
      </c>
      <c r="S18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74" spans="1:19" x14ac:dyDescent="0.25">
      <c r="A1874">
        <v>5</v>
      </c>
      <c r="B1874" t="b">
        <v>1</v>
      </c>
      <c r="C1874" s="1">
        <v>42727</v>
      </c>
      <c r="D1874">
        <f>YEAR(AMAZON_FASHION_5__2[[#This Row],[reviewDate]])</f>
        <v>2016</v>
      </c>
      <c r="E1874" s="1" t="str">
        <f>TEXT(AMAZON_FASHION_5__2[[#This Row],[reviewDate]], "mmmm")</f>
        <v>December</v>
      </c>
      <c r="F1874" t="s">
        <v>1140</v>
      </c>
      <c r="G1874" t="s">
        <v>1490</v>
      </c>
      <c r="H1874" t="s">
        <v>477</v>
      </c>
      <c r="I1874" t="s">
        <v>574</v>
      </c>
      <c r="J1874" t="s">
        <v>1141</v>
      </c>
      <c r="K1874" t="s">
        <v>1142</v>
      </c>
      <c r="L1874" t="s">
        <v>1143</v>
      </c>
      <c r="M1874">
        <v>1482451200</v>
      </c>
      <c r="N1874" t="s">
        <v>1628</v>
      </c>
      <c r="O1874" t="s">
        <v>1628</v>
      </c>
      <c r="P1874" t="s">
        <v>1628</v>
      </c>
      <c r="Q1874">
        <f>LEN(AMAZON_FASHION_5__2[[#This Row],[reviewText]])</f>
        <v>198</v>
      </c>
      <c r="R1874" t="str">
        <f>IF(AMAZON_FASHION_5__2[[#This Row],[overall]]&gt;=4,"Positive",IF(AMAZON_FASHION_5__2[[#This Row],[overall]]&lt;=2,"Negative","Neutral"))</f>
        <v>Positive</v>
      </c>
      <c r="S18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75" spans="1:19" x14ac:dyDescent="0.25">
      <c r="A1875">
        <v>5</v>
      </c>
      <c r="B1875" t="b">
        <v>1</v>
      </c>
      <c r="C1875" s="1">
        <v>42726</v>
      </c>
      <c r="D1875">
        <f>YEAR(AMAZON_FASHION_5__2[[#This Row],[reviewDate]])</f>
        <v>2016</v>
      </c>
      <c r="E1875" s="1" t="str">
        <f>TEXT(AMAZON_FASHION_5__2[[#This Row],[reviewDate]], "mmmm")</f>
        <v>December</v>
      </c>
      <c r="F1875" t="s">
        <v>1144</v>
      </c>
      <c r="G1875" t="s">
        <v>1490</v>
      </c>
      <c r="H1875" t="s">
        <v>1145</v>
      </c>
      <c r="I1875" t="s">
        <v>411</v>
      </c>
      <c r="J1875" t="s">
        <v>63</v>
      </c>
      <c r="K1875" t="s">
        <v>1146</v>
      </c>
      <c r="L1875" t="s">
        <v>17</v>
      </c>
      <c r="M1875">
        <v>1482364800</v>
      </c>
      <c r="N1875" t="s">
        <v>1628</v>
      </c>
      <c r="O1875" t="s">
        <v>1628</v>
      </c>
      <c r="P1875" t="s">
        <v>1628</v>
      </c>
      <c r="Q1875">
        <f>LEN(AMAZON_FASHION_5__2[[#This Row],[reviewText]])</f>
        <v>105</v>
      </c>
      <c r="R1875" t="str">
        <f>IF(AMAZON_FASHION_5__2[[#This Row],[overall]]&gt;=4,"Positive",IF(AMAZON_FASHION_5__2[[#This Row],[overall]]&lt;=2,"Negative","Neutral"))</f>
        <v>Positive</v>
      </c>
      <c r="S18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76" spans="1:19" x14ac:dyDescent="0.25">
      <c r="A1876">
        <v>2</v>
      </c>
      <c r="B1876" t="b">
        <v>1</v>
      </c>
      <c r="C1876" s="1">
        <v>42720</v>
      </c>
      <c r="D1876">
        <f>YEAR(AMAZON_FASHION_5__2[[#This Row],[reviewDate]])</f>
        <v>2016</v>
      </c>
      <c r="E1876" s="1" t="str">
        <f>TEXT(AMAZON_FASHION_5__2[[#This Row],[reviewDate]], "mmmm")</f>
        <v>December</v>
      </c>
      <c r="F1876" t="s">
        <v>1147</v>
      </c>
      <c r="G1876" t="s">
        <v>1490</v>
      </c>
      <c r="H1876" t="s">
        <v>201</v>
      </c>
      <c r="I1876" t="s">
        <v>524</v>
      </c>
      <c r="J1876" t="s">
        <v>1148</v>
      </c>
      <c r="K1876" t="s">
        <v>1149</v>
      </c>
      <c r="L1876" t="s">
        <v>1150</v>
      </c>
      <c r="M1876">
        <v>1481846400</v>
      </c>
      <c r="N1876" t="s">
        <v>1628</v>
      </c>
      <c r="O1876" t="s">
        <v>1628</v>
      </c>
      <c r="P1876" t="s">
        <v>1628</v>
      </c>
      <c r="Q1876">
        <f>LEN(AMAZON_FASHION_5__2[[#This Row],[reviewText]])</f>
        <v>63</v>
      </c>
      <c r="R1876" t="str">
        <f>IF(AMAZON_FASHION_5__2[[#This Row],[overall]]&gt;=4,"Positive",IF(AMAZON_FASHION_5__2[[#This Row],[overall]]&lt;=2,"Negative","Neutral"))</f>
        <v>Negative</v>
      </c>
      <c r="S18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77" spans="1:19" x14ac:dyDescent="0.25">
      <c r="A1877">
        <v>1</v>
      </c>
      <c r="B1877" t="b">
        <v>1</v>
      </c>
      <c r="C1877" s="1">
        <v>42719</v>
      </c>
      <c r="D1877">
        <f>YEAR(AMAZON_FASHION_5__2[[#This Row],[reviewDate]])</f>
        <v>2016</v>
      </c>
      <c r="E1877" s="1" t="str">
        <f>TEXT(AMAZON_FASHION_5__2[[#This Row],[reviewDate]], "mmmm")</f>
        <v>December</v>
      </c>
      <c r="F1877" t="s">
        <v>1151</v>
      </c>
      <c r="G1877" t="s">
        <v>1490</v>
      </c>
      <c r="H1877" t="s">
        <v>197</v>
      </c>
      <c r="I1877" t="s">
        <v>1084</v>
      </c>
      <c r="J1877" t="s">
        <v>63</v>
      </c>
      <c r="K1877" t="s">
        <v>1152</v>
      </c>
      <c r="L1877" t="s">
        <v>65</v>
      </c>
      <c r="M1877">
        <v>1481760000</v>
      </c>
      <c r="N1877" t="s">
        <v>1628</v>
      </c>
      <c r="O1877" t="s">
        <v>1628</v>
      </c>
      <c r="P1877" t="s">
        <v>1628</v>
      </c>
      <c r="Q1877">
        <f>LEN(AMAZON_FASHION_5__2[[#This Row],[reviewText]])</f>
        <v>11</v>
      </c>
      <c r="R1877" t="str">
        <f>IF(AMAZON_FASHION_5__2[[#This Row],[overall]]&gt;=4,"Positive",IF(AMAZON_FASHION_5__2[[#This Row],[overall]]&lt;=2,"Negative","Neutral"))</f>
        <v>Negative</v>
      </c>
      <c r="S18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78" spans="1:19" x14ac:dyDescent="0.25">
      <c r="A1878">
        <v>5</v>
      </c>
      <c r="B1878" t="b">
        <v>1</v>
      </c>
      <c r="C1878" s="1">
        <v>42716</v>
      </c>
      <c r="D1878">
        <f>YEAR(AMAZON_FASHION_5__2[[#This Row],[reviewDate]])</f>
        <v>2016</v>
      </c>
      <c r="E1878" s="1" t="str">
        <f>TEXT(AMAZON_FASHION_5__2[[#This Row],[reviewDate]], "mmmm")</f>
        <v>December</v>
      </c>
      <c r="F1878" t="s">
        <v>1153</v>
      </c>
      <c r="G1878" t="s">
        <v>1490</v>
      </c>
      <c r="H1878" t="s">
        <v>1477</v>
      </c>
      <c r="I1878" t="s">
        <v>336</v>
      </c>
      <c r="J1878" t="s">
        <v>1154</v>
      </c>
      <c r="K1878" t="s">
        <v>1155</v>
      </c>
      <c r="L1878" t="s">
        <v>276</v>
      </c>
      <c r="M1878">
        <v>1481500800</v>
      </c>
      <c r="N1878" t="s">
        <v>1628</v>
      </c>
      <c r="O1878" t="s">
        <v>1628</v>
      </c>
      <c r="P1878" t="s">
        <v>1628</v>
      </c>
      <c r="Q1878">
        <f>LEN(AMAZON_FASHION_5__2[[#This Row],[reviewText]])</f>
        <v>15</v>
      </c>
      <c r="R1878" t="str">
        <f>IF(AMAZON_FASHION_5__2[[#This Row],[overall]]&gt;=4,"Positive",IF(AMAZON_FASHION_5__2[[#This Row],[overall]]&lt;=2,"Negative","Neutral"))</f>
        <v>Positive</v>
      </c>
      <c r="S18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79" spans="1:19" x14ac:dyDescent="0.25">
      <c r="A1879">
        <v>5</v>
      </c>
      <c r="B1879" t="b">
        <v>1</v>
      </c>
      <c r="C1879" s="1">
        <v>42716</v>
      </c>
      <c r="D1879">
        <f>YEAR(AMAZON_FASHION_5__2[[#This Row],[reviewDate]])</f>
        <v>2016</v>
      </c>
      <c r="E1879" s="1" t="str">
        <f>TEXT(AMAZON_FASHION_5__2[[#This Row],[reviewDate]], "mmmm")</f>
        <v>December</v>
      </c>
      <c r="F1879" t="s">
        <v>1156</v>
      </c>
      <c r="G1879" t="s">
        <v>1490</v>
      </c>
      <c r="H1879" t="s">
        <v>235</v>
      </c>
      <c r="I1879" t="s">
        <v>198</v>
      </c>
      <c r="J1879" t="s">
        <v>1157</v>
      </c>
      <c r="K1879" t="s">
        <v>1158</v>
      </c>
      <c r="L1879" t="s">
        <v>30</v>
      </c>
      <c r="M1879">
        <v>1481500800</v>
      </c>
      <c r="N1879" t="s">
        <v>1628</v>
      </c>
      <c r="O1879" t="s">
        <v>1628</v>
      </c>
      <c r="P1879">
        <v>3</v>
      </c>
      <c r="Q1879">
        <f>LEN(AMAZON_FASHION_5__2[[#This Row],[reviewText]])</f>
        <v>362</v>
      </c>
      <c r="R1879" t="str">
        <f>IF(AMAZON_FASHION_5__2[[#This Row],[overall]]&gt;=4,"Positive",IF(AMAZON_FASHION_5__2[[#This Row],[overall]]&lt;=2,"Negative","Neutral"))</f>
        <v>Positive</v>
      </c>
      <c r="S18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80" spans="1:19" x14ac:dyDescent="0.25">
      <c r="A1880">
        <v>4</v>
      </c>
      <c r="B1880" t="b">
        <v>1</v>
      </c>
      <c r="C1880" s="1">
        <v>42712</v>
      </c>
      <c r="D1880">
        <f>YEAR(AMAZON_FASHION_5__2[[#This Row],[reviewDate]])</f>
        <v>2016</v>
      </c>
      <c r="E1880" s="1" t="str">
        <f>TEXT(AMAZON_FASHION_5__2[[#This Row],[reviewDate]], "mmmm")</f>
        <v>December</v>
      </c>
      <c r="F1880" t="s">
        <v>1159</v>
      </c>
      <c r="G1880" t="s">
        <v>1490</v>
      </c>
      <c r="H1880" t="s">
        <v>197</v>
      </c>
      <c r="I1880" t="s">
        <v>1084</v>
      </c>
      <c r="J1880" t="s">
        <v>1160</v>
      </c>
      <c r="K1880" t="s">
        <v>1161</v>
      </c>
      <c r="L1880" t="s">
        <v>103</v>
      </c>
      <c r="M1880">
        <v>1481155200</v>
      </c>
      <c r="N1880" t="s">
        <v>1628</v>
      </c>
      <c r="O1880" t="s">
        <v>1628</v>
      </c>
      <c r="P1880" t="s">
        <v>1628</v>
      </c>
      <c r="Q1880">
        <f>LEN(AMAZON_FASHION_5__2[[#This Row],[reviewText]])</f>
        <v>36</v>
      </c>
      <c r="R1880" t="str">
        <f>IF(AMAZON_FASHION_5__2[[#This Row],[overall]]&gt;=4,"Positive",IF(AMAZON_FASHION_5__2[[#This Row],[overall]]&lt;=2,"Negative","Neutral"))</f>
        <v>Positive</v>
      </c>
      <c r="S18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81" spans="1:19" x14ac:dyDescent="0.25">
      <c r="A1881">
        <v>4</v>
      </c>
      <c r="B1881" t="b">
        <v>1</v>
      </c>
      <c r="C1881" s="1">
        <v>42708</v>
      </c>
      <c r="D1881">
        <f>YEAR(AMAZON_FASHION_5__2[[#This Row],[reviewDate]])</f>
        <v>2016</v>
      </c>
      <c r="E1881" s="1" t="str">
        <f>TEXT(AMAZON_FASHION_5__2[[#This Row],[reviewDate]], "mmmm")</f>
        <v>December</v>
      </c>
      <c r="F1881" t="s">
        <v>1162</v>
      </c>
      <c r="G1881" t="s">
        <v>1490</v>
      </c>
      <c r="H1881" t="s">
        <v>320</v>
      </c>
      <c r="I1881" t="s">
        <v>827</v>
      </c>
      <c r="J1881" t="s">
        <v>1163</v>
      </c>
      <c r="K1881" t="s">
        <v>1164</v>
      </c>
      <c r="L1881" t="s">
        <v>103</v>
      </c>
      <c r="M1881">
        <v>1480809600</v>
      </c>
      <c r="N1881" t="s">
        <v>1628</v>
      </c>
      <c r="O1881" t="s">
        <v>1628</v>
      </c>
      <c r="P1881" t="s">
        <v>1628</v>
      </c>
      <c r="Q1881">
        <f>LEN(AMAZON_FASHION_5__2[[#This Row],[reviewText]])</f>
        <v>36</v>
      </c>
      <c r="R1881" t="str">
        <f>IF(AMAZON_FASHION_5__2[[#This Row],[overall]]&gt;=4,"Positive",IF(AMAZON_FASHION_5__2[[#This Row],[overall]]&lt;=2,"Negative","Neutral"))</f>
        <v>Positive</v>
      </c>
      <c r="S18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82" spans="1:19" x14ac:dyDescent="0.25">
      <c r="A1882">
        <v>4</v>
      </c>
      <c r="B1882" t="b">
        <v>1</v>
      </c>
      <c r="C1882" s="1">
        <v>42706</v>
      </c>
      <c r="D1882">
        <f>YEAR(AMAZON_FASHION_5__2[[#This Row],[reviewDate]])</f>
        <v>2016</v>
      </c>
      <c r="E1882" s="1" t="str">
        <f>TEXT(AMAZON_FASHION_5__2[[#This Row],[reviewDate]], "mmmm")</f>
        <v>December</v>
      </c>
      <c r="F1882" t="s">
        <v>1165</v>
      </c>
      <c r="G1882" t="s">
        <v>1490</v>
      </c>
      <c r="H1882" t="s">
        <v>717</v>
      </c>
      <c r="I1882" t="s">
        <v>336</v>
      </c>
      <c r="J1882" t="s">
        <v>63</v>
      </c>
      <c r="K1882" t="s">
        <v>1166</v>
      </c>
      <c r="L1882" t="s">
        <v>103</v>
      </c>
      <c r="M1882">
        <v>1480636800</v>
      </c>
      <c r="N1882" t="s">
        <v>1628</v>
      </c>
      <c r="O1882" t="s">
        <v>1628</v>
      </c>
      <c r="P1882">
        <v>2</v>
      </c>
      <c r="Q1882">
        <f>LEN(AMAZON_FASHION_5__2[[#This Row],[reviewText]])</f>
        <v>29</v>
      </c>
      <c r="R1882" t="str">
        <f>IF(AMAZON_FASHION_5__2[[#This Row],[overall]]&gt;=4,"Positive",IF(AMAZON_FASHION_5__2[[#This Row],[overall]]&lt;=2,"Negative","Neutral"))</f>
        <v>Positive</v>
      </c>
      <c r="S18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83" spans="1:19" x14ac:dyDescent="0.25">
      <c r="A1883">
        <v>5</v>
      </c>
      <c r="B1883" t="b">
        <v>1</v>
      </c>
      <c r="C1883" s="1">
        <v>42706</v>
      </c>
      <c r="D1883">
        <f>YEAR(AMAZON_FASHION_5__2[[#This Row],[reviewDate]])</f>
        <v>2016</v>
      </c>
      <c r="E1883" s="1" t="str">
        <f>TEXT(AMAZON_FASHION_5__2[[#This Row],[reviewDate]], "mmmm")</f>
        <v>December</v>
      </c>
      <c r="F1883" t="s">
        <v>1167</v>
      </c>
      <c r="G1883" t="s">
        <v>1490</v>
      </c>
      <c r="H1883" t="s">
        <v>210</v>
      </c>
      <c r="I1883" t="s">
        <v>198</v>
      </c>
      <c r="J1883" t="s">
        <v>1168</v>
      </c>
      <c r="K1883" t="s">
        <v>1169</v>
      </c>
      <c r="L1883" t="s">
        <v>17</v>
      </c>
      <c r="M1883">
        <v>1480636800</v>
      </c>
      <c r="N1883" t="s">
        <v>1628</v>
      </c>
      <c r="O1883" t="s">
        <v>1628</v>
      </c>
      <c r="P1883" t="s">
        <v>1628</v>
      </c>
      <c r="Q1883">
        <f>LEN(AMAZON_FASHION_5__2[[#This Row],[reviewText]])</f>
        <v>43</v>
      </c>
      <c r="R1883" t="str">
        <f>IF(AMAZON_FASHION_5__2[[#This Row],[overall]]&gt;=4,"Positive",IF(AMAZON_FASHION_5__2[[#This Row],[overall]]&lt;=2,"Negative","Neutral"))</f>
        <v>Positive</v>
      </c>
      <c r="S18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84" spans="1:19" x14ac:dyDescent="0.25">
      <c r="A1884">
        <v>5</v>
      </c>
      <c r="B1884" t="b">
        <v>1</v>
      </c>
      <c r="C1884" s="1">
        <v>42705</v>
      </c>
      <c r="D1884">
        <f>YEAR(AMAZON_FASHION_5__2[[#This Row],[reviewDate]])</f>
        <v>2016</v>
      </c>
      <c r="E1884" s="1" t="str">
        <f>TEXT(AMAZON_FASHION_5__2[[#This Row],[reviewDate]], "mmmm")</f>
        <v>December</v>
      </c>
      <c r="F1884" t="s">
        <v>1170</v>
      </c>
      <c r="G1884" t="s">
        <v>1490</v>
      </c>
      <c r="H1884" t="s">
        <v>230</v>
      </c>
      <c r="I1884" t="s">
        <v>1476</v>
      </c>
      <c r="J1884" t="s">
        <v>451</v>
      </c>
      <c r="K1884" t="s">
        <v>1171</v>
      </c>
      <c r="L1884" t="s">
        <v>17</v>
      </c>
      <c r="M1884">
        <v>1480550400</v>
      </c>
      <c r="N1884" t="s">
        <v>1628</v>
      </c>
      <c r="O1884" t="s">
        <v>1628</v>
      </c>
      <c r="P1884" t="s">
        <v>1628</v>
      </c>
      <c r="Q1884">
        <f>LEN(AMAZON_FASHION_5__2[[#This Row],[reviewText]])</f>
        <v>93</v>
      </c>
      <c r="R1884" t="str">
        <f>IF(AMAZON_FASHION_5__2[[#This Row],[overall]]&gt;=4,"Positive",IF(AMAZON_FASHION_5__2[[#This Row],[overall]]&lt;=2,"Negative","Neutral"))</f>
        <v>Positive</v>
      </c>
      <c r="S18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85" spans="1:19" x14ac:dyDescent="0.25">
      <c r="A1885">
        <v>5</v>
      </c>
      <c r="B1885" t="b">
        <v>1</v>
      </c>
      <c r="C1885" s="1">
        <v>42702</v>
      </c>
      <c r="D1885">
        <f>YEAR(AMAZON_FASHION_5__2[[#This Row],[reviewDate]])</f>
        <v>2016</v>
      </c>
      <c r="E1885" s="1" t="str">
        <f>TEXT(AMAZON_FASHION_5__2[[#This Row],[reviewDate]], "mmmm")</f>
        <v>November</v>
      </c>
      <c r="F1885" t="s">
        <v>1172</v>
      </c>
      <c r="G1885" t="s">
        <v>1490</v>
      </c>
      <c r="H1885" t="s">
        <v>230</v>
      </c>
      <c r="I1885" t="s">
        <v>198</v>
      </c>
      <c r="J1885" t="s">
        <v>1076</v>
      </c>
      <c r="K1885" t="s">
        <v>1173</v>
      </c>
      <c r="L1885" t="s">
        <v>17</v>
      </c>
      <c r="M1885">
        <v>1480291200</v>
      </c>
      <c r="N1885" t="s">
        <v>1628</v>
      </c>
      <c r="O1885" t="s">
        <v>1628</v>
      </c>
      <c r="P1885" t="s">
        <v>1628</v>
      </c>
      <c r="Q1885">
        <f>LEN(AMAZON_FASHION_5__2[[#This Row],[reviewText]])</f>
        <v>90</v>
      </c>
      <c r="R1885" t="str">
        <f>IF(AMAZON_FASHION_5__2[[#This Row],[overall]]&gt;=4,"Positive",IF(AMAZON_FASHION_5__2[[#This Row],[overall]]&lt;=2,"Negative","Neutral"))</f>
        <v>Positive</v>
      </c>
      <c r="S18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86" spans="1:19" x14ac:dyDescent="0.25">
      <c r="A1886">
        <v>5</v>
      </c>
      <c r="B1886" t="b">
        <v>1</v>
      </c>
      <c r="C1886" s="1">
        <v>42701</v>
      </c>
      <c r="D1886">
        <f>YEAR(AMAZON_FASHION_5__2[[#This Row],[reviewDate]])</f>
        <v>2016</v>
      </c>
      <c r="E1886" s="1" t="str">
        <f>TEXT(AMAZON_FASHION_5__2[[#This Row],[reviewDate]], "mmmm")</f>
        <v>November</v>
      </c>
      <c r="F1886" t="s">
        <v>1174</v>
      </c>
      <c r="G1886" t="s">
        <v>1490</v>
      </c>
      <c r="H1886" t="s">
        <v>477</v>
      </c>
      <c r="I1886" t="s">
        <v>849</v>
      </c>
      <c r="J1886" t="s">
        <v>1175</v>
      </c>
      <c r="K1886" t="s">
        <v>1176</v>
      </c>
      <c r="L1886" t="s">
        <v>877</v>
      </c>
      <c r="M1886">
        <v>1480204800</v>
      </c>
      <c r="N1886" t="s">
        <v>1628</v>
      </c>
      <c r="O1886" t="s">
        <v>1628</v>
      </c>
      <c r="P1886" t="s">
        <v>1628</v>
      </c>
      <c r="Q1886">
        <f>LEN(AMAZON_FASHION_5__2[[#This Row],[reviewText]])</f>
        <v>338</v>
      </c>
      <c r="R1886" t="str">
        <f>IF(AMAZON_FASHION_5__2[[#This Row],[overall]]&gt;=4,"Positive",IF(AMAZON_FASHION_5__2[[#This Row],[overall]]&lt;=2,"Negative","Neutral"))</f>
        <v>Positive</v>
      </c>
      <c r="S18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87" spans="1:19" x14ac:dyDescent="0.25">
      <c r="A1887">
        <v>5</v>
      </c>
      <c r="B1887" t="b">
        <v>1</v>
      </c>
      <c r="C1887" s="1">
        <v>42697</v>
      </c>
      <c r="D1887">
        <f>YEAR(AMAZON_FASHION_5__2[[#This Row],[reviewDate]])</f>
        <v>2016</v>
      </c>
      <c r="E1887" s="1" t="str">
        <f>TEXT(AMAZON_FASHION_5__2[[#This Row],[reviewDate]], "mmmm")</f>
        <v>November</v>
      </c>
      <c r="F1887" t="s">
        <v>1177</v>
      </c>
      <c r="G1887" t="s">
        <v>1490</v>
      </c>
      <c r="H1887" t="s">
        <v>201</v>
      </c>
      <c r="I1887" t="s">
        <v>198</v>
      </c>
      <c r="J1887" t="s">
        <v>1178</v>
      </c>
      <c r="K1887" t="s">
        <v>1179</v>
      </c>
      <c r="L1887" t="s">
        <v>1180</v>
      </c>
      <c r="M1887">
        <v>1479859200</v>
      </c>
      <c r="N1887" t="s">
        <v>1628</v>
      </c>
      <c r="O1887" t="s">
        <v>1628</v>
      </c>
      <c r="P1887" t="s">
        <v>1628</v>
      </c>
      <c r="Q1887">
        <f>LEN(AMAZON_FASHION_5__2[[#This Row],[reviewText]])</f>
        <v>76</v>
      </c>
      <c r="R1887" t="str">
        <f>IF(AMAZON_FASHION_5__2[[#This Row],[overall]]&gt;=4,"Positive",IF(AMAZON_FASHION_5__2[[#This Row],[overall]]&lt;=2,"Negative","Neutral"))</f>
        <v>Positive</v>
      </c>
      <c r="S18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88" spans="1:19" x14ac:dyDescent="0.25">
      <c r="A1888">
        <v>4</v>
      </c>
      <c r="B1888" t="b">
        <v>0</v>
      </c>
      <c r="C1888" s="1">
        <v>42695</v>
      </c>
      <c r="D1888">
        <f>YEAR(AMAZON_FASHION_5__2[[#This Row],[reviewDate]])</f>
        <v>2016</v>
      </c>
      <c r="E1888" s="1" t="str">
        <f>TEXT(AMAZON_FASHION_5__2[[#This Row],[reviewDate]], "mmmm")</f>
        <v>November</v>
      </c>
      <c r="F1888" t="s">
        <v>1181</v>
      </c>
      <c r="G1888" t="s">
        <v>1490</v>
      </c>
      <c r="H1888" t="s">
        <v>320</v>
      </c>
      <c r="I1888" t="s">
        <v>574</v>
      </c>
      <c r="J1888" t="s">
        <v>1182</v>
      </c>
      <c r="K1888" t="s">
        <v>1183</v>
      </c>
      <c r="L1888" t="s">
        <v>1184</v>
      </c>
      <c r="M1888">
        <v>1479686400</v>
      </c>
      <c r="N1888" t="s">
        <v>1628</v>
      </c>
      <c r="O1888" t="s">
        <v>1628</v>
      </c>
      <c r="P1888" t="s">
        <v>1628</v>
      </c>
      <c r="Q1888">
        <f>LEN(AMAZON_FASHION_5__2[[#This Row],[reviewText]])</f>
        <v>767</v>
      </c>
      <c r="R1888" t="str">
        <f>IF(AMAZON_FASHION_5__2[[#This Row],[overall]]&gt;=4,"Positive",IF(AMAZON_FASHION_5__2[[#This Row],[overall]]&lt;=2,"Negative","Neutral"))</f>
        <v>Positive</v>
      </c>
      <c r="S18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89" spans="1:19" x14ac:dyDescent="0.25">
      <c r="A1889">
        <v>4</v>
      </c>
      <c r="B1889" t="b">
        <v>1</v>
      </c>
      <c r="C1889" s="1">
        <v>42690</v>
      </c>
      <c r="D1889">
        <f>YEAR(AMAZON_FASHION_5__2[[#This Row],[reviewDate]])</f>
        <v>2016</v>
      </c>
      <c r="E1889" s="1" t="str">
        <f>TEXT(AMAZON_FASHION_5__2[[#This Row],[reviewDate]], "mmmm")</f>
        <v>November</v>
      </c>
      <c r="F1889" t="s">
        <v>1185</v>
      </c>
      <c r="G1889" t="s">
        <v>1490</v>
      </c>
      <c r="H1889" t="s">
        <v>230</v>
      </c>
      <c r="I1889" t="s">
        <v>1476</v>
      </c>
      <c r="J1889" t="s">
        <v>1186</v>
      </c>
      <c r="K1889" t="s">
        <v>1187</v>
      </c>
      <c r="L1889" t="s">
        <v>103</v>
      </c>
      <c r="M1889">
        <v>1479254400</v>
      </c>
      <c r="N1889" t="s">
        <v>1628</v>
      </c>
      <c r="O1889" t="s">
        <v>1628</v>
      </c>
      <c r="P1889" t="s">
        <v>1628</v>
      </c>
      <c r="Q1889">
        <f>LEN(AMAZON_FASHION_5__2[[#This Row],[reviewText]])</f>
        <v>49</v>
      </c>
      <c r="R1889" t="str">
        <f>IF(AMAZON_FASHION_5__2[[#This Row],[overall]]&gt;=4,"Positive",IF(AMAZON_FASHION_5__2[[#This Row],[overall]]&lt;=2,"Negative","Neutral"))</f>
        <v>Positive</v>
      </c>
      <c r="S18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90" spans="1:19" x14ac:dyDescent="0.25">
      <c r="A1890">
        <v>5</v>
      </c>
      <c r="B1890" t="b">
        <v>1</v>
      </c>
      <c r="C1890" s="1">
        <v>42690</v>
      </c>
      <c r="D1890">
        <f>YEAR(AMAZON_FASHION_5__2[[#This Row],[reviewDate]])</f>
        <v>2016</v>
      </c>
      <c r="E1890" s="1" t="str">
        <f>TEXT(AMAZON_FASHION_5__2[[#This Row],[reviewDate]], "mmmm")</f>
        <v>November</v>
      </c>
      <c r="F1890" t="s">
        <v>1188</v>
      </c>
      <c r="G1890" t="s">
        <v>1490</v>
      </c>
      <c r="H1890" t="s">
        <v>230</v>
      </c>
      <c r="I1890" t="s">
        <v>198</v>
      </c>
      <c r="J1890" t="s">
        <v>63</v>
      </c>
      <c r="K1890" t="s">
        <v>1189</v>
      </c>
      <c r="L1890" t="s">
        <v>17</v>
      </c>
      <c r="M1890">
        <v>1479254400</v>
      </c>
      <c r="N1890" t="s">
        <v>1628</v>
      </c>
      <c r="O1890" t="s">
        <v>1628</v>
      </c>
      <c r="P1890" t="s">
        <v>1628</v>
      </c>
      <c r="Q1890">
        <f>LEN(AMAZON_FASHION_5__2[[#This Row],[reviewText]])</f>
        <v>9</v>
      </c>
      <c r="R1890" t="str">
        <f>IF(AMAZON_FASHION_5__2[[#This Row],[overall]]&gt;=4,"Positive",IF(AMAZON_FASHION_5__2[[#This Row],[overall]]&lt;=2,"Negative","Neutral"))</f>
        <v>Positive</v>
      </c>
      <c r="S18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91" spans="1:19" x14ac:dyDescent="0.25">
      <c r="A1891">
        <v>3</v>
      </c>
      <c r="B1891" t="b">
        <v>1</v>
      </c>
      <c r="C1891" s="1">
        <v>42688</v>
      </c>
      <c r="D1891">
        <f>YEAR(AMAZON_FASHION_5__2[[#This Row],[reviewDate]])</f>
        <v>2016</v>
      </c>
      <c r="E1891" s="1" t="str">
        <f>TEXT(AMAZON_FASHION_5__2[[#This Row],[reviewDate]], "mmmm")</f>
        <v>November</v>
      </c>
      <c r="F1891" t="s">
        <v>1190</v>
      </c>
      <c r="G1891" t="s">
        <v>1490</v>
      </c>
      <c r="H1891" t="s">
        <v>201</v>
      </c>
      <c r="I1891" t="s">
        <v>524</v>
      </c>
      <c r="J1891" t="s">
        <v>1191</v>
      </c>
      <c r="K1891" t="s">
        <v>1192</v>
      </c>
      <c r="L1891" t="s">
        <v>1193</v>
      </c>
      <c r="M1891">
        <v>1479081600</v>
      </c>
      <c r="N1891" t="s">
        <v>1628</v>
      </c>
      <c r="O1891" t="s">
        <v>1628</v>
      </c>
      <c r="P1891" t="s">
        <v>1628</v>
      </c>
      <c r="Q1891">
        <f>LEN(AMAZON_FASHION_5__2[[#This Row],[reviewText]])</f>
        <v>92</v>
      </c>
      <c r="R1891" t="str">
        <f>IF(AMAZON_FASHION_5__2[[#This Row],[overall]]&gt;=4,"Positive",IF(AMAZON_FASHION_5__2[[#This Row],[overall]]&lt;=2,"Negative","Neutral"))</f>
        <v>Neutral</v>
      </c>
      <c r="S18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92" spans="1:19" x14ac:dyDescent="0.25">
      <c r="A1892">
        <v>5</v>
      </c>
      <c r="B1892" t="b">
        <v>1</v>
      </c>
      <c r="C1892" s="1">
        <v>42685</v>
      </c>
      <c r="D1892">
        <f>YEAR(AMAZON_FASHION_5__2[[#This Row],[reviewDate]])</f>
        <v>2016</v>
      </c>
      <c r="E1892" s="1" t="str">
        <f>TEXT(AMAZON_FASHION_5__2[[#This Row],[reviewDate]], "mmmm")</f>
        <v>November</v>
      </c>
      <c r="F1892" t="s">
        <v>1194</v>
      </c>
      <c r="G1892" t="s">
        <v>1490</v>
      </c>
      <c r="H1892" t="s">
        <v>235</v>
      </c>
      <c r="I1892" t="s">
        <v>303</v>
      </c>
      <c r="J1892" t="s">
        <v>1195</v>
      </c>
      <c r="K1892" t="s">
        <v>1196</v>
      </c>
      <c r="L1892" t="s">
        <v>1197</v>
      </c>
      <c r="M1892">
        <v>1478822400</v>
      </c>
      <c r="N1892" t="s">
        <v>1628</v>
      </c>
      <c r="O1892" t="s">
        <v>1628</v>
      </c>
      <c r="P1892" t="s">
        <v>1628</v>
      </c>
      <c r="Q1892">
        <f>LEN(AMAZON_FASHION_5__2[[#This Row],[reviewText]])</f>
        <v>133</v>
      </c>
      <c r="R1892" t="str">
        <f>IF(AMAZON_FASHION_5__2[[#This Row],[overall]]&gt;=4,"Positive",IF(AMAZON_FASHION_5__2[[#This Row],[overall]]&lt;=2,"Negative","Neutral"))</f>
        <v>Positive</v>
      </c>
      <c r="S18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93" spans="1:19" x14ac:dyDescent="0.25">
      <c r="A1893">
        <v>4</v>
      </c>
      <c r="B1893" t="b">
        <v>1</v>
      </c>
      <c r="C1893" s="1">
        <v>42685</v>
      </c>
      <c r="D1893">
        <f>YEAR(AMAZON_FASHION_5__2[[#This Row],[reviewDate]])</f>
        <v>2016</v>
      </c>
      <c r="E1893" s="1" t="str">
        <f>TEXT(AMAZON_FASHION_5__2[[#This Row],[reviewDate]], "mmmm")</f>
        <v>November</v>
      </c>
      <c r="F1893" t="s">
        <v>1198</v>
      </c>
      <c r="G1893" t="s">
        <v>1490</v>
      </c>
      <c r="H1893" t="s">
        <v>205</v>
      </c>
      <c r="I1893" t="s">
        <v>396</v>
      </c>
      <c r="J1893" t="s">
        <v>1199</v>
      </c>
      <c r="K1893" t="s">
        <v>1200</v>
      </c>
      <c r="L1893" t="s">
        <v>103</v>
      </c>
      <c r="M1893">
        <v>1478822400</v>
      </c>
      <c r="N1893" t="s">
        <v>1628</v>
      </c>
      <c r="O1893" t="s">
        <v>1628</v>
      </c>
      <c r="P1893" t="s">
        <v>1628</v>
      </c>
      <c r="Q1893">
        <f>LEN(AMAZON_FASHION_5__2[[#This Row],[reviewText]])</f>
        <v>25</v>
      </c>
      <c r="R1893" t="str">
        <f>IF(AMAZON_FASHION_5__2[[#This Row],[overall]]&gt;=4,"Positive",IF(AMAZON_FASHION_5__2[[#This Row],[overall]]&lt;=2,"Negative","Neutral"))</f>
        <v>Positive</v>
      </c>
      <c r="S18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94" spans="1:19" x14ac:dyDescent="0.25">
      <c r="A1894">
        <v>5</v>
      </c>
      <c r="B1894" t="b">
        <v>1</v>
      </c>
      <c r="C1894" s="1">
        <v>42683</v>
      </c>
      <c r="D1894">
        <f>YEAR(AMAZON_FASHION_5__2[[#This Row],[reviewDate]])</f>
        <v>2016</v>
      </c>
      <c r="E1894" s="1" t="str">
        <f>TEXT(AMAZON_FASHION_5__2[[#This Row],[reviewDate]], "mmmm")</f>
        <v>November</v>
      </c>
      <c r="F1894" t="s">
        <v>1201</v>
      </c>
      <c r="G1894" t="s">
        <v>1490</v>
      </c>
      <c r="H1894" t="s">
        <v>197</v>
      </c>
      <c r="I1894" t="s">
        <v>198</v>
      </c>
      <c r="J1894" t="s">
        <v>63</v>
      </c>
      <c r="K1894" t="s">
        <v>1202</v>
      </c>
      <c r="L1894" t="s">
        <v>1203</v>
      </c>
      <c r="M1894">
        <v>1478649600</v>
      </c>
      <c r="N1894" t="s">
        <v>1628</v>
      </c>
      <c r="O1894" t="s">
        <v>1628</v>
      </c>
      <c r="P1894" t="s">
        <v>1628</v>
      </c>
      <c r="Q1894">
        <f>LEN(AMAZON_FASHION_5__2[[#This Row],[reviewText]])</f>
        <v>64</v>
      </c>
      <c r="R1894" t="str">
        <f>IF(AMAZON_FASHION_5__2[[#This Row],[overall]]&gt;=4,"Positive",IF(AMAZON_FASHION_5__2[[#This Row],[overall]]&lt;=2,"Negative","Neutral"))</f>
        <v>Positive</v>
      </c>
      <c r="S18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95" spans="1:19" x14ac:dyDescent="0.25">
      <c r="A1895">
        <v>4</v>
      </c>
      <c r="B1895" t="b">
        <v>1</v>
      </c>
      <c r="C1895" s="1">
        <v>42682</v>
      </c>
      <c r="D1895">
        <f>YEAR(AMAZON_FASHION_5__2[[#This Row],[reviewDate]])</f>
        <v>2016</v>
      </c>
      <c r="E1895" s="1" t="str">
        <f>TEXT(AMAZON_FASHION_5__2[[#This Row],[reviewDate]], "mmmm")</f>
        <v>November</v>
      </c>
      <c r="F1895" t="s">
        <v>1204</v>
      </c>
      <c r="G1895" t="s">
        <v>1490</v>
      </c>
      <c r="H1895" t="s">
        <v>320</v>
      </c>
      <c r="I1895" t="s">
        <v>827</v>
      </c>
      <c r="J1895" t="s">
        <v>1205</v>
      </c>
      <c r="K1895" t="s">
        <v>1206</v>
      </c>
      <c r="L1895" t="s">
        <v>1207</v>
      </c>
      <c r="M1895">
        <v>1478563200</v>
      </c>
      <c r="N1895" t="s">
        <v>1628</v>
      </c>
      <c r="O1895" t="s">
        <v>1628</v>
      </c>
      <c r="P1895" t="s">
        <v>1628</v>
      </c>
      <c r="Q1895">
        <f>LEN(AMAZON_FASHION_5__2[[#This Row],[reviewText]])</f>
        <v>83</v>
      </c>
      <c r="R1895" t="str">
        <f>IF(AMAZON_FASHION_5__2[[#This Row],[overall]]&gt;=4,"Positive",IF(AMAZON_FASHION_5__2[[#This Row],[overall]]&lt;=2,"Negative","Neutral"))</f>
        <v>Positive</v>
      </c>
      <c r="S18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96" spans="1:19" x14ac:dyDescent="0.25">
      <c r="A1896">
        <v>5</v>
      </c>
      <c r="B1896" t="b">
        <v>1</v>
      </c>
      <c r="C1896" s="1">
        <v>42681</v>
      </c>
      <c r="D1896">
        <f>YEAR(AMAZON_FASHION_5__2[[#This Row],[reviewDate]])</f>
        <v>2016</v>
      </c>
      <c r="E1896" s="1" t="str">
        <f>TEXT(AMAZON_FASHION_5__2[[#This Row],[reviewDate]], "mmmm")</f>
        <v>November</v>
      </c>
      <c r="F1896" t="s">
        <v>1208</v>
      </c>
      <c r="G1896" t="s">
        <v>1490</v>
      </c>
      <c r="H1896" t="s">
        <v>477</v>
      </c>
      <c r="I1896" t="s">
        <v>198</v>
      </c>
      <c r="J1896" t="s">
        <v>1209</v>
      </c>
      <c r="K1896" t="s">
        <v>1210</v>
      </c>
      <c r="L1896" t="s">
        <v>1211</v>
      </c>
      <c r="M1896">
        <v>1478476800</v>
      </c>
      <c r="N1896" t="s">
        <v>1628</v>
      </c>
      <c r="O1896" t="s">
        <v>1628</v>
      </c>
      <c r="P1896">
        <v>3</v>
      </c>
      <c r="Q1896">
        <f>LEN(AMAZON_FASHION_5__2[[#This Row],[reviewText]])</f>
        <v>235</v>
      </c>
      <c r="R1896" t="str">
        <f>IF(AMAZON_FASHION_5__2[[#This Row],[overall]]&gt;=4,"Positive",IF(AMAZON_FASHION_5__2[[#This Row],[overall]]&lt;=2,"Negative","Neutral"))</f>
        <v>Positive</v>
      </c>
      <c r="S18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97" spans="1:19" x14ac:dyDescent="0.25">
      <c r="A1897">
        <v>3</v>
      </c>
      <c r="B1897" t="b">
        <v>1</v>
      </c>
      <c r="C1897" s="1">
        <v>42680</v>
      </c>
      <c r="D1897">
        <f>YEAR(AMAZON_FASHION_5__2[[#This Row],[reviewDate]])</f>
        <v>2016</v>
      </c>
      <c r="E1897" s="1" t="str">
        <f>TEXT(AMAZON_FASHION_5__2[[#This Row],[reviewDate]], "mmmm")</f>
        <v>November</v>
      </c>
      <c r="F1897" t="s">
        <v>1212</v>
      </c>
      <c r="G1897" t="s">
        <v>1490</v>
      </c>
      <c r="H1897" t="s">
        <v>230</v>
      </c>
      <c r="I1897" t="s">
        <v>827</v>
      </c>
      <c r="J1897" t="s">
        <v>1213</v>
      </c>
      <c r="K1897" t="s">
        <v>1214</v>
      </c>
      <c r="L1897" t="s">
        <v>1215</v>
      </c>
      <c r="M1897">
        <v>1478390400</v>
      </c>
      <c r="N1897" t="s">
        <v>1628</v>
      </c>
      <c r="O1897" t="s">
        <v>1628</v>
      </c>
      <c r="P1897" t="s">
        <v>1628</v>
      </c>
      <c r="Q1897">
        <f>LEN(AMAZON_FASHION_5__2[[#This Row],[reviewText]])</f>
        <v>115</v>
      </c>
      <c r="R1897" t="str">
        <f>IF(AMAZON_FASHION_5__2[[#This Row],[overall]]&gt;=4,"Positive",IF(AMAZON_FASHION_5__2[[#This Row],[overall]]&lt;=2,"Negative","Neutral"))</f>
        <v>Neutral</v>
      </c>
      <c r="S18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98" spans="1:19" x14ac:dyDescent="0.25">
      <c r="A1898">
        <v>3</v>
      </c>
      <c r="B1898" t="b">
        <v>1</v>
      </c>
      <c r="C1898" s="1">
        <v>42673</v>
      </c>
      <c r="D1898">
        <f>YEAR(AMAZON_FASHION_5__2[[#This Row],[reviewDate]])</f>
        <v>2016</v>
      </c>
      <c r="E1898" s="1" t="str">
        <f>TEXT(AMAZON_FASHION_5__2[[#This Row],[reviewDate]], "mmmm")</f>
        <v>October</v>
      </c>
      <c r="F1898" t="s">
        <v>1216</v>
      </c>
      <c r="G1898" t="s">
        <v>1490</v>
      </c>
      <c r="H1898" t="s">
        <v>477</v>
      </c>
      <c r="I1898" t="s">
        <v>396</v>
      </c>
      <c r="J1898" t="s">
        <v>1217</v>
      </c>
      <c r="K1898" t="s">
        <v>1218</v>
      </c>
      <c r="L1898" t="s">
        <v>1219</v>
      </c>
      <c r="M1898">
        <v>1477785600</v>
      </c>
      <c r="N1898" t="s">
        <v>1628</v>
      </c>
      <c r="O1898" t="s">
        <v>1628</v>
      </c>
      <c r="P1898" t="s">
        <v>1628</v>
      </c>
      <c r="Q1898">
        <f>LEN(AMAZON_FASHION_5__2[[#This Row],[reviewText]])</f>
        <v>228</v>
      </c>
      <c r="R1898" t="str">
        <f>IF(AMAZON_FASHION_5__2[[#This Row],[overall]]&gt;=4,"Positive",IF(AMAZON_FASHION_5__2[[#This Row],[overall]]&lt;=2,"Negative","Neutral"))</f>
        <v>Neutral</v>
      </c>
      <c r="S18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899" spans="1:19" x14ac:dyDescent="0.25">
      <c r="A1899">
        <v>5</v>
      </c>
      <c r="B1899" t="b">
        <v>1</v>
      </c>
      <c r="C1899" s="1">
        <v>42672</v>
      </c>
      <c r="D1899">
        <f>YEAR(AMAZON_FASHION_5__2[[#This Row],[reviewDate]])</f>
        <v>2016</v>
      </c>
      <c r="E1899" s="1" t="str">
        <f>TEXT(AMAZON_FASHION_5__2[[#This Row],[reviewDate]], "mmmm")</f>
        <v>October</v>
      </c>
      <c r="F1899" t="s">
        <v>1220</v>
      </c>
      <c r="G1899" t="s">
        <v>1490</v>
      </c>
      <c r="H1899" t="s">
        <v>210</v>
      </c>
      <c r="I1899" t="s">
        <v>274</v>
      </c>
      <c r="J1899" t="s">
        <v>1221</v>
      </c>
      <c r="K1899" t="s">
        <v>1222</v>
      </c>
      <c r="L1899" t="s">
        <v>1223</v>
      </c>
      <c r="M1899">
        <v>1477699200</v>
      </c>
      <c r="N1899" t="s">
        <v>1628</v>
      </c>
      <c r="O1899" t="s">
        <v>1628</v>
      </c>
      <c r="P1899" t="s">
        <v>1628</v>
      </c>
      <c r="Q1899">
        <f>LEN(AMAZON_FASHION_5__2[[#This Row],[reviewText]])</f>
        <v>59</v>
      </c>
      <c r="R1899" t="str">
        <f>IF(AMAZON_FASHION_5__2[[#This Row],[overall]]&gt;=4,"Positive",IF(AMAZON_FASHION_5__2[[#This Row],[overall]]&lt;=2,"Negative","Neutral"))</f>
        <v>Positive</v>
      </c>
      <c r="S18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00" spans="1:19" x14ac:dyDescent="0.25">
      <c r="A1900">
        <v>3</v>
      </c>
      <c r="B1900" t="b">
        <v>1</v>
      </c>
      <c r="C1900" s="1">
        <v>42669</v>
      </c>
      <c r="D1900">
        <f>YEAR(AMAZON_FASHION_5__2[[#This Row],[reviewDate]])</f>
        <v>2016</v>
      </c>
      <c r="E1900" s="1" t="str">
        <f>TEXT(AMAZON_FASHION_5__2[[#This Row],[reviewDate]], "mmmm")</f>
        <v>October</v>
      </c>
      <c r="F1900" t="s">
        <v>1224</v>
      </c>
      <c r="G1900" t="s">
        <v>1490</v>
      </c>
      <c r="H1900" t="s">
        <v>230</v>
      </c>
      <c r="I1900" t="s">
        <v>198</v>
      </c>
      <c r="J1900" t="s">
        <v>1225</v>
      </c>
      <c r="K1900" t="s">
        <v>1226</v>
      </c>
      <c r="L1900" t="s">
        <v>1227</v>
      </c>
      <c r="M1900">
        <v>1477440000</v>
      </c>
      <c r="N1900" t="s">
        <v>1628</v>
      </c>
      <c r="O1900" t="s">
        <v>1628</v>
      </c>
      <c r="P1900" t="s">
        <v>1628</v>
      </c>
      <c r="Q1900">
        <f>LEN(AMAZON_FASHION_5__2[[#This Row],[reviewText]])</f>
        <v>333</v>
      </c>
      <c r="R1900" t="str">
        <f>IF(AMAZON_FASHION_5__2[[#This Row],[overall]]&gt;=4,"Positive",IF(AMAZON_FASHION_5__2[[#This Row],[overall]]&lt;=2,"Negative","Neutral"))</f>
        <v>Neutral</v>
      </c>
      <c r="S19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01" spans="1:19" x14ac:dyDescent="0.25">
      <c r="A1901">
        <v>5</v>
      </c>
      <c r="B1901" t="b">
        <v>1</v>
      </c>
      <c r="C1901" s="1">
        <v>42668</v>
      </c>
      <c r="D1901">
        <f>YEAR(AMAZON_FASHION_5__2[[#This Row],[reviewDate]])</f>
        <v>2016</v>
      </c>
      <c r="E1901" s="1" t="str">
        <f>TEXT(AMAZON_FASHION_5__2[[#This Row],[reviewDate]], "mmmm")</f>
        <v>October</v>
      </c>
      <c r="F1901" t="s">
        <v>1228</v>
      </c>
      <c r="G1901" t="s">
        <v>1490</v>
      </c>
      <c r="H1901" t="s">
        <v>261</v>
      </c>
      <c r="I1901" t="s">
        <v>1455</v>
      </c>
      <c r="J1901" t="s">
        <v>1229</v>
      </c>
      <c r="K1901" t="s">
        <v>1230</v>
      </c>
      <c r="L1901" t="s">
        <v>17</v>
      </c>
      <c r="M1901">
        <v>1477353600</v>
      </c>
      <c r="N1901" t="s">
        <v>1628</v>
      </c>
      <c r="O1901" t="s">
        <v>1628</v>
      </c>
      <c r="P1901" t="s">
        <v>1628</v>
      </c>
      <c r="Q1901">
        <f>LEN(AMAZON_FASHION_5__2[[#This Row],[reviewText]])</f>
        <v>33</v>
      </c>
      <c r="R1901" t="str">
        <f>IF(AMAZON_FASHION_5__2[[#This Row],[overall]]&gt;=4,"Positive",IF(AMAZON_FASHION_5__2[[#This Row],[overall]]&lt;=2,"Negative","Neutral"))</f>
        <v>Positive</v>
      </c>
      <c r="S19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02" spans="1:19" x14ac:dyDescent="0.25">
      <c r="A1902">
        <v>5</v>
      </c>
      <c r="B1902" t="b">
        <v>0</v>
      </c>
      <c r="C1902" s="1">
        <v>42667</v>
      </c>
      <c r="D1902">
        <f>YEAR(AMAZON_FASHION_5__2[[#This Row],[reviewDate]])</f>
        <v>2016</v>
      </c>
      <c r="E1902" s="1" t="str">
        <f>TEXT(AMAZON_FASHION_5__2[[#This Row],[reviewDate]], "mmmm")</f>
        <v>October</v>
      </c>
      <c r="F1902" t="s">
        <v>1231</v>
      </c>
      <c r="G1902" t="s">
        <v>1490</v>
      </c>
      <c r="H1902" t="s">
        <v>197</v>
      </c>
      <c r="I1902" t="s">
        <v>419</v>
      </c>
      <c r="J1902" t="s">
        <v>63</v>
      </c>
      <c r="K1902" t="s">
        <v>1232</v>
      </c>
      <c r="L1902" t="s">
        <v>1233</v>
      </c>
      <c r="M1902">
        <v>1477267200</v>
      </c>
      <c r="N1902" t="s">
        <v>1628</v>
      </c>
      <c r="O1902" t="s">
        <v>1628</v>
      </c>
      <c r="P1902" t="s">
        <v>1628</v>
      </c>
      <c r="Q1902">
        <f>LEN(AMAZON_FASHION_5__2[[#This Row],[reviewText]])</f>
        <v>86</v>
      </c>
      <c r="R1902" t="str">
        <f>IF(AMAZON_FASHION_5__2[[#This Row],[overall]]&gt;=4,"Positive",IF(AMAZON_FASHION_5__2[[#This Row],[overall]]&lt;=2,"Negative","Neutral"))</f>
        <v>Positive</v>
      </c>
      <c r="S19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03" spans="1:19" x14ac:dyDescent="0.25">
      <c r="A1903">
        <v>5</v>
      </c>
      <c r="B1903" t="b">
        <v>1</v>
      </c>
      <c r="C1903" s="1">
        <v>42667</v>
      </c>
      <c r="D1903">
        <f>YEAR(AMAZON_FASHION_5__2[[#This Row],[reviewDate]])</f>
        <v>2016</v>
      </c>
      <c r="E1903" s="1" t="str">
        <f>TEXT(AMAZON_FASHION_5__2[[#This Row],[reviewDate]], "mmmm")</f>
        <v>October</v>
      </c>
      <c r="F1903" t="s">
        <v>1234</v>
      </c>
      <c r="G1903" t="s">
        <v>1490</v>
      </c>
      <c r="H1903" t="s">
        <v>197</v>
      </c>
      <c r="I1903" t="s">
        <v>493</v>
      </c>
      <c r="J1903" t="s">
        <v>1235</v>
      </c>
      <c r="K1903" t="s">
        <v>1236</v>
      </c>
      <c r="L1903" t="s">
        <v>17</v>
      </c>
      <c r="M1903">
        <v>1477267200</v>
      </c>
      <c r="N1903" t="s">
        <v>1628</v>
      </c>
      <c r="O1903" t="s">
        <v>1628</v>
      </c>
      <c r="P1903" t="s">
        <v>1628</v>
      </c>
      <c r="Q1903">
        <f>LEN(AMAZON_FASHION_5__2[[#This Row],[reviewText]])</f>
        <v>24</v>
      </c>
      <c r="R1903" t="str">
        <f>IF(AMAZON_FASHION_5__2[[#This Row],[overall]]&gt;=4,"Positive",IF(AMAZON_FASHION_5__2[[#This Row],[overall]]&lt;=2,"Negative","Neutral"))</f>
        <v>Positive</v>
      </c>
      <c r="S19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04" spans="1:19" x14ac:dyDescent="0.25">
      <c r="A1904">
        <v>5</v>
      </c>
      <c r="B1904" t="b">
        <v>1</v>
      </c>
      <c r="C1904" s="1">
        <v>42662</v>
      </c>
      <c r="D1904">
        <f>YEAR(AMAZON_FASHION_5__2[[#This Row],[reviewDate]])</f>
        <v>2016</v>
      </c>
      <c r="E1904" s="1" t="str">
        <f>TEXT(AMAZON_FASHION_5__2[[#This Row],[reviewDate]], "mmmm")</f>
        <v>October</v>
      </c>
      <c r="F1904" t="s">
        <v>1237</v>
      </c>
      <c r="G1904" t="s">
        <v>1490</v>
      </c>
      <c r="H1904" t="s">
        <v>320</v>
      </c>
      <c r="I1904" t="s">
        <v>198</v>
      </c>
      <c r="J1904" t="s">
        <v>63</v>
      </c>
      <c r="K1904" t="s">
        <v>1238</v>
      </c>
      <c r="L1904" t="s">
        <v>1239</v>
      </c>
      <c r="M1904">
        <v>1476835200</v>
      </c>
      <c r="N1904" t="s">
        <v>1628</v>
      </c>
      <c r="O1904" t="s">
        <v>1628</v>
      </c>
      <c r="P1904" t="s">
        <v>1628</v>
      </c>
      <c r="Q1904">
        <f>LEN(AMAZON_FASHION_5__2[[#This Row],[reviewText]])</f>
        <v>35</v>
      </c>
      <c r="R1904" t="str">
        <f>IF(AMAZON_FASHION_5__2[[#This Row],[overall]]&gt;=4,"Positive",IF(AMAZON_FASHION_5__2[[#This Row],[overall]]&lt;=2,"Negative","Neutral"))</f>
        <v>Positive</v>
      </c>
      <c r="S19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05" spans="1:19" x14ac:dyDescent="0.25">
      <c r="A1905">
        <v>5</v>
      </c>
      <c r="B1905" t="b">
        <v>1</v>
      </c>
      <c r="C1905" s="1">
        <v>42660</v>
      </c>
      <c r="D1905">
        <f>YEAR(AMAZON_FASHION_5__2[[#This Row],[reviewDate]])</f>
        <v>2016</v>
      </c>
      <c r="E1905" s="1" t="str">
        <f>TEXT(AMAZON_FASHION_5__2[[#This Row],[reviewDate]], "mmmm")</f>
        <v>October</v>
      </c>
      <c r="F1905" t="s">
        <v>1240</v>
      </c>
      <c r="G1905" t="s">
        <v>1490</v>
      </c>
      <c r="H1905" t="s">
        <v>205</v>
      </c>
      <c r="I1905" t="s">
        <v>396</v>
      </c>
      <c r="J1905" t="s">
        <v>1241</v>
      </c>
      <c r="K1905" t="s">
        <v>1242</v>
      </c>
      <c r="L1905" t="s">
        <v>1243</v>
      </c>
      <c r="M1905">
        <v>1476662400</v>
      </c>
      <c r="N1905" t="s">
        <v>1628</v>
      </c>
      <c r="O1905" t="s">
        <v>1628</v>
      </c>
      <c r="P1905">
        <v>5</v>
      </c>
      <c r="Q1905">
        <f>LEN(AMAZON_FASHION_5__2[[#This Row],[reviewText]])</f>
        <v>106</v>
      </c>
      <c r="R1905" t="str">
        <f>IF(AMAZON_FASHION_5__2[[#This Row],[overall]]&gt;=4,"Positive",IF(AMAZON_FASHION_5__2[[#This Row],[overall]]&lt;=2,"Negative","Neutral"))</f>
        <v>Positive</v>
      </c>
      <c r="S19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06" spans="1:19" x14ac:dyDescent="0.25">
      <c r="A1906">
        <v>5</v>
      </c>
      <c r="B1906" t="b">
        <v>1</v>
      </c>
      <c r="C1906" s="1">
        <v>42658</v>
      </c>
      <c r="D1906">
        <f>YEAR(AMAZON_FASHION_5__2[[#This Row],[reviewDate]])</f>
        <v>2016</v>
      </c>
      <c r="E1906" s="1" t="str">
        <f>TEXT(AMAZON_FASHION_5__2[[#This Row],[reviewDate]], "mmmm")</f>
        <v>October</v>
      </c>
      <c r="F1906" t="s">
        <v>1244</v>
      </c>
      <c r="G1906" t="s">
        <v>1490</v>
      </c>
      <c r="H1906" t="s">
        <v>205</v>
      </c>
      <c r="I1906" t="s">
        <v>198</v>
      </c>
      <c r="J1906" t="s">
        <v>1245</v>
      </c>
      <c r="K1906" t="s">
        <v>1246</v>
      </c>
      <c r="L1906" t="s">
        <v>1247</v>
      </c>
      <c r="M1906">
        <v>1476489600</v>
      </c>
      <c r="N1906" t="s">
        <v>1628</v>
      </c>
      <c r="O1906" t="s">
        <v>1628</v>
      </c>
      <c r="P1906" t="s">
        <v>1628</v>
      </c>
      <c r="Q1906">
        <f>LEN(AMAZON_FASHION_5__2[[#This Row],[reviewText]])</f>
        <v>57</v>
      </c>
      <c r="R1906" t="str">
        <f>IF(AMAZON_FASHION_5__2[[#This Row],[overall]]&gt;=4,"Positive",IF(AMAZON_FASHION_5__2[[#This Row],[overall]]&lt;=2,"Negative","Neutral"))</f>
        <v>Positive</v>
      </c>
      <c r="S19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07" spans="1:19" x14ac:dyDescent="0.25">
      <c r="A1907">
        <v>4</v>
      </c>
      <c r="B1907" t="b">
        <v>1</v>
      </c>
      <c r="C1907" s="1">
        <v>42654</v>
      </c>
      <c r="D1907">
        <f>YEAR(AMAZON_FASHION_5__2[[#This Row],[reviewDate]])</f>
        <v>2016</v>
      </c>
      <c r="E1907" s="1" t="str">
        <f>TEXT(AMAZON_FASHION_5__2[[#This Row],[reviewDate]], "mmmm")</f>
        <v>October</v>
      </c>
      <c r="F1907" t="s">
        <v>1248</v>
      </c>
      <c r="G1907" t="s">
        <v>1490</v>
      </c>
      <c r="H1907" t="s">
        <v>201</v>
      </c>
      <c r="I1907" t="s">
        <v>827</v>
      </c>
      <c r="J1907" t="s">
        <v>1249</v>
      </c>
      <c r="K1907" t="s">
        <v>1250</v>
      </c>
      <c r="L1907" t="s">
        <v>1251</v>
      </c>
      <c r="M1907">
        <v>1476144000</v>
      </c>
      <c r="N1907" t="s">
        <v>1628</v>
      </c>
      <c r="O1907" t="s">
        <v>1628</v>
      </c>
      <c r="P1907" t="s">
        <v>1628</v>
      </c>
      <c r="Q1907">
        <f>LEN(AMAZON_FASHION_5__2[[#This Row],[reviewText]])</f>
        <v>181</v>
      </c>
      <c r="R1907" t="str">
        <f>IF(AMAZON_FASHION_5__2[[#This Row],[overall]]&gt;=4,"Positive",IF(AMAZON_FASHION_5__2[[#This Row],[overall]]&lt;=2,"Negative","Neutral"))</f>
        <v>Positive</v>
      </c>
      <c r="S19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08" spans="1:19" x14ac:dyDescent="0.25">
      <c r="A1908">
        <v>3</v>
      </c>
      <c r="B1908" t="b">
        <v>1</v>
      </c>
      <c r="C1908" s="1">
        <v>42652</v>
      </c>
      <c r="D1908">
        <f>YEAR(AMAZON_FASHION_5__2[[#This Row],[reviewDate]])</f>
        <v>2016</v>
      </c>
      <c r="E1908" s="1" t="str">
        <f>TEXT(AMAZON_FASHION_5__2[[#This Row],[reviewDate]], "mmmm")</f>
        <v>October</v>
      </c>
      <c r="F1908" t="s">
        <v>1252</v>
      </c>
      <c r="G1908" t="s">
        <v>1490</v>
      </c>
      <c r="H1908" t="s">
        <v>477</v>
      </c>
      <c r="I1908" t="s">
        <v>236</v>
      </c>
      <c r="J1908" t="s">
        <v>1253</v>
      </c>
      <c r="K1908" t="s">
        <v>1254</v>
      </c>
      <c r="L1908" t="s">
        <v>1255</v>
      </c>
      <c r="M1908">
        <v>1475971200</v>
      </c>
      <c r="N1908" t="s">
        <v>1628</v>
      </c>
      <c r="O1908" t="s">
        <v>1628</v>
      </c>
      <c r="P1908" t="s">
        <v>1628</v>
      </c>
      <c r="Q1908">
        <f>LEN(AMAZON_FASHION_5__2[[#This Row],[reviewText]])</f>
        <v>68</v>
      </c>
      <c r="R1908" t="str">
        <f>IF(AMAZON_FASHION_5__2[[#This Row],[overall]]&gt;=4,"Positive",IF(AMAZON_FASHION_5__2[[#This Row],[overall]]&lt;=2,"Negative","Neutral"))</f>
        <v>Neutral</v>
      </c>
      <c r="S19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09" spans="1:19" x14ac:dyDescent="0.25">
      <c r="A1909">
        <v>4</v>
      </c>
      <c r="B1909" t="b">
        <v>1</v>
      </c>
      <c r="C1909" s="1">
        <v>42648</v>
      </c>
      <c r="D1909">
        <f>YEAR(AMAZON_FASHION_5__2[[#This Row],[reviewDate]])</f>
        <v>2016</v>
      </c>
      <c r="E1909" s="1" t="str">
        <f>TEXT(AMAZON_FASHION_5__2[[#This Row],[reviewDate]], "mmmm")</f>
        <v>October</v>
      </c>
      <c r="F1909" t="s">
        <v>1256</v>
      </c>
      <c r="G1909" t="s">
        <v>1490</v>
      </c>
      <c r="H1909" t="s">
        <v>197</v>
      </c>
      <c r="I1909" t="s">
        <v>198</v>
      </c>
      <c r="J1909" t="s">
        <v>1257</v>
      </c>
      <c r="K1909" t="s">
        <v>1258</v>
      </c>
      <c r="L1909" t="s">
        <v>1259</v>
      </c>
      <c r="M1909">
        <v>1475625600</v>
      </c>
      <c r="N1909" t="s">
        <v>1628</v>
      </c>
      <c r="O1909" t="s">
        <v>1628</v>
      </c>
      <c r="P1909" t="s">
        <v>1628</v>
      </c>
      <c r="Q1909">
        <f>LEN(AMAZON_FASHION_5__2[[#This Row],[reviewText]])</f>
        <v>100</v>
      </c>
      <c r="R1909" t="str">
        <f>IF(AMAZON_FASHION_5__2[[#This Row],[overall]]&gt;=4,"Positive",IF(AMAZON_FASHION_5__2[[#This Row],[overall]]&lt;=2,"Negative","Neutral"))</f>
        <v>Positive</v>
      </c>
      <c r="S19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10" spans="1:19" x14ac:dyDescent="0.25">
      <c r="A1910">
        <v>3</v>
      </c>
      <c r="B1910" t="b">
        <v>1</v>
      </c>
      <c r="C1910" s="1">
        <v>42644</v>
      </c>
      <c r="D1910">
        <f>YEAR(AMAZON_FASHION_5__2[[#This Row],[reviewDate]])</f>
        <v>2016</v>
      </c>
      <c r="E1910" s="1" t="str">
        <f>TEXT(AMAZON_FASHION_5__2[[#This Row],[reviewDate]], "mmmm")</f>
        <v>October</v>
      </c>
      <c r="F1910" t="s">
        <v>1260</v>
      </c>
      <c r="G1910" t="s">
        <v>1490</v>
      </c>
      <c r="H1910" t="s">
        <v>205</v>
      </c>
      <c r="I1910" t="s">
        <v>236</v>
      </c>
      <c r="J1910" t="s">
        <v>1261</v>
      </c>
      <c r="K1910" t="s">
        <v>1262</v>
      </c>
      <c r="L1910" t="s">
        <v>1263</v>
      </c>
      <c r="M1910">
        <v>1475280000</v>
      </c>
      <c r="N1910" t="s">
        <v>1628</v>
      </c>
      <c r="O1910" t="s">
        <v>1628</v>
      </c>
      <c r="P1910" t="s">
        <v>1628</v>
      </c>
      <c r="Q1910">
        <f>LEN(AMAZON_FASHION_5__2[[#This Row],[reviewText]])</f>
        <v>59</v>
      </c>
      <c r="R1910" t="str">
        <f>IF(AMAZON_FASHION_5__2[[#This Row],[overall]]&gt;=4,"Positive",IF(AMAZON_FASHION_5__2[[#This Row],[overall]]&lt;=2,"Negative","Neutral"))</f>
        <v>Neutral</v>
      </c>
      <c r="S19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11" spans="1:19" x14ac:dyDescent="0.25">
      <c r="A1911">
        <v>5</v>
      </c>
      <c r="B1911" t="b">
        <v>1</v>
      </c>
      <c r="C1911" s="1">
        <v>42639</v>
      </c>
      <c r="D1911">
        <f>YEAR(AMAZON_FASHION_5__2[[#This Row],[reviewDate]])</f>
        <v>2016</v>
      </c>
      <c r="E1911" s="1" t="str">
        <f>TEXT(AMAZON_FASHION_5__2[[#This Row],[reviewDate]], "mmmm")</f>
        <v>September</v>
      </c>
      <c r="F1911" t="s">
        <v>1264</v>
      </c>
      <c r="G1911" t="s">
        <v>1490</v>
      </c>
      <c r="H1911" t="s">
        <v>477</v>
      </c>
      <c r="I1911" t="s">
        <v>211</v>
      </c>
      <c r="J1911" t="s">
        <v>1265</v>
      </c>
      <c r="K1911" t="s">
        <v>1266</v>
      </c>
      <c r="L1911" t="s">
        <v>704</v>
      </c>
      <c r="M1911">
        <v>1474848000</v>
      </c>
      <c r="N1911" t="s">
        <v>1628</v>
      </c>
      <c r="O1911" t="s">
        <v>1628</v>
      </c>
      <c r="P1911" t="s">
        <v>1628</v>
      </c>
      <c r="Q1911">
        <f>LEN(AMAZON_FASHION_5__2[[#This Row],[reviewText]])</f>
        <v>107</v>
      </c>
      <c r="R1911" t="str">
        <f>IF(AMAZON_FASHION_5__2[[#This Row],[overall]]&gt;=4,"Positive",IF(AMAZON_FASHION_5__2[[#This Row],[overall]]&lt;=2,"Negative","Neutral"))</f>
        <v>Positive</v>
      </c>
      <c r="S19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12" spans="1:19" x14ac:dyDescent="0.25">
      <c r="A1912">
        <v>5</v>
      </c>
      <c r="B1912" t="b">
        <v>1</v>
      </c>
      <c r="C1912" s="1">
        <v>42636</v>
      </c>
      <c r="D1912">
        <f>YEAR(AMAZON_FASHION_5__2[[#This Row],[reviewDate]])</f>
        <v>2016</v>
      </c>
      <c r="E1912" s="1" t="str">
        <f>TEXT(AMAZON_FASHION_5__2[[#This Row],[reviewDate]], "mmmm")</f>
        <v>September</v>
      </c>
      <c r="F1912" t="s">
        <v>1267</v>
      </c>
      <c r="G1912" t="s">
        <v>1490</v>
      </c>
      <c r="H1912" t="s">
        <v>197</v>
      </c>
      <c r="I1912" t="s">
        <v>524</v>
      </c>
      <c r="J1912" t="s">
        <v>1268</v>
      </c>
      <c r="K1912" t="s">
        <v>1269</v>
      </c>
      <c r="L1912" t="s">
        <v>17</v>
      </c>
      <c r="M1912">
        <v>1474588800</v>
      </c>
      <c r="N1912" t="s">
        <v>1628</v>
      </c>
      <c r="O1912" t="s">
        <v>1628</v>
      </c>
      <c r="P1912" t="s">
        <v>1628</v>
      </c>
      <c r="Q1912">
        <f>LEN(AMAZON_FASHION_5__2[[#This Row],[reviewText]])</f>
        <v>12</v>
      </c>
      <c r="R1912" t="str">
        <f>IF(AMAZON_FASHION_5__2[[#This Row],[overall]]&gt;=4,"Positive",IF(AMAZON_FASHION_5__2[[#This Row],[overall]]&lt;=2,"Negative","Neutral"))</f>
        <v>Positive</v>
      </c>
      <c r="S19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13" spans="1:19" x14ac:dyDescent="0.25">
      <c r="A1913">
        <v>5</v>
      </c>
      <c r="B1913" t="b">
        <v>1</v>
      </c>
      <c r="C1913" s="1">
        <v>42631</v>
      </c>
      <c r="D1913">
        <f>YEAR(AMAZON_FASHION_5__2[[#This Row],[reviewDate]])</f>
        <v>2016</v>
      </c>
      <c r="E1913" s="1" t="str">
        <f>TEXT(AMAZON_FASHION_5__2[[#This Row],[reviewDate]], "mmmm")</f>
        <v>September</v>
      </c>
      <c r="F1913" t="s">
        <v>1270</v>
      </c>
      <c r="G1913" t="s">
        <v>1490</v>
      </c>
      <c r="H1913" t="s">
        <v>1477</v>
      </c>
      <c r="I1913" t="s">
        <v>336</v>
      </c>
      <c r="J1913" t="s">
        <v>63</v>
      </c>
      <c r="K1913" t="s">
        <v>1271</v>
      </c>
      <c r="L1913" t="s">
        <v>1272</v>
      </c>
      <c r="M1913">
        <v>1474156800</v>
      </c>
      <c r="N1913" t="s">
        <v>1628</v>
      </c>
      <c r="O1913" t="s">
        <v>1628</v>
      </c>
      <c r="P1913">
        <v>3</v>
      </c>
      <c r="Q1913">
        <f>LEN(AMAZON_FASHION_5__2[[#This Row],[reviewText]])</f>
        <v>140</v>
      </c>
      <c r="R1913" t="str">
        <f>IF(AMAZON_FASHION_5__2[[#This Row],[overall]]&gt;=4,"Positive",IF(AMAZON_FASHION_5__2[[#This Row],[overall]]&lt;=2,"Negative","Neutral"))</f>
        <v>Positive</v>
      </c>
      <c r="S19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14" spans="1:19" x14ac:dyDescent="0.25">
      <c r="A1914">
        <v>1</v>
      </c>
      <c r="B1914" t="b">
        <v>1</v>
      </c>
      <c r="C1914" s="1">
        <v>42625</v>
      </c>
      <c r="D1914">
        <f>YEAR(AMAZON_FASHION_5__2[[#This Row],[reviewDate]])</f>
        <v>2016</v>
      </c>
      <c r="E1914" s="1" t="str">
        <f>TEXT(AMAZON_FASHION_5__2[[#This Row],[reviewDate]], "mmmm")</f>
        <v>September</v>
      </c>
      <c r="F1914" t="s">
        <v>1273</v>
      </c>
      <c r="G1914" t="s">
        <v>1490</v>
      </c>
      <c r="H1914" t="s">
        <v>230</v>
      </c>
      <c r="I1914" t="s">
        <v>274</v>
      </c>
      <c r="J1914" t="s">
        <v>1274</v>
      </c>
      <c r="K1914" t="s">
        <v>1275</v>
      </c>
      <c r="L1914" t="s">
        <v>1276</v>
      </c>
      <c r="M1914">
        <v>1473638400</v>
      </c>
      <c r="N1914" t="s">
        <v>1628</v>
      </c>
      <c r="O1914" t="s">
        <v>1628</v>
      </c>
      <c r="P1914" t="s">
        <v>1628</v>
      </c>
      <c r="Q1914">
        <f>LEN(AMAZON_FASHION_5__2[[#This Row],[reviewText]])</f>
        <v>148</v>
      </c>
      <c r="R1914" t="str">
        <f>IF(AMAZON_FASHION_5__2[[#This Row],[overall]]&gt;=4,"Positive",IF(AMAZON_FASHION_5__2[[#This Row],[overall]]&lt;=2,"Negative","Neutral"))</f>
        <v>Negative</v>
      </c>
      <c r="S19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15" spans="1:19" x14ac:dyDescent="0.25">
      <c r="A1915">
        <v>1</v>
      </c>
      <c r="B1915" t="b">
        <v>1</v>
      </c>
      <c r="C1915" s="1">
        <v>42624</v>
      </c>
      <c r="D1915">
        <f>YEAR(AMAZON_FASHION_5__2[[#This Row],[reviewDate]])</f>
        <v>2016</v>
      </c>
      <c r="E1915" s="1" t="str">
        <f>TEXT(AMAZON_FASHION_5__2[[#This Row],[reviewDate]], "mmmm")</f>
        <v>September</v>
      </c>
      <c r="F1915" t="s">
        <v>1277</v>
      </c>
      <c r="G1915" t="s">
        <v>1490</v>
      </c>
      <c r="H1915" t="s">
        <v>235</v>
      </c>
      <c r="I1915" t="s">
        <v>198</v>
      </c>
      <c r="J1915" t="s">
        <v>1278</v>
      </c>
      <c r="K1915" t="s">
        <v>1279</v>
      </c>
      <c r="L1915" t="s">
        <v>1280</v>
      </c>
      <c r="M1915">
        <v>1473552000</v>
      </c>
      <c r="N1915" t="s">
        <v>1628</v>
      </c>
      <c r="O1915" t="s">
        <v>1628</v>
      </c>
      <c r="P1915">
        <v>14</v>
      </c>
      <c r="Q1915">
        <f>LEN(AMAZON_FASHION_5__2[[#This Row],[reviewText]])</f>
        <v>258</v>
      </c>
      <c r="R1915" t="str">
        <f>IF(AMAZON_FASHION_5__2[[#This Row],[overall]]&gt;=4,"Positive",IF(AMAZON_FASHION_5__2[[#This Row],[overall]]&lt;=2,"Negative","Neutral"))</f>
        <v>Negative</v>
      </c>
      <c r="S19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16" spans="1:19" x14ac:dyDescent="0.25">
      <c r="A1916">
        <v>5</v>
      </c>
      <c r="B1916" t="b">
        <v>1</v>
      </c>
      <c r="C1916" s="1">
        <v>42622</v>
      </c>
      <c r="D1916">
        <f>YEAR(AMAZON_FASHION_5__2[[#This Row],[reviewDate]])</f>
        <v>2016</v>
      </c>
      <c r="E1916" s="1" t="str">
        <f>TEXT(AMAZON_FASHION_5__2[[#This Row],[reviewDate]], "mmmm")</f>
        <v>September</v>
      </c>
      <c r="F1916" t="s">
        <v>1281</v>
      </c>
      <c r="G1916" t="s">
        <v>1490</v>
      </c>
      <c r="H1916" t="s">
        <v>230</v>
      </c>
      <c r="I1916" t="s">
        <v>198</v>
      </c>
      <c r="J1916" t="s">
        <v>1282</v>
      </c>
      <c r="K1916" t="s">
        <v>1283</v>
      </c>
      <c r="L1916" t="s">
        <v>17</v>
      </c>
      <c r="M1916">
        <v>1473379200</v>
      </c>
      <c r="N1916" t="s">
        <v>1628</v>
      </c>
      <c r="O1916" t="s">
        <v>1628</v>
      </c>
      <c r="P1916" t="s">
        <v>1628</v>
      </c>
      <c r="Q1916">
        <f>LEN(AMAZON_FASHION_5__2[[#This Row],[reviewText]])</f>
        <v>49</v>
      </c>
      <c r="R1916" t="str">
        <f>IF(AMAZON_FASHION_5__2[[#This Row],[overall]]&gt;=4,"Positive",IF(AMAZON_FASHION_5__2[[#This Row],[overall]]&lt;=2,"Negative","Neutral"))</f>
        <v>Positive</v>
      </c>
      <c r="S19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17" spans="1:19" x14ac:dyDescent="0.25">
      <c r="A1917">
        <v>4</v>
      </c>
      <c r="B1917" t="b">
        <v>1</v>
      </c>
      <c r="C1917" s="1">
        <v>42619</v>
      </c>
      <c r="D1917">
        <f>YEAR(AMAZON_FASHION_5__2[[#This Row],[reviewDate]])</f>
        <v>2016</v>
      </c>
      <c r="E1917" s="1" t="str">
        <f>TEXT(AMAZON_FASHION_5__2[[#This Row],[reviewDate]], "mmmm")</f>
        <v>September</v>
      </c>
      <c r="F1917" t="s">
        <v>1284</v>
      </c>
      <c r="G1917" t="s">
        <v>1490</v>
      </c>
      <c r="H1917" t="s">
        <v>210</v>
      </c>
      <c r="I1917" t="s">
        <v>198</v>
      </c>
      <c r="J1917" t="s">
        <v>1285</v>
      </c>
      <c r="K1917" t="s">
        <v>1286</v>
      </c>
      <c r="L1917" t="s">
        <v>1287</v>
      </c>
      <c r="M1917">
        <v>1473120000</v>
      </c>
      <c r="N1917" t="s">
        <v>1628</v>
      </c>
      <c r="O1917" t="s">
        <v>1628</v>
      </c>
      <c r="P1917">
        <v>2</v>
      </c>
      <c r="Q1917">
        <f>LEN(AMAZON_FASHION_5__2[[#This Row],[reviewText]])</f>
        <v>248</v>
      </c>
      <c r="R1917" t="str">
        <f>IF(AMAZON_FASHION_5__2[[#This Row],[overall]]&gt;=4,"Positive",IF(AMAZON_FASHION_5__2[[#This Row],[overall]]&lt;=2,"Negative","Neutral"))</f>
        <v>Positive</v>
      </c>
      <c r="S19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18" spans="1:19" x14ac:dyDescent="0.25">
      <c r="A1918">
        <v>4</v>
      </c>
      <c r="B1918" t="b">
        <v>1</v>
      </c>
      <c r="C1918" s="1">
        <v>42615</v>
      </c>
      <c r="D1918">
        <f>YEAR(AMAZON_FASHION_5__2[[#This Row],[reviewDate]])</f>
        <v>2016</v>
      </c>
      <c r="E1918" s="1" t="str">
        <f>TEXT(AMAZON_FASHION_5__2[[#This Row],[reviewDate]], "mmmm")</f>
        <v>September</v>
      </c>
      <c r="F1918" t="s">
        <v>1288</v>
      </c>
      <c r="G1918" t="s">
        <v>1490</v>
      </c>
      <c r="H1918" t="s">
        <v>235</v>
      </c>
      <c r="I1918" t="s">
        <v>493</v>
      </c>
      <c r="J1918" t="s">
        <v>63</v>
      </c>
      <c r="K1918" t="s">
        <v>1289</v>
      </c>
      <c r="L1918" t="s">
        <v>1290</v>
      </c>
      <c r="M1918">
        <v>1472774400</v>
      </c>
      <c r="N1918" t="s">
        <v>1628</v>
      </c>
      <c r="O1918" t="s">
        <v>1628</v>
      </c>
      <c r="P1918" t="s">
        <v>1628</v>
      </c>
      <c r="Q1918">
        <f>LEN(AMAZON_FASHION_5__2[[#This Row],[reviewText]])</f>
        <v>177</v>
      </c>
      <c r="R1918" t="str">
        <f>IF(AMAZON_FASHION_5__2[[#This Row],[overall]]&gt;=4,"Positive",IF(AMAZON_FASHION_5__2[[#This Row],[overall]]&lt;=2,"Negative","Neutral"))</f>
        <v>Positive</v>
      </c>
      <c r="S19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19" spans="1:19" x14ac:dyDescent="0.25">
      <c r="A1919">
        <v>5</v>
      </c>
      <c r="B1919" t="b">
        <v>1</v>
      </c>
      <c r="C1919" s="1">
        <v>42611</v>
      </c>
      <c r="D1919">
        <f>YEAR(AMAZON_FASHION_5__2[[#This Row],[reviewDate]])</f>
        <v>2016</v>
      </c>
      <c r="E1919" s="1" t="str">
        <f>TEXT(AMAZON_FASHION_5__2[[#This Row],[reviewDate]], "mmmm")</f>
        <v>August</v>
      </c>
      <c r="F1919" t="s">
        <v>1291</v>
      </c>
      <c r="G1919" t="s">
        <v>1490</v>
      </c>
      <c r="H1919" t="s">
        <v>205</v>
      </c>
      <c r="I1919" t="s">
        <v>198</v>
      </c>
      <c r="J1919" t="s">
        <v>63</v>
      </c>
      <c r="K1919" t="s">
        <v>1292</v>
      </c>
      <c r="L1919" t="s">
        <v>17</v>
      </c>
      <c r="M1919">
        <v>1472428800</v>
      </c>
      <c r="N1919" t="s">
        <v>1628</v>
      </c>
      <c r="O1919" t="s">
        <v>1628</v>
      </c>
      <c r="P1919" t="s">
        <v>1628</v>
      </c>
      <c r="Q1919">
        <f>LEN(AMAZON_FASHION_5__2[[#This Row],[reviewText]])</f>
        <v>13</v>
      </c>
      <c r="R1919" t="str">
        <f>IF(AMAZON_FASHION_5__2[[#This Row],[overall]]&gt;=4,"Positive",IF(AMAZON_FASHION_5__2[[#This Row],[overall]]&lt;=2,"Negative","Neutral"))</f>
        <v>Positive</v>
      </c>
      <c r="S19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20" spans="1:19" x14ac:dyDescent="0.25">
      <c r="A1920">
        <v>5</v>
      </c>
      <c r="B1920" t="b">
        <v>1</v>
      </c>
      <c r="C1920" s="1">
        <v>42609</v>
      </c>
      <c r="D1920">
        <f>YEAR(AMAZON_FASHION_5__2[[#This Row],[reviewDate]])</f>
        <v>2016</v>
      </c>
      <c r="E1920" s="1" t="str">
        <f>TEXT(AMAZON_FASHION_5__2[[#This Row],[reviewDate]], "mmmm")</f>
        <v>August</v>
      </c>
      <c r="F1920" t="s">
        <v>1293</v>
      </c>
      <c r="G1920" t="s">
        <v>1490</v>
      </c>
      <c r="H1920" t="s">
        <v>230</v>
      </c>
      <c r="I1920" t="s">
        <v>419</v>
      </c>
      <c r="J1920" t="s">
        <v>63</v>
      </c>
      <c r="K1920" t="s">
        <v>1294</v>
      </c>
      <c r="L1920" t="s">
        <v>17</v>
      </c>
      <c r="M1920">
        <v>1472256000</v>
      </c>
      <c r="N1920" t="s">
        <v>1628</v>
      </c>
      <c r="O1920" t="s">
        <v>1628</v>
      </c>
      <c r="P1920" t="s">
        <v>1628</v>
      </c>
      <c r="Q1920">
        <f>LEN(AMAZON_FASHION_5__2[[#This Row],[reviewText]])</f>
        <v>62</v>
      </c>
      <c r="R1920" t="str">
        <f>IF(AMAZON_FASHION_5__2[[#This Row],[overall]]&gt;=4,"Positive",IF(AMAZON_FASHION_5__2[[#This Row],[overall]]&lt;=2,"Negative","Neutral"))</f>
        <v>Positive</v>
      </c>
      <c r="S19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21" spans="1:19" x14ac:dyDescent="0.25">
      <c r="A1921">
        <v>5</v>
      </c>
      <c r="B1921" t="b">
        <v>1</v>
      </c>
      <c r="C1921" s="1">
        <v>42609</v>
      </c>
      <c r="D1921">
        <f>YEAR(AMAZON_FASHION_5__2[[#This Row],[reviewDate]])</f>
        <v>2016</v>
      </c>
      <c r="E1921" s="1" t="str">
        <f>TEXT(AMAZON_FASHION_5__2[[#This Row],[reviewDate]], "mmmm")</f>
        <v>August</v>
      </c>
      <c r="F1921" t="s">
        <v>1295</v>
      </c>
      <c r="G1921" t="s">
        <v>1490</v>
      </c>
      <c r="H1921" t="s">
        <v>477</v>
      </c>
      <c r="I1921" t="s">
        <v>198</v>
      </c>
      <c r="J1921" t="s">
        <v>63</v>
      </c>
      <c r="K1921" t="s">
        <v>1296</v>
      </c>
      <c r="L1921" t="s">
        <v>1297</v>
      </c>
      <c r="M1921">
        <v>1472256000</v>
      </c>
      <c r="N1921" t="s">
        <v>1628</v>
      </c>
      <c r="O1921" t="s">
        <v>1628</v>
      </c>
      <c r="P1921">
        <v>5</v>
      </c>
      <c r="Q1921">
        <f>LEN(AMAZON_FASHION_5__2[[#This Row],[reviewText]])</f>
        <v>112</v>
      </c>
      <c r="R1921" t="str">
        <f>IF(AMAZON_FASHION_5__2[[#This Row],[overall]]&gt;=4,"Positive",IF(AMAZON_FASHION_5__2[[#This Row],[overall]]&lt;=2,"Negative","Neutral"))</f>
        <v>Positive</v>
      </c>
      <c r="S19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22" spans="1:19" x14ac:dyDescent="0.25">
      <c r="A1922">
        <v>3</v>
      </c>
      <c r="B1922" t="b">
        <v>1</v>
      </c>
      <c r="C1922" s="1">
        <v>42608</v>
      </c>
      <c r="D1922">
        <f>YEAR(AMAZON_FASHION_5__2[[#This Row],[reviewDate]])</f>
        <v>2016</v>
      </c>
      <c r="E1922" s="1" t="str">
        <f>TEXT(AMAZON_FASHION_5__2[[#This Row],[reviewDate]], "mmmm")</f>
        <v>August</v>
      </c>
      <c r="F1922" t="s">
        <v>1298</v>
      </c>
      <c r="G1922" t="s">
        <v>1490</v>
      </c>
      <c r="H1922" t="s">
        <v>230</v>
      </c>
      <c r="I1922" t="s">
        <v>198</v>
      </c>
      <c r="J1922" t="s">
        <v>63</v>
      </c>
      <c r="K1922" t="s">
        <v>1299</v>
      </c>
      <c r="L1922" t="s">
        <v>1300</v>
      </c>
      <c r="M1922">
        <v>1472169600</v>
      </c>
      <c r="N1922" t="s">
        <v>1628</v>
      </c>
      <c r="O1922" t="s">
        <v>1628</v>
      </c>
      <c r="P1922">
        <v>2</v>
      </c>
      <c r="Q1922">
        <f>LEN(AMAZON_FASHION_5__2[[#This Row],[reviewText]])</f>
        <v>256</v>
      </c>
      <c r="R1922" t="str">
        <f>IF(AMAZON_FASHION_5__2[[#This Row],[overall]]&gt;=4,"Positive",IF(AMAZON_FASHION_5__2[[#This Row],[overall]]&lt;=2,"Negative","Neutral"))</f>
        <v>Neutral</v>
      </c>
      <c r="S19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23" spans="1:19" x14ac:dyDescent="0.25">
      <c r="A1923">
        <v>5</v>
      </c>
      <c r="B1923" t="b">
        <v>1</v>
      </c>
      <c r="C1923" s="1">
        <v>42605</v>
      </c>
      <c r="D1923">
        <f>YEAR(AMAZON_FASHION_5__2[[#This Row],[reviewDate]])</f>
        <v>2016</v>
      </c>
      <c r="E1923" s="1" t="str">
        <f>TEXT(AMAZON_FASHION_5__2[[#This Row],[reviewDate]], "mmmm")</f>
        <v>August</v>
      </c>
      <c r="F1923" t="s">
        <v>1301</v>
      </c>
      <c r="G1923" t="s">
        <v>1490</v>
      </c>
      <c r="H1923" t="s">
        <v>230</v>
      </c>
      <c r="I1923" t="s">
        <v>493</v>
      </c>
      <c r="J1923" t="s">
        <v>1302</v>
      </c>
      <c r="K1923" t="s">
        <v>1303</v>
      </c>
      <c r="L1923" t="s">
        <v>1304</v>
      </c>
      <c r="M1923">
        <v>1471910400</v>
      </c>
      <c r="N1923" t="s">
        <v>1628</v>
      </c>
      <c r="O1923" t="s">
        <v>1628</v>
      </c>
      <c r="P1923" t="s">
        <v>1628</v>
      </c>
      <c r="Q1923">
        <f>LEN(AMAZON_FASHION_5__2[[#This Row],[reviewText]])</f>
        <v>93</v>
      </c>
      <c r="R1923" t="str">
        <f>IF(AMAZON_FASHION_5__2[[#This Row],[overall]]&gt;=4,"Positive",IF(AMAZON_FASHION_5__2[[#This Row],[overall]]&lt;=2,"Negative","Neutral"))</f>
        <v>Positive</v>
      </c>
      <c r="S19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24" spans="1:19" x14ac:dyDescent="0.25">
      <c r="A1924">
        <v>5</v>
      </c>
      <c r="B1924" t="b">
        <v>1</v>
      </c>
      <c r="C1924" s="1">
        <v>42602</v>
      </c>
      <c r="D1924">
        <f>YEAR(AMAZON_FASHION_5__2[[#This Row],[reviewDate]])</f>
        <v>2016</v>
      </c>
      <c r="E1924" s="1" t="str">
        <f>TEXT(AMAZON_FASHION_5__2[[#This Row],[reviewDate]], "mmmm")</f>
        <v>August</v>
      </c>
      <c r="F1924" t="s">
        <v>1305</v>
      </c>
      <c r="G1924" t="s">
        <v>1490</v>
      </c>
      <c r="H1924" t="s">
        <v>205</v>
      </c>
      <c r="I1924" t="s">
        <v>198</v>
      </c>
      <c r="J1924" t="s">
        <v>1306</v>
      </c>
      <c r="K1924" t="s">
        <v>1307</v>
      </c>
      <c r="L1924" t="s">
        <v>1308</v>
      </c>
      <c r="M1924">
        <v>1471651200</v>
      </c>
      <c r="N1924" t="s">
        <v>1628</v>
      </c>
      <c r="O1924" t="s">
        <v>1628</v>
      </c>
      <c r="P1924" t="s">
        <v>1628</v>
      </c>
      <c r="Q1924">
        <f>LEN(AMAZON_FASHION_5__2[[#This Row],[reviewText]])</f>
        <v>1225</v>
      </c>
      <c r="R1924" t="str">
        <f>IF(AMAZON_FASHION_5__2[[#This Row],[overall]]&gt;=4,"Positive",IF(AMAZON_FASHION_5__2[[#This Row],[overall]]&lt;=2,"Negative","Neutral"))</f>
        <v>Positive</v>
      </c>
      <c r="S19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25" spans="1:19" x14ac:dyDescent="0.25">
      <c r="A1925">
        <v>5</v>
      </c>
      <c r="B1925" t="b">
        <v>1</v>
      </c>
      <c r="C1925" s="1">
        <v>42597</v>
      </c>
      <c r="D1925">
        <f>YEAR(AMAZON_FASHION_5__2[[#This Row],[reviewDate]])</f>
        <v>2016</v>
      </c>
      <c r="E1925" s="1" t="str">
        <f>TEXT(AMAZON_FASHION_5__2[[#This Row],[reviewDate]], "mmmm")</f>
        <v>August</v>
      </c>
      <c r="F1925" t="s">
        <v>1309</v>
      </c>
      <c r="G1925" t="s">
        <v>1490</v>
      </c>
      <c r="H1925" t="s">
        <v>320</v>
      </c>
      <c r="I1925" t="s">
        <v>198</v>
      </c>
      <c r="J1925" t="s">
        <v>1310</v>
      </c>
      <c r="K1925" t="s">
        <v>1311</v>
      </c>
      <c r="L1925" t="s">
        <v>1312</v>
      </c>
      <c r="M1925">
        <v>1471219200</v>
      </c>
      <c r="N1925" t="s">
        <v>1628</v>
      </c>
      <c r="O1925" t="s">
        <v>1628</v>
      </c>
      <c r="P1925" t="s">
        <v>1628</v>
      </c>
      <c r="Q1925">
        <f>LEN(AMAZON_FASHION_5__2[[#This Row],[reviewText]])</f>
        <v>246</v>
      </c>
      <c r="R1925" t="str">
        <f>IF(AMAZON_FASHION_5__2[[#This Row],[overall]]&gt;=4,"Positive",IF(AMAZON_FASHION_5__2[[#This Row],[overall]]&lt;=2,"Negative","Neutral"))</f>
        <v>Positive</v>
      </c>
      <c r="S19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26" spans="1:19" x14ac:dyDescent="0.25">
      <c r="A1926">
        <v>5</v>
      </c>
      <c r="B1926" t="b">
        <v>1</v>
      </c>
      <c r="C1926" s="1">
        <v>42597</v>
      </c>
      <c r="D1926">
        <f>YEAR(AMAZON_FASHION_5__2[[#This Row],[reviewDate]])</f>
        <v>2016</v>
      </c>
      <c r="E1926" s="1" t="str">
        <f>TEXT(AMAZON_FASHION_5__2[[#This Row],[reviewDate]], "mmmm")</f>
        <v>August</v>
      </c>
      <c r="F1926" t="s">
        <v>1313</v>
      </c>
      <c r="G1926" t="s">
        <v>1490</v>
      </c>
      <c r="H1926" t="s">
        <v>261</v>
      </c>
      <c r="I1926" t="s">
        <v>1455</v>
      </c>
      <c r="J1926" t="s">
        <v>1314</v>
      </c>
      <c r="K1926" t="s">
        <v>1315</v>
      </c>
      <c r="L1926" t="s">
        <v>17</v>
      </c>
      <c r="M1926">
        <v>1471219200</v>
      </c>
      <c r="N1926" t="s">
        <v>1628</v>
      </c>
      <c r="O1926" t="s">
        <v>1628</v>
      </c>
      <c r="P1926" t="s">
        <v>1628</v>
      </c>
      <c r="Q1926">
        <f>LEN(AMAZON_FASHION_5__2[[#This Row],[reviewText]])</f>
        <v>40</v>
      </c>
      <c r="R1926" t="str">
        <f>IF(AMAZON_FASHION_5__2[[#This Row],[overall]]&gt;=4,"Positive",IF(AMAZON_FASHION_5__2[[#This Row],[overall]]&lt;=2,"Negative","Neutral"))</f>
        <v>Positive</v>
      </c>
      <c r="S19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27" spans="1:19" x14ac:dyDescent="0.25">
      <c r="A1927">
        <v>5</v>
      </c>
      <c r="B1927" t="b">
        <v>1</v>
      </c>
      <c r="C1927" s="1">
        <v>42596</v>
      </c>
      <c r="D1927">
        <f>YEAR(AMAZON_FASHION_5__2[[#This Row],[reviewDate]])</f>
        <v>2016</v>
      </c>
      <c r="E1927" s="1" t="str">
        <f>TEXT(AMAZON_FASHION_5__2[[#This Row],[reviewDate]], "mmmm")</f>
        <v>August</v>
      </c>
      <c r="F1927" t="s">
        <v>1316</v>
      </c>
      <c r="G1927" t="s">
        <v>1490</v>
      </c>
      <c r="H1927" t="s">
        <v>235</v>
      </c>
      <c r="I1927" t="s">
        <v>849</v>
      </c>
      <c r="J1927" t="s">
        <v>1317</v>
      </c>
      <c r="K1927" t="s">
        <v>1318</v>
      </c>
      <c r="L1927" t="s">
        <v>1319</v>
      </c>
      <c r="M1927">
        <v>1471132800</v>
      </c>
      <c r="N1927" t="s">
        <v>1628</v>
      </c>
      <c r="O1927" t="s">
        <v>1628</v>
      </c>
      <c r="P1927" t="s">
        <v>1628</v>
      </c>
      <c r="Q1927">
        <f>LEN(AMAZON_FASHION_5__2[[#This Row],[reviewText]])</f>
        <v>224</v>
      </c>
      <c r="R1927" t="str">
        <f>IF(AMAZON_FASHION_5__2[[#This Row],[overall]]&gt;=4,"Positive",IF(AMAZON_FASHION_5__2[[#This Row],[overall]]&lt;=2,"Negative","Neutral"))</f>
        <v>Positive</v>
      </c>
      <c r="S19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28" spans="1:19" x14ac:dyDescent="0.25">
      <c r="A1928">
        <v>5</v>
      </c>
      <c r="B1928" t="b">
        <v>1</v>
      </c>
      <c r="C1928" s="1">
        <v>42590</v>
      </c>
      <c r="D1928">
        <f>YEAR(AMAZON_FASHION_5__2[[#This Row],[reviewDate]])</f>
        <v>2016</v>
      </c>
      <c r="E1928" s="1" t="str">
        <f>TEXT(AMAZON_FASHION_5__2[[#This Row],[reviewDate]], "mmmm")</f>
        <v>August</v>
      </c>
      <c r="F1928" t="s">
        <v>1320</v>
      </c>
      <c r="G1928" t="s">
        <v>1490</v>
      </c>
      <c r="H1928" t="s">
        <v>235</v>
      </c>
      <c r="I1928" t="s">
        <v>198</v>
      </c>
      <c r="J1928" t="s">
        <v>1321</v>
      </c>
      <c r="K1928" t="s">
        <v>1322</v>
      </c>
      <c r="L1928" t="s">
        <v>1323</v>
      </c>
      <c r="M1928">
        <v>1470614400</v>
      </c>
      <c r="N1928" t="s">
        <v>1628</v>
      </c>
      <c r="O1928" t="s">
        <v>1628</v>
      </c>
      <c r="P1928" t="s">
        <v>1628</v>
      </c>
      <c r="Q1928">
        <f>LEN(AMAZON_FASHION_5__2[[#This Row],[reviewText]])</f>
        <v>105</v>
      </c>
      <c r="R1928" t="str">
        <f>IF(AMAZON_FASHION_5__2[[#This Row],[overall]]&gt;=4,"Positive",IF(AMAZON_FASHION_5__2[[#This Row],[overall]]&lt;=2,"Negative","Neutral"))</f>
        <v>Positive</v>
      </c>
      <c r="S19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29" spans="1:19" x14ac:dyDescent="0.25">
      <c r="A1929">
        <v>3</v>
      </c>
      <c r="B1929" t="b">
        <v>1</v>
      </c>
      <c r="C1929" s="1">
        <v>42587</v>
      </c>
      <c r="D1929">
        <f>YEAR(AMAZON_FASHION_5__2[[#This Row],[reviewDate]])</f>
        <v>2016</v>
      </c>
      <c r="E1929" s="1" t="str">
        <f>TEXT(AMAZON_FASHION_5__2[[#This Row],[reviewDate]], "mmmm")</f>
        <v>August</v>
      </c>
      <c r="F1929" t="s">
        <v>1324</v>
      </c>
      <c r="G1929" t="s">
        <v>1490</v>
      </c>
      <c r="H1929" t="s">
        <v>205</v>
      </c>
      <c r="I1929" t="s">
        <v>198</v>
      </c>
      <c r="J1929" t="s">
        <v>1325</v>
      </c>
      <c r="K1929" t="s">
        <v>1326</v>
      </c>
      <c r="L1929" t="s">
        <v>1327</v>
      </c>
      <c r="M1929">
        <v>1470355200</v>
      </c>
      <c r="N1929" t="s">
        <v>1628</v>
      </c>
      <c r="O1929" t="s">
        <v>1628</v>
      </c>
      <c r="P1929">
        <v>2</v>
      </c>
      <c r="Q1929">
        <f>LEN(AMAZON_FASHION_5__2[[#This Row],[reviewText]])</f>
        <v>772</v>
      </c>
      <c r="R1929" t="str">
        <f>IF(AMAZON_FASHION_5__2[[#This Row],[overall]]&gt;=4,"Positive",IF(AMAZON_FASHION_5__2[[#This Row],[overall]]&lt;=2,"Negative","Neutral"))</f>
        <v>Neutral</v>
      </c>
      <c r="S19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30" spans="1:19" x14ac:dyDescent="0.25">
      <c r="A1930">
        <v>5</v>
      </c>
      <c r="B1930" t="b">
        <v>1</v>
      </c>
      <c r="C1930" s="1">
        <v>42578</v>
      </c>
      <c r="D1930">
        <f>YEAR(AMAZON_FASHION_5__2[[#This Row],[reviewDate]])</f>
        <v>2016</v>
      </c>
      <c r="E1930" s="1" t="str">
        <f>TEXT(AMAZON_FASHION_5__2[[#This Row],[reviewDate]], "mmmm")</f>
        <v>July</v>
      </c>
      <c r="F1930" t="s">
        <v>1328</v>
      </c>
      <c r="G1930" t="s">
        <v>1490</v>
      </c>
      <c r="H1930" t="s">
        <v>677</v>
      </c>
      <c r="I1930" t="s">
        <v>198</v>
      </c>
      <c r="J1930" t="s">
        <v>1329</v>
      </c>
      <c r="K1930" t="s">
        <v>1330</v>
      </c>
      <c r="L1930" t="s">
        <v>1331</v>
      </c>
      <c r="M1930">
        <v>1469577600</v>
      </c>
      <c r="N1930" t="s">
        <v>1628</v>
      </c>
      <c r="O1930" t="s">
        <v>1628</v>
      </c>
      <c r="P1930" t="s">
        <v>1628</v>
      </c>
      <c r="Q1930">
        <f>LEN(AMAZON_FASHION_5__2[[#This Row],[reviewText]])</f>
        <v>37</v>
      </c>
      <c r="R1930" t="str">
        <f>IF(AMAZON_FASHION_5__2[[#This Row],[overall]]&gt;=4,"Positive",IF(AMAZON_FASHION_5__2[[#This Row],[overall]]&lt;=2,"Negative","Neutral"))</f>
        <v>Positive</v>
      </c>
      <c r="S19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31" spans="1:19" x14ac:dyDescent="0.25">
      <c r="A1931">
        <v>5</v>
      </c>
      <c r="B1931" t="b">
        <v>0</v>
      </c>
      <c r="C1931" s="1">
        <v>42573</v>
      </c>
      <c r="D1931">
        <f>YEAR(AMAZON_FASHION_5__2[[#This Row],[reviewDate]])</f>
        <v>2016</v>
      </c>
      <c r="E1931" s="1" t="str">
        <f>TEXT(AMAZON_FASHION_5__2[[#This Row],[reviewDate]], "mmmm")</f>
        <v>July</v>
      </c>
      <c r="F1931" t="s">
        <v>1332</v>
      </c>
      <c r="G1931" t="s">
        <v>1490</v>
      </c>
      <c r="H1931" t="s">
        <v>205</v>
      </c>
      <c r="I1931" t="s">
        <v>344</v>
      </c>
      <c r="J1931" t="s">
        <v>1333</v>
      </c>
      <c r="K1931" t="s">
        <v>1334</v>
      </c>
      <c r="L1931" t="s">
        <v>543</v>
      </c>
      <c r="M1931">
        <v>1469145600</v>
      </c>
      <c r="N1931" t="s">
        <v>1628</v>
      </c>
      <c r="O1931" t="s">
        <v>1628</v>
      </c>
      <c r="P1931" t="s">
        <v>1628</v>
      </c>
      <c r="Q1931">
        <f>LEN(AMAZON_FASHION_5__2[[#This Row],[reviewText]])</f>
        <v>427</v>
      </c>
      <c r="R1931" t="str">
        <f>IF(AMAZON_FASHION_5__2[[#This Row],[overall]]&gt;=4,"Positive",IF(AMAZON_FASHION_5__2[[#This Row],[overall]]&lt;=2,"Negative","Neutral"))</f>
        <v>Positive</v>
      </c>
      <c r="S19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32" spans="1:19" x14ac:dyDescent="0.25">
      <c r="A1932">
        <v>3</v>
      </c>
      <c r="B1932" t="b">
        <v>1</v>
      </c>
      <c r="C1932" s="1">
        <v>42572</v>
      </c>
      <c r="D1932">
        <f>YEAR(AMAZON_FASHION_5__2[[#This Row],[reviewDate]])</f>
        <v>2016</v>
      </c>
      <c r="E1932" s="1" t="str">
        <f>TEXT(AMAZON_FASHION_5__2[[#This Row],[reviewDate]], "mmmm")</f>
        <v>July</v>
      </c>
      <c r="F1932" t="s">
        <v>1335</v>
      </c>
      <c r="G1932" t="s">
        <v>1490</v>
      </c>
      <c r="H1932" t="s">
        <v>477</v>
      </c>
      <c r="I1932" t="s">
        <v>198</v>
      </c>
      <c r="J1932" t="s">
        <v>1336</v>
      </c>
      <c r="K1932" t="s">
        <v>1337</v>
      </c>
      <c r="L1932" t="s">
        <v>1338</v>
      </c>
      <c r="M1932">
        <v>1469059200</v>
      </c>
      <c r="N1932" t="s">
        <v>1628</v>
      </c>
      <c r="O1932" t="s">
        <v>1628</v>
      </c>
      <c r="P1932" t="s">
        <v>1628</v>
      </c>
      <c r="Q1932">
        <f>LEN(AMAZON_FASHION_5__2[[#This Row],[reviewText]])</f>
        <v>50</v>
      </c>
      <c r="R1932" t="str">
        <f>IF(AMAZON_FASHION_5__2[[#This Row],[overall]]&gt;=4,"Positive",IF(AMAZON_FASHION_5__2[[#This Row],[overall]]&lt;=2,"Negative","Neutral"))</f>
        <v>Neutral</v>
      </c>
      <c r="S19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33" spans="1:19" x14ac:dyDescent="0.25">
      <c r="A1933">
        <v>5</v>
      </c>
      <c r="B1933" t="b">
        <v>1</v>
      </c>
      <c r="C1933" s="1">
        <v>42570</v>
      </c>
      <c r="D1933">
        <f>YEAR(AMAZON_FASHION_5__2[[#This Row],[reviewDate]])</f>
        <v>2016</v>
      </c>
      <c r="E1933" s="1" t="str">
        <f>TEXT(AMAZON_FASHION_5__2[[#This Row],[reviewDate]], "mmmm")</f>
        <v>July</v>
      </c>
      <c r="F1933" t="s">
        <v>1339</v>
      </c>
      <c r="G1933" t="s">
        <v>1490</v>
      </c>
      <c r="H1933" t="s">
        <v>205</v>
      </c>
      <c r="I1933" t="s">
        <v>198</v>
      </c>
      <c r="J1933" t="s">
        <v>1340</v>
      </c>
      <c r="K1933" t="s">
        <v>1341</v>
      </c>
      <c r="L1933" t="s">
        <v>17</v>
      </c>
      <c r="M1933">
        <v>1468886400</v>
      </c>
      <c r="N1933" t="s">
        <v>1628</v>
      </c>
      <c r="O1933" t="s">
        <v>1628</v>
      </c>
      <c r="P1933" t="s">
        <v>1628</v>
      </c>
      <c r="Q1933">
        <f>LEN(AMAZON_FASHION_5__2[[#This Row],[reviewText]])</f>
        <v>20</v>
      </c>
      <c r="R1933" t="str">
        <f>IF(AMAZON_FASHION_5__2[[#This Row],[overall]]&gt;=4,"Positive",IF(AMAZON_FASHION_5__2[[#This Row],[overall]]&lt;=2,"Negative","Neutral"))</f>
        <v>Positive</v>
      </c>
      <c r="S19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34" spans="1:19" x14ac:dyDescent="0.25">
      <c r="A1934">
        <v>5</v>
      </c>
      <c r="B1934" t="b">
        <v>1</v>
      </c>
      <c r="C1934" s="1">
        <v>42569</v>
      </c>
      <c r="D1934">
        <f>YEAR(AMAZON_FASHION_5__2[[#This Row],[reviewDate]])</f>
        <v>2016</v>
      </c>
      <c r="E1934" s="1" t="str">
        <f>TEXT(AMAZON_FASHION_5__2[[#This Row],[reviewDate]], "mmmm")</f>
        <v>July</v>
      </c>
      <c r="F1934" t="s">
        <v>1342</v>
      </c>
      <c r="G1934" t="s">
        <v>1490</v>
      </c>
      <c r="H1934" t="s">
        <v>230</v>
      </c>
      <c r="I1934" t="s">
        <v>211</v>
      </c>
      <c r="J1934" t="s">
        <v>1343</v>
      </c>
      <c r="K1934" t="s">
        <v>1344</v>
      </c>
      <c r="L1934" t="s">
        <v>1345</v>
      </c>
      <c r="M1934">
        <v>1468800000</v>
      </c>
      <c r="N1934" t="s">
        <v>1628</v>
      </c>
      <c r="O1934" t="s">
        <v>1628</v>
      </c>
      <c r="P1934" t="s">
        <v>1628</v>
      </c>
      <c r="Q1934">
        <f>LEN(AMAZON_FASHION_5__2[[#This Row],[reviewText]])</f>
        <v>306</v>
      </c>
      <c r="R1934" t="str">
        <f>IF(AMAZON_FASHION_5__2[[#This Row],[overall]]&gt;=4,"Positive",IF(AMAZON_FASHION_5__2[[#This Row],[overall]]&lt;=2,"Negative","Neutral"))</f>
        <v>Positive</v>
      </c>
      <c r="S19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35" spans="1:19" x14ac:dyDescent="0.25">
      <c r="A1935">
        <v>5</v>
      </c>
      <c r="B1935" t="b">
        <v>1</v>
      </c>
      <c r="C1935" s="1">
        <v>42564</v>
      </c>
      <c r="D1935">
        <f>YEAR(AMAZON_FASHION_5__2[[#This Row],[reviewDate]])</f>
        <v>2016</v>
      </c>
      <c r="E1935" s="1" t="str">
        <f>TEXT(AMAZON_FASHION_5__2[[#This Row],[reviewDate]], "mmmm")</f>
        <v>July</v>
      </c>
      <c r="F1935" t="s">
        <v>1346</v>
      </c>
      <c r="G1935" t="s">
        <v>1490</v>
      </c>
      <c r="H1935" t="s">
        <v>210</v>
      </c>
      <c r="I1935" t="s">
        <v>198</v>
      </c>
      <c r="J1935" t="s">
        <v>1347</v>
      </c>
      <c r="K1935" t="s">
        <v>1348</v>
      </c>
      <c r="L1935" t="s">
        <v>1349</v>
      </c>
      <c r="M1935">
        <v>1468368000</v>
      </c>
      <c r="N1935" t="s">
        <v>1628</v>
      </c>
      <c r="O1935" t="s">
        <v>1628</v>
      </c>
      <c r="P1935" t="s">
        <v>1628</v>
      </c>
      <c r="Q1935">
        <f>LEN(AMAZON_FASHION_5__2[[#This Row],[reviewText]])</f>
        <v>188</v>
      </c>
      <c r="R1935" t="str">
        <f>IF(AMAZON_FASHION_5__2[[#This Row],[overall]]&gt;=4,"Positive",IF(AMAZON_FASHION_5__2[[#This Row],[overall]]&lt;=2,"Negative","Neutral"))</f>
        <v>Positive</v>
      </c>
      <c r="S19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36" spans="1:19" x14ac:dyDescent="0.25">
      <c r="A1936">
        <v>5</v>
      </c>
      <c r="B1936" t="b">
        <v>1</v>
      </c>
      <c r="C1936" s="1">
        <v>42552</v>
      </c>
      <c r="D1936">
        <f>YEAR(AMAZON_FASHION_5__2[[#This Row],[reviewDate]])</f>
        <v>2016</v>
      </c>
      <c r="E1936" s="1" t="str">
        <f>TEXT(AMAZON_FASHION_5__2[[#This Row],[reviewDate]], "mmmm")</f>
        <v>July</v>
      </c>
      <c r="F1936" t="s">
        <v>1350</v>
      </c>
      <c r="G1936" t="s">
        <v>1490</v>
      </c>
      <c r="H1936" t="s">
        <v>320</v>
      </c>
      <c r="I1936" t="s">
        <v>198</v>
      </c>
      <c r="J1936" t="s">
        <v>63</v>
      </c>
      <c r="K1936" t="s">
        <v>1351</v>
      </c>
      <c r="L1936" t="s">
        <v>1352</v>
      </c>
      <c r="M1936">
        <v>1467331200</v>
      </c>
      <c r="N1936" t="s">
        <v>1628</v>
      </c>
      <c r="O1936" t="s">
        <v>1628</v>
      </c>
      <c r="P1936" t="s">
        <v>1628</v>
      </c>
      <c r="Q1936">
        <f>LEN(AMAZON_FASHION_5__2[[#This Row],[reviewText]])</f>
        <v>62</v>
      </c>
      <c r="R1936" t="str">
        <f>IF(AMAZON_FASHION_5__2[[#This Row],[overall]]&gt;=4,"Positive",IF(AMAZON_FASHION_5__2[[#This Row],[overall]]&lt;=2,"Negative","Neutral"))</f>
        <v>Positive</v>
      </c>
      <c r="S19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37" spans="1:19" x14ac:dyDescent="0.25">
      <c r="A1937">
        <v>5</v>
      </c>
      <c r="B1937" t="b">
        <v>1</v>
      </c>
      <c r="C1937" s="1">
        <v>42552</v>
      </c>
      <c r="D1937">
        <f>YEAR(AMAZON_FASHION_5__2[[#This Row],[reviewDate]])</f>
        <v>2016</v>
      </c>
      <c r="E1937" s="1" t="str">
        <f>TEXT(AMAZON_FASHION_5__2[[#This Row],[reviewDate]], "mmmm")</f>
        <v>July</v>
      </c>
      <c r="F1937" t="s">
        <v>1353</v>
      </c>
      <c r="G1937" t="s">
        <v>1490</v>
      </c>
      <c r="H1937" t="s">
        <v>205</v>
      </c>
      <c r="I1937" t="s">
        <v>493</v>
      </c>
      <c r="J1937" t="s">
        <v>1354</v>
      </c>
      <c r="K1937" t="s">
        <v>1355</v>
      </c>
      <c r="L1937" t="s">
        <v>1356</v>
      </c>
      <c r="M1937">
        <v>1467331200</v>
      </c>
      <c r="N1937" t="s">
        <v>1628</v>
      </c>
      <c r="O1937" t="s">
        <v>1628</v>
      </c>
      <c r="P1937">
        <v>5</v>
      </c>
      <c r="Q1937">
        <f>LEN(AMAZON_FASHION_5__2[[#This Row],[reviewText]])</f>
        <v>378</v>
      </c>
      <c r="R1937" t="str">
        <f>IF(AMAZON_FASHION_5__2[[#This Row],[overall]]&gt;=4,"Positive",IF(AMAZON_FASHION_5__2[[#This Row],[overall]]&lt;=2,"Negative","Neutral"))</f>
        <v>Positive</v>
      </c>
      <c r="S19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38" spans="1:19" x14ac:dyDescent="0.25">
      <c r="A1938">
        <v>5</v>
      </c>
      <c r="B1938" t="b">
        <v>1</v>
      </c>
      <c r="C1938" s="1">
        <v>42549</v>
      </c>
      <c r="D1938">
        <f>YEAR(AMAZON_FASHION_5__2[[#This Row],[reviewDate]])</f>
        <v>2016</v>
      </c>
      <c r="E1938" s="1" t="str">
        <f>TEXT(AMAZON_FASHION_5__2[[#This Row],[reviewDate]], "mmmm")</f>
        <v>June</v>
      </c>
      <c r="F1938" t="s">
        <v>1357</v>
      </c>
      <c r="G1938" t="s">
        <v>1490</v>
      </c>
      <c r="H1938" t="s">
        <v>201</v>
      </c>
      <c r="I1938" t="s">
        <v>198</v>
      </c>
      <c r="J1938" t="s">
        <v>1358</v>
      </c>
      <c r="K1938" t="s">
        <v>1359</v>
      </c>
      <c r="L1938" t="s">
        <v>1360</v>
      </c>
      <c r="M1938">
        <v>1467072000</v>
      </c>
      <c r="N1938" t="s">
        <v>1628</v>
      </c>
      <c r="O1938" t="s">
        <v>1628</v>
      </c>
      <c r="P1938">
        <v>7</v>
      </c>
      <c r="Q1938">
        <f>LEN(AMAZON_FASHION_5__2[[#This Row],[reviewText]])</f>
        <v>288</v>
      </c>
      <c r="R1938" t="str">
        <f>IF(AMAZON_FASHION_5__2[[#This Row],[overall]]&gt;=4,"Positive",IF(AMAZON_FASHION_5__2[[#This Row],[overall]]&lt;=2,"Negative","Neutral"))</f>
        <v>Positive</v>
      </c>
      <c r="S19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39" spans="1:19" x14ac:dyDescent="0.25">
      <c r="A1939">
        <v>5</v>
      </c>
      <c r="B1939" t="b">
        <v>1</v>
      </c>
      <c r="C1939" s="1">
        <v>42546</v>
      </c>
      <c r="D1939">
        <f>YEAR(AMAZON_FASHION_5__2[[#This Row],[reviewDate]])</f>
        <v>2016</v>
      </c>
      <c r="E1939" s="1" t="str">
        <f>TEXT(AMAZON_FASHION_5__2[[#This Row],[reviewDate]], "mmmm")</f>
        <v>June</v>
      </c>
      <c r="F1939" t="s">
        <v>1361</v>
      </c>
      <c r="G1939" t="s">
        <v>1490</v>
      </c>
      <c r="H1939" t="s">
        <v>205</v>
      </c>
      <c r="I1939" t="s">
        <v>849</v>
      </c>
      <c r="J1939" t="s">
        <v>1362</v>
      </c>
      <c r="K1939" t="s">
        <v>1363</v>
      </c>
      <c r="L1939" t="s">
        <v>17</v>
      </c>
      <c r="M1939">
        <v>1466812800</v>
      </c>
      <c r="N1939" t="s">
        <v>1628</v>
      </c>
      <c r="O1939" t="s">
        <v>1628</v>
      </c>
      <c r="P1939" t="s">
        <v>1628</v>
      </c>
      <c r="Q1939">
        <f>LEN(AMAZON_FASHION_5__2[[#This Row],[reviewText]])</f>
        <v>60</v>
      </c>
      <c r="R1939" t="str">
        <f>IF(AMAZON_FASHION_5__2[[#This Row],[overall]]&gt;=4,"Positive",IF(AMAZON_FASHION_5__2[[#This Row],[overall]]&lt;=2,"Negative","Neutral"))</f>
        <v>Positive</v>
      </c>
      <c r="S19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40" spans="1:19" x14ac:dyDescent="0.25">
      <c r="A1940">
        <v>3</v>
      </c>
      <c r="B1940" t="b">
        <v>1</v>
      </c>
      <c r="C1940" s="1">
        <v>42542</v>
      </c>
      <c r="D1940">
        <f>YEAR(AMAZON_FASHION_5__2[[#This Row],[reviewDate]])</f>
        <v>2016</v>
      </c>
      <c r="E1940" s="1" t="str">
        <f>TEXT(AMAZON_FASHION_5__2[[#This Row],[reviewDate]], "mmmm")</f>
        <v>June</v>
      </c>
      <c r="F1940" t="s">
        <v>1364</v>
      </c>
      <c r="G1940" t="s">
        <v>1490</v>
      </c>
      <c r="H1940" t="s">
        <v>477</v>
      </c>
      <c r="I1940" t="s">
        <v>211</v>
      </c>
      <c r="J1940" t="s">
        <v>63</v>
      </c>
      <c r="K1940" t="s">
        <v>1365</v>
      </c>
      <c r="L1940" t="s">
        <v>1366</v>
      </c>
      <c r="M1940">
        <v>1466467200</v>
      </c>
      <c r="N1940" t="s">
        <v>1628</v>
      </c>
      <c r="O1940" t="s">
        <v>1628</v>
      </c>
      <c r="P1940">
        <v>2</v>
      </c>
      <c r="Q1940">
        <f>LEN(AMAZON_FASHION_5__2[[#This Row],[reviewText]])</f>
        <v>236</v>
      </c>
      <c r="R1940" t="str">
        <f>IF(AMAZON_FASHION_5__2[[#This Row],[overall]]&gt;=4,"Positive",IF(AMAZON_FASHION_5__2[[#This Row],[overall]]&lt;=2,"Negative","Neutral"))</f>
        <v>Neutral</v>
      </c>
      <c r="S19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41" spans="1:19" x14ac:dyDescent="0.25">
      <c r="A1941">
        <v>5</v>
      </c>
      <c r="B1941" t="b">
        <v>1</v>
      </c>
      <c r="C1941" s="1">
        <v>42540</v>
      </c>
      <c r="D1941">
        <f>YEAR(AMAZON_FASHION_5__2[[#This Row],[reviewDate]])</f>
        <v>2016</v>
      </c>
      <c r="E1941" s="1" t="str">
        <f>TEXT(AMAZON_FASHION_5__2[[#This Row],[reviewDate]], "mmmm")</f>
        <v>June</v>
      </c>
      <c r="F1941" t="s">
        <v>1367</v>
      </c>
      <c r="G1941" t="s">
        <v>1490</v>
      </c>
      <c r="H1941" t="s">
        <v>230</v>
      </c>
      <c r="I1941" t="s">
        <v>198</v>
      </c>
      <c r="J1941" t="s">
        <v>1368</v>
      </c>
      <c r="K1941" t="s">
        <v>1369</v>
      </c>
      <c r="L1941" t="s">
        <v>480</v>
      </c>
      <c r="M1941">
        <v>1466294400</v>
      </c>
      <c r="N1941" t="s">
        <v>1628</v>
      </c>
      <c r="O1941" t="s">
        <v>1628</v>
      </c>
      <c r="P1941">
        <v>3</v>
      </c>
      <c r="Q1941">
        <f>LEN(AMAZON_FASHION_5__2[[#This Row],[reviewText]])</f>
        <v>308</v>
      </c>
      <c r="R1941" t="str">
        <f>IF(AMAZON_FASHION_5__2[[#This Row],[overall]]&gt;=4,"Positive",IF(AMAZON_FASHION_5__2[[#This Row],[overall]]&lt;=2,"Negative","Neutral"))</f>
        <v>Positive</v>
      </c>
      <c r="S19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42" spans="1:19" x14ac:dyDescent="0.25">
      <c r="A1942">
        <v>5</v>
      </c>
      <c r="B1942" t="b">
        <v>0</v>
      </c>
      <c r="C1942" s="1">
        <v>42537</v>
      </c>
      <c r="D1942">
        <f>YEAR(AMAZON_FASHION_5__2[[#This Row],[reviewDate]])</f>
        <v>2016</v>
      </c>
      <c r="E1942" s="1" t="str">
        <f>TEXT(AMAZON_FASHION_5__2[[#This Row],[reviewDate]], "mmmm")</f>
        <v>June</v>
      </c>
      <c r="F1942" t="s">
        <v>1370</v>
      </c>
      <c r="G1942" t="s">
        <v>1490</v>
      </c>
      <c r="H1942" t="s">
        <v>230</v>
      </c>
      <c r="I1942" t="s">
        <v>236</v>
      </c>
      <c r="J1942" t="s">
        <v>63</v>
      </c>
      <c r="K1942" t="s">
        <v>1371</v>
      </c>
      <c r="L1942" t="s">
        <v>1372</v>
      </c>
      <c r="M1942">
        <v>1466035200</v>
      </c>
      <c r="N1942" t="s">
        <v>1628</v>
      </c>
      <c r="O1942" t="s">
        <v>1628</v>
      </c>
      <c r="P1942">
        <v>3</v>
      </c>
      <c r="Q1942">
        <f>LEN(AMAZON_FASHION_5__2[[#This Row],[reviewText]])</f>
        <v>370</v>
      </c>
      <c r="R1942" t="str">
        <f>IF(AMAZON_FASHION_5__2[[#This Row],[overall]]&gt;=4,"Positive",IF(AMAZON_FASHION_5__2[[#This Row],[overall]]&lt;=2,"Negative","Neutral"))</f>
        <v>Positive</v>
      </c>
      <c r="S19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43" spans="1:19" x14ac:dyDescent="0.25">
      <c r="A1943">
        <v>5</v>
      </c>
      <c r="B1943" t="b">
        <v>1</v>
      </c>
      <c r="C1943" s="1">
        <v>42531</v>
      </c>
      <c r="D1943">
        <f>YEAR(AMAZON_FASHION_5__2[[#This Row],[reviewDate]])</f>
        <v>2016</v>
      </c>
      <c r="E1943" s="1" t="str">
        <f>TEXT(AMAZON_FASHION_5__2[[#This Row],[reviewDate]], "mmmm")</f>
        <v>June</v>
      </c>
      <c r="F1943" t="s">
        <v>1373</v>
      </c>
      <c r="G1943" t="s">
        <v>1490</v>
      </c>
      <c r="H1943" t="s">
        <v>558</v>
      </c>
      <c r="I1943" t="s">
        <v>198</v>
      </c>
      <c r="J1943" t="s">
        <v>1374</v>
      </c>
      <c r="K1943" t="s">
        <v>1375</v>
      </c>
      <c r="L1943" t="s">
        <v>1376</v>
      </c>
      <c r="M1943">
        <v>1465516800</v>
      </c>
      <c r="N1943" t="s">
        <v>1628</v>
      </c>
      <c r="O1943" t="s">
        <v>1628</v>
      </c>
      <c r="P1943">
        <v>10</v>
      </c>
      <c r="Q1943">
        <f>LEN(AMAZON_FASHION_5__2[[#This Row],[reviewText]])</f>
        <v>204</v>
      </c>
      <c r="R1943" t="str">
        <f>IF(AMAZON_FASHION_5__2[[#This Row],[overall]]&gt;=4,"Positive",IF(AMAZON_FASHION_5__2[[#This Row],[overall]]&lt;=2,"Negative","Neutral"))</f>
        <v>Positive</v>
      </c>
      <c r="S19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44" spans="1:19" x14ac:dyDescent="0.25">
      <c r="A1944">
        <v>5</v>
      </c>
      <c r="B1944" t="b">
        <v>1</v>
      </c>
      <c r="C1944" s="1">
        <v>42526</v>
      </c>
      <c r="D1944">
        <f>YEAR(AMAZON_FASHION_5__2[[#This Row],[reviewDate]])</f>
        <v>2016</v>
      </c>
      <c r="E1944" s="1" t="str">
        <f>TEXT(AMAZON_FASHION_5__2[[#This Row],[reviewDate]], "mmmm")</f>
        <v>June</v>
      </c>
      <c r="F1944" t="s">
        <v>1377</v>
      </c>
      <c r="G1944" t="s">
        <v>1490</v>
      </c>
      <c r="H1944" t="s">
        <v>197</v>
      </c>
      <c r="I1944" t="s">
        <v>198</v>
      </c>
      <c r="J1944" t="s">
        <v>1378</v>
      </c>
      <c r="K1944" t="s">
        <v>1379</v>
      </c>
      <c r="L1944" t="s">
        <v>17</v>
      </c>
      <c r="M1944">
        <v>1465084800</v>
      </c>
      <c r="N1944" t="s">
        <v>1628</v>
      </c>
      <c r="O1944" t="s">
        <v>1628</v>
      </c>
      <c r="P1944" t="s">
        <v>1628</v>
      </c>
      <c r="Q1944">
        <f>LEN(AMAZON_FASHION_5__2[[#This Row],[reviewText]])</f>
        <v>9</v>
      </c>
      <c r="R1944" t="str">
        <f>IF(AMAZON_FASHION_5__2[[#This Row],[overall]]&gt;=4,"Positive",IF(AMAZON_FASHION_5__2[[#This Row],[overall]]&lt;=2,"Negative","Neutral"))</f>
        <v>Positive</v>
      </c>
      <c r="S19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45" spans="1:19" x14ac:dyDescent="0.25">
      <c r="A1945">
        <v>5</v>
      </c>
      <c r="B1945" t="b">
        <v>1</v>
      </c>
      <c r="C1945" s="1">
        <v>42523</v>
      </c>
      <c r="D1945">
        <f>YEAR(AMAZON_FASHION_5__2[[#This Row],[reviewDate]])</f>
        <v>2016</v>
      </c>
      <c r="E1945" s="1" t="str">
        <f>TEXT(AMAZON_FASHION_5__2[[#This Row],[reviewDate]], "mmmm")</f>
        <v>June</v>
      </c>
      <c r="F1945" t="s">
        <v>1380</v>
      </c>
      <c r="G1945" t="s">
        <v>1490</v>
      </c>
      <c r="H1945" t="s">
        <v>197</v>
      </c>
      <c r="I1945" t="s">
        <v>493</v>
      </c>
      <c r="J1945" t="s">
        <v>1381</v>
      </c>
      <c r="K1945" t="s">
        <v>1382</v>
      </c>
      <c r="L1945" t="s">
        <v>1383</v>
      </c>
      <c r="M1945">
        <v>1464825600</v>
      </c>
      <c r="N1945" t="s">
        <v>1628</v>
      </c>
      <c r="O1945" t="s">
        <v>1628</v>
      </c>
      <c r="P1945" t="s">
        <v>1628</v>
      </c>
      <c r="Q1945">
        <f>LEN(AMAZON_FASHION_5__2[[#This Row],[reviewText]])</f>
        <v>237</v>
      </c>
      <c r="R1945" t="str">
        <f>IF(AMAZON_FASHION_5__2[[#This Row],[overall]]&gt;=4,"Positive",IF(AMAZON_FASHION_5__2[[#This Row],[overall]]&lt;=2,"Negative","Neutral"))</f>
        <v>Positive</v>
      </c>
      <c r="S19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46" spans="1:19" x14ac:dyDescent="0.25">
      <c r="A1946">
        <v>5</v>
      </c>
      <c r="B1946" t="b">
        <v>1</v>
      </c>
      <c r="C1946" s="1">
        <v>42519</v>
      </c>
      <c r="D1946">
        <f>YEAR(AMAZON_FASHION_5__2[[#This Row],[reviewDate]])</f>
        <v>2016</v>
      </c>
      <c r="E1946" s="1" t="str">
        <f>TEXT(AMAZON_FASHION_5__2[[#This Row],[reviewDate]], "mmmm")</f>
        <v>May</v>
      </c>
      <c r="F1946" t="s">
        <v>1384</v>
      </c>
      <c r="G1946" t="s">
        <v>1490</v>
      </c>
      <c r="H1946" t="s">
        <v>210</v>
      </c>
      <c r="I1946" t="s">
        <v>211</v>
      </c>
      <c r="J1946" t="s">
        <v>1385</v>
      </c>
      <c r="K1946" t="s">
        <v>1386</v>
      </c>
      <c r="L1946" t="s">
        <v>17</v>
      </c>
      <c r="M1946">
        <v>1464480000</v>
      </c>
      <c r="N1946" t="s">
        <v>1628</v>
      </c>
      <c r="O1946" t="s">
        <v>1628</v>
      </c>
      <c r="P1946" t="s">
        <v>1628</v>
      </c>
      <c r="Q1946">
        <f>LEN(AMAZON_FASHION_5__2[[#This Row],[reviewText]])</f>
        <v>11</v>
      </c>
      <c r="R1946" t="str">
        <f>IF(AMAZON_FASHION_5__2[[#This Row],[overall]]&gt;=4,"Positive",IF(AMAZON_FASHION_5__2[[#This Row],[overall]]&lt;=2,"Negative","Neutral"))</f>
        <v>Positive</v>
      </c>
      <c r="S19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47" spans="1:19" x14ac:dyDescent="0.25">
      <c r="A1947">
        <v>5</v>
      </c>
      <c r="B1947" t="b">
        <v>1</v>
      </c>
      <c r="C1947" s="1">
        <v>42518</v>
      </c>
      <c r="D1947">
        <f>YEAR(AMAZON_FASHION_5__2[[#This Row],[reviewDate]])</f>
        <v>2016</v>
      </c>
      <c r="E1947" s="1" t="str">
        <f>TEXT(AMAZON_FASHION_5__2[[#This Row],[reviewDate]], "mmmm")</f>
        <v>May</v>
      </c>
      <c r="F1947" t="s">
        <v>1387</v>
      </c>
      <c r="G1947" t="s">
        <v>1490</v>
      </c>
      <c r="H1947" t="s">
        <v>1388</v>
      </c>
      <c r="I1947" t="s">
        <v>217</v>
      </c>
      <c r="J1947" t="s">
        <v>63</v>
      </c>
      <c r="K1947" t="s">
        <v>638</v>
      </c>
      <c r="L1947" t="s">
        <v>17</v>
      </c>
      <c r="M1947">
        <v>1464393600</v>
      </c>
      <c r="N1947" t="s">
        <v>1628</v>
      </c>
      <c r="O1947" t="s">
        <v>1628</v>
      </c>
      <c r="P1947" t="s">
        <v>1628</v>
      </c>
      <c r="Q1947">
        <f>LEN(AMAZON_FASHION_5__2[[#This Row],[reviewText]])</f>
        <v>7</v>
      </c>
      <c r="R1947" t="str">
        <f>IF(AMAZON_FASHION_5__2[[#This Row],[overall]]&gt;=4,"Positive",IF(AMAZON_FASHION_5__2[[#This Row],[overall]]&lt;=2,"Negative","Neutral"))</f>
        <v>Positive</v>
      </c>
      <c r="S19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48" spans="1:19" x14ac:dyDescent="0.25">
      <c r="A1948">
        <v>5</v>
      </c>
      <c r="B1948" t="b">
        <v>0</v>
      </c>
      <c r="C1948" s="1">
        <v>42514</v>
      </c>
      <c r="D1948">
        <f>YEAR(AMAZON_FASHION_5__2[[#This Row],[reviewDate]])</f>
        <v>2016</v>
      </c>
      <c r="E1948" s="1" t="str">
        <f>TEXT(AMAZON_FASHION_5__2[[#This Row],[reviewDate]], "mmmm")</f>
        <v>May</v>
      </c>
      <c r="F1948" t="s">
        <v>1389</v>
      </c>
      <c r="G1948" t="s">
        <v>1490</v>
      </c>
      <c r="H1948" t="s">
        <v>1628</v>
      </c>
      <c r="I1948" t="s">
        <v>1628</v>
      </c>
      <c r="J1948" t="s">
        <v>1390</v>
      </c>
      <c r="K1948" t="s">
        <v>1391</v>
      </c>
      <c r="L1948" t="s">
        <v>1392</v>
      </c>
      <c r="M1948">
        <v>1464048000</v>
      </c>
      <c r="N1948" t="s">
        <v>1628</v>
      </c>
      <c r="O1948" t="s">
        <v>1628</v>
      </c>
      <c r="P1948">
        <v>8</v>
      </c>
      <c r="Q1948">
        <f>LEN(AMAZON_FASHION_5__2[[#This Row],[reviewText]])</f>
        <v>629</v>
      </c>
      <c r="R1948" t="str">
        <f>IF(AMAZON_FASHION_5__2[[#This Row],[overall]]&gt;=4,"Positive",IF(AMAZON_FASHION_5__2[[#This Row],[overall]]&lt;=2,"Negative","Neutral"))</f>
        <v>Positive</v>
      </c>
      <c r="S19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49" spans="1:19" x14ac:dyDescent="0.25">
      <c r="A1949">
        <v>4</v>
      </c>
      <c r="B1949" t="b">
        <v>1</v>
      </c>
      <c r="C1949" s="1">
        <v>42514</v>
      </c>
      <c r="D1949">
        <f>YEAR(AMAZON_FASHION_5__2[[#This Row],[reviewDate]])</f>
        <v>2016</v>
      </c>
      <c r="E1949" s="1" t="str">
        <f>TEXT(AMAZON_FASHION_5__2[[#This Row],[reviewDate]], "mmmm")</f>
        <v>May</v>
      </c>
      <c r="F1949" t="s">
        <v>1393</v>
      </c>
      <c r="G1949" t="s">
        <v>1490</v>
      </c>
      <c r="H1949" t="s">
        <v>230</v>
      </c>
      <c r="I1949" t="s">
        <v>211</v>
      </c>
      <c r="J1949" t="s">
        <v>1394</v>
      </c>
      <c r="K1949" t="s">
        <v>1395</v>
      </c>
      <c r="L1949" t="s">
        <v>1396</v>
      </c>
      <c r="M1949">
        <v>1464048000</v>
      </c>
      <c r="N1949" t="s">
        <v>1628</v>
      </c>
      <c r="O1949" t="s">
        <v>1628</v>
      </c>
      <c r="P1949" t="s">
        <v>1628</v>
      </c>
      <c r="Q1949">
        <f>LEN(AMAZON_FASHION_5__2[[#This Row],[reviewText]])</f>
        <v>148</v>
      </c>
      <c r="R1949" t="str">
        <f>IF(AMAZON_FASHION_5__2[[#This Row],[overall]]&gt;=4,"Positive",IF(AMAZON_FASHION_5__2[[#This Row],[overall]]&lt;=2,"Negative","Neutral"))</f>
        <v>Positive</v>
      </c>
      <c r="S19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50" spans="1:19" x14ac:dyDescent="0.25">
      <c r="A1950">
        <v>5</v>
      </c>
      <c r="B1950" t="b">
        <v>1</v>
      </c>
      <c r="C1950" s="1">
        <v>42510</v>
      </c>
      <c r="D1950">
        <f>YEAR(AMAZON_FASHION_5__2[[#This Row],[reviewDate]])</f>
        <v>2016</v>
      </c>
      <c r="E1950" s="1" t="str">
        <f>TEXT(AMAZON_FASHION_5__2[[#This Row],[reviewDate]], "mmmm")</f>
        <v>May</v>
      </c>
      <c r="F1950" t="s">
        <v>1397</v>
      </c>
      <c r="G1950" t="s">
        <v>1490</v>
      </c>
      <c r="H1950" t="s">
        <v>320</v>
      </c>
      <c r="I1950" t="s">
        <v>198</v>
      </c>
      <c r="J1950" t="s">
        <v>1398</v>
      </c>
      <c r="K1950" t="s">
        <v>940</v>
      </c>
      <c r="L1950" t="s">
        <v>17</v>
      </c>
      <c r="M1950">
        <v>1463702400</v>
      </c>
      <c r="N1950" t="s">
        <v>1628</v>
      </c>
      <c r="O1950" t="s">
        <v>1628</v>
      </c>
      <c r="P1950" t="s">
        <v>1628</v>
      </c>
      <c r="Q1950">
        <f>LEN(AMAZON_FASHION_5__2[[#This Row],[reviewText]])</f>
        <v>10</v>
      </c>
      <c r="R1950" t="str">
        <f>IF(AMAZON_FASHION_5__2[[#This Row],[overall]]&gt;=4,"Positive",IF(AMAZON_FASHION_5__2[[#This Row],[overall]]&lt;=2,"Negative","Neutral"))</f>
        <v>Positive</v>
      </c>
      <c r="S19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51" spans="1:19" x14ac:dyDescent="0.25">
      <c r="A1951">
        <v>5</v>
      </c>
      <c r="B1951" t="b">
        <v>0</v>
      </c>
      <c r="C1951" s="1">
        <v>42508</v>
      </c>
      <c r="D1951">
        <f>YEAR(AMAZON_FASHION_5__2[[#This Row],[reviewDate]])</f>
        <v>2016</v>
      </c>
      <c r="E1951" s="1" t="str">
        <f>TEXT(AMAZON_FASHION_5__2[[#This Row],[reviewDate]], "mmmm")</f>
        <v>May</v>
      </c>
      <c r="F1951" t="s">
        <v>1399</v>
      </c>
      <c r="G1951" t="s">
        <v>1490</v>
      </c>
      <c r="H1951" t="s">
        <v>210</v>
      </c>
      <c r="I1951" t="s">
        <v>524</v>
      </c>
      <c r="J1951" t="s">
        <v>1400</v>
      </c>
      <c r="K1951" t="s">
        <v>1401</v>
      </c>
      <c r="L1951" t="s">
        <v>1402</v>
      </c>
      <c r="M1951">
        <v>1463529600</v>
      </c>
      <c r="N1951" t="s">
        <v>1628</v>
      </c>
      <c r="O1951" t="s">
        <v>1628</v>
      </c>
      <c r="P1951" t="s">
        <v>1628</v>
      </c>
      <c r="Q1951">
        <f>LEN(AMAZON_FASHION_5__2[[#This Row],[reviewText]])</f>
        <v>247</v>
      </c>
      <c r="R1951" t="str">
        <f>IF(AMAZON_FASHION_5__2[[#This Row],[overall]]&gt;=4,"Positive",IF(AMAZON_FASHION_5__2[[#This Row],[overall]]&lt;=2,"Negative","Neutral"))</f>
        <v>Positive</v>
      </c>
      <c r="S19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52" spans="1:19" x14ac:dyDescent="0.25">
      <c r="A1952">
        <v>5</v>
      </c>
      <c r="B1952" t="b">
        <v>1</v>
      </c>
      <c r="C1952" s="1">
        <v>42506</v>
      </c>
      <c r="D1952">
        <f>YEAR(AMAZON_FASHION_5__2[[#This Row],[reviewDate]])</f>
        <v>2016</v>
      </c>
      <c r="E1952" s="1" t="str">
        <f>TEXT(AMAZON_FASHION_5__2[[#This Row],[reviewDate]], "mmmm")</f>
        <v>May</v>
      </c>
      <c r="F1952" t="s">
        <v>1403</v>
      </c>
      <c r="G1952" t="s">
        <v>1490</v>
      </c>
      <c r="H1952" t="s">
        <v>235</v>
      </c>
      <c r="I1952" t="s">
        <v>236</v>
      </c>
      <c r="J1952" t="s">
        <v>63</v>
      </c>
      <c r="K1952" t="s">
        <v>1404</v>
      </c>
      <c r="L1952" t="s">
        <v>17</v>
      </c>
      <c r="M1952">
        <v>1463356800</v>
      </c>
      <c r="N1952" t="s">
        <v>1628</v>
      </c>
      <c r="O1952" t="s">
        <v>1628</v>
      </c>
      <c r="P1952" t="s">
        <v>1628</v>
      </c>
      <c r="Q1952">
        <f>LEN(AMAZON_FASHION_5__2[[#This Row],[reviewText]])</f>
        <v>76</v>
      </c>
      <c r="R1952" t="str">
        <f>IF(AMAZON_FASHION_5__2[[#This Row],[overall]]&gt;=4,"Positive",IF(AMAZON_FASHION_5__2[[#This Row],[overall]]&lt;=2,"Negative","Neutral"))</f>
        <v>Positive</v>
      </c>
      <c r="S19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53" spans="1:19" x14ac:dyDescent="0.25">
      <c r="A1953">
        <v>5</v>
      </c>
      <c r="B1953" t="b">
        <v>1</v>
      </c>
      <c r="C1953" s="1">
        <v>42505</v>
      </c>
      <c r="D1953">
        <f>YEAR(AMAZON_FASHION_5__2[[#This Row],[reviewDate]])</f>
        <v>2016</v>
      </c>
      <c r="E1953" s="1" t="str">
        <f>TEXT(AMAZON_FASHION_5__2[[#This Row],[reviewDate]], "mmmm")</f>
        <v>May</v>
      </c>
      <c r="F1953" t="s">
        <v>1405</v>
      </c>
      <c r="G1953" t="s">
        <v>1490</v>
      </c>
      <c r="H1953" t="s">
        <v>201</v>
      </c>
      <c r="I1953" t="s">
        <v>493</v>
      </c>
      <c r="J1953" t="s">
        <v>1406</v>
      </c>
      <c r="K1953" t="s">
        <v>1407</v>
      </c>
      <c r="L1953" t="s">
        <v>1408</v>
      </c>
      <c r="M1953">
        <v>1463270400</v>
      </c>
      <c r="N1953" t="s">
        <v>1628</v>
      </c>
      <c r="O1953" t="s">
        <v>1628</v>
      </c>
      <c r="P1953" t="s">
        <v>1628</v>
      </c>
      <c r="Q1953">
        <f>LEN(AMAZON_FASHION_5__2[[#This Row],[reviewText]])</f>
        <v>27</v>
      </c>
      <c r="R1953" t="str">
        <f>IF(AMAZON_FASHION_5__2[[#This Row],[overall]]&gt;=4,"Positive",IF(AMAZON_FASHION_5__2[[#This Row],[overall]]&lt;=2,"Negative","Neutral"))</f>
        <v>Positive</v>
      </c>
      <c r="S19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54" spans="1:19" x14ac:dyDescent="0.25">
      <c r="A1954">
        <v>4</v>
      </c>
      <c r="B1954" t="b">
        <v>1</v>
      </c>
      <c r="C1954" s="1">
        <v>42501</v>
      </c>
      <c r="D1954">
        <f>YEAR(AMAZON_FASHION_5__2[[#This Row],[reviewDate]])</f>
        <v>2016</v>
      </c>
      <c r="E1954" s="1" t="str">
        <f>TEXT(AMAZON_FASHION_5__2[[#This Row],[reviewDate]], "mmmm")</f>
        <v>May</v>
      </c>
      <c r="F1954" t="s">
        <v>1409</v>
      </c>
      <c r="G1954" t="s">
        <v>1490</v>
      </c>
      <c r="H1954" t="s">
        <v>1410</v>
      </c>
      <c r="I1954" t="s">
        <v>1411</v>
      </c>
      <c r="J1954" t="s">
        <v>1412</v>
      </c>
      <c r="K1954" t="s">
        <v>1413</v>
      </c>
      <c r="L1954" t="s">
        <v>1414</v>
      </c>
      <c r="M1954">
        <v>1462924800</v>
      </c>
      <c r="N1954" t="s">
        <v>1628</v>
      </c>
      <c r="O1954" t="s">
        <v>1628</v>
      </c>
      <c r="P1954" t="s">
        <v>1628</v>
      </c>
      <c r="Q1954">
        <f>LEN(AMAZON_FASHION_5__2[[#This Row],[reviewText]])</f>
        <v>468</v>
      </c>
      <c r="R1954" t="str">
        <f>IF(AMAZON_FASHION_5__2[[#This Row],[overall]]&gt;=4,"Positive",IF(AMAZON_FASHION_5__2[[#This Row],[overall]]&lt;=2,"Negative","Neutral"))</f>
        <v>Positive</v>
      </c>
      <c r="S19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55" spans="1:19" x14ac:dyDescent="0.25">
      <c r="A1955">
        <v>5</v>
      </c>
      <c r="B1955" t="b">
        <v>0</v>
      </c>
      <c r="C1955" s="1">
        <v>42500</v>
      </c>
      <c r="D1955">
        <f>YEAR(AMAZON_FASHION_5__2[[#This Row],[reviewDate]])</f>
        <v>2016</v>
      </c>
      <c r="E1955" s="1" t="str">
        <f>TEXT(AMAZON_FASHION_5__2[[#This Row],[reviewDate]], "mmmm")</f>
        <v>May</v>
      </c>
      <c r="F1955" t="s">
        <v>1415</v>
      </c>
      <c r="G1955" t="s">
        <v>1490</v>
      </c>
      <c r="H1955" t="s">
        <v>210</v>
      </c>
      <c r="I1955" t="s">
        <v>211</v>
      </c>
      <c r="J1955" t="s">
        <v>63</v>
      </c>
      <c r="K1955" t="s">
        <v>1416</v>
      </c>
      <c r="L1955" t="s">
        <v>735</v>
      </c>
      <c r="M1955">
        <v>1462838400</v>
      </c>
      <c r="N1955" t="s">
        <v>1628</v>
      </c>
      <c r="O1955" t="s">
        <v>1628</v>
      </c>
      <c r="P1955" t="s">
        <v>1628</v>
      </c>
      <c r="Q1955">
        <f>LEN(AMAZON_FASHION_5__2[[#This Row],[reviewText]])</f>
        <v>166</v>
      </c>
      <c r="R1955" t="str">
        <f>IF(AMAZON_FASHION_5__2[[#This Row],[overall]]&gt;=4,"Positive",IF(AMAZON_FASHION_5__2[[#This Row],[overall]]&lt;=2,"Negative","Neutral"))</f>
        <v>Positive</v>
      </c>
      <c r="S19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56" spans="1:19" x14ac:dyDescent="0.25">
      <c r="A1956">
        <v>5</v>
      </c>
      <c r="B1956" t="b">
        <v>1</v>
      </c>
      <c r="C1956" s="1">
        <v>42499</v>
      </c>
      <c r="D1956">
        <f>YEAR(AMAZON_FASHION_5__2[[#This Row],[reviewDate]])</f>
        <v>2016</v>
      </c>
      <c r="E1956" s="1" t="str">
        <f>TEXT(AMAZON_FASHION_5__2[[#This Row],[reviewDate]], "mmmm")</f>
        <v>May</v>
      </c>
      <c r="F1956" t="s">
        <v>1417</v>
      </c>
      <c r="G1956" t="s">
        <v>1490</v>
      </c>
      <c r="H1956" t="s">
        <v>230</v>
      </c>
      <c r="I1956" t="s">
        <v>198</v>
      </c>
      <c r="J1956" t="s">
        <v>1418</v>
      </c>
      <c r="K1956" t="s">
        <v>1419</v>
      </c>
      <c r="L1956" t="s">
        <v>17</v>
      </c>
      <c r="M1956">
        <v>1462752000</v>
      </c>
      <c r="N1956" t="s">
        <v>1628</v>
      </c>
      <c r="O1956" t="s">
        <v>1628</v>
      </c>
      <c r="P1956" t="s">
        <v>1628</v>
      </c>
      <c r="Q1956">
        <f>LEN(AMAZON_FASHION_5__2[[#This Row],[reviewText]])</f>
        <v>33</v>
      </c>
      <c r="R1956" t="str">
        <f>IF(AMAZON_FASHION_5__2[[#This Row],[overall]]&gt;=4,"Positive",IF(AMAZON_FASHION_5__2[[#This Row],[overall]]&lt;=2,"Negative","Neutral"))</f>
        <v>Positive</v>
      </c>
      <c r="S19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57" spans="1:19" x14ac:dyDescent="0.25">
      <c r="A1957">
        <v>5</v>
      </c>
      <c r="B1957" t="b">
        <v>1</v>
      </c>
      <c r="C1957" s="1">
        <v>42498</v>
      </c>
      <c r="D1957">
        <f>YEAR(AMAZON_FASHION_5__2[[#This Row],[reviewDate]])</f>
        <v>2016</v>
      </c>
      <c r="E1957" s="1" t="str">
        <f>TEXT(AMAZON_FASHION_5__2[[#This Row],[reviewDate]], "mmmm")</f>
        <v>May</v>
      </c>
      <c r="F1957" t="s">
        <v>1420</v>
      </c>
      <c r="G1957" t="s">
        <v>1490</v>
      </c>
      <c r="H1957" t="s">
        <v>320</v>
      </c>
      <c r="I1957" t="s">
        <v>198</v>
      </c>
      <c r="J1957" t="s">
        <v>1421</v>
      </c>
      <c r="K1957" t="s">
        <v>1422</v>
      </c>
      <c r="L1957" t="s">
        <v>1423</v>
      </c>
      <c r="M1957">
        <v>1462665600</v>
      </c>
      <c r="N1957" t="s">
        <v>1628</v>
      </c>
      <c r="O1957" t="s">
        <v>1628</v>
      </c>
      <c r="P1957" t="s">
        <v>1628</v>
      </c>
      <c r="Q1957">
        <f>LEN(AMAZON_FASHION_5__2[[#This Row],[reviewText]])</f>
        <v>62</v>
      </c>
      <c r="R1957" t="str">
        <f>IF(AMAZON_FASHION_5__2[[#This Row],[overall]]&gt;=4,"Positive",IF(AMAZON_FASHION_5__2[[#This Row],[overall]]&lt;=2,"Negative","Neutral"))</f>
        <v>Positive</v>
      </c>
      <c r="S19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58" spans="1:19" x14ac:dyDescent="0.25">
      <c r="A1958">
        <v>4</v>
      </c>
      <c r="B1958" t="b">
        <v>1</v>
      </c>
      <c r="C1958" s="1">
        <v>42497</v>
      </c>
      <c r="D1958">
        <f>YEAR(AMAZON_FASHION_5__2[[#This Row],[reviewDate]])</f>
        <v>2016</v>
      </c>
      <c r="E1958" s="1" t="str">
        <f>TEXT(AMAZON_FASHION_5__2[[#This Row],[reviewDate]], "mmmm")</f>
        <v>May</v>
      </c>
      <c r="F1958" t="s">
        <v>1424</v>
      </c>
      <c r="G1958" t="s">
        <v>1490</v>
      </c>
      <c r="H1958" t="s">
        <v>1425</v>
      </c>
      <c r="I1958" t="s">
        <v>217</v>
      </c>
      <c r="J1958" t="s">
        <v>1426</v>
      </c>
      <c r="K1958" t="s">
        <v>1427</v>
      </c>
      <c r="L1958" t="s">
        <v>103</v>
      </c>
      <c r="M1958">
        <v>1462579200</v>
      </c>
      <c r="N1958" t="s">
        <v>1628</v>
      </c>
      <c r="O1958" t="s">
        <v>1628</v>
      </c>
      <c r="P1958" t="s">
        <v>1628</v>
      </c>
      <c r="Q1958">
        <f>LEN(AMAZON_FASHION_5__2[[#This Row],[reviewText]])</f>
        <v>25</v>
      </c>
      <c r="R1958" t="str">
        <f>IF(AMAZON_FASHION_5__2[[#This Row],[overall]]&gt;=4,"Positive",IF(AMAZON_FASHION_5__2[[#This Row],[overall]]&lt;=2,"Negative","Neutral"))</f>
        <v>Positive</v>
      </c>
      <c r="S19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59" spans="1:19" x14ac:dyDescent="0.25">
      <c r="A1959">
        <v>4</v>
      </c>
      <c r="B1959" t="b">
        <v>1</v>
      </c>
      <c r="C1959" s="1">
        <v>42494</v>
      </c>
      <c r="D1959">
        <f>YEAR(AMAZON_FASHION_5__2[[#This Row],[reviewDate]])</f>
        <v>2016</v>
      </c>
      <c r="E1959" s="1" t="str">
        <f>TEXT(AMAZON_FASHION_5__2[[#This Row],[reviewDate]], "mmmm")</f>
        <v>May</v>
      </c>
      <c r="F1959" t="s">
        <v>1428</v>
      </c>
      <c r="G1959" t="s">
        <v>1490</v>
      </c>
      <c r="H1959" t="s">
        <v>230</v>
      </c>
      <c r="I1959" t="s">
        <v>198</v>
      </c>
      <c r="J1959" t="s">
        <v>1429</v>
      </c>
      <c r="K1959" t="s">
        <v>1430</v>
      </c>
      <c r="L1959" t="s">
        <v>1376</v>
      </c>
      <c r="M1959">
        <v>1462320000</v>
      </c>
      <c r="N1959" t="s">
        <v>1628</v>
      </c>
      <c r="O1959" t="s">
        <v>1628</v>
      </c>
      <c r="P1959">
        <v>20</v>
      </c>
      <c r="Q1959">
        <f>LEN(AMAZON_FASHION_5__2[[#This Row],[reviewText]])</f>
        <v>1368</v>
      </c>
      <c r="R1959" t="str">
        <f>IF(AMAZON_FASHION_5__2[[#This Row],[overall]]&gt;=4,"Positive",IF(AMAZON_FASHION_5__2[[#This Row],[overall]]&lt;=2,"Negative","Neutral"))</f>
        <v>Positive</v>
      </c>
      <c r="S19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60" spans="1:19" x14ac:dyDescent="0.25">
      <c r="A1960">
        <v>5</v>
      </c>
      <c r="B1960" t="b">
        <v>1</v>
      </c>
      <c r="C1960" s="1">
        <v>42494</v>
      </c>
      <c r="D1960">
        <f>YEAR(AMAZON_FASHION_5__2[[#This Row],[reviewDate]])</f>
        <v>2016</v>
      </c>
      <c r="E1960" s="1" t="str">
        <f>TEXT(AMAZON_FASHION_5__2[[#This Row],[reviewDate]], "mmmm")</f>
        <v>May</v>
      </c>
      <c r="F1960" t="s">
        <v>1431</v>
      </c>
      <c r="G1960" t="s">
        <v>1490</v>
      </c>
      <c r="H1960" t="s">
        <v>1425</v>
      </c>
      <c r="I1960" t="s">
        <v>217</v>
      </c>
      <c r="J1960" t="s">
        <v>1432</v>
      </c>
      <c r="K1960" t="s">
        <v>1433</v>
      </c>
      <c r="L1960" t="s">
        <v>1434</v>
      </c>
      <c r="M1960">
        <v>1462320000</v>
      </c>
      <c r="N1960" t="s">
        <v>1628</v>
      </c>
      <c r="O1960" t="s">
        <v>1628</v>
      </c>
      <c r="P1960" t="s">
        <v>1628</v>
      </c>
      <c r="Q1960">
        <f>LEN(AMAZON_FASHION_5__2[[#This Row],[reviewText]])</f>
        <v>57</v>
      </c>
      <c r="R1960" t="str">
        <f>IF(AMAZON_FASHION_5__2[[#This Row],[overall]]&gt;=4,"Positive",IF(AMAZON_FASHION_5__2[[#This Row],[overall]]&lt;=2,"Negative","Neutral"))</f>
        <v>Positive</v>
      </c>
      <c r="S19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61" spans="1:19" x14ac:dyDescent="0.25">
      <c r="A1961">
        <v>5</v>
      </c>
      <c r="B1961" t="b">
        <v>1</v>
      </c>
      <c r="C1961" s="1">
        <v>42483</v>
      </c>
      <c r="D1961">
        <f>YEAR(AMAZON_FASHION_5__2[[#This Row],[reviewDate]])</f>
        <v>2016</v>
      </c>
      <c r="E1961" s="1" t="str">
        <f>TEXT(AMAZON_FASHION_5__2[[#This Row],[reviewDate]], "mmmm")</f>
        <v>April</v>
      </c>
      <c r="F1961" t="s">
        <v>1435</v>
      </c>
      <c r="G1961" t="s">
        <v>1490</v>
      </c>
      <c r="H1961" t="s">
        <v>205</v>
      </c>
      <c r="I1961" t="s">
        <v>198</v>
      </c>
      <c r="J1961" t="s">
        <v>1436</v>
      </c>
      <c r="K1961" t="s">
        <v>1437</v>
      </c>
      <c r="L1961" t="s">
        <v>17</v>
      </c>
      <c r="M1961">
        <v>1461369600</v>
      </c>
      <c r="N1961" t="s">
        <v>1628</v>
      </c>
      <c r="O1961" t="s">
        <v>1628</v>
      </c>
      <c r="P1961" t="s">
        <v>1628</v>
      </c>
      <c r="Q1961">
        <f>LEN(AMAZON_FASHION_5__2[[#This Row],[reviewText]])</f>
        <v>50</v>
      </c>
      <c r="R1961" t="str">
        <f>IF(AMAZON_FASHION_5__2[[#This Row],[overall]]&gt;=4,"Positive",IF(AMAZON_FASHION_5__2[[#This Row],[overall]]&lt;=2,"Negative","Neutral"))</f>
        <v>Positive</v>
      </c>
      <c r="S19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62" spans="1:19" x14ac:dyDescent="0.25">
      <c r="A1962">
        <v>5</v>
      </c>
      <c r="B1962" t="b">
        <v>1</v>
      </c>
      <c r="C1962" s="1">
        <v>42481</v>
      </c>
      <c r="D1962">
        <f>YEAR(AMAZON_FASHION_5__2[[#This Row],[reviewDate]])</f>
        <v>2016</v>
      </c>
      <c r="E1962" s="1" t="str">
        <f>TEXT(AMAZON_FASHION_5__2[[#This Row],[reviewDate]], "mmmm")</f>
        <v>April</v>
      </c>
      <c r="F1962" t="s">
        <v>1438</v>
      </c>
      <c r="G1962" t="s">
        <v>1490</v>
      </c>
      <c r="H1962" t="s">
        <v>477</v>
      </c>
      <c r="I1962" t="s">
        <v>198</v>
      </c>
      <c r="J1962" t="s">
        <v>1439</v>
      </c>
      <c r="K1962" t="s">
        <v>1440</v>
      </c>
      <c r="L1962" t="s">
        <v>1441</v>
      </c>
      <c r="M1962">
        <v>1461196800</v>
      </c>
      <c r="N1962" t="s">
        <v>1628</v>
      </c>
      <c r="O1962" t="s">
        <v>1628</v>
      </c>
      <c r="P1962">
        <v>3</v>
      </c>
      <c r="Q1962">
        <f>LEN(AMAZON_FASHION_5__2[[#This Row],[reviewText]])</f>
        <v>371</v>
      </c>
      <c r="R1962" t="str">
        <f>IF(AMAZON_FASHION_5__2[[#This Row],[overall]]&gt;=4,"Positive",IF(AMAZON_FASHION_5__2[[#This Row],[overall]]&lt;=2,"Negative","Neutral"))</f>
        <v>Positive</v>
      </c>
      <c r="S19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63" spans="1:19" x14ac:dyDescent="0.25">
      <c r="A1963">
        <v>4</v>
      </c>
      <c r="B1963" t="b">
        <v>1</v>
      </c>
      <c r="C1963" s="1">
        <v>42480</v>
      </c>
      <c r="D1963">
        <f>YEAR(AMAZON_FASHION_5__2[[#This Row],[reviewDate]])</f>
        <v>2016</v>
      </c>
      <c r="E1963" s="1" t="str">
        <f>TEXT(AMAZON_FASHION_5__2[[#This Row],[reviewDate]], "mmmm")</f>
        <v>April</v>
      </c>
      <c r="F1963" t="s">
        <v>1442</v>
      </c>
      <c r="G1963" t="s">
        <v>1490</v>
      </c>
      <c r="H1963" t="s">
        <v>205</v>
      </c>
      <c r="I1963" t="s">
        <v>198</v>
      </c>
      <c r="J1963" t="s">
        <v>63</v>
      </c>
      <c r="K1963" t="s">
        <v>1443</v>
      </c>
      <c r="L1963" t="s">
        <v>103</v>
      </c>
      <c r="M1963">
        <v>1461110400</v>
      </c>
      <c r="N1963" t="s">
        <v>1628</v>
      </c>
      <c r="O1963" t="s">
        <v>1628</v>
      </c>
      <c r="P1963" t="s">
        <v>1628</v>
      </c>
      <c r="Q1963">
        <f>LEN(AMAZON_FASHION_5__2[[#This Row],[reviewText]])</f>
        <v>19</v>
      </c>
      <c r="R1963" t="str">
        <f>IF(AMAZON_FASHION_5__2[[#This Row],[overall]]&gt;=4,"Positive",IF(AMAZON_FASHION_5__2[[#This Row],[overall]]&lt;=2,"Negative","Neutral"))</f>
        <v>Positive</v>
      </c>
      <c r="S19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64" spans="1:19" x14ac:dyDescent="0.25">
      <c r="A1964">
        <v>4</v>
      </c>
      <c r="B1964" t="b">
        <v>1</v>
      </c>
      <c r="C1964" s="1">
        <v>42479</v>
      </c>
      <c r="D1964">
        <f>YEAR(AMAZON_FASHION_5__2[[#This Row],[reviewDate]])</f>
        <v>2016</v>
      </c>
      <c r="E1964" s="1" t="str">
        <f>TEXT(AMAZON_FASHION_5__2[[#This Row],[reviewDate]], "mmmm")</f>
        <v>April</v>
      </c>
      <c r="F1964" t="s">
        <v>195</v>
      </c>
      <c r="G1964" t="s">
        <v>1490</v>
      </c>
      <c r="H1964" t="s">
        <v>197</v>
      </c>
      <c r="I1964" t="s">
        <v>198</v>
      </c>
      <c r="J1964" t="s">
        <v>63</v>
      </c>
      <c r="K1964" t="s">
        <v>199</v>
      </c>
      <c r="L1964" t="s">
        <v>103</v>
      </c>
      <c r="M1964">
        <v>1461024000</v>
      </c>
      <c r="N1964" t="s">
        <v>1628</v>
      </c>
      <c r="O1964" t="s">
        <v>1628</v>
      </c>
      <c r="P1964">
        <v>2</v>
      </c>
      <c r="Q1964">
        <f>LEN(AMAZON_FASHION_5__2[[#This Row],[reviewText]])</f>
        <v>60</v>
      </c>
      <c r="R1964" t="str">
        <f>IF(AMAZON_FASHION_5__2[[#This Row],[overall]]&gt;=4,"Positive",IF(AMAZON_FASHION_5__2[[#This Row],[overall]]&lt;=2,"Negative","Neutral"))</f>
        <v>Positive</v>
      </c>
      <c r="S19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65" spans="1:19" x14ac:dyDescent="0.25">
      <c r="A1965">
        <v>5</v>
      </c>
      <c r="B1965" t="b">
        <v>1</v>
      </c>
      <c r="C1965" s="1">
        <v>42478</v>
      </c>
      <c r="D1965">
        <f>YEAR(AMAZON_FASHION_5__2[[#This Row],[reviewDate]])</f>
        <v>2016</v>
      </c>
      <c r="E1965" s="1" t="str">
        <f>TEXT(AMAZON_FASHION_5__2[[#This Row],[reviewDate]], "mmmm")</f>
        <v>April</v>
      </c>
      <c r="F1965" t="s">
        <v>200</v>
      </c>
      <c r="G1965" t="s">
        <v>1490</v>
      </c>
      <c r="H1965" t="s">
        <v>201</v>
      </c>
      <c r="I1965" t="s">
        <v>198</v>
      </c>
      <c r="J1965" t="s">
        <v>202</v>
      </c>
      <c r="K1965" t="s">
        <v>203</v>
      </c>
      <c r="L1965" t="s">
        <v>17</v>
      </c>
      <c r="M1965">
        <v>1460937600</v>
      </c>
      <c r="N1965" t="s">
        <v>1628</v>
      </c>
      <c r="O1965" t="s">
        <v>1628</v>
      </c>
      <c r="P1965" t="s">
        <v>1628</v>
      </c>
      <c r="Q1965">
        <f>LEN(AMAZON_FASHION_5__2[[#This Row],[reviewText]])</f>
        <v>22</v>
      </c>
      <c r="R1965" t="str">
        <f>IF(AMAZON_FASHION_5__2[[#This Row],[overall]]&gt;=4,"Positive",IF(AMAZON_FASHION_5__2[[#This Row],[overall]]&lt;=2,"Negative","Neutral"))</f>
        <v>Positive</v>
      </c>
      <c r="S19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66" spans="1:19" x14ac:dyDescent="0.25">
      <c r="A1966">
        <v>3</v>
      </c>
      <c r="B1966" t="b">
        <v>1</v>
      </c>
      <c r="C1966" s="1">
        <v>42464</v>
      </c>
      <c r="D1966">
        <f>YEAR(AMAZON_FASHION_5__2[[#This Row],[reviewDate]])</f>
        <v>2016</v>
      </c>
      <c r="E1966" s="1" t="str">
        <f>TEXT(AMAZON_FASHION_5__2[[#This Row],[reviewDate]], "mmmm")</f>
        <v>April</v>
      </c>
      <c r="F1966" t="s">
        <v>204</v>
      </c>
      <c r="G1966" t="s">
        <v>1490</v>
      </c>
      <c r="H1966" t="s">
        <v>205</v>
      </c>
      <c r="I1966" t="s">
        <v>198</v>
      </c>
      <c r="J1966" t="s">
        <v>206</v>
      </c>
      <c r="K1966" t="s">
        <v>207</v>
      </c>
      <c r="L1966" t="s">
        <v>208</v>
      </c>
      <c r="M1966">
        <v>1459728000</v>
      </c>
      <c r="N1966" t="s">
        <v>1628</v>
      </c>
      <c r="O1966" t="s">
        <v>1628</v>
      </c>
      <c r="P1966">
        <v>2</v>
      </c>
      <c r="Q1966">
        <f>LEN(AMAZON_FASHION_5__2[[#This Row],[reviewText]])</f>
        <v>272</v>
      </c>
      <c r="R1966" t="str">
        <f>IF(AMAZON_FASHION_5__2[[#This Row],[overall]]&gt;=4,"Positive",IF(AMAZON_FASHION_5__2[[#This Row],[overall]]&lt;=2,"Negative","Neutral"))</f>
        <v>Neutral</v>
      </c>
      <c r="S19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67" spans="1:19" x14ac:dyDescent="0.25">
      <c r="A1967">
        <v>5</v>
      </c>
      <c r="B1967" t="b">
        <v>1</v>
      </c>
      <c r="C1967" s="1">
        <v>42460</v>
      </c>
      <c r="D1967">
        <f>YEAR(AMAZON_FASHION_5__2[[#This Row],[reviewDate]])</f>
        <v>2016</v>
      </c>
      <c r="E1967" s="1" t="str">
        <f>TEXT(AMAZON_FASHION_5__2[[#This Row],[reviewDate]], "mmmm")</f>
        <v>March</v>
      </c>
      <c r="F1967" t="s">
        <v>209</v>
      </c>
      <c r="G1967" t="s">
        <v>1490</v>
      </c>
      <c r="H1967" t="s">
        <v>210</v>
      </c>
      <c r="I1967" t="s">
        <v>211</v>
      </c>
      <c r="J1967" t="s">
        <v>212</v>
      </c>
      <c r="K1967" t="s">
        <v>213</v>
      </c>
      <c r="L1967" t="s">
        <v>214</v>
      </c>
      <c r="M1967">
        <v>1459382400</v>
      </c>
      <c r="N1967" t="s">
        <v>1628</v>
      </c>
      <c r="O1967" t="s">
        <v>1628</v>
      </c>
      <c r="P1967" t="s">
        <v>1628</v>
      </c>
      <c r="Q1967">
        <f>LEN(AMAZON_FASHION_5__2[[#This Row],[reviewText]])</f>
        <v>123</v>
      </c>
      <c r="R1967" t="str">
        <f>IF(AMAZON_FASHION_5__2[[#This Row],[overall]]&gt;=4,"Positive",IF(AMAZON_FASHION_5__2[[#This Row],[overall]]&lt;=2,"Negative","Neutral"))</f>
        <v>Positive</v>
      </c>
      <c r="S19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68" spans="1:19" x14ac:dyDescent="0.25">
      <c r="A1968">
        <v>5</v>
      </c>
      <c r="B1968" t="b">
        <v>1</v>
      </c>
      <c r="C1968" s="1">
        <v>42457</v>
      </c>
      <c r="D1968">
        <f>YEAR(AMAZON_FASHION_5__2[[#This Row],[reviewDate]])</f>
        <v>2016</v>
      </c>
      <c r="E1968" s="1" t="str">
        <f>TEXT(AMAZON_FASHION_5__2[[#This Row],[reviewDate]], "mmmm")</f>
        <v>March</v>
      </c>
      <c r="F1968" t="s">
        <v>215</v>
      </c>
      <c r="G1968" t="s">
        <v>1490</v>
      </c>
      <c r="H1968" t="s">
        <v>216</v>
      </c>
      <c r="I1968" t="s">
        <v>217</v>
      </c>
      <c r="J1968" t="s">
        <v>218</v>
      </c>
      <c r="K1968" t="s">
        <v>219</v>
      </c>
      <c r="L1968" t="s">
        <v>17</v>
      </c>
      <c r="M1968">
        <v>1459123200</v>
      </c>
      <c r="N1968" t="s">
        <v>1628</v>
      </c>
      <c r="O1968" t="s">
        <v>1628</v>
      </c>
      <c r="P1968" t="s">
        <v>1628</v>
      </c>
      <c r="Q1968">
        <f>LEN(AMAZON_FASHION_5__2[[#This Row],[reviewText]])</f>
        <v>9</v>
      </c>
      <c r="R1968" t="str">
        <f>IF(AMAZON_FASHION_5__2[[#This Row],[overall]]&gt;=4,"Positive",IF(AMAZON_FASHION_5__2[[#This Row],[overall]]&lt;=2,"Negative","Neutral"))</f>
        <v>Positive</v>
      </c>
      <c r="S19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69" spans="1:19" x14ac:dyDescent="0.25">
      <c r="A1969">
        <v>2</v>
      </c>
      <c r="B1969" t="b">
        <v>1</v>
      </c>
      <c r="C1969" s="1">
        <v>42457</v>
      </c>
      <c r="D1969">
        <f>YEAR(AMAZON_FASHION_5__2[[#This Row],[reviewDate]])</f>
        <v>2016</v>
      </c>
      <c r="E1969" s="1" t="str">
        <f>TEXT(AMAZON_FASHION_5__2[[#This Row],[reviewDate]], "mmmm")</f>
        <v>March</v>
      </c>
      <c r="F1969" t="s">
        <v>220</v>
      </c>
      <c r="G1969" t="s">
        <v>1490</v>
      </c>
      <c r="H1969" t="s">
        <v>221</v>
      </c>
      <c r="I1969" t="s">
        <v>217</v>
      </c>
      <c r="J1969" t="s">
        <v>63</v>
      </c>
      <c r="K1969" t="s">
        <v>222</v>
      </c>
      <c r="L1969" t="s">
        <v>223</v>
      </c>
      <c r="M1969">
        <v>1459123200</v>
      </c>
      <c r="N1969" t="s">
        <v>1628</v>
      </c>
      <c r="O1969" t="s">
        <v>1628</v>
      </c>
      <c r="P1969" t="s">
        <v>1628</v>
      </c>
      <c r="Q1969">
        <f>LEN(AMAZON_FASHION_5__2[[#This Row],[reviewText]])</f>
        <v>167</v>
      </c>
      <c r="R1969" t="str">
        <f>IF(AMAZON_FASHION_5__2[[#This Row],[overall]]&gt;=4,"Positive",IF(AMAZON_FASHION_5__2[[#This Row],[overall]]&lt;=2,"Negative","Neutral"))</f>
        <v>Negative</v>
      </c>
      <c r="S19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70" spans="1:19" x14ac:dyDescent="0.25">
      <c r="A1970">
        <v>2</v>
      </c>
      <c r="B1970" t="b">
        <v>1</v>
      </c>
      <c r="C1970" s="1">
        <v>42457</v>
      </c>
      <c r="D1970">
        <f>YEAR(AMAZON_FASHION_5__2[[#This Row],[reviewDate]])</f>
        <v>2016</v>
      </c>
      <c r="E1970" s="1" t="str">
        <f>TEXT(AMAZON_FASHION_5__2[[#This Row],[reviewDate]], "mmmm")</f>
        <v>March</v>
      </c>
      <c r="F1970" t="s">
        <v>220</v>
      </c>
      <c r="G1970" t="s">
        <v>1501</v>
      </c>
      <c r="H1970" t="s">
        <v>221</v>
      </c>
      <c r="I1970" t="s">
        <v>217</v>
      </c>
      <c r="J1970" t="s">
        <v>63</v>
      </c>
      <c r="K1970" t="s">
        <v>222</v>
      </c>
      <c r="L1970" t="s">
        <v>223</v>
      </c>
      <c r="M1970">
        <v>1459123200</v>
      </c>
      <c r="N1970" t="s">
        <v>1628</v>
      </c>
      <c r="O1970" t="s">
        <v>1628</v>
      </c>
      <c r="P1970" t="s">
        <v>1628</v>
      </c>
      <c r="Q1970">
        <f>LEN(AMAZON_FASHION_5__2[[#This Row],[reviewText]])</f>
        <v>167</v>
      </c>
      <c r="R1970" t="str">
        <f>IF(AMAZON_FASHION_5__2[[#This Row],[overall]]&gt;=4,"Positive",IF(AMAZON_FASHION_5__2[[#This Row],[overall]]&lt;=2,"Negative","Neutral"))</f>
        <v>Negative</v>
      </c>
      <c r="S19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71" spans="1:19" x14ac:dyDescent="0.25">
      <c r="A1971">
        <v>4</v>
      </c>
      <c r="B1971" t="b">
        <v>1</v>
      </c>
      <c r="C1971" s="1">
        <v>42453</v>
      </c>
      <c r="D1971">
        <f>YEAR(AMAZON_FASHION_5__2[[#This Row],[reviewDate]])</f>
        <v>2016</v>
      </c>
      <c r="E1971" s="1" t="str">
        <f>TEXT(AMAZON_FASHION_5__2[[#This Row],[reviewDate]], "mmmm")</f>
        <v>March</v>
      </c>
      <c r="F1971" t="s">
        <v>224</v>
      </c>
      <c r="G1971" t="s">
        <v>1501</v>
      </c>
      <c r="H1971" t="s">
        <v>225</v>
      </c>
      <c r="I1971" t="s">
        <v>217</v>
      </c>
      <c r="J1971" t="s">
        <v>226</v>
      </c>
      <c r="K1971" t="s">
        <v>227</v>
      </c>
      <c r="L1971" t="s">
        <v>228</v>
      </c>
      <c r="M1971">
        <v>1458777600</v>
      </c>
      <c r="N1971" t="s">
        <v>1628</v>
      </c>
      <c r="O1971" t="s">
        <v>1628</v>
      </c>
      <c r="P1971" t="s">
        <v>1628</v>
      </c>
      <c r="Q1971">
        <f>LEN(AMAZON_FASHION_5__2[[#This Row],[reviewText]])</f>
        <v>132</v>
      </c>
      <c r="R1971" t="str">
        <f>IF(AMAZON_FASHION_5__2[[#This Row],[overall]]&gt;=4,"Positive",IF(AMAZON_FASHION_5__2[[#This Row],[overall]]&lt;=2,"Negative","Neutral"))</f>
        <v>Positive</v>
      </c>
      <c r="S19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72" spans="1:19" x14ac:dyDescent="0.25">
      <c r="A1972">
        <v>3</v>
      </c>
      <c r="B1972" t="b">
        <v>1</v>
      </c>
      <c r="C1972" s="1">
        <v>42452</v>
      </c>
      <c r="D1972">
        <f>YEAR(AMAZON_FASHION_5__2[[#This Row],[reviewDate]])</f>
        <v>2016</v>
      </c>
      <c r="E1972" s="1" t="str">
        <f>TEXT(AMAZON_FASHION_5__2[[#This Row],[reviewDate]], "mmmm")</f>
        <v>March</v>
      </c>
      <c r="F1972" t="s">
        <v>229</v>
      </c>
      <c r="G1972" t="s">
        <v>1501</v>
      </c>
      <c r="H1972" t="s">
        <v>230</v>
      </c>
      <c r="I1972" t="s">
        <v>198</v>
      </c>
      <c r="J1972" t="s">
        <v>231</v>
      </c>
      <c r="K1972" t="s">
        <v>232</v>
      </c>
      <c r="L1972" t="s">
        <v>233</v>
      </c>
      <c r="M1972">
        <v>1458691200</v>
      </c>
      <c r="N1972" t="s">
        <v>1628</v>
      </c>
      <c r="O1972" t="s">
        <v>1628</v>
      </c>
      <c r="P1972">
        <v>7</v>
      </c>
      <c r="Q1972">
        <f>LEN(AMAZON_FASHION_5__2[[#This Row],[reviewText]])</f>
        <v>108</v>
      </c>
      <c r="R1972" t="str">
        <f>IF(AMAZON_FASHION_5__2[[#This Row],[overall]]&gt;=4,"Positive",IF(AMAZON_FASHION_5__2[[#This Row],[overall]]&lt;=2,"Negative","Neutral"))</f>
        <v>Neutral</v>
      </c>
      <c r="S19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73" spans="1:19" x14ac:dyDescent="0.25">
      <c r="A1973">
        <v>5</v>
      </c>
      <c r="B1973" t="b">
        <v>1</v>
      </c>
      <c r="C1973" s="1">
        <v>42449</v>
      </c>
      <c r="D1973">
        <f>YEAR(AMAZON_FASHION_5__2[[#This Row],[reviewDate]])</f>
        <v>2016</v>
      </c>
      <c r="E1973" s="1" t="str">
        <f>TEXT(AMAZON_FASHION_5__2[[#This Row],[reviewDate]], "mmmm")</f>
        <v>March</v>
      </c>
      <c r="F1973" t="s">
        <v>234</v>
      </c>
      <c r="G1973" t="s">
        <v>1501</v>
      </c>
      <c r="H1973" t="s">
        <v>235</v>
      </c>
      <c r="I1973" t="s">
        <v>236</v>
      </c>
      <c r="J1973" t="s">
        <v>237</v>
      </c>
      <c r="K1973" t="s">
        <v>238</v>
      </c>
      <c r="L1973" t="s">
        <v>239</v>
      </c>
      <c r="M1973">
        <v>1458432000</v>
      </c>
      <c r="N1973" t="s">
        <v>1628</v>
      </c>
      <c r="O1973" t="s">
        <v>1628</v>
      </c>
      <c r="P1973" t="s">
        <v>1628</v>
      </c>
      <c r="Q1973">
        <f>LEN(AMAZON_FASHION_5__2[[#This Row],[reviewText]])</f>
        <v>75</v>
      </c>
      <c r="R1973" t="str">
        <f>IF(AMAZON_FASHION_5__2[[#This Row],[overall]]&gt;=4,"Positive",IF(AMAZON_FASHION_5__2[[#This Row],[overall]]&lt;=2,"Negative","Neutral"))</f>
        <v>Positive</v>
      </c>
      <c r="S19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74" spans="1:19" x14ac:dyDescent="0.25">
      <c r="A1974">
        <v>5</v>
      </c>
      <c r="B1974" t="b">
        <v>1</v>
      </c>
      <c r="C1974" s="1">
        <v>42447</v>
      </c>
      <c r="D1974">
        <f>YEAR(AMAZON_FASHION_5__2[[#This Row],[reviewDate]])</f>
        <v>2016</v>
      </c>
      <c r="E1974" s="1" t="str">
        <f>TEXT(AMAZON_FASHION_5__2[[#This Row],[reviewDate]], "mmmm")</f>
        <v>March</v>
      </c>
      <c r="F1974" t="s">
        <v>240</v>
      </c>
      <c r="G1974" t="s">
        <v>1501</v>
      </c>
      <c r="H1974" t="s">
        <v>241</v>
      </c>
      <c r="I1974" t="s">
        <v>217</v>
      </c>
      <c r="J1974" t="s">
        <v>242</v>
      </c>
      <c r="K1974" t="s">
        <v>243</v>
      </c>
      <c r="L1974" t="s">
        <v>17</v>
      </c>
      <c r="M1974">
        <v>1458259200</v>
      </c>
      <c r="N1974" t="s">
        <v>1628</v>
      </c>
      <c r="O1974" t="s">
        <v>1628</v>
      </c>
      <c r="P1974" t="s">
        <v>1628</v>
      </c>
      <c r="Q1974">
        <f>LEN(AMAZON_FASHION_5__2[[#This Row],[reviewText]])</f>
        <v>9</v>
      </c>
      <c r="R1974" t="str">
        <f>IF(AMAZON_FASHION_5__2[[#This Row],[overall]]&gt;=4,"Positive",IF(AMAZON_FASHION_5__2[[#This Row],[overall]]&lt;=2,"Negative","Neutral"))</f>
        <v>Positive</v>
      </c>
      <c r="S19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75" spans="1:19" x14ac:dyDescent="0.25">
      <c r="A1975">
        <v>4</v>
      </c>
      <c r="B1975" t="b">
        <v>1</v>
      </c>
      <c r="C1975" s="1">
        <v>42445</v>
      </c>
      <c r="D1975">
        <f>YEAR(AMAZON_FASHION_5__2[[#This Row],[reviewDate]])</f>
        <v>2016</v>
      </c>
      <c r="E1975" s="1" t="str">
        <f>TEXT(AMAZON_FASHION_5__2[[#This Row],[reviewDate]], "mmmm")</f>
        <v>March</v>
      </c>
      <c r="F1975" t="s">
        <v>1457</v>
      </c>
      <c r="G1975" t="s">
        <v>1501</v>
      </c>
      <c r="H1975" t="s">
        <v>230</v>
      </c>
      <c r="I1975" t="s">
        <v>198</v>
      </c>
      <c r="J1975" t="s">
        <v>1458</v>
      </c>
      <c r="K1975" t="s">
        <v>1459</v>
      </c>
      <c r="L1975" t="s">
        <v>1460</v>
      </c>
      <c r="M1975">
        <v>1458086400</v>
      </c>
      <c r="N1975" t="s">
        <v>1628</v>
      </c>
      <c r="O1975" t="s">
        <v>1628</v>
      </c>
      <c r="P1975" t="s">
        <v>1628</v>
      </c>
      <c r="Q1975">
        <f>LEN(AMAZON_FASHION_5__2[[#This Row],[reviewText]])</f>
        <v>213</v>
      </c>
      <c r="R1975" t="str">
        <f>IF(AMAZON_FASHION_5__2[[#This Row],[overall]]&gt;=4,"Positive",IF(AMAZON_FASHION_5__2[[#This Row],[overall]]&lt;=2,"Negative","Neutral"))</f>
        <v>Positive</v>
      </c>
      <c r="S19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76" spans="1:19" x14ac:dyDescent="0.25">
      <c r="A1976">
        <v>5</v>
      </c>
      <c r="B1976" t="b">
        <v>1</v>
      </c>
      <c r="C1976" s="1">
        <v>42442</v>
      </c>
      <c r="D1976">
        <f>YEAR(AMAZON_FASHION_5__2[[#This Row],[reviewDate]])</f>
        <v>2016</v>
      </c>
      <c r="E1976" s="1" t="str">
        <f>TEXT(AMAZON_FASHION_5__2[[#This Row],[reviewDate]], "mmmm")</f>
        <v>March</v>
      </c>
      <c r="F1976" t="s">
        <v>1461</v>
      </c>
      <c r="G1976" t="s">
        <v>1501</v>
      </c>
      <c r="H1976" t="s">
        <v>230</v>
      </c>
      <c r="I1976" t="s">
        <v>198</v>
      </c>
      <c r="J1976" t="s">
        <v>63</v>
      </c>
      <c r="K1976" t="s">
        <v>1462</v>
      </c>
      <c r="L1976" t="s">
        <v>1463</v>
      </c>
      <c r="M1976">
        <v>1457827200</v>
      </c>
      <c r="N1976" t="s">
        <v>1628</v>
      </c>
      <c r="O1976" t="s">
        <v>1628</v>
      </c>
      <c r="P1976">
        <v>22</v>
      </c>
      <c r="Q1976">
        <f>LEN(AMAZON_FASHION_5__2[[#This Row],[reviewText]])</f>
        <v>412</v>
      </c>
      <c r="R1976" t="str">
        <f>IF(AMAZON_FASHION_5__2[[#This Row],[overall]]&gt;=4,"Positive",IF(AMAZON_FASHION_5__2[[#This Row],[overall]]&lt;=2,"Negative","Neutral"))</f>
        <v>Positive</v>
      </c>
      <c r="S19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77" spans="1:19" x14ac:dyDescent="0.25">
      <c r="A1977">
        <v>5</v>
      </c>
      <c r="B1977" t="b">
        <v>1</v>
      </c>
      <c r="C1977" s="1">
        <v>42435</v>
      </c>
      <c r="D1977">
        <f>YEAR(AMAZON_FASHION_5__2[[#This Row],[reviewDate]])</f>
        <v>2016</v>
      </c>
      <c r="E1977" s="1" t="str">
        <f>TEXT(AMAZON_FASHION_5__2[[#This Row],[reviewDate]], "mmmm")</f>
        <v>March</v>
      </c>
      <c r="F1977" t="s">
        <v>1464</v>
      </c>
      <c r="G1977" t="s">
        <v>1501</v>
      </c>
      <c r="H1977" t="s">
        <v>320</v>
      </c>
      <c r="I1977" t="s">
        <v>198</v>
      </c>
      <c r="J1977" t="s">
        <v>63</v>
      </c>
      <c r="K1977" t="s">
        <v>1465</v>
      </c>
      <c r="L1977" t="s">
        <v>17</v>
      </c>
      <c r="M1977">
        <v>1457222400</v>
      </c>
      <c r="N1977" t="s">
        <v>1628</v>
      </c>
      <c r="O1977" t="s">
        <v>1628</v>
      </c>
      <c r="P1977" t="s">
        <v>1628</v>
      </c>
      <c r="Q1977">
        <f>LEN(AMAZON_FASHION_5__2[[#This Row],[reviewText]])</f>
        <v>17</v>
      </c>
      <c r="R1977" t="str">
        <f>IF(AMAZON_FASHION_5__2[[#This Row],[overall]]&gt;=4,"Positive",IF(AMAZON_FASHION_5__2[[#This Row],[overall]]&lt;=2,"Negative","Neutral"))</f>
        <v>Positive</v>
      </c>
      <c r="S19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78" spans="1:19" x14ac:dyDescent="0.25">
      <c r="A1978">
        <v>5</v>
      </c>
      <c r="B1978" t="b">
        <v>1</v>
      </c>
      <c r="C1978" s="1">
        <v>42431</v>
      </c>
      <c r="D1978">
        <f>YEAR(AMAZON_FASHION_5__2[[#This Row],[reviewDate]])</f>
        <v>2016</v>
      </c>
      <c r="E1978" s="1" t="str">
        <f>TEXT(AMAZON_FASHION_5__2[[#This Row],[reviewDate]], "mmmm")</f>
        <v>March</v>
      </c>
      <c r="F1978" t="s">
        <v>1466</v>
      </c>
      <c r="G1978" t="s">
        <v>1501</v>
      </c>
      <c r="H1978" t="s">
        <v>221</v>
      </c>
      <c r="I1978" t="s">
        <v>217</v>
      </c>
      <c r="J1978" t="s">
        <v>1467</v>
      </c>
      <c r="K1978" t="s">
        <v>1468</v>
      </c>
      <c r="L1978" t="s">
        <v>1469</v>
      </c>
      <c r="M1978">
        <v>1456876800</v>
      </c>
      <c r="N1978" t="s">
        <v>1628</v>
      </c>
      <c r="O1978" t="s">
        <v>1628</v>
      </c>
      <c r="P1978" t="s">
        <v>1628</v>
      </c>
      <c r="Q1978">
        <f>LEN(AMAZON_FASHION_5__2[[#This Row],[reviewText]])</f>
        <v>55</v>
      </c>
      <c r="R1978" t="str">
        <f>IF(AMAZON_FASHION_5__2[[#This Row],[overall]]&gt;=4,"Positive",IF(AMAZON_FASHION_5__2[[#This Row],[overall]]&lt;=2,"Negative","Neutral"))</f>
        <v>Positive</v>
      </c>
      <c r="S19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79" spans="1:19" x14ac:dyDescent="0.25">
      <c r="A1979">
        <v>5</v>
      </c>
      <c r="B1979" t="b">
        <v>1</v>
      </c>
      <c r="C1979" s="1">
        <v>43254</v>
      </c>
      <c r="D1979">
        <f>YEAR(AMAZON_FASHION_5__2[[#This Row],[reviewDate]])</f>
        <v>2018</v>
      </c>
      <c r="E1979" s="1" t="str">
        <f>TEXT(AMAZON_FASHION_5__2[[#This Row],[reviewDate]], "mmmm")</f>
        <v>June</v>
      </c>
      <c r="F1979" t="s">
        <v>1502</v>
      </c>
      <c r="G1979" t="s">
        <v>1501</v>
      </c>
      <c r="H1979" t="s">
        <v>201</v>
      </c>
      <c r="I1979" t="s">
        <v>198</v>
      </c>
      <c r="J1979" t="s">
        <v>1503</v>
      </c>
      <c r="K1979" t="s">
        <v>1504</v>
      </c>
      <c r="L1979" t="s">
        <v>17</v>
      </c>
      <c r="M1979">
        <v>1527984000</v>
      </c>
      <c r="N1979" t="s">
        <v>1628</v>
      </c>
      <c r="O1979" t="s">
        <v>1628</v>
      </c>
      <c r="P1979" t="s">
        <v>1628</v>
      </c>
      <c r="Q1979">
        <f>LEN(AMAZON_FASHION_5__2[[#This Row],[reviewText]])</f>
        <v>47</v>
      </c>
      <c r="R1979" t="str">
        <f>IF(AMAZON_FASHION_5__2[[#This Row],[overall]]&gt;=4,"Positive",IF(AMAZON_FASHION_5__2[[#This Row],[overall]]&lt;=2,"Negative","Neutral"))</f>
        <v>Positive</v>
      </c>
      <c r="S19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80" spans="1:19" x14ac:dyDescent="0.25">
      <c r="A1980">
        <v>5</v>
      </c>
      <c r="B1980" t="b">
        <v>1</v>
      </c>
      <c r="C1980" s="1">
        <v>43242</v>
      </c>
      <c r="D1980">
        <f>YEAR(AMAZON_FASHION_5__2[[#This Row],[reviewDate]])</f>
        <v>2018</v>
      </c>
      <c r="E1980" s="1" t="str">
        <f>TEXT(AMAZON_FASHION_5__2[[#This Row],[reviewDate]], "mmmm")</f>
        <v>May</v>
      </c>
      <c r="F1980" t="s">
        <v>1491</v>
      </c>
      <c r="G1980" t="s">
        <v>1501</v>
      </c>
      <c r="H1980" t="s">
        <v>261</v>
      </c>
      <c r="I1980" t="s">
        <v>249</v>
      </c>
      <c r="J1980" t="s">
        <v>1492</v>
      </c>
      <c r="K1980" t="s">
        <v>1493</v>
      </c>
      <c r="L1980" t="s">
        <v>1494</v>
      </c>
      <c r="M1980">
        <v>1526947200</v>
      </c>
      <c r="N1980" t="s">
        <v>1628</v>
      </c>
      <c r="O1980" t="s">
        <v>1628</v>
      </c>
      <c r="P1980" t="s">
        <v>1628</v>
      </c>
      <c r="Q1980">
        <f>LEN(AMAZON_FASHION_5__2[[#This Row],[reviewText]])</f>
        <v>372</v>
      </c>
      <c r="R1980" t="str">
        <f>IF(AMAZON_FASHION_5__2[[#This Row],[overall]]&gt;=4,"Positive",IF(AMAZON_FASHION_5__2[[#This Row],[overall]]&lt;=2,"Negative","Neutral"))</f>
        <v>Positive</v>
      </c>
      <c r="S19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81" spans="1:19" x14ac:dyDescent="0.25">
      <c r="A1981">
        <v>5</v>
      </c>
      <c r="B1981" t="b">
        <v>1</v>
      </c>
      <c r="C1981" s="1">
        <v>43236</v>
      </c>
      <c r="D1981">
        <f>YEAR(AMAZON_FASHION_5__2[[#This Row],[reviewDate]])</f>
        <v>2018</v>
      </c>
      <c r="E1981" s="1" t="str">
        <f>TEXT(AMAZON_FASHION_5__2[[#This Row],[reviewDate]], "mmmm")</f>
        <v>May</v>
      </c>
      <c r="F1981" t="s">
        <v>1495</v>
      </c>
      <c r="G1981" t="s">
        <v>1501</v>
      </c>
      <c r="H1981" t="s">
        <v>477</v>
      </c>
      <c r="I1981" t="s">
        <v>198</v>
      </c>
      <c r="J1981" t="s">
        <v>1496</v>
      </c>
      <c r="K1981" t="s">
        <v>1497</v>
      </c>
      <c r="L1981" t="s">
        <v>1498</v>
      </c>
      <c r="M1981">
        <v>1526428800</v>
      </c>
      <c r="N1981" t="s">
        <v>1628</v>
      </c>
      <c r="O1981" t="s">
        <v>1628</v>
      </c>
      <c r="P1981" t="s">
        <v>1628</v>
      </c>
      <c r="Q1981">
        <f>LEN(AMAZON_FASHION_5__2[[#This Row],[reviewText]])</f>
        <v>17</v>
      </c>
      <c r="R1981" t="str">
        <f>IF(AMAZON_FASHION_5__2[[#This Row],[overall]]&gt;=4,"Positive",IF(AMAZON_FASHION_5__2[[#This Row],[overall]]&lt;=2,"Negative","Neutral"))</f>
        <v>Positive</v>
      </c>
      <c r="S19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82" spans="1:19" x14ac:dyDescent="0.25">
      <c r="A1982">
        <v>5</v>
      </c>
      <c r="B1982" t="b">
        <v>1</v>
      </c>
      <c r="C1982" s="1">
        <v>43236</v>
      </c>
      <c r="D1982">
        <f>YEAR(AMAZON_FASHION_5__2[[#This Row],[reviewDate]])</f>
        <v>2018</v>
      </c>
      <c r="E1982" s="1" t="str">
        <f>TEXT(AMAZON_FASHION_5__2[[#This Row],[reviewDate]], "mmmm")</f>
        <v>May</v>
      </c>
      <c r="F1982" t="s">
        <v>1480</v>
      </c>
      <c r="G1982" t="s">
        <v>1501</v>
      </c>
      <c r="H1982" t="s">
        <v>558</v>
      </c>
      <c r="I1982" t="s">
        <v>198</v>
      </c>
      <c r="J1982" t="s">
        <v>1481</v>
      </c>
      <c r="K1982" t="s">
        <v>69</v>
      </c>
      <c r="L1982" t="s">
        <v>17</v>
      </c>
      <c r="M1982">
        <v>1526428800</v>
      </c>
      <c r="N1982" t="s">
        <v>1628</v>
      </c>
      <c r="O1982" t="s">
        <v>1628</v>
      </c>
      <c r="P1982" t="s">
        <v>1628</v>
      </c>
      <c r="Q1982">
        <f>LEN(AMAZON_FASHION_5__2[[#This Row],[reviewText]])</f>
        <v>11</v>
      </c>
      <c r="R1982" t="str">
        <f>IF(AMAZON_FASHION_5__2[[#This Row],[overall]]&gt;=4,"Positive",IF(AMAZON_FASHION_5__2[[#This Row],[overall]]&lt;=2,"Negative","Neutral"))</f>
        <v>Positive</v>
      </c>
      <c r="S19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83" spans="1:19" x14ac:dyDescent="0.25">
      <c r="A1983">
        <v>3</v>
      </c>
      <c r="B1983" t="b">
        <v>1</v>
      </c>
      <c r="C1983" s="1">
        <v>43235</v>
      </c>
      <c r="D1983">
        <f>YEAR(AMAZON_FASHION_5__2[[#This Row],[reviewDate]])</f>
        <v>2018</v>
      </c>
      <c r="E1983" s="1" t="str">
        <f>TEXT(AMAZON_FASHION_5__2[[#This Row],[reviewDate]], "mmmm")</f>
        <v>May</v>
      </c>
      <c r="F1983" t="s">
        <v>1482</v>
      </c>
      <c r="G1983" t="s">
        <v>1501</v>
      </c>
      <c r="H1983" t="s">
        <v>230</v>
      </c>
      <c r="I1983" t="s">
        <v>249</v>
      </c>
      <c r="J1983" t="s">
        <v>63</v>
      </c>
      <c r="K1983" t="s">
        <v>1483</v>
      </c>
      <c r="L1983" t="s">
        <v>101</v>
      </c>
      <c r="M1983">
        <v>1526342400</v>
      </c>
      <c r="N1983" t="s">
        <v>1628</v>
      </c>
      <c r="O1983" t="s">
        <v>1628</v>
      </c>
      <c r="P1983" t="s">
        <v>1628</v>
      </c>
      <c r="Q1983">
        <f>LEN(AMAZON_FASHION_5__2[[#This Row],[reviewText]])</f>
        <v>39</v>
      </c>
      <c r="R1983" t="str">
        <f>IF(AMAZON_FASHION_5__2[[#This Row],[overall]]&gt;=4,"Positive",IF(AMAZON_FASHION_5__2[[#This Row],[overall]]&lt;=2,"Negative","Neutral"))</f>
        <v>Neutral</v>
      </c>
      <c r="S19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84" spans="1:19" x14ac:dyDescent="0.25">
      <c r="A1984">
        <v>3</v>
      </c>
      <c r="B1984" t="b">
        <v>1</v>
      </c>
      <c r="C1984" s="1">
        <v>43235</v>
      </c>
      <c r="D1984">
        <f>YEAR(AMAZON_FASHION_5__2[[#This Row],[reviewDate]])</f>
        <v>2018</v>
      </c>
      <c r="E1984" s="1" t="str">
        <f>TEXT(AMAZON_FASHION_5__2[[#This Row],[reviewDate]], "mmmm")</f>
        <v>May</v>
      </c>
      <c r="F1984" t="s">
        <v>1484</v>
      </c>
      <c r="G1984" t="s">
        <v>1501</v>
      </c>
      <c r="H1984" t="s">
        <v>210</v>
      </c>
      <c r="I1984" t="s">
        <v>249</v>
      </c>
      <c r="J1984" t="s">
        <v>1485</v>
      </c>
      <c r="K1984" t="s">
        <v>1486</v>
      </c>
      <c r="L1984" t="s">
        <v>1487</v>
      </c>
      <c r="M1984">
        <v>1526342400</v>
      </c>
      <c r="N1984" t="s">
        <v>1628</v>
      </c>
      <c r="O1984" t="s">
        <v>1628</v>
      </c>
      <c r="P1984" t="s">
        <v>1628</v>
      </c>
      <c r="Q1984">
        <f>LEN(AMAZON_FASHION_5__2[[#This Row],[reviewText]])</f>
        <v>173</v>
      </c>
      <c r="R1984" t="str">
        <f>IF(AMAZON_FASHION_5__2[[#This Row],[overall]]&gt;=4,"Positive",IF(AMAZON_FASHION_5__2[[#This Row],[overall]]&lt;=2,"Negative","Neutral"))</f>
        <v>Neutral</v>
      </c>
      <c r="S19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85" spans="1:19" x14ac:dyDescent="0.25">
      <c r="A1985">
        <v>5</v>
      </c>
      <c r="B1985" t="b">
        <v>1</v>
      </c>
      <c r="C1985" s="1">
        <v>43225</v>
      </c>
      <c r="D1985">
        <f>YEAR(AMAZON_FASHION_5__2[[#This Row],[reviewDate]])</f>
        <v>2018</v>
      </c>
      <c r="E1985" s="1" t="str">
        <f>TEXT(AMAZON_FASHION_5__2[[#This Row],[reviewDate]], "mmmm")</f>
        <v>May</v>
      </c>
      <c r="F1985" t="s">
        <v>1470</v>
      </c>
      <c r="G1985" t="s">
        <v>1501</v>
      </c>
      <c r="H1985" t="s">
        <v>230</v>
      </c>
      <c r="I1985" t="s">
        <v>548</v>
      </c>
      <c r="J1985" t="s">
        <v>1471</v>
      </c>
      <c r="K1985" t="s">
        <v>1472</v>
      </c>
      <c r="L1985" t="s">
        <v>17</v>
      </c>
      <c r="M1985">
        <v>1525478400</v>
      </c>
      <c r="N1985" t="s">
        <v>1628</v>
      </c>
      <c r="O1985" t="s">
        <v>1628</v>
      </c>
      <c r="P1985" t="s">
        <v>1628</v>
      </c>
      <c r="Q1985">
        <f>LEN(AMAZON_FASHION_5__2[[#This Row],[reviewText]])</f>
        <v>71</v>
      </c>
      <c r="R1985" t="str">
        <f>IF(AMAZON_FASHION_5__2[[#This Row],[overall]]&gt;=4,"Positive",IF(AMAZON_FASHION_5__2[[#This Row],[overall]]&lt;=2,"Negative","Neutral"))</f>
        <v>Positive</v>
      </c>
      <c r="S19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86" spans="1:19" x14ac:dyDescent="0.25">
      <c r="A1986">
        <v>5</v>
      </c>
      <c r="B1986" t="b">
        <v>1</v>
      </c>
      <c r="C1986" s="1">
        <v>43223</v>
      </c>
      <c r="D1986">
        <f>YEAR(AMAZON_FASHION_5__2[[#This Row],[reviewDate]])</f>
        <v>2018</v>
      </c>
      <c r="E1986" s="1" t="str">
        <f>TEXT(AMAZON_FASHION_5__2[[#This Row],[reviewDate]], "mmmm")</f>
        <v>May</v>
      </c>
      <c r="F1986" t="s">
        <v>1473</v>
      </c>
      <c r="G1986" t="s">
        <v>1501</v>
      </c>
      <c r="H1986" t="s">
        <v>201</v>
      </c>
      <c r="I1986" t="s">
        <v>524</v>
      </c>
      <c r="J1986" t="s">
        <v>1474</v>
      </c>
      <c r="K1986" t="s">
        <v>1475</v>
      </c>
      <c r="L1986" t="s">
        <v>17</v>
      </c>
      <c r="M1986">
        <v>1525305600</v>
      </c>
      <c r="N1986" t="s">
        <v>1628</v>
      </c>
      <c r="O1986" t="s">
        <v>1628</v>
      </c>
      <c r="P1986" t="s">
        <v>1628</v>
      </c>
      <c r="Q1986">
        <f>LEN(AMAZON_FASHION_5__2[[#This Row],[reviewText]])</f>
        <v>90</v>
      </c>
      <c r="R1986" t="str">
        <f>IF(AMAZON_FASHION_5__2[[#This Row],[overall]]&gt;=4,"Positive",IF(AMAZON_FASHION_5__2[[#This Row],[overall]]&lt;=2,"Negative","Neutral"))</f>
        <v>Positive</v>
      </c>
      <c r="S19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87" spans="1:19" x14ac:dyDescent="0.25">
      <c r="A1987">
        <v>3</v>
      </c>
      <c r="B1987" t="b">
        <v>1</v>
      </c>
      <c r="C1987" s="1">
        <v>43220</v>
      </c>
      <c r="D1987">
        <f>YEAR(AMAZON_FASHION_5__2[[#This Row],[reviewDate]])</f>
        <v>2018</v>
      </c>
      <c r="E1987" s="1" t="str">
        <f>TEXT(AMAZON_FASHION_5__2[[#This Row],[reviewDate]], "mmmm")</f>
        <v>April</v>
      </c>
      <c r="F1987" t="s">
        <v>1446</v>
      </c>
      <c r="G1987" t="s">
        <v>1501</v>
      </c>
      <c r="H1987" t="s">
        <v>1145</v>
      </c>
      <c r="I1987" t="s">
        <v>411</v>
      </c>
      <c r="J1987" t="s">
        <v>63</v>
      </c>
      <c r="K1987" t="s">
        <v>1447</v>
      </c>
      <c r="L1987" t="s">
        <v>101</v>
      </c>
      <c r="M1987">
        <v>1525046400</v>
      </c>
      <c r="N1987" t="s">
        <v>1628</v>
      </c>
      <c r="O1987" t="s">
        <v>1628</v>
      </c>
      <c r="P1987" t="s">
        <v>1628</v>
      </c>
      <c r="Q1987">
        <f>LEN(AMAZON_FASHION_5__2[[#This Row],[reviewText]])</f>
        <v>14</v>
      </c>
      <c r="R1987" t="str">
        <f>IF(AMAZON_FASHION_5__2[[#This Row],[overall]]&gt;=4,"Positive",IF(AMAZON_FASHION_5__2[[#This Row],[overall]]&lt;=2,"Negative","Neutral"))</f>
        <v>Neutral</v>
      </c>
      <c r="S19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88" spans="1:19" x14ac:dyDescent="0.25">
      <c r="A1988">
        <v>5</v>
      </c>
      <c r="B1988" t="b">
        <v>1</v>
      </c>
      <c r="C1988" s="1">
        <v>43216</v>
      </c>
      <c r="D1988">
        <f>YEAR(AMAZON_FASHION_5__2[[#This Row],[reviewDate]])</f>
        <v>2018</v>
      </c>
      <c r="E1988" s="1" t="str">
        <f>TEXT(AMAZON_FASHION_5__2[[#This Row],[reviewDate]], "mmmm")</f>
        <v>April</v>
      </c>
      <c r="F1988" t="s">
        <v>1448</v>
      </c>
      <c r="G1988" t="s">
        <v>1501</v>
      </c>
      <c r="H1988" t="s">
        <v>205</v>
      </c>
      <c r="I1988" t="s">
        <v>435</v>
      </c>
      <c r="J1988" t="s">
        <v>1449</v>
      </c>
      <c r="K1988" t="s">
        <v>1450</v>
      </c>
      <c r="L1988" t="s">
        <v>17</v>
      </c>
      <c r="M1988">
        <v>1524700800</v>
      </c>
      <c r="N1988" t="s">
        <v>1628</v>
      </c>
      <c r="O1988" t="s">
        <v>1628</v>
      </c>
      <c r="P1988" t="s">
        <v>1628</v>
      </c>
      <c r="Q1988">
        <f>LEN(AMAZON_FASHION_5__2[[#This Row],[reviewText]])</f>
        <v>43</v>
      </c>
      <c r="R1988" t="str">
        <f>IF(AMAZON_FASHION_5__2[[#This Row],[overall]]&gt;=4,"Positive",IF(AMAZON_FASHION_5__2[[#This Row],[overall]]&lt;=2,"Negative","Neutral"))</f>
        <v>Positive</v>
      </c>
      <c r="S19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89" spans="1:19" x14ac:dyDescent="0.25">
      <c r="A1989">
        <v>5</v>
      </c>
      <c r="B1989" t="b">
        <v>1</v>
      </c>
      <c r="C1989" s="1">
        <v>43214</v>
      </c>
      <c r="D1989">
        <f>YEAR(AMAZON_FASHION_5__2[[#This Row],[reviewDate]])</f>
        <v>2018</v>
      </c>
      <c r="E1989" s="1" t="str">
        <f>TEXT(AMAZON_FASHION_5__2[[#This Row],[reviewDate]], "mmmm")</f>
        <v>April</v>
      </c>
      <c r="F1989" t="s">
        <v>1451</v>
      </c>
      <c r="G1989" t="s">
        <v>1501</v>
      </c>
      <c r="H1989" t="s">
        <v>205</v>
      </c>
      <c r="I1989" t="s">
        <v>198</v>
      </c>
      <c r="J1989" t="s">
        <v>1452</v>
      </c>
      <c r="K1989" t="s">
        <v>1453</v>
      </c>
      <c r="L1989" t="s">
        <v>1454</v>
      </c>
      <c r="M1989">
        <v>1524528000</v>
      </c>
      <c r="N1989" t="s">
        <v>1628</v>
      </c>
      <c r="O1989" t="s">
        <v>1628</v>
      </c>
      <c r="P1989" t="s">
        <v>1628</v>
      </c>
      <c r="Q1989">
        <f>LEN(AMAZON_FASHION_5__2[[#This Row],[reviewText]])</f>
        <v>160</v>
      </c>
      <c r="R1989" t="str">
        <f>IF(AMAZON_FASHION_5__2[[#This Row],[overall]]&gt;=4,"Positive",IF(AMAZON_FASHION_5__2[[#This Row],[overall]]&lt;=2,"Negative","Neutral"))</f>
        <v>Positive</v>
      </c>
      <c r="S19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90" spans="1:19" x14ac:dyDescent="0.25">
      <c r="A1990">
        <v>5</v>
      </c>
      <c r="B1990" t="b">
        <v>1</v>
      </c>
      <c r="C1990" s="1">
        <v>43212</v>
      </c>
      <c r="D1990">
        <f>YEAR(AMAZON_FASHION_5__2[[#This Row],[reviewDate]])</f>
        <v>2018</v>
      </c>
      <c r="E1990" s="1" t="str">
        <f>TEXT(AMAZON_FASHION_5__2[[#This Row],[reviewDate]], "mmmm")</f>
        <v>April</v>
      </c>
      <c r="F1990" t="s">
        <v>244</v>
      </c>
      <c r="G1990" t="s">
        <v>1501</v>
      </c>
      <c r="H1990" t="s">
        <v>197</v>
      </c>
      <c r="I1990" t="s">
        <v>198</v>
      </c>
      <c r="J1990" t="s">
        <v>245</v>
      </c>
      <c r="K1990" t="s">
        <v>246</v>
      </c>
      <c r="L1990" t="s">
        <v>247</v>
      </c>
      <c r="M1990">
        <v>1524355200</v>
      </c>
      <c r="N1990" t="s">
        <v>1628</v>
      </c>
      <c r="O1990" t="s">
        <v>1628</v>
      </c>
      <c r="P1990" t="s">
        <v>1628</v>
      </c>
      <c r="Q1990">
        <f>LEN(AMAZON_FASHION_5__2[[#This Row],[reviewText]])</f>
        <v>148</v>
      </c>
      <c r="R1990" t="str">
        <f>IF(AMAZON_FASHION_5__2[[#This Row],[overall]]&gt;=4,"Positive",IF(AMAZON_FASHION_5__2[[#This Row],[overall]]&lt;=2,"Negative","Neutral"))</f>
        <v>Positive</v>
      </c>
      <c r="S19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91" spans="1:19" x14ac:dyDescent="0.25">
      <c r="A1991">
        <v>3</v>
      </c>
      <c r="B1991" t="b">
        <v>1</v>
      </c>
      <c r="C1991" s="1">
        <v>43209</v>
      </c>
      <c r="D1991">
        <f>YEAR(AMAZON_FASHION_5__2[[#This Row],[reviewDate]])</f>
        <v>2018</v>
      </c>
      <c r="E1991" s="1" t="str">
        <f>TEXT(AMAZON_FASHION_5__2[[#This Row],[reviewDate]], "mmmm")</f>
        <v>April</v>
      </c>
      <c r="F1991" t="s">
        <v>248</v>
      </c>
      <c r="G1991" t="s">
        <v>1501</v>
      </c>
      <c r="H1991" t="s">
        <v>210</v>
      </c>
      <c r="I1991" t="s">
        <v>249</v>
      </c>
      <c r="J1991" t="s">
        <v>250</v>
      </c>
      <c r="K1991" t="s">
        <v>251</v>
      </c>
      <c r="L1991" t="s">
        <v>252</v>
      </c>
      <c r="M1991">
        <v>1524096000</v>
      </c>
      <c r="N1991" t="s">
        <v>1628</v>
      </c>
      <c r="O1991" t="s">
        <v>1628</v>
      </c>
      <c r="P1991" t="s">
        <v>1628</v>
      </c>
      <c r="Q1991">
        <f>LEN(AMAZON_FASHION_5__2[[#This Row],[reviewText]])</f>
        <v>125</v>
      </c>
      <c r="R1991" t="str">
        <f>IF(AMAZON_FASHION_5__2[[#This Row],[overall]]&gt;=4,"Positive",IF(AMAZON_FASHION_5__2[[#This Row],[overall]]&lt;=2,"Negative","Neutral"))</f>
        <v>Neutral</v>
      </c>
      <c r="S19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92" spans="1:19" x14ac:dyDescent="0.25">
      <c r="A1992">
        <v>5</v>
      </c>
      <c r="B1992" t="b">
        <v>1</v>
      </c>
      <c r="C1992" s="1">
        <v>43208</v>
      </c>
      <c r="D1992">
        <f>YEAR(AMAZON_FASHION_5__2[[#This Row],[reviewDate]])</f>
        <v>2018</v>
      </c>
      <c r="E1992" s="1" t="str">
        <f>TEXT(AMAZON_FASHION_5__2[[#This Row],[reviewDate]], "mmmm")</f>
        <v>April</v>
      </c>
      <c r="F1992" t="s">
        <v>253</v>
      </c>
      <c r="G1992" t="s">
        <v>1501</v>
      </c>
      <c r="H1992" t="s">
        <v>205</v>
      </c>
      <c r="I1992" t="s">
        <v>198</v>
      </c>
      <c r="J1992" t="s">
        <v>254</v>
      </c>
      <c r="K1992" t="s">
        <v>255</v>
      </c>
      <c r="L1992" t="s">
        <v>256</v>
      </c>
      <c r="M1992">
        <v>1524009600</v>
      </c>
      <c r="N1992" t="s">
        <v>1628</v>
      </c>
      <c r="O1992" t="s">
        <v>1628</v>
      </c>
      <c r="P1992" t="s">
        <v>1628</v>
      </c>
      <c r="Q1992">
        <f>LEN(AMAZON_FASHION_5__2[[#This Row],[reviewText]])</f>
        <v>123</v>
      </c>
      <c r="R1992" t="str">
        <f>IF(AMAZON_FASHION_5__2[[#This Row],[overall]]&gt;=4,"Positive",IF(AMAZON_FASHION_5__2[[#This Row],[overall]]&lt;=2,"Negative","Neutral"))</f>
        <v>Positive</v>
      </c>
      <c r="S19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93" spans="1:19" x14ac:dyDescent="0.25">
      <c r="A1993">
        <v>5</v>
      </c>
      <c r="B1993" t="b">
        <v>1</v>
      </c>
      <c r="C1993" s="1">
        <v>43208</v>
      </c>
      <c r="D1993">
        <f>YEAR(AMAZON_FASHION_5__2[[#This Row],[reviewDate]])</f>
        <v>2018</v>
      </c>
      <c r="E1993" s="1" t="str">
        <f>TEXT(AMAZON_FASHION_5__2[[#This Row],[reviewDate]], "mmmm")</f>
        <v>April</v>
      </c>
      <c r="F1993" t="s">
        <v>257</v>
      </c>
      <c r="G1993" t="s">
        <v>1501</v>
      </c>
      <c r="H1993" t="s">
        <v>197</v>
      </c>
      <c r="I1993" t="s">
        <v>249</v>
      </c>
      <c r="J1993" t="s">
        <v>63</v>
      </c>
      <c r="K1993" t="s">
        <v>258</v>
      </c>
      <c r="L1993" t="s">
        <v>259</v>
      </c>
      <c r="M1993">
        <v>1524009600</v>
      </c>
      <c r="N1993" t="s">
        <v>1628</v>
      </c>
      <c r="O1993" t="s">
        <v>1628</v>
      </c>
      <c r="P1993" t="s">
        <v>1628</v>
      </c>
      <c r="Q1993">
        <f>LEN(AMAZON_FASHION_5__2[[#This Row],[reviewText]])</f>
        <v>155</v>
      </c>
      <c r="R1993" t="str">
        <f>IF(AMAZON_FASHION_5__2[[#This Row],[overall]]&gt;=4,"Positive",IF(AMAZON_FASHION_5__2[[#This Row],[overall]]&lt;=2,"Negative","Neutral"))</f>
        <v>Positive</v>
      </c>
      <c r="S19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94" spans="1:19" x14ac:dyDescent="0.25">
      <c r="A1994">
        <v>5</v>
      </c>
      <c r="B1994" t="b">
        <v>1</v>
      </c>
      <c r="C1994" s="1">
        <v>43206</v>
      </c>
      <c r="D1994">
        <f>YEAR(AMAZON_FASHION_5__2[[#This Row],[reviewDate]])</f>
        <v>2018</v>
      </c>
      <c r="E1994" s="1" t="str">
        <f>TEXT(AMAZON_FASHION_5__2[[#This Row],[reviewDate]], "mmmm")</f>
        <v>April</v>
      </c>
      <c r="F1994" t="s">
        <v>260</v>
      </c>
      <c r="G1994" t="s">
        <v>1501</v>
      </c>
      <c r="H1994" t="s">
        <v>261</v>
      </c>
      <c r="I1994" t="s">
        <v>1455</v>
      </c>
      <c r="J1994" t="s">
        <v>263</v>
      </c>
      <c r="K1994" t="s">
        <v>264</v>
      </c>
      <c r="L1994" t="s">
        <v>265</v>
      </c>
      <c r="M1994">
        <v>1523836800</v>
      </c>
      <c r="N1994" t="s">
        <v>1628</v>
      </c>
      <c r="O1994" t="s">
        <v>1628</v>
      </c>
      <c r="P1994" t="s">
        <v>1628</v>
      </c>
      <c r="Q1994">
        <f>LEN(AMAZON_FASHION_5__2[[#This Row],[reviewText]])</f>
        <v>158</v>
      </c>
      <c r="R1994" t="str">
        <f>IF(AMAZON_FASHION_5__2[[#This Row],[overall]]&gt;=4,"Positive",IF(AMAZON_FASHION_5__2[[#This Row],[overall]]&lt;=2,"Negative","Neutral"))</f>
        <v>Positive</v>
      </c>
      <c r="S19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95" spans="1:19" x14ac:dyDescent="0.25">
      <c r="A1995">
        <v>5</v>
      </c>
      <c r="B1995" t="b">
        <v>1</v>
      </c>
      <c r="C1995" s="1">
        <v>43205</v>
      </c>
      <c r="D1995">
        <f>YEAR(AMAZON_FASHION_5__2[[#This Row],[reviewDate]])</f>
        <v>2018</v>
      </c>
      <c r="E1995" s="1" t="str">
        <f>TEXT(AMAZON_FASHION_5__2[[#This Row],[reviewDate]], "mmmm")</f>
        <v>April</v>
      </c>
      <c r="F1995" t="s">
        <v>266</v>
      </c>
      <c r="G1995" t="s">
        <v>1501</v>
      </c>
      <c r="H1995" t="s">
        <v>210</v>
      </c>
      <c r="I1995" t="s">
        <v>198</v>
      </c>
      <c r="J1995" t="s">
        <v>267</v>
      </c>
      <c r="K1995" t="s">
        <v>268</v>
      </c>
      <c r="L1995" t="s">
        <v>269</v>
      </c>
      <c r="M1995">
        <v>1523750400</v>
      </c>
      <c r="N1995" t="s">
        <v>1628</v>
      </c>
      <c r="O1995" t="s">
        <v>1628</v>
      </c>
      <c r="P1995">
        <v>2</v>
      </c>
      <c r="Q1995">
        <f>LEN(AMAZON_FASHION_5__2[[#This Row],[reviewText]])</f>
        <v>774</v>
      </c>
      <c r="R1995" t="str">
        <f>IF(AMAZON_FASHION_5__2[[#This Row],[overall]]&gt;=4,"Positive",IF(AMAZON_FASHION_5__2[[#This Row],[overall]]&lt;=2,"Negative","Neutral"))</f>
        <v>Positive</v>
      </c>
      <c r="S19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96" spans="1:19" x14ac:dyDescent="0.25">
      <c r="A1996">
        <v>3</v>
      </c>
      <c r="B1996" t="b">
        <v>1</v>
      </c>
      <c r="C1996" s="1">
        <v>43203</v>
      </c>
      <c r="D1996">
        <f>YEAR(AMAZON_FASHION_5__2[[#This Row],[reviewDate]])</f>
        <v>2018</v>
      </c>
      <c r="E1996" s="1" t="str">
        <f>TEXT(AMAZON_FASHION_5__2[[#This Row],[reviewDate]], "mmmm")</f>
        <v>April</v>
      </c>
      <c r="F1996" t="s">
        <v>270</v>
      </c>
      <c r="G1996" t="s">
        <v>1501</v>
      </c>
      <c r="H1996" t="s">
        <v>201</v>
      </c>
      <c r="I1996" t="s">
        <v>249</v>
      </c>
      <c r="J1996" t="s">
        <v>271</v>
      </c>
      <c r="K1996" t="s">
        <v>272</v>
      </c>
      <c r="L1996" t="s">
        <v>101</v>
      </c>
      <c r="M1996">
        <v>1523577600</v>
      </c>
      <c r="N1996" t="s">
        <v>1628</v>
      </c>
      <c r="O1996" t="s">
        <v>1628</v>
      </c>
      <c r="P1996" t="s">
        <v>1628</v>
      </c>
      <c r="Q1996">
        <f>LEN(AMAZON_FASHION_5__2[[#This Row],[reviewText]])</f>
        <v>85</v>
      </c>
      <c r="R1996" t="str">
        <f>IF(AMAZON_FASHION_5__2[[#This Row],[overall]]&gt;=4,"Positive",IF(AMAZON_FASHION_5__2[[#This Row],[overall]]&lt;=2,"Negative","Neutral"))</f>
        <v>Neutral</v>
      </c>
      <c r="S19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97" spans="1:19" x14ac:dyDescent="0.25">
      <c r="A1997">
        <v>3</v>
      </c>
      <c r="B1997" t="b">
        <v>1</v>
      </c>
      <c r="C1997" s="1">
        <v>43199</v>
      </c>
      <c r="D1997">
        <f>YEAR(AMAZON_FASHION_5__2[[#This Row],[reviewDate]])</f>
        <v>2018</v>
      </c>
      <c r="E1997" s="1" t="str">
        <f>TEXT(AMAZON_FASHION_5__2[[#This Row],[reviewDate]], "mmmm")</f>
        <v>April</v>
      </c>
      <c r="F1997" t="s">
        <v>273</v>
      </c>
      <c r="G1997" t="s">
        <v>1501</v>
      </c>
      <c r="H1997" t="s">
        <v>197</v>
      </c>
      <c r="I1997" t="s">
        <v>274</v>
      </c>
      <c r="J1997" t="s">
        <v>275</v>
      </c>
      <c r="K1997" t="s">
        <v>276</v>
      </c>
      <c r="L1997" t="s">
        <v>101</v>
      </c>
      <c r="M1997">
        <v>1523232000</v>
      </c>
      <c r="N1997" t="s">
        <v>1628</v>
      </c>
      <c r="O1997" t="s">
        <v>1628</v>
      </c>
      <c r="P1997" t="s">
        <v>1628</v>
      </c>
      <c r="Q1997">
        <f>LEN(AMAZON_FASHION_5__2[[#This Row],[reviewText]])</f>
        <v>4</v>
      </c>
      <c r="R1997" t="str">
        <f>IF(AMAZON_FASHION_5__2[[#This Row],[overall]]&gt;=4,"Positive",IF(AMAZON_FASHION_5__2[[#This Row],[overall]]&lt;=2,"Negative","Neutral"))</f>
        <v>Neutral</v>
      </c>
      <c r="S19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98" spans="1:19" x14ac:dyDescent="0.25">
      <c r="A1998">
        <v>5</v>
      </c>
      <c r="B1998" t="b">
        <v>1</v>
      </c>
      <c r="C1998" s="1">
        <v>43199</v>
      </c>
      <c r="D1998">
        <f>YEAR(AMAZON_FASHION_5__2[[#This Row],[reviewDate]])</f>
        <v>2018</v>
      </c>
      <c r="E1998" s="1" t="str">
        <f>TEXT(AMAZON_FASHION_5__2[[#This Row],[reviewDate]], "mmmm")</f>
        <v>April</v>
      </c>
      <c r="F1998" t="s">
        <v>277</v>
      </c>
      <c r="G1998" t="s">
        <v>1501</v>
      </c>
      <c r="H1998" t="s">
        <v>197</v>
      </c>
      <c r="I1998" t="s">
        <v>198</v>
      </c>
      <c r="J1998" t="s">
        <v>278</v>
      </c>
      <c r="K1998" t="s">
        <v>279</v>
      </c>
      <c r="L1998" t="s">
        <v>17</v>
      </c>
      <c r="M1998">
        <v>1523232000</v>
      </c>
      <c r="N1998" t="s">
        <v>1628</v>
      </c>
      <c r="O1998" t="s">
        <v>1628</v>
      </c>
      <c r="P1998" t="s">
        <v>1628</v>
      </c>
      <c r="Q1998">
        <f>LEN(AMAZON_FASHION_5__2[[#This Row],[reviewText]])</f>
        <v>7</v>
      </c>
      <c r="R1998" t="str">
        <f>IF(AMAZON_FASHION_5__2[[#This Row],[overall]]&gt;=4,"Positive",IF(AMAZON_FASHION_5__2[[#This Row],[overall]]&lt;=2,"Negative","Neutral"))</f>
        <v>Positive</v>
      </c>
      <c r="S19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1999" spans="1:19" x14ac:dyDescent="0.25">
      <c r="A1999">
        <v>5</v>
      </c>
      <c r="B1999" t="b">
        <v>1</v>
      </c>
      <c r="C1999" s="1">
        <v>43198</v>
      </c>
      <c r="D1999">
        <f>YEAR(AMAZON_FASHION_5__2[[#This Row],[reviewDate]])</f>
        <v>2018</v>
      </c>
      <c r="E1999" s="1" t="str">
        <f>TEXT(AMAZON_FASHION_5__2[[#This Row],[reviewDate]], "mmmm")</f>
        <v>April</v>
      </c>
      <c r="F1999" t="s">
        <v>280</v>
      </c>
      <c r="G1999" t="s">
        <v>1501</v>
      </c>
      <c r="H1999" t="s">
        <v>201</v>
      </c>
      <c r="I1999" t="s">
        <v>198</v>
      </c>
      <c r="J1999" t="s">
        <v>281</v>
      </c>
      <c r="K1999" t="s">
        <v>282</v>
      </c>
      <c r="L1999" t="s">
        <v>247</v>
      </c>
      <c r="M1999">
        <v>1523145600</v>
      </c>
      <c r="N1999" t="s">
        <v>1628</v>
      </c>
      <c r="O1999" t="s">
        <v>1628</v>
      </c>
      <c r="P1999" t="s">
        <v>1628</v>
      </c>
      <c r="Q1999">
        <f>LEN(AMAZON_FASHION_5__2[[#This Row],[reviewText]])</f>
        <v>157</v>
      </c>
      <c r="R1999" t="str">
        <f>IF(AMAZON_FASHION_5__2[[#This Row],[overall]]&gt;=4,"Positive",IF(AMAZON_FASHION_5__2[[#This Row],[overall]]&lt;=2,"Negative","Neutral"))</f>
        <v>Positive</v>
      </c>
      <c r="S19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00" spans="1:19" x14ac:dyDescent="0.25">
      <c r="A2000">
        <v>5</v>
      </c>
      <c r="B2000" t="b">
        <v>1</v>
      </c>
      <c r="C2000" s="1">
        <v>43197</v>
      </c>
      <c r="D2000">
        <f>YEAR(AMAZON_FASHION_5__2[[#This Row],[reviewDate]])</f>
        <v>2018</v>
      </c>
      <c r="E2000" s="1" t="str">
        <f>TEXT(AMAZON_FASHION_5__2[[#This Row],[reviewDate]], "mmmm")</f>
        <v>April</v>
      </c>
      <c r="F2000" t="s">
        <v>283</v>
      </c>
      <c r="G2000" t="s">
        <v>1501</v>
      </c>
      <c r="H2000" t="s">
        <v>284</v>
      </c>
      <c r="I2000" t="s">
        <v>274</v>
      </c>
      <c r="J2000" t="s">
        <v>285</v>
      </c>
      <c r="K2000" t="s">
        <v>18</v>
      </c>
      <c r="L2000" t="s">
        <v>17</v>
      </c>
      <c r="M2000">
        <v>1523059200</v>
      </c>
      <c r="N2000" t="s">
        <v>1628</v>
      </c>
      <c r="O2000" t="s">
        <v>1628</v>
      </c>
      <c r="P2000" t="s">
        <v>1628</v>
      </c>
      <c r="Q2000">
        <f>LEN(AMAZON_FASHION_5__2[[#This Row],[reviewText]])</f>
        <v>0</v>
      </c>
      <c r="R2000" t="str">
        <f>IF(AMAZON_FASHION_5__2[[#This Row],[overall]]&gt;=4,"Positive",IF(AMAZON_FASHION_5__2[[#This Row],[overall]]&lt;=2,"Negative","Neutral"))</f>
        <v>Positive</v>
      </c>
      <c r="S20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01" spans="1:19" x14ac:dyDescent="0.25">
      <c r="A2001">
        <v>5</v>
      </c>
      <c r="B2001" t="b">
        <v>1</v>
      </c>
      <c r="C2001" s="1">
        <v>43194</v>
      </c>
      <c r="D2001">
        <f>YEAR(AMAZON_FASHION_5__2[[#This Row],[reviewDate]])</f>
        <v>2018</v>
      </c>
      <c r="E2001" s="1" t="str">
        <f>TEXT(AMAZON_FASHION_5__2[[#This Row],[reviewDate]], "mmmm")</f>
        <v>April</v>
      </c>
      <c r="F2001" t="s">
        <v>286</v>
      </c>
      <c r="G2001" t="s">
        <v>1501</v>
      </c>
      <c r="H2001" t="s">
        <v>210</v>
      </c>
      <c r="I2001" t="s">
        <v>198</v>
      </c>
      <c r="J2001" t="s">
        <v>287</v>
      </c>
      <c r="K2001" t="s">
        <v>288</v>
      </c>
      <c r="L2001" t="s">
        <v>289</v>
      </c>
      <c r="M2001">
        <v>1522800000</v>
      </c>
      <c r="N2001" t="s">
        <v>1628</v>
      </c>
      <c r="O2001" t="s">
        <v>1628</v>
      </c>
      <c r="P2001" t="s">
        <v>1628</v>
      </c>
      <c r="Q2001">
        <f>LEN(AMAZON_FASHION_5__2[[#This Row],[reviewText]])</f>
        <v>35</v>
      </c>
      <c r="R2001" t="str">
        <f>IF(AMAZON_FASHION_5__2[[#This Row],[overall]]&gt;=4,"Positive",IF(AMAZON_FASHION_5__2[[#This Row],[overall]]&lt;=2,"Negative","Neutral"))</f>
        <v>Positive</v>
      </c>
      <c r="S20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02" spans="1:19" x14ac:dyDescent="0.25">
      <c r="A2002">
        <v>4</v>
      </c>
      <c r="B2002" t="b">
        <v>1</v>
      </c>
      <c r="C2002" s="1">
        <v>43193</v>
      </c>
      <c r="D2002">
        <f>YEAR(AMAZON_FASHION_5__2[[#This Row],[reviewDate]])</f>
        <v>2018</v>
      </c>
      <c r="E2002" s="1" t="str">
        <f>TEXT(AMAZON_FASHION_5__2[[#This Row],[reviewDate]], "mmmm")</f>
        <v>April</v>
      </c>
      <c r="F2002" t="s">
        <v>290</v>
      </c>
      <c r="G2002" t="s">
        <v>1501</v>
      </c>
      <c r="H2002" t="s">
        <v>230</v>
      </c>
      <c r="I2002" t="s">
        <v>274</v>
      </c>
      <c r="J2002" t="s">
        <v>291</v>
      </c>
      <c r="K2002" t="s">
        <v>292</v>
      </c>
      <c r="L2002" t="s">
        <v>293</v>
      </c>
      <c r="M2002">
        <v>1522713600</v>
      </c>
      <c r="N2002" t="s">
        <v>1628</v>
      </c>
      <c r="O2002" t="s">
        <v>1628</v>
      </c>
      <c r="P2002" t="s">
        <v>1628</v>
      </c>
      <c r="Q2002">
        <f>LEN(AMAZON_FASHION_5__2[[#This Row],[reviewText]])</f>
        <v>213</v>
      </c>
      <c r="R2002" t="str">
        <f>IF(AMAZON_FASHION_5__2[[#This Row],[overall]]&gt;=4,"Positive",IF(AMAZON_FASHION_5__2[[#This Row],[overall]]&lt;=2,"Negative","Neutral"))</f>
        <v>Positive</v>
      </c>
      <c r="S20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03" spans="1:19" x14ac:dyDescent="0.25">
      <c r="A2003">
        <v>5</v>
      </c>
      <c r="B2003" t="b">
        <v>1</v>
      </c>
      <c r="C2003" s="1">
        <v>43193</v>
      </c>
      <c r="D2003">
        <f>YEAR(AMAZON_FASHION_5__2[[#This Row],[reviewDate]])</f>
        <v>2018</v>
      </c>
      <c r="E2003" s="1" t="str">
        <f>TEXT(AMAZON_FASHION_5__2[[#This Row],[reviewDate]], "mmmm")</f>
        <v>April</v>
      </c>
      <c r="F2003" t="s">
        <v>294</v>
      </c>
      <c r="G2003" t="s">
        <v>1501</v>
      </c>
      <c r="H2003" t="s">
        <v>210</v>
      </c>
      <c r="I2003" t="s">
        <v>198</v>
      </c>
      <c r="J2003" t="s">
        <v>295</v>
      </c>
      <c r="K2003" t="s">
        <v>296</v>
      </c>
      <c r="L2003" t="s">
        <v>297</v>
      </c>
      <c r="M2003">
        <v>1522713600</v>
      </c>
      <c r="N2003" t="s">
        <v>1628</v>
      </c>
      <c r="O2003" t="s">
        <v>1628</v>
      </c>
      <c r="P2003" t="s">
        <v>1628</v>
      </c>
      <c r="Q2003">
        <f>LEN(AMAZON_FASHION_5__2[[#This Row],[reviewText]])</f>
        <v>105</v>
      </c>
      <c r="R2003" t="str">
        <f>IF(AMAZON_FASHION_5__2[[#This Row],[overall]]&gt;=4,"Positive",IF(AMAZON_FASHION_5__2[[#This Row],[overall]]&lt;=2,"Negative","Neutral"))</f>
        <v>Positive</v>
      </c>
      <c r="S20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04" spans="1:19" x14ac:dyDescent="0.25">
      <c r="A2004">
        <v>5</v>
      </c>
      <c r="B2004" t="b">
        <v>1</v>
      </c>
      <c r="C2004" s="1">
        <v>43190</v>
      </c>
      <c r="D2004">
        <f>YEAR(AMAZON_FASHION_5__2[[#This Row],[reviewDate]])</f>
        <v>2018</v>
      </c>
      <c r="E2004" s="1" t="str">
        <f>TEXT(AMAZON_FASHION_5__2[[#This Row],[reviewDate]], "mmmm")</f>
        <v>March</v>
      </c>
      <c r="F2004" t="s">
        <v>298</v>
      </c>
      <c r="G2004" t="s">
        <v>1501</v>
      </c>
      <c r="H2004" t="s">
        <v>230</v>
      </c>
      <c r="I2004" t="s">
        <v>198</v>
      </c>
      <c r="J2004" t="s">
        <v>299</v>
      </c>
      <c r="K2004" t="s">
        <v>300</v>
      </c>
      <c r="L2004" t="s">
        <v>301</v>
      </c>
      <c r="M2004">
        <v>1522454400</v>
      </c>
      <c r="N2004" t="s">
        <v>1628</v>
      </c>
      <c r="O2004" t="s">
        <v>1628</v>
      </c>
      <c r="P2004" t="s">
        <v>1628</v>
      </c>
      <c r="Q2004">
        <f>LEN(AMAZON_FASHION_5__2[[#This Row],[reviewText]])</f>
        <v>48</v>
      </c>
      <c r="R2004" t="str">
        <f>IF(AMAZON_FASHION_5__2[[#This Row],[overall]]&gt;=4,"Positive",IF(AMAZON_FASHION_5__2[[#This Row],[overall]]&lt;=2,"Negative","Neutral"))</f>
        <v>Positive</v>
      </c>
      <c r="S20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05" spans="1:19" x14ac:dyDescent="0.25">
      <c r="A2005">
        <v>5</v>
      </c>
      <c r="B2005" t="b">
        <v>1</v>
      </c>
      <c r="C2005" s="1">
        <v>43187</v>
      </c>
      <c r="D2005">
        <f>YEAR(AMAZON_FASHION_5__2[[#This Row],[reviewDate]])</f>
        <v>2018</v>
      </c>
      <c r="E2005" s="1" t="str">
        <f>TEXT(AMAZON_FASHION_5__2[[#This Row],[reviewDate]], "mmmm")</f>
        <v>March</v>
      </c>
      <c r="F2005" t="s">
        <v>302</v>
      </c>
      <c r="G2005" t="s">
        <v>1501</v>
      </c>
      <c r="H2005" t="s">
        <v>197</v>
      </c>
      <c r="I2005" t="s">
        <v>303</v>
      </c>
      <c r="J2005" t="s">
        <v>304</v>
      </c>
      <c r="K2005" t="s">
        <v>305</v>
      </c>
      <c r="L2005" t="s">
        <v>306</v>
      </c>
      <c r="M2005">
        <v>1522195200</v>
      </c>
      <c r="N2005" t="s">
        <v>1628</v>
      </c>
      <c r="O2005" t="s">
        <v>1628</v>
      </c>
      <c r="P2005" t="s">
        <v>1628</v>
      </c>
      <c r="Q2005">
        <f>LEN(AMAZON_FASHION_5__2[[#This Row],[reviewText]])</f>
        <v>90</v>
      </c>
      <c r="R2005" t="str">
        <f>IF(AMAZON_FASHION_5__2[[#This Row],[overall]]&gt;=4,"Positive",IF(AMAZON_FASHION_5__2[[#This Row],[overall]]&lt;=2,"Negative","Neutral"))</f>
        <v>Positive</v>
      </c>
      <c r="S20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06" spans="1:19" x14ac:dyDescent="0.25">
      <c r="A2006">
        <v>3</v>
      </c>
      <c r="B2006" t="b">
        <v>1</v>
      </c>
      <c r="C2006" s="1">
        <v>43186</v>
      </c>
      <c r="D2006">
        <f>YEAR(AMAZON_FASHION_5__2[[#This Row],[reviewDate]])</f>
        <v>2018</v>
      </c>
      <c r="E2006" s="1" t="str">
        <f>TEXT(AMAZON_FASHION_5__2[[#This Row],[reviewDate]], "mmmm")</f>
        <v>March</v>
      </c>
      <c r="F2006" t="s">
        <v>307</v>
      </c>
      <c r="G2006" t="s">
        <v>1501</v>
      </c>
      <c r="H2006" t="s">
        <v>230</v>
      </c>
      <c r="I2006" t="s">
        <v>274</v>
      </c>
      <c r="J2006" t="s">
        <v>308</v>
      </c>
      <c r="K2006" t="s">
        <v>309</v>
      </c>
      <c r="L2006" t="s">
        <v>310</v>
      </c>
      <c r="M2006">
        <v>1522108800</v>
      </c>
      <c r="N2006" t="s">
        <v>1628</v>
      </c>
      <c r="O2006" t="s">
        <v>1628</v>
      </c>
      <c r="P2006" t="s">
        <v>1628</v>
      </c>
      <c r="Q2006">
        <f>LEN(AMAZON_FASHION_5__2[[#This Row],[reviewText]])</f>
        <v>121</v>
      </c>
      <c r="R2006" t="str">
        <f>IF(AMAZON_FASHION_5__2[[#This Row],[overall]]&gt;=4,"Positive",IF(AMAZON_FASHION_5__2[[#This Row],[overall]]&lt;=2,"Negative","Neutral"))</f>
        <v>Neutral</v>
      </c>
      <c r="S20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07" spans="1:19" x14ac:dyDescent="0.25">
      <c r="A2007">
        <v>5</v>
      </c>
      <c r="B2007" t="b">
        <v>1</v>
      </c>
      <c r="C2007" s="1">
        <v>43181</v>
      </c>
      <c r="D2007">
        <f>YEAR(AMAZON_FASHION_5__2[[#This Row],[reviewDate]])</f>
        <v>2018</v>
      </c>
      <c r="E2007" s="1" t="str">
        <f>TEXT(AMAZON_FASHION_5__2[[#This Row],[reviewDate]], "mmmm")</f>
        <v>March</v>
      </c>
      <c r="F2007" t="s">
        <v>311</v>
      </c>
      <c r="G2007" t="s">
        <v>1501</v>
      </c>
      <c r="H2007" t="s">
        <v>210</v>
      </c>
      <c r="I2007" t="s">
        <v>249</v>
      </c>
      <c r="J2007" t="s">
        <v>312</v>
      </c>
      <c r="K2007" t="s">
        <v>313</v>
      </c>
      <c r="L2007" t="s">
        <v>314</v>
      </c>
      <c r="M2007">
        <v>1521676800</v>
      </c>
      <c r="N2007" t="s">
        <v>1628</v>
      </c>
      <c r="O2007" t="s">
        <v>1628</v>
      </c>
      <c r="P2007">
        <v>2</v>
      </c>
      <c r="Q2007">
        <f>LEN(AMAZON_FASHION_5__2[[#This Row],[reviewText]])</f>
        <v>277</v>
      </c>
      <c r="R2007" t="str">
        <f>IF(AMAZON_FASHION_5__2[[#This Row],[overall]]&gt;=4,"Positive",IF(AMAZON_FASHION_5__2[[#This Row],[overall]]&lt;=2,"Negative","Neutral"))</f>
        <v>Positive</v>
      </c>
      <c r="S20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08" spans="1:19" x14ac:dyDescent="0.25">
      <c r="A2008">
        <v>5</v>
      </c>
      <c r="B2008" t="b">
        <v>1</v>
      </c>
      <c r="C2008" s="1">
        <v>43181</v>
      </c>
      <c r="D2008">
        <f>YEAR(AMAZON_FASHION_5__2[[#This Row],[reviewDate]])</f>
        <v>2018</v>
      </c>
      <c r="E2008" s="1" t="str">
        <f>TEXT(AMAZON_FASHION_5__2[[#This Row],[reviewDate]], "mmmm")</f>
        <v>March</v>
      </c>
      <c r="F2008" t="s">
        <v>315</v>
      </c>
      <c r="G2008" t="s">
        <v>1501</v>
      </c>
      <c r="H2008" t="s">
        <v>205</v>
      </c>
      <c r="I2008" t="s">
        <v>198</v>
      </c>
      <c r="J2008" t="s">
        <v>316</v>
      </c>
      <c r="K2008" t="s">
        <v>317</v>
      </c>
      <c r="L2008" t="s">
        <v>318</v>
      </c>
      <c r="M2008">
        <v>1521676800</v>
      </c>
      <c r="N2008" t="s">
        <v>1628</v>
      </c>
      <c r="O2008" t="s">
        <v>1628</v>
      </c>
      <c r="P2008" t="s">
        <v>1628</v>
      </c>
      <c r="Q2008">
        <f>LEN(AMAZON_FASHION_5__2[[#This Row],[reviewText]])</f>
        <v>129</v>
      </c>
      <c r="R2008" t="str">
        <f>IF(AMAZON_FASHION_5__2[[#This Row],[overall]]&gt;=4,"Positive",IF(AMAZON_FASHION_5__2[[#This Row],[overall]]&lt;=2,"Negative","Neutral"))</f>
        <v>Positive</v>
      </c>
      <c r="S20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09" spans="1:19" x14ac:dyDescent="0.25">
      <c r="A2009">
        <v>5</v>
      </c>
      <c r="B2009" t="b">
        <v>1</v>
      </c>
      <c r="C2009" s="1">
        <v>43180</v>
      </c>
      <c r="D2009">
        <f>YEAR(AMAZON_FASHION_5__2[[#This Row],[reviewDate]])</f>
        <v>2018</v>
      </c>
      <c r="E2009" s="1" t="str">
        <f>TEXT(AMAZON_FASHION_5__2[[#This Row],[reviewDate]], "mmmm")</f>
        <v>March</v>
      </c>
      <c r="F2009" t="s">
        <v>319</v>
      </c>
      <c r="G2009" t="s">
        <v>1501</v>
      </c>
      <c r="H2009" t="s">
        <v>320</v>
      </c>
      <c r="I2009" t="s">
        <v>274</v>
      </c>
      <c r="J2009" t="s">
        <v>321</v>
      </c>
      <c r="K2009" t="s">
        <v>322</v>
      </c>
      <c r="L2009" t="s">
        <v>17</v>
      </c>
      <c r="M2009">
        <v>1521590400</v>
      </c>
      <c r="N2009" t="s">
        <v>1628</v>
      </c>
      <c r="O2009" t="s">
        <v>1628</v>
      </c>
      <c r="P2009" t="s">
        <v>1628</v>
      </c>
      <c r="Q2009">
        <f>LEN(AMAZON_FASHION_5__2[[#This Row],[reviewText]])</f>
        <v>56</v>
      </c>
      <c r="R2009" t="str">
        <f>IF(AMAZON_FASHION_5__2[[#This Row],[overall]]&gt;=4,"Positive",IF(AMAZON_FASHION_5__2[[#This Row],[overall]]&lt;=2,"Negative","Neutral"))</f>
        <v>Positive</v>
      </c>
      <c r="S20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10" spans="1:19" x14ac:dyDescent="0.25">
      <c r="A2010">
        <v>5</v>
      </c>
      <c r="B2010" t="b">
        <v>1</v>
      </c>
      <c r="C2010" s="1">
        <v>43179</v>
      </c>
      <c r="D2010">
        <f>YEAR(AMAZON_FASHION_5__2[[#This Row],[reviewDate]])</f>
        <v>2018</v>
      </c>
      <c r="E2010" s="1" t="str">
        <f>TEXT(AMAZON_FASHION_5__2[[#This Row],[reviewDate]], "mmmm")</f>
        <v>March</v>
      </c>
      <c r="F2010" t="s">
        <v>323</v>
      </c>
      <c r="G2010" t="s">
        <v>1501</v>
      </c>
      <c r="H2010" t="s">
        <v>201</v>
      </c>
      <c r="I2010" t="s">
        <v>198</v>
      </c>
      <c r="J2010" t="s">
        <v>324</v>
      </c>
      <c r="K2010" t="s">
        <v>325</v>
      </c>
      <c r="L2010" t="s">
        <v>326</v>
      </c>
      <c r="M2010">
        <v>1521504000</v>
      </c>
      <c r="N2010" t="s">
        <v>1628</v>
      </c>
      <c r="O2010" t="s">
        <v>1628</v>
      </c>
      <c r="P2010" t="s">
        <v>1628</v>
      </c>
      <c r="Q2010">
        <f>LEN(AMAZON_FASHION_5__2[[#This Row],[reviewText]])</f>
        <v>137</v>
      </c>
      <c r="R2010" t="str">
        <f>IF(AMAZON_FASHION_5__2[[#This Row],[overall]]&gt;=4,"Positive",IF(AMAZON_FASHION_5__2[[#This Row],[overall]]&lt;=2,"Negative","Neutral"))</f>
        <v>Positive</v>
      </c>
      <c r="S20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11" spans="1:19" x14ac:dyDescent="0.25">
      <c r="A2011">
        <v>5</v>
      </c>
      <c r="B2011" t="b">
        <v>1</v>
      </c>
      <c r="C2011" s="1">
        <v>43178</v>
      </c>
      <c r="D2011">
        <f>YEAR(AMAZON_FASHION_5__2[[#This Row],[reviewDate]])</f>
        <v>2018</v>
      </c>
      <c r="E2011" s="1" t="str">
        <f>TEXT(AMAZON_FASHION_5__2[[#This Row],[reviewDate]], "mmmm")</f>
        <v>March</v>
      </c>
      <c r="F2011" t="s">
        <v>327</v>
      </c>
      <c r="G2011" t="s">
        <v>1501</v>
      </c>
      <c r="H2011" t="s">
        <v>230</v>
      </c>
      <c r="I2011" t="s">
        <v>198</v>
      </c>
      <c r="J2011" t="s">
        <v>328</v>
      </c>
      <c r="K2011" t="s">
        <v>329</v>
      </c>
      <c r="L2011" t="s">
        <v>330</v>
      </c>
      <c r="M2011">
        <v>1521417600</v>
      </c>
      <c r="N2011" t="s">
        <v>1628</v>
      </c>
      <c r="O2011" t="s">
        <v>1628</v>
      </c>
      <c r="P2011" t="s">
        <v>1628</v>
      </c>
      <c r="Q2011">
        <f>LEN(AMAZON_FASHION_5__2[[#This Row],[reviewText]])</f>
        <v>211</v>
      </c>
      <c r="R2011" t="str">
        <f>IF(AMAZON_FASHION_5__2[[#This Row],[overall]]&gt;=4,"Positive",IF(AMAZON_FASHION_5__2[[#This Row],[overall]]&lt;=2,"Negative","Neutral"))</f>
        <v>Positive</v>
      </c>
      <c r="S20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12" spans="1:19" x14ac:dyDescent="0.25">
      <c r="A2012">
        <v>5</v>
      </c>
      <c r="B2012" t="b">
        <v>1</v>
      </c>
      <c r="C2012" s="1">
        <v>43178</v>
      </c>
      <c r="D2012">
        <f>YEAR(AMAZON_FASHION_5__2[[#This Row],[reviewDate]])</f>
        <v>2018</v>
      </c>
      <c r="E2012" s="1" t="str">
        <f>TEXT(AMAZON_FASHION_5__2[[#This Row],[reviewDate]], "mmmm")</f>
        <v>March</v>
      </c>
      <c r="F2012" t="s">
        <v>331</v>
      </c>
      <c r="G2012" t="s">
        <v>1501</v>
      </c>
      <c r="H2012" t="s">
        <v>230</v>
      </c>
      <c r="I2012" t="s">
        <v>303</v>
      </c>
      <c r="J2012" t="s">
        <v>332</v>
      </c>
      <c r="K2012" t="s">
        <v>333</v>
      </c>
      <c r="L2012" t="s">
        <v>17</v>
      </c>
      <c r="M2012">
        <v>1521417600</v>
      </c>
      <c r="N2012" t="s">
        <v>1628</v>
      </c>
      <c r="O2012" t="s">
        <v>1628</v>
      </c>
      <c r="P2012" t="s">
        <v>1628</v>
      </c>
      <c r="Q2012">
        <f>LEN(AMAZON_FASHION_5__2[[#This Row],[reviewText]])</f>
        <v>15</v>
      </c>
      <c r="R2012" t="str">
        <f>IF(AMAZON_FASHION_5__2[[#This Row],[overall]]&gt;=4,"Positive",IF(AMAZON_FASHION_5__2[[#This Row],[overall]]&lt;=2,"Negative","Neutral"))</f>
        <v>Positive</v>
      </c>
      <c r="S20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13" spans="1:19" x14ac:dyDescent="0.25">
      <c r="A2013">
        <v>4</v>
      </c>
      <c r="B2013" t="b">
        <v>1</v>
      </c>
      <c r="C2013" s="1">
        <v>43176</v>
      </c>
      <c r="D2013">
        <f>YEAR(AMAZON_FASHION_5__2[[#This Row],[reviewDate]])</f>
        <v>2018</v>
      </c>
      <c r="E2013" s="1" t="str">
        <f>TEXT(AMAZON_FASHION_5__2[[#This Row],[reviewDate]], "mmmm")</f>
        <v>March</v>
      </c>
      <c r="F2013" t="s">
        <v>334</v>
      </c>
      <c r="G2013" t="s">
        <v>1501</v>
      </c>
      <c r="H2013" t="s">
        <v>1499</v>
      </c>
      <c r="I2013" t="s">
        <v>336</v>
      </c>
      <c r="J2013" t="s">
        <v>337</v>
      </c>
      <c r="K2013" t="s">
        <v>338</v>
      </c>
      <c r="L2013" t="s">
        <v>339</v>
      </c>
      <c r="M2013">
        <v>1521244800</v>
      </c>
      <c r="N2013" t="s">
        <v>1628</v>
      </c>
      <c r="O2013" t="s">
        <v>1628</v>
      </c>
      <c r="P2013" t="s">
        <v>1628</v>
      </c>
      <c r="Q2013">
        <f>LEN(AMAZON_FASHION_5__2[[#This Row],[reviewText]])</f>
        <v>127</v>
      </c>
      <c r="R2013" t="str">
        <f>IF(AMAZON_FASHION_5__2[[#This Row],[overall]]&gt;=4,"Positive",IF(AMAZON_FASHION_5__2[[#This Row],[overall]]&lt;=2,"Negative","Neutral"))</f>
        <v>Positive</v>
      </c>
      <c r="S20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14" spans="1:19" x14ac:dyDescent="0.25">
      <c r="A2014">
        <v>5</v>
      </c>
      <c r="B2014" t="b">
        <v>1</v>
      </c>
      <c r="C2014" s="1">
        <v>43172</v>
      </c>
      <c r="D2014">
        <f>YEAR(AMAZON_FASHION_5__2[[#This Row],[reviewDate]])</f>
        <v>2018</v>
      </c>
      <c r="E2014" s="1" t="str">
        <f>TEXT(AMAZON_FASHION_5__2[[#This Row],[reviewDate]], "mmmm")</f>
        <v>March</v>
      </c>
      <c r="F2014" t="s">
        <v>340</v>
      </c>
      <c r="G2014" t="s">
        <v>1501</v>
      </c>
      <c r="H2014" t="s">
        <v>235</v>
      </c>
      <c r="I2014" t="s">
        <v>198</v>
      </c>
      <c r="J2014" t="s">
        <v>341</v>
      </c>
      <c r="K2014" t="s">
        <v>342</v>
      </c>
      <c r="L2014" t="s">
        <v>269</v>
      </c>
      <c r="M2014">
        <v>1520899200</v>
      </c>
      <c r="N2014" t="s">
        <v>1628</v>
      </c>
      <c r="O2014" t="s">
        <v>1628</v>
      </c>
      <c r="P2014" t="s">
        <v>1628</v>
      </c>
      <c r="Q2014">
        <f>LEN(AMAZON_FASHION_5__2[[#This Row],[reviewText]])</f>
        <v>174</v>
      </c>
      <c r="R2014" t="str">
        <f>IF(AMAZON_FASHION_5__2[[#This Row],[overall]]&gt;=4,"Positive",IF(AMAZON_FASHION_5__2[[#This Row],[overall]]&lt;=2,"Negative","Neutral"))</f>
        <v>Positive</v>
      </c>
      <c r="S20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15" spans="1:19" x14ac:dyDescent="0.25">
      <c r="A2015">
        <v>1</v>
      </c>
      <c r="B2015" t="b">
        <v>1</v>
      </c>
      <c r="C2015" s="1">
        <v>43170</v>
      </c>
      <c r="D2015">
        <f>YEAR(AMAZON_FASHION_5__2[[#This Row],[reviewDate]])</f>
        <v>2018</v>
      </c>
      <c r="E2015" s="1" t="str">
        <f>TEXT(AMAZON_FASHION_5__2[[#This Row],[reviewDate]], "mmmm")</f>
        <v>March</v>
      </c>
      <c r="F2015" t="s">
        <v>343</v>
      </c>
      <c r="G2015" t="s">
        <v>1501</v>
      </c>
      <c r="H2015" t="s">
        <v>205</v>
      </c>
      <c r="I2015" t="s">
        <v>344</v>
      </c>
      <c r="J2015" t="s">
        <v>345</v>
      </c>
      <c r="K2015" t="s">
        <v>346</v>
      </c>
      <c r="L2015" t="s">
        <v>347</v>
      </c>
      <c r="M2015">
        <v>1520726400</v>
      </c>
      <c r="N2015" t="s">
        <v>1628</v>
      </c>
      <c r="O2015" t="s">
        <v>1628</v>
      </c>
      <c r="P2015" t="s">
        <v>1628</v>
      </c>
      <c r="Q2015">
        <f>LEN(AMAZON_FASHION_5__2[[#This Row],[reviewText]])</f>
        <v>22</v>
      </c>
      <c r="R2015" t="str">
        <f>IF(AMAZON_FASHION_5__2[[#This Row],[overall]]&gt;=4,"Positive",IF(AMAZON_FASHION_5__2[[#This Row],[overall]]&lt;=2,"Negative","Neutral"))</f>
        <v>Negative</v>
      </c>
      <c r="S20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16" spans="1:19" x14ac:dyDescent="0.25">
      <c r="A2016">
        <v>5</v>
      </c>
      <c r="B2016" t="b">
        <v>1</v>
      </c>
      <c r="C2016" s="1">
        <v>43164</v>
      </c>
      <c r="D2016">
        <f>YEAR(AMAZON_FASHION_5__2[[#This Row],[reviewDate]])</f>
        <v>2018</v>
      </c>
      <c r="E2016" s="1" t="str">
        <f>TEXT(AMAZON_FASHION_5__2[[#This Row],[reviewDate]], "mmmm")</f>
        <v>March</v>
      </c>
      <c r="F2016" t="s">
        <v>348</v>
      </c>
      <c r="G2016" t="s">
        <v>1501</v>
      </c>
      <c r="H2016" t="s">
        <v>210</v>
      </c>
      <c r="I2016" t="s">
        <v>198</v>
      </c>
      <c r="J2016" t="s">
        <v>63</v>
      </c>
      <c r="K2016" t="s">
        <v>349</v>
      </c>
      <c r="L2016" t="s">
        <v>350</v>
      </c>
      <c r="M2016">
        <v>1520208000</v>
      </c>
      <c r="N2016" t="s">
        <v>1628</v>
      </c>
      <c r="O2016" t="s">
        <v>1628</v>
      </c>
      <c r="P2016" t="s">
        <v>1628</v>
      </c>
      <c r="Q2016">
        <f>LEN(AMAZON_FASHION_5__2[[#This Row],[reviewText]])</f>
        <v>22</v>
      </c>
      <c r="R2016" t="str">
        <f>IF(AMAZON_FASHION_5__2[[#This Row],[overall]]&gt;=4,"Positive",IF(AMAZON_FASHION_5__2[[#This Row],[overall]]&lt;=2,"Negative","Neutral"))</f>
        <v>Positive</v>
      </c>
      <c r="S20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17" spans="1:19" x14ac:dyDescent="0.25">
      <c r="A2017">
        <v>5</v>
      </c>
      <c r="B2017" t="b">
        <v>1</v>
      </c>
      <c r="C2017" s="1">
        <v>43161</v>
      </c>
      <c r="D2017">
        <f>YEAR(AMAZON_FASHION_5__2[[#This Row],[reviewDate]])</f>
        <v>2018</v>
      </c>
      <c r="E2017" s="1" t="str">
        <f>TEXT(AMAZON_FASHION_5__2[[#This Row],[reviewDate]], "mmmm")</f>
        <v>March</v>
      </c>
      <c r="F2017" t="s">
        <v>351</v>
      </c>
      <c r="G2017" t="s">
        <v>1501</v>
      </c>
      <c r="H2017" t="s">
        <v>284</v>
      </c>
      <c r="I2017" t="s">
        <v>198</v>
      </c>
      <c r="J2017" t="s">
        <v>352</v>
      </c>
      <c r="K2017" t="s">
        <v>353</v>
      </c>
      <c r="L2017" t="s">
        <v>354</v>
      </c>
      <c r="M2017">
        <v>1519948800</v>
      </c>
      <c r="N2017" t="s">
        <v>1628</v>
      </c>
      <c r="O2017" t="s">
        <v>1628</v>
      </c>
      <c r="P2017" t="s">
        <v>1628</v>
      </c>
      <c r="Q2017">
        <f>LEN(AMAZON_FASHION_5__2[[#This Row],[reviewText]])</f>
        <v>100</v>
      </c>
      <c r="R2017" t="str">
        <f>IF(AMAZON_FASHION_5__2[[#This Row],[overall]]&gt;=4,"Positive",IF(AMAZON_FASHION_5__2[[#This Row],[overall]]&lt;=2,"Negative","Neutral"))</f>
        <v>Positive</v>
      </c>
      <c r="S20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18" spans="1:19" x14ac:dyDescent="0.25">
      <c r="A2018">
        <v>5</v>
      </c>
      <c r="B2018" t="b">
        <v>1</v>
      </c>
      <c r="C2018" s="1">
        <v>43159</v>
      </c>
      <c r="D2018">
        <f>YEAR(AMAZON_FASHION_5__2[[#This Row],[reviewDate]])</f>
        <v>2018</v>
      </c>
      <c r="E2018" s="1" t="str">
        <f>TEXT(AMAZON_FASHION_5__2[[#This Row],[reviewDate]], "mmmm")</f>
        <v>February</v>
      </c>
      <c r="F2018" t="s">
        <v>355</v>
      </c>
      <c r="G2018" t="s">
        <v>1501</v>
      </c>
      <c r="H2018" t="s">
        <v>235</v>
      </c>
      <c r="I2018" t="s">
        <v>198</v>
      </c>
      <c r="J2018" t="s">
        <v>356</v>
      </c>
      <c r="K2018" t="s">
        <v>357</v>
      </c>
      <c r="L2018" t="s">
        <v>358</v>
      </c>
      <c r="M2018">
        <v>1519776000</v>
      </c>
      <c r="N2018" t="s">
        <v>1628</v>
      </c>
      <c r="O2018" t="s">
        <v>1628</v>
      </c>
      <c r="P2018" t="s">
        <v>1628</v>
      </c>
      <c r="Q2018">
        <f>LEN(AMAZON_FASHION_5__2[[#This Row],[reviewText]])</f>
        <v>58</v>
      </c>
      <c r="R2018" t="str">
        <f>IF(AMAZON_FASHION_5__2[[#This Row],[overall]]&gt;=4,"Positive",IF(AMAZON_FASHION_5__2[[#This Row],[overall]]&lt;=2,"Negative","Neutral"))</f>
        <v>Positive</v>
      </c>
      <c r="S20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19" spans="1:19" x14ac:dyDescent="0.25">
      <c r="A2019">
        <v>5</v>
      </c>
      <c r="B2019" t="b">
        <v>1</v>
      </c>
      <c r="C2019" s="1">
        <v>43158</v>
      </c>
      <c r="D2019">
        <f>YEAR(AMAZON_FASHION_5__2[[#This Row],[reviewDate]])</f>
        <v>2018</v>
      </c>
      <c r="E2019" s="1" t="str">
        <f>TEXT(AMAZON_FASHION_5__2[[#This Row],[reviewDate]], "mmmm")</f>
        <v>February</v>
      </c>
      <c r="F2019" t="s">
        <v>359</v>
      </c>
      <c r="G2019" t="s">
        <v>1501</v>
      </c>
      <c r="H2019" t="s">
        <v>230</v>
      </c>
      <c r="I2019" t="s">
        <v>198</v>
      </c>
      <c r="J2019" t="s">
        <v>63</v>
      </c>
      <c r="K2019" t="s">
        <v>360</v>
      </c>
      <c r="L2019" t="s">
        <v>361</v>
      </c>
      <c r="M2019">
        <v>1519689600</v>
      </c>
      <c r="N2019" t="s">
        <v>1628</v>
      </c>
      <c r="O2019" t="s">
        <v>1628</v>
      </c>
      <c r="P2019" t="s">
        <v>1628</v>
      </c>
      <c r="Q2019">
        <f>LEN(AMAZON_FASHION_5__2[[#This Row],[reviewText]])</f>
        <v>269</v>
      </c>
      <c r="R2019" t="str">
        <f>IF(AMAZON_FASHION_5__2[[#This Row],[overall]]&gt;=4,"Positive",IF(AMAZON_FASHION_5__2[[#This Row],[overall]]&lt;=2,"Negative","Neutral"))</f>
        <v>Positive</v>
      </c>
      <c r="S20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20" spans="1:19" x14ac:dyDescent="0.25">
      <c r="A2020">
        <v>5</v>
      </c>
      <c r="B2020" t="b">
        <v>1</v>
      </c>
      <c r="C2020" s="1">
        <v>43158</v>
      </c>
      <c r="D2020">
        <f>YEAR(AMAZON_FASHION_5__2[[#This Row],[reviewDate]])</f>
        <v>2018</v>
      </c>
      <c r="E2020" s="1" t="str">
        <f>TEXT(AMAZON_FASHION_5__2[[#This Row],[reviewDate]], "mmmm")</f>
        <v>February</v>
      </c>
      <c r="F2020" t="s">
        <v>362</v>
      </c>
      <c r="G2020" t="s">
        <v>1501</v>
      </c>
      <c r="H2020" t="s">
        <v>230</v>
      </c>
      <c r="I2020" t="s">
        <v>249</v>
      </c>
      <c r="J2020" t="s">
        <v>363</v>
      </c>
      <c r="K2020" t="s">
        <v>364</v>
      </c>
      <c r="L2020" t="s">
        <v>365</v>
      </c>
      <c r="M2020">
        <v>1519689600</v>
      </c>
      <c r="N2020" t="s">
        <v>1628</v>
      </c>
      <c r="O2020" t="s">
        <v>1628</v>
      </c>
      <c r="P2020" t="s">
        <v>1628</v>
      </c>
      <c r="Q2020">
        <f>LEN(AMAZON_FASHION_5__2[[#This Row],[reviewText]])</f>
        <v>152</v>
      </c>
      <c r="R2020" t="str">
        <f>IF(AMAZON_FASHION_5__2[[#This Row],[overall]]&gt;=4,"Positive",IF(AMAZON_FASHION_5__2[[#This Row],[overall]]&lt;=2,"Negative","Neutral"))</f>
        <v>Positive</v>
      </c>
      <c r="S20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21" spans="1:19" x14ac:dyDescent="0.25">
      <c r="A2021">
        <v>5</v>
      </c>
      <c r="B2021" t="b">
        <v>1</v>
      </c>
      <c r="C2021" s="1">
        <v>43158</v>
      </c>
      <c r="D2021">
        <f>YEAR(AMAZON_FASHION_5__2[[#This Row],[reviewDate]])</f>
        <v>2018</v>
      </c>
      <c r="E2021" s="1" t="str">
        <f>TEXT(AMAZON_FASHION_5__2[[#This Row],[reviewDate]], "mmmm")</f>
        <v>February</v>
      </c>
      <c r="F2021" t="s">
        <v>366</v>
      </c>
      <c r="G2021" t="s">
        <v>1501</v>
      </c>
      <c r="H2021" t="s">
        <v>205</v>
      </c>
      <c r="I2021" t="s">
        <v>198</v>
      </c>
      <c r="J2021" t="s">
        <v>367</v>
      </c>
      <c r="K2021" t="s">
        <v>368</v>
      </c>
      <c r="L2021" t="s">
        <v>369</v>
      </c>
      <c r="M2021">
        <v>1519689600</v>
      </c>
      <c r="N2021" t="s">
        <v>1628</v>
      </c>
      <c r="O2021" t="s">
        <v>1628</v>
      </c>
      <c r="P2021" t="s">
        <v>1628</v>
      </c>
      <c r="Q2021">
        <f>LEN(AMAZON_FASHION_5__2[[#This Row],[reviewText]])</f>
        <v>46</v>
      </c>
      <c r="R2021" t="str">
        <f>IF(AMAZON_FASHION_5__2[[#This Row],[overall]]&gt;=4,"Positive",IF(AMAZON_FASHION_5__2[[#This Row],[overall]]&lt;=2,"Negative","Neutral"))</f>
        <v>Positive</v>
      </c>
      <c r="S20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22" spans="1:19" x14ac:dyDescent="0.25">
      <c r="A2022">
        <v>1</v>
      </c>
      <c r="B2022" t="b">
        <v>1</v>
      </c>
      <c r="C2022" s="1">
        <v>43156</v>
      </c>
      <c r="D2022">
        <f>YEAR(AMAZON_FASHION_5__2[[#This Row],[reviewDate]])</f>
        <v>2018</v>
      </c>
      <c r="E2022" s="1" t="str">
        <f>TEXT(AMAZON_FASHION_5__2[[#This Row],[reviewDate]], "mmmm")</f>
        <v>February</v>
      </c>
      <c r="F2022" t="s">
        <v>370</v>
      </c>
      <c r="G2022" t="s">
        <v>1501</v>
      </c>
      <c r="H2022" t="s">
        <v>230</v>
      </c>
      <c r="I2022" t="s">
        <v>198</v>
      </c>
      <c r="J2022" t="s">
        <v>371</v>
      </c>
      <c r="K2022" t="s">
        <v>372</v>
      </c>
      <c r="L2022" t="s">
        <v>373</v>
      </c>
      <c r="M2022">
        <v>1519516800</v>
      </c>
      <c r="N2022" t="s">
        <v>1628</v>
      </c>
      <c r="O2022" t="s">
        <v>1628</v>
      </c>
      <c r="P2022" t="s">
        <v>1628</v>
      </c>
      <c r="Q2022">
        <f>LEN(AMAZON_FASHION_5__2[[#This Row],[reviewText]])</f>
        <v>282</v>
      </c>
      <c r="R2022" t="str">
        <f>IF(AMAZON_FASHION_5__2[[#This Row],[overall]]&gt;=4,"Positive",IF(AMAZON_FASHION_5__2[[#This Row],[overall]]&lt;=2,"Negative","Neutral"))</f>
        <v>Negative</v>
      </c>
      <c r="S20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23" spans="1:19" x14ac:dyDescent="0.25">
      <c r="A2023">
        <v>2</v>
      </c>
      <c r="B2023" t="b">
        <v>1</v>
      </c>
      <c r="C2023" s="1">
        <v>43156</v>
      </c>
      <c r="D2023">
        <f>YEAR(AMAZON_FASHION_5__2[[#This Row],[reviewDate]])</f>
        <v>2018</v>
      </c>
      <c r="E2023" s="1" t="str">
        <f>TEXT(AMAZON_FASHION_5__2[[#This Row],[reviewDate]], "mmmm")</f>
        <v>February</v>
      </c>
      <c r="F2023" t="s">
        <v>374</v>
      </c>
      <c r="G2023" t="s">
        <v>1501</v>
      </c>
      <c r="H2023" t="s">
        <v>210</v>
      </c>
      <c r="I2023" t="s">
        <v>198</v>
      </c>
      <c r="J2023" t="s">
        <v>63</v>
      </c>
      <c r="K2023" t="s">
        <v>375</v>
      </c>
      <c r="L2023" t="s">
        <v>376</v>
      </c>
      <c r="M2023">
        <v>1519516800</v>
      </c>
      <c r="N2023" t="s">
        <v>1628</v>
      </c>
      <c r="O2023" t="s">
        <v>1628</v>
      </c>
      <c r="P2023" t="s">
        <v>1628</v>
      </c>
      <c r="Q2023">
        <f>LEN(AMAZON_FASHION_5__2[[#This Row],[reviewText]])</f>
        <v>89</v>
      </c>
      <c r="R2023" t="str">
        <f>IF(AMAZON_FASHION_5__2[[#This Row],[overall]]&gt;=4,"Positive",IF(AMAZON_FASHION_5__2[[#This Row],[overall]]&lt;=2,"Negative","Neutral"))</f>
        <v>Negative</v>
      </c>
      <c r="S20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24" spans="1:19" x14ac:dyDescent="0.25">
      <c r="A2024">
        <v>5</v>
      </c>
      <c r="B2024" t="b">
        <v>1</v>
      </c>
      <c r="C2024" s="1">
        <v>43152</v>
      </c>
      <c r="D2024">
        <f>YEAR(AMAZON_FASHION_5__2[[#This Row],[reviewDate]])</f>
        <v>2018</v>
      </c>
      <c r="E2024" s="1" t="str">
        <f>TEXT(AMAZON_FASHION_5__2[[#This Row],[reviewDate]], "mmmm")</f>
        <v>February</v>
      </c>
      <c r="F2024" t="s">
        <v>377</v>
      </c>
      <c r="G2024" t="s">
        <v>1501</v>
      </c>
      <c r="H2024" t="s">
        <v>201</v>
      </c>
      <c r="I2024" t="s">
        <v>198</v>
      </c>
      <c r="J2024" t="s">
        <v>378</v>
      </c>
      <c r="K2024" t="s">
        <v>379</v>
      </c>
      <c r="L2024" t="s">
        <v>380</v>
      </c>
      <c r="M2024">
        <v>1519171200</v>
      </c>
      <c r="N2024" t="s">
        <v>1628</v>
      </c>
      <c r="O2024" t="s">
        <v>1628</v>
      </c>
      <c r="P2024" t="s">
        <v>1628</v>
      </c>
      <c r="Q2024">
        <f>LEN(AMAZON_FASHION_5__2[[#This Row],[reviewText]])</f>
        <v>45</v>
      </c>
      <c r="R2024" t="str">
        <f>IF(AMAZON_FASHION_5__2[[#This Row],[overall]]&gt;=4,"Positive",IF(AMAZON_FASHION_5__2[[#This Row],[overall]]&lt;=2,"Negative","Neutral"))</f>
        <v>Positive</v>
      </c>
      <c r="S20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25" spans="1:19" x14ac:dyDescent="0.25">
      <c r="A2025">
        <v>5</v>
      </c>
      <c r="B2025" t="b">
        <v>1</v>
      </c>
      <c r="C2025" s="1">
        <v>43151</v>
      </c>
      <c r="D2025">
        <f>YEAR(AMAZON_FASHION_5__2[[#This Row],[reviewDate]])</f>
        <v>2018</v>
      </c>
      <c r="E2025" s="1" t="str">
        <f>TEXT(AMAZON_FASHION_5__2[[#This Row],[reviewDate]], "mmmm")</f>
        <v>February</v>
      </c>
      <c r="F2025" t="s">
        <v>381</v>
      </c>
      <c r="G2025" t="s">
        <v>1501</v>
      </c>
      <c r="H2025" t="s">
        <v>235</v>
      </c>
      <c r="I2025" t="s">
        <v>274</v>
      </c>
      <c r="J2025" t="s">
        <v>382</v>
      </c>
      <c r="K2025" t="s">
        <v>383</v>
      </c>
      <c r="L2025" t="s">
        <v>384</v>
      </c>
      <c r="M2025">
        <v>1519084800</v>
      </c>
      <c r="N2025" t="s">
        <v>1628</v>
      </c>
      <c r="O2025" t="s">
        <v>1628</v>
      </c>
      <c r="P2025" t="s">
        <v>1628</v>
      </c>
      <c r="Q2025">
        <f>LEN(AMAZON_FASHION_5__2[[#This Row],[reviewText]])</f>
        <v>47</v>
      </c>
      <c r="R2025" t="str">
        <f>IF(AMAZON_FASHION_5__2[[#This Row],[overall]]&gt;=4,"Positive",IF(AMAZON_FASHION_5__2[[#This Row],[overall]]&lt;=2,"Negative","Neutral"))</f>
        <v>Positive</v>
      </c>
      <c r="S20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26" spans="1:19" x14ac:dyDescent="0.25">
      <c r="A2026">
        <v>5</v>
      </c>
      <c r="B2026" t="b">
        <v>1</v>
      </c>
      <c r="C2026" s="1">
        <v>43145</v>
      </c>
      <c r="D2026">
        <f>YEAR(AMAZON_FASHION_5__2[[#This Row],[reviewDate]])</f>
        <v>2018</v>
      </c>
      <c r="E2026" s="1" t="str">
        <f>TEXT(AMAZON_FASHION_5__2[[#This Row],[reviewDate]], "mmmm")</f>
        <v>February</v>
      </c>
      <c r="F2026" t="s">
        <v>385</v>
      </c>
      <c r="G2026" t="s">
        <v>1501</v>
      </c>
      <c r="H2026" t="s">
        <v>230</v>
      </c>
      <c r="I2026" t="s">
        <v>249</v>
      </c>
      <c r="J2026" t="s">
        <v>386</v>
      </c>
      <c r="K2026" t="s">
        <v>387</v>
      </c>
      <c r="L2026" t="s">
        <v>17</v>
      </c>
      <c r="M2026">
        <v>1518566400</v>
      </c>
      <c r="N2026" t="s">
        <v>1628</v>
      </c>
      <c r="O2026" t="s">
        <v>1628</v>
      </c>
      <c r="P2026" t="s">
        <v>1628</v>
      </c>
      <c r="Q2026">
        <f>LEN(AMAZON_FASHION_5__2[[#This Row],[reviewText]])</f>
        <v>46</v>
      </c>
      <c r="R2026" t="str">
        <f>IF(AMAZON_FASHION_5__2[[#This Row],[overall]]&gt;=4,"Positive",IF(AMAZON_FASHION_5__2[[#This Row],[overall]]&lt;=2,"Negative","Neutral"))</f>
        <v>Positive</v>
      </c>
      <c r="S20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27" spans="1:19" x14ac:dyDescent="0.25">
      <c r="A2027">
        <v>5</v>
      </c>
      <c r="B2027" t="b">
        <v>1</v>
      </c>
      <c r="C2027" s="1">
        <v>43145</v>
      </c>
      <c r="D2027">
        <f>YEAR(AMAZON_FASHION_5__2[[#This Row],[reviewDate]])</f>
        <v>2018</v>
      </c>
      <c r="E2027" s="1" t="str">
        <f>TEXT(AMAZON_FASHION_5__2[[#This Row],[reviewDate]], "mmmm")</f>
        <v>February</v>
      </c>
      <c r="F2027" t="s">
        <v>388</v>
      </c>
      <c r="G2027" t="s">
        <v>1501</v>
      </c>
      <c r="H2027" t="s">
        <v>197</v>
      </c>
      <c r="I2027" t="s">
        <v>198</v>
      </c>
      <c r="J2027" t="s">
        <v>63</v>
      </c>
      <c r="K2027" t="s">
        <v>389</v>
      </c>
      <c r="L2027" t="s">
        <v>390</v>
      </c>
      <c r="M2027">
        <v>1518566400</v>
      </c>
      <c r="N2027" t="s">
        <v>1628</v>
      </c>
      <c r="O2027" t="s">
        <v>1628</v>
      </c>
      <c r="P2027" t="s">
        <v>1628</v>
      </c>
      <c r="Q2027">
        <f>LEN(AMAZON_FASHION_5__2[[#This Row],[reviewText]])</f>
        <v>17</v>
      </c>
      <c r="R2027" t="str">
        <f>IF(AMAZON_FASHION_5__2[[#This Row],[overall]]&gt;=4,"Positive",IF(AMAZON_FASHION_5__2[[#This Row],[overall]]&lt;=2,"Negative","Neutral"))</f>
        <v>Positive</v>
      </c>
      <c r="S20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28" spans="1:19" x14ac:dyDescent="0.25">
      <c r="A2028">
        <v>5</v>
      </c>
      <c r="B2028" t="b">
        <v>1</v>
      </c>
      <c r="C2028" s="1">
        <v>43143</v>
      </c>
      <c r="D2028">
        <f>YEAR(AMAZON_FASHION_5__2[[#This Row],[reviewDate]])</f>
        <v>2018</v>
      </c>
      <c r="E2028" s="1" t="str">
        <f>TEXT(AMAZON_FASHION_5__2[[#This Row],[reviewDate]], "mmmm")</f>
        <v>February</v>
      </c>
      <c r="F2028" t="s">
        <v>391</v>
      </c>
      <c r="G2028" t="s">
        <v>1501</v>
      </c>
      <c r="H2028" t="s">
        <v>201</v>
      </c>
      <c r="I2028" t="s">
        <v>392</v>
      </c>
      <c r="J2028" t="s">
        <v>393</v>
      </c>
      <c r="K2028" t="s">
        <v>394</v>
      </c>
      <c r="L2028" t="s">
        <v>17</v>
      </c>
      <c r="M2028">
        <v>1518393600</v>
      </c>
      <c r="N2028" t="s">
        <v>1628</v>
      </c>
      <c r="O2028" t="s">
        <v>1628</v>
      </c>
      <c r="P2028" t="s">
        <v>1628</v>
      </c>
      <c r="Q2028">
        <f>LEN(AMAZON_FASHION_5__2[[#This Row],[reviewText]])</f>
        <v>19</v>
      </c>
      <c r="R2028" t="str">
        <f>IF(AMAZON_FASHION_5__2[[#This Row],[overall]]&gt;=4,"Positive",IF(AMAZON_FASHION_5__2[[#This Row],[overall]]&lt;=2,"Negative","Neutral"))</f>
        <v>Positive</v>
      </c>
      <c r="S20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29" spans="1:19" x14ac:dyDescent="0.25">
      <c r="A2029">
        <v>5</v>
      </c>
      <c r="B2029" t="b">
        <v>1</v>
      </c>
      <c r="C2029" s="1">
        <v>43132</v>
      </c>
      <c r="D2029">
        <f>YEAR(AMAZON_FASHION_5__2[[#This Row],[reviewDate]])</f>
        <v>2018</v>
      </c>
      <c r="E2029" s="1" t="str">
        <f>TEXT(AMAZON_FASHION_5__2[[#This Row],[reviewDate]], "mmmm")</f>
        <v>February</v>
      </c>
      <c r="F2029" t="s">
        <v>395</v>
      </c>
      <c r="G2029" t="s">
        <v>1501</v>
      </c>
      <c r="H2029" t="s">
        <v>230</v>
      </c>
      <c r="I2029" t="s">
        <v>1476</v>
      </c>
      <c r="J2029" t="s">
        <v>397</v>
      </c>
      <c r="K2029" t="s">
        <v>398</v>
      </c>
      <c r="L2029" t="s">
        <v>399</v>
      </c>
      <c r="M2029">
        <v>1517443200</v>
      </c>
      <c r="N2029" t="s">
        <v>1628</v>
      </c>
      <c r="O2029" t="s">
        <v>1628</v>
      </c>
      <c r="P2029" t="s">
        <v>1628</v>
      </c>
      <c r="Q2029">
        <f>LEN(AMAZON_FASHION_5__2[[#This Row],[reviewText]])</f>
        <v>102</v>
      </c>
      <c r="R2029" t="str">
        <f>IF(AMAZON_FASHION_5__2[[#This Row],[overall]]&gt;=4,"Positive",IF(AMAZON_FASHION_5__2[[#This Row],[overall]]&lt;=2,"Negative","Neutral"))</f>
        <v>Positive</v>
      </c>
      <c r="S20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30" spans="1:19" x14ac:dyDescent="0.25">
      <c r="A2030">
        <v>5</v>
      </c>
      <c r="B2030" t="b">
        <v>1</v>
      </c>
      <c r="C2030" s="1">
        <v>43132</v>
      </c>
      <c r="D2030">
        <f>YEAR(AMAZON_FASHION_5__2[[#This Row],[reviewDate]])</f>
        <v>2018</v>
      </c>
      <c r="E2030" s="1" t="str">
        <f>TEXT(AMAZON_FASHION_5__2[[#This Row],[reviewDate]], "mmmm")</f>
        <v>February</v>
      </c>
      <c r="F2030" t="s">
        <v>400</v>
      </c>
      <c r="G2030" t="s">
        <v>1501</v>
      </c>
      <c r="H2030" t="s">
        <v>197</v>
      </c>
      <c r="I2030" t="s">
        <v>198</v>
      </c>
      <c r="J2030" t="s">
        <v>401</v>
      </c>
      <c r="K2030" t="s">
        <v>402</v>
      </c>
      <c r="L2030" t="s">
        <v>17</v>
      </c>
      <c r="M2030">
        <v>1517443200</v>
      </c>
      <c r="N2030" t="s">
        <v>1628</v>
      </c>
      <c r="O2030" t="s">
        <v>1628</v>
      </c>
      <c r="P2030" t="s">
        <v>1628</v>
      </c>
      <c r="Q2030">
        <f>LEN(AMAZON_FASHION_5__2[[#This Row],[reviewText]])</f>
        <v>19</v>
      </c>
      <c r="R2030" t="str">
        <f>IF(AMAZON_FASHION_5__2[[#This Row],[overall]]&gt;=4,"Positive",IF(AMAZON_FASHION_5__2[[#This Row],[overall]]&lt;=2,"Negative","Neutral"))</f>
        <v>Positive</v>
      </c>
      <c r="S20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31" spans="1:19" x14ac:dyDescent="0.25">
      <c r="A2031">
        <v>5</v>
      </c>
      <c r="B2031" t="b">
        <v>1</v>
      </c>
      <c r="C2031" s="1">
        <v>43129</v>
      </c>
      <c r="D2031">
        <f>YEAR(AMAZON_FASHION_5__2[[#This Row],[reviewDate]])</f>
        <v>2018</v>
      </c>
      <c r="E2031" s="1" t="str">
        <f>TEXT(AMAZON_FASHION_5__2[[#This Row],[reviewDate]], "mmmm")</f>
        <v>January</v>
      </c>
      <c r="F2031" t="s">
        <v>403</v>
      </c>
      <c r="G2031" t="s">
        <v>1501</v>
      </c>
      <c r="H2031" t="s">
        <v>320</v>
      </c>
      <c r="I2031" t="s">
        <v>396</v>
      </c>
      <c r="J2031" t="s">
        <v>404</v>
      </c>
      <c r="K2031" t="s">
        <v>405</v>
      </c>
      <c r="L2031" t="s">
        <v>406</v>
      </c>
      <c r="M2031">
        <v>1517184000</v>
      </c>
      <c r="N2031" t="s">
        <v>1628</v>
      </c>
      <c r="O2031" t="s">
        <v>1628</v>
      </c>
      <c r="P2031" t="s">
        <v>1628</v>
      </c>
      <c r="Q2031">
        <f>LEN(AMAZON_FASHION_5__2[[#This Row],[reviewText]])</f>
        <v>132</v>
      </c>
      <c r="R2031" t="str">
        <f>IF(AMAZON_FASHION_5__2[[#This Row],[overall]]&gt;=4,"Positive",IF(AMAZON_FASHION_5__2[[#This Row],[overall]]&lt;=2,"Negative","Neutral"))</f>
        <v>Positive</v>
      </c>
      <c r="S20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32" spans="1:19" x14ac:dyDescent="0.25">
      <c r="A2032">
        <v>4</v>
      </c>
      <c r="B2032" t="b">
        <v>1</v>
      </c>
      <c r="C2032" s="1">
        <v>43125</v>
      </c>
      <c r="D2032">
        <f>YEAR(AMAZON_FASHION_5__2[[#This Row],[reviewDate]])</f>
        <v>2018</v>
      </c>
      <c r="E2032" s="1" t="str">
        <f>TEXT(AMAZON_FASHION_5__2[[#This Row],[reviewDate]], "mmmm")</f>
        <v>January</v>
      </c>
      <c r="F2032" t="s">
        <v>407</v>
      </c>
      <c r="G2032" t="s">
        <v>1501</v>
      </c>
      <c r="H2032" t="s">
        <v>205</v>
      </c>
      <c r="I2032" t="s">
        <v>198</v>
      </c>
      <c r="J2032" t="s">
        <v>408</v>
      </c>
      <c r="K2032" t="s">
        <v>409</v>
      </c>
      <c r="L2032" t="s">
        <v>406</v>
      </c>
      <c r="M2032">
        <v>1516838400</v>
      </c>
      <c r="N2032" t="s">
        <v>1628</v>
      </c>
      <c r="O2032" t="s">
        <v>1628</v>
      </c>
      <c r="P2032" t="s">
        <v>1628</v>
      </c>
      <c r="Q2032">
        <f>LEN(AMAZON_FASHION_5__2[[#This Row],[reviewText]])</f>
        <v>860</v>
      </c>
      <c r="R2032" t="str">
        <f>IF(AMAZON_FASHION_5__2[[#This Row],[overall]]&gt;=4,"Positive",IF(AMAZON_FASHION_5__2[[#This Row],[overall]]&lt;=2,"Negative","Neutral"))</f>
        <v>Positive</v>
      </c>
      <c r="S20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33" spans="1:19" x14ac:dyDescent="0.25">
      <c r="A2033">
        <v>5</v>
      </c>
      <c r="B2033" t="b">
        <v>1</v>
      </c>
      <c r="C2033" s="1">
        <v>43118</v>
      </c>
      <c r="D2033">
        <f>YEAR(AMAZON_FASHION_5__2[[#This Row],[reviewDate]])</f>
        <v>2018</v>
      </c>
      <c r="E2033" s="1" t="str">
        <f>TEXT(AMAZON_FASHION_5__2[[#This Row],[reviewDate]], "mmmm")</f>
        <v>January</v>
      </c>
      <c r="F2033" t="s">
        <v>410</v>
      </c>
      <c r="G2033" t="s">
        <v>1501</v>
      </c>
      <c r="H2033" t="s">
        <v>235</v>
      </c>
      <c r="I2033" t="s">
        <v>411</v>
      </c>
      <c r="J2033" t="s">
        <v>412</v>
      </c>
      <c r="K2033" t="s">
        <v>413</v>
      </c>
      <c r="L2033" t="s">
        <v>17</v>
      </c>
      <c r="M2033">
        <v>1516233600</v>
      </c>
      <c r="N2033" t="s">
        <v>1628</v>
      </c>
      <c r="O2033" t="s">
        <v>1628</v>
      </c>
      <c r="P2033" t="s">
        <v>1628</v>
      </c>
      <c r="Q2033">
        <f>LEN(AMAZON_FASHION_5__2[[#This Row],[reviewText]])</f>
        <v>16</v>
      </c>
      <c r="R2033" t="str">
        <f>IF(AMAZON_FASHION_5__2[[#This Row],[overall]]&gt;=4,"Positive",IF(AMAZON_FASHION_5__2[[#This Row],[overall]]&lt;=2,"Negative","Neutral"))</f>
        <v>Positive</v>
      </c>
      <c r="S20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34" spans="1:19" x14ac:dyDescent="0.25">
      <c r="A2034">
        <v>5</v>
      </c>
      <c r="B2034" t="b">
        <v>1</v>
      </c>
      <c r="C2034" s="1">
        <v>43111</v>
      </c>
      <c r="D2034">
        <f>YEAR(AMAZON_FASHION_5__2[[#This Row],[reviewDate]])</f>
        <v>2018</v>
      </c>
      <c r="E2034" s="1" t="str">
        <f>TEXT(AMAZON_FASHION_5__2[[#This Row],[reviewDate]], "mmmm")</f>
        <v>January</v>
      </c>
      <c r="F2034" t="s">
        <v>414</v>
      </c>
      <c r="G2034" t="s">
        <v>1501</v>
      </c>
      <c r="H2034" t="s">
        <v>1488</v>
      </c>
      <c r="I2034" t="s">
        <v>336</v>
      </c>
      <c r="J2034" t="s">
        <v>416</v>
      </c>
      <c r="K2034" t="s">
        <v>417</v>
      </c>
      <c r="L2034" t="s">
        <v>17</v>
      </c>
      <c r="M2034">
        <v>1515628800</v>
      </c>
      <c r="N2034" t="s">
        <v>1628</v>
      </c>
      <c r="O2034" t="s">
        <v>1628</v>
      </c>
      <c r="P2034" t="s">
        <v>1628</v>
      </c>
      <c r="Q2034">
        <f>LEN(AMAZON_FASHION_5__2[[#This Row],[reviewText]])</f>
        <v>81</v>
      </c>
      <c r="R2034" t="str">
        <f>IF(AMAZON_FASHION_5__2[[#This Row],[overall]]&gt;=4,"Positive",IF(AMAZON_FASHION_5__2[[#This Row],[overall]]&lt;=2,"Negative","Neutral"))</f>
        <v>Positive</v>
      </c>
      <c r="S20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35" spans="1:19" x14ac:dyDescent="0.25">
      <c r="A2035">
        <v>1</v>
      </c>
      <c r="B2035" t="b">
        <v>1</v>
      </c>
      <c r="C2035" s="1">
        <v>43110</v>
      </c>
      <c r="D2035">
        <f>YEAR(AMAZON_FASHION_5__2[[#This Row],[reviewDate]])</f>
        <v>2018</v>
      </c>
      <c r="E2035" s="1" t="str">
        <f>TEXT(AMAZON_FASHION_5__2[[#This Row],[reviewDate]], "mmmm")</f>
        <v>January</v>
      </c>
      <c r="F2035" t="s">
        <v>418</v>
      </c>
      <c r="G2035" t="s">
        <v>1501</v>
      </c>
      <c r="H2035" t="s">
        <v>261</v>
      </c>
      <c r="I2035" t="s">
        <v>419</v>
      </c>
      <c r="J2035" t="s">
        <v>420</v>
      </c>
      <c r="K2035" t="s">
        <v>421</v>
      </c>
      <c r="L2035" t="s">
        <v>65</v>
      </c>
      <c r="M2035">
        <v>1515542400</v>
      </c>
      <c r="N2035" t="s">
        <v>1628</v>
      </c>
      <c r="O2035" t="s">
        <v>1628</v>
      </c>
      <c r="P2035" t="s">
        <v>1628</v>
      </c>
      <c r="Q2035">
        <f>LEN(AMAZON_FASHION_5__2[[#This Row],[reviewText]])</f>
        <v>27</v>
      </c>
      <c r="R2035" t="str">
        <f>IF(AMAZON_FASHION_5__2[[#This Row],[overall]]&gt;=4,"Positive",IF(AMAZON_FASHION_5__2[[#This Row],[overall]]&lt;=2,"Negative","Neutral"))</f>
        <v>Negative</v>
      </c>
      <c r="S20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36" spans="1:19" x14ac:dyDescent="0.25">
      <c r="A2036">
        <v>3</v>
      </c>
      <c r="B2036" t="b">
        <v>1</v>
      </c>
      <c r="C2036" s="1">
        <v>43109</v>
      </c>
      <c r="D2036">
        <f>YEAR(AMAZON_FASHION_5__2[[#This Row],[reviewDate]])</f>
        <v>2018</v>
      </c>
      <c r="E2036" s="1" t="str">
        <f>TEXT(AMAZON_FASHION_5__2[[#This Row],[reviewDate]], "mmmm")</f>
        <v>January</v>
      </c>
      <c r="F2036" t="s">
        <v>426</v>
      </c>
      <c r="G2036" t="s">
        <v>1501</v>
      </c>
      <c r="H2036" t="s">
        <v>205</v>
      </c>
      <c r="I2036" t="s">
        <v>249</v>
      </c>
      <c r="J2036" t="s">
        <v>427</v>
      </c>
      <c r="K2036" t="s">
        <v>428</v>
      </c>
      <c r="L2036" t="s">
        <v>429</v>
      </c>
      <c r="M2036">
        <v>1515456000</v>
      </c>
      <c r="N2036" t="s">
        <v>1628</v>
      </c>
      <c r="O2036" t="s">
        <v>1628</v>
      </c>
      <c r="P2036" t="s">
        <v>1628</v>
      </c>
      <c r="Q2036">
        <f>LEN(AMAZON_FASHION_5__2[[#This Row],[reviewText]])</f>
        <v>54</v>
      </c>
      <c r="R2036" t="str">
        <f>IF(AMAZON_FASHION_5__2[[#This Row],[overall]]&gt;=4,"Positive",IF(AMAZON_FASHION_5__2[[#This Row],[overall]]&lt;=2,"Negative","Neutral"))</f>
        <v>Neutral</v>
      </c>
      <c r="S20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37" spans="1:19" x14ac:dyDescent="0.25">
      <c r="A2037">
        <v>5</v>
      </c>
      <c r="B2037" t="b">
        <v>1</v>
      </c>
      <c r="C2037" s="1">
        <v>43108</v>
      </c>
      <c r="D2037">
        <f>YEAR(AMAZON_FASHION_5__2[[#This Row],[reviewDate]])</f>
        <v>2018</v>
      </c>
      <c r="E2037" s="1" t="str">
        <f>TEXT(AMAZON_FASHION_5__2[[#This Row],[reviewDate]], "mmmm")</f>
        <v>January</v>
      </c>
      <c r="F2037" t="s">
        <v>430</v>
      </c>
      <c r="G2037" t="s">
        <v>1501</v>
      </c>
      <c r="H2037" t="s">
        <v>210</v>
      </c>
      <c r="I2037" t="s">
        <v>198</v>
      </c>
      <c r="J2037" t="s">
        <v>431</v>
      </c>
      <c r="K2037" t="s">
        <v>432</v>
      </c>
      <c r="L2037" t="s">
        <v>433</v>
      </c>
      <c r="M2037">
        <v>1515369600</v>
      </c>
      <c r="N2037" t="s">
        <v>1628</v>
      </c>
      <c r="O2037" t="s">
        <v>1628</v>
      </c>
      <c r="P2037" t="s">
        <v>1628</v>
      </c>
      <c r="Q2037">
        <f>LEN(AMAZON_FASHION_5__2[[#This Row],[reviewText]])</f>
        <v>715</v>
      </c>
      <c r="R2037" t="str">
        <f>IF(AMAZON_FASHION_5__2[[#This Row],[overall]]&gt;=4,"Positive",IF(AMAZON_FASHION_5__2[[#This Row],[overall]]&lt;=2,"Negative","Neutral"))</f>
        <v>Positive</v>
      </c>
      <c r="S20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38" spans="1:19" x14ac:dyDescent="0.25">
      <c r="A2038">
        <v>5</v>
      </c>
      <c r="B2038" t="b">
        <v>1</v>
      </c>
      <c r="C2038" s="1">
        <v>43108</v>
      </c>
      <c r="D2038">
        <f>YEAR(AMAZON_FASHION_5__2[[#This Row],[reviewDate]])</f>
        <v>2018</v>
      </c>
      <c r="E2038" s="1" t="str">
        <f>TEXT(AMAZON_FASHION_5__2[[#This Row],[reviewDate]], "mmmm")</f>
        <v>January</v>
      </c>
      <c r="F2038" t="s">
        <v>434</v>
      </c>
      <c r="G2038" t="s">
        <v>1501</v>
      </c>
      <c r="H2038" t="s">
        <v>261</v>
      </c>
      <c r="I2038" t="s">
        <v>435</v>
      </c>
      <c r="J2038" t="s">
        <v>436</v>
      </c>
      <c r="K2038" t="s">
        <v>437</v>
      </c>
      <c r="L2038" t="s">
        <v>438</v>
      </c>
      <c r="M2038">
        <v>1515369600</v>
      </c>
      <c r="N2038" t="s">
        <v>1628</v>
      </c>
      <c r="O2038" t="s">
        <v>1628</v>
      </c>
      <c r="P2038" t="s">
        <v>1628</v>
      </c>
      <c r="Q2038">
        <f>LEN(AMAZON_FASHION_5__2[[#This Row],[reviewText]])</f>
        <v>1003</v>
      </c>
      <c r="R2038" t="str">
        <f>IF(AMAZON_FASHION_5__2[[#This Row],[overall]]&gt;=4,"Positive",IF(AMAZON_FASHION_5__2[[#This Row],[overall]]&lt;=2,"Negative","Neutral"))</f>
        <v>Positive</v>
      </c>
      <c r="S20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39" spans="1:19" x14ac:dyDescent="0.25">
      <c r="A2039">
        <v>5</v>
      </c>
      <c r="B2039" t="b">
        <v>1</v>
      </c>
      <c r="C2039" s="1">
        <v>43107</v>
      </c>
      <c r="D2039">
        <f>YEAR(AMAZON_FASHION_5__2[[#This Row],[reviewDate]])</f>
        <v>2018</v>
      </c>
      <c r="E2039" s="1" t="str">
        <f>TEXT(AMAZON_FASHION_5__2[[#This Row],[reviewDate]], "mmmm")</f>
        <v>January</v>
      </c>
      <c r="F2039" t="s">
        <v>439</v>
      </c>
      <c r="G2039" t="s">
        <v>1501</v>
      </c>
      <c r="H2039" t="s">
        <v>230</v>
      </c>
      <c r="I2039" t="s">
        <v>274</v>
      </c>
      <c r="J2039" t="s">
        <v>440</v>
      </c>
      <c r="K2039" t="s">
        <v>441</v>
      </c>
      <c r="L2039" t="s">
        <v>17</v>
      </c>
      <c r="M2039">
        <v>1515283200</v>
      </c>
      <c r="N2039" t="s">
        <v>1628</v>
      </c>
      <c r="O2039" t="s">
        <v>1628</v>
      </c>
      <c r="P2039" t="s">
        <v>1628</v>
      </c>
      <c r="Q2039">
        <f>LEN(AMAZON_FASHION_5__2[[#This Row],[reviewText]])</f>
        <v>51</v>
      </c>
      <c r="R2039" t="str">
        <f>IF(AMAZON_FASHION_5__2[[#This Row],[overall]]&gt;=4,"Positive",IF(AMAZON_FASHION_5__2[[#This Row],[overall]]&lt;=2,"Negative","Neutral"))</f>
        <v>Positive</v>
      </c>
      <c r="S20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40" spans="1:19" x14ac:dyDescent="0.25">
      <c r="A2040">
        <v>5</v>
      </c>
      <c r="B2040" t="b">
        <v>1</v>
      </c>
      <c r="C2040" s="1">
        <v>43098</v>
      </c>
      <c r="D2040">
        <f>YEAR(AMAZON_FASHION_5__2[[#This Row],[reviewDate]])</f>
        <v>2017</v>
      </c>
      <c r="E2040" s="1" t="str">
        <f>TEXT(AMAZON_FASHION_5__2[[#This Row],[reviewDate]], "mmmm")</f>
        <v>December</v>
      </c>
      <c r="F2040" t="s">
        <v>442</v>
      </c>
      <c r="G2040" t="s">
        <v>1501</v>
      </c>
      <c r="H2040" t="s">
        <v>1477</v>
      </c>
      <c r="I2040" t="s">
        <v>336</v>
      </c>
      <c r="J2040" t="s">
        <v>63</v>
      </c>
      <c r="K2040" t="s">
        <v>444</v>
      </c>
      <c r="L2040" t="s">
        <v>445</v>
      </c>
      <c r="M2040">
        <v>1514505600</v>
      </c>
      <c r="N2040" t="s">
        <v>1628</v>
      </c>
      <c r="O2040" t="s">
        <v>1628</v>
      </c>
      <c r="P2040" t="s">
        <v>1628</v>
      </c>
      <c r="Q2040">
        <f>LEN(AMAZON_FASHION_5__2[[#This Row],[reviewText]])</f>
        <v>240</v>
      </c>
      <c r="R2040" t="str">
        <f>IF(AMAZON_FASHION_5__2[[#This Row],[overall]]&gt;=4,"Positive",IF(AMAZON_FASHION_5__2[[#This Row],[overall]]&lt;=2,"Negative","Neutral"))</f>
        <v>Positive</v>
      </c>
      <c r="S20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41" spans="1:19" x14ac:dyDescent="0.25">
      <c r="A2041">
        <v>5</v>
      </c>
      <c r="B2041" t="b">
        <v>1</v>
      </c>
      <c r="C2041" s="1">
        <v>43097</v>
      </c>
      <c r="D2041">
        <f>YEAR(AMAZON_FASHION_5__2[[#This Row],[reviewDate]])</f>
        <v>2017</v>
      </c>
      <c r="E2041" s="1" t="str">
        <f>TEXT(AMAZON_FASHION_5__2[[#This Row],[reviewDate]], "mmmm")</f>
        <v>December</v>
      </c>
      <c r="F2041" t="s">
        <v>446</v>
      </c>
      <c r="G2041" t="s">
        <v>1501</v>
      </c>
      <c r="H2041" t="s">
        <v>201</v>
      </c>
      <c r="I2041" t="s">
        <v>392</v>
      </c>
      <c r="J2041" t="s">
        <v>447</v>
      </c>
      <c r="K2041" t="s">
        <v>448</v>
      </c>
      <c r="L2041" t="s">
        <v>449</v>
      </c>
      <c r="M2041">
        <v>1514419200</v>
      </c>
      <c r="N2041" t="s">
        <v>1628</v>
      </c>
      <c r="O2041" t="s">
        <v>1628</v>
      </c>
      <c r="P2041" t="s">
        <v>1628</v>
      </c>
      <c r="Q2041">
        <f>LEN(AMAZON_FASHION_5__2[[#This Row],[reviewText]])</f>
        <v>68</v>
      </c>
      <c r="R2041" t="str">
        <f>IF(AMAZON_FASHION_5__2[[#This Row],[overall]]&gt;=4,"Positive",IF(AMAZON_FASHION_5__2[[#This Row],[overall]]&lt;=2,"Negative","Neutral"))</f>
        <v>Positive</v>
      </c>
      <c r="S20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42" spans="1:19" x14ac:dyDescent="0.25">
      <c r="A2042">
        <v>2</v>
      </c>
      <c r="B2042" t="b">
        <v>1</v>
      </c>
      <c r="C2042" s="1">
        <v>43086</v>
      </c>
      <c r="D2042">
        <f>YEAR(AMAZON_FASHION_5__2[[#This Row],[reviewDate]])</f>
        <v>2017</v>
      </c>
      <c r="E2042" s="1" t="str">
        <f>TEXT(AMAZON_FASHION_5__2[[#This Row],[reviewDate]], "mmmm")</f>
        <v>December</v>
      </c>
      <c r="F2042" t="s">
        <v>450</v>
      </c>
      <c r="G2042" t="s">
        <v>1501</v>
      </c>
      <c r="H2042" t="s">
        <v>284</v>
      </c>
      <c r="I2042" t="s">
        <v>411</v>
      </c>
      <c r="J2042" t="s">
        <v>451</v>
      </c>
      <c r="K2042" t="s">
        <v>452</v>
      </c>
      <c r="L2042" t="s">
        <v>453</v>
      </c>
      <c r="M2042">
        <v>1513468800</v>
      </c>
      <c r="N2042" t="s">
        <v>1628</v>
      </c>
      <c r="O2042" t="s">
        <v>1628</v>
      </c>
      <c r="P2042" t="s">
        <v>1628</v>
      </c>
      <c r="Q2042">
        <f>LEN(AMAZON_FASHION_5__2[[#This Row],[reviewText]])</f>
        <v>263</v>
      </c>
      <c r="R2042" t="str">
        <f>IF(AMAZON_FASHION_5__2[[#This Row],[overall]]&gt;=4,"Positive",IF(AMAZON_FASHION_5__2[[#This Row],[overall]]&lt;=2,"Negative","Neutral"))</f>
        <v>Negative</v>
      </c>
      <c r="S20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43" spans="1:19" x14ac:dyDescent="0.25">
      <c r="A2043">
        <v>5</v>
      </c>
      <c r="B2043" t="b">
        <v>1</v>
      </c>
      <c r="C2043" s="1">
        <v>43086</v>
      </c>
      <c r="D2043">
        <f>YEAR(AMAZON_FASHION_5__2[[#This Row],[reviewDate]])</f>
        <v>2017</v>
      </c>
      <c r="E2043" s="1" t="str">
        <f>TEXT(AMAZON_FASHION_5__2[[#This Row],[reviewDate]], "mmmm")</f>
        <v>December</v>
      </c>
      <c r="F2043" t="s">
        <v>454</v>
      </c>
      <c r="G2043" t="s">
        <v>1501</v>
      </c>
      <c r="H2043" t="s">
        <v>230</v>
      </c>
      <c r="I2043" t="s">
        <v>198</v>
      </c>
      <c r="J2043" t="s">
        <v>455</v>
      </c>
      <c r="K2043" t="s">
        <v>456</v>
      </c>
      <c r="L2043" t="s">
        <v>17</v>
      </c>
      <c r="M2043">
        <v>1513468800</v>
      </c>
      <c r="N2043" t="s">
        <v>1628</v>
      </c>
      <c r="O2043" t="s">
        <v>1628</v>
      </c>
      <c r="P2043" t="s">
        <v>1628</v>
      </c>
      <c r="Q2043">
        <f>LEN(AMAZON_FASHION_5__2[[#This Row],[reviewText]])</f>
        <v>14</v>
      </c>
      <c r="R2043" t="str">
        <f>IF(AMAZON_FASHION_5__2[[#This Row],[overall]]&gt;=4,"Positive",IF(AMAZON_FASHION_5__2[[#This Row],[overall]]&lt;=2,"Negative","Neutral"))</f>
        <v>Positive</v>
      </c>
      <c r="S20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44" spans="1:19" x14ac:dyDescent="0.25">
      <c r="A2044">
        <v>3</v>
      </c>
      <c r="B2044" t="b">
        <v>1</v>
      </c>
      <c r="C2044" s="1">
        <v>43074</v>
      </c>
      <c r="D2044">
        <f>YEAR(AMAZON_FASHION_5__2[[#This Row],[reviewDate]])</f>
        <v>2017</v>
      </c>
      <c r="E2044" s="1" t="str">
        <f>TEXT(AMAZON_FASHION_5__2[[#This Row],[reviewDate]], "mmmm")</f>
        <v>December</v>
      </c>
      <c r="F2044" t="s">
        <v>457</v>
      </c>
      <c r="G2044" t="s">
        <v>1501</v>
      </c>
      <c r="H2044" t="s">
        <v>210</v>
      </c>
      <c r="I2044" t="s">
        <v>274</v>
      </c>
      <c r="J2044" t="s">
        <v>458</v>
      </c>
      <c r="K2044" t="s">
        <v>459</v>
      </c>
      <c r="L2044" t="s">
        <v>460</v>
      </c>
      <c r="M2044">
        <v>1512432000</v>
      </c>
      <c r="N2044" t="s">
        <v>1628</v>
      </c>
      <c r="O2044" t="s">
        <v>1628</v>
      </c>
      <c r="P2044" t="s">
        <v>1628</v>
      </c>
      <c r="Q2044">
        <f>LEN(AMAZON_FASHION_5__2[[#This Row],[reviewText]])</f>
        <v>757</v>
      </c>
      <c r="R2044" t="str">
        <f>IF(AMAZON_FASHION_5__2[[#This Row],[overall]]&gt;=4,"Positive",IF(AMAZON_FASHION_5__2[[#This Row],[overall]]&lt;=2,"Negative","Neutral"))</f>
        <v>Neutral</v>
      </c>
      <c r="S20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45" spans="1:19" x14ac:dyDescent="0.25">
      <c r="A2045">
        <v>5</v>
      </c>
      <c r="B2045" t="b">
        <v>1</v>
      </c>
      <c r="C2045" s="1">
        <v>43074</v>
      </c>
      <c r="D2045">
        <f>YEAR(AMAZON_FASHION_5__2[[#This Row],[reviewDate]])</f>
        <v>2017</v>
      </c>
      <c r="E2045" s="1" t="str">
        <f>TEXT(AMAZON_FASHION_5__2[[#This Row],[reviewDate]], "mmmm")</f>
        <v>December</v>
      </c>
      <c r="F2045" t="s">
        <v>461</v>
      </c>
      <c r="G2045" t="s">
        <v>1501</v>
      </c>
      <c r="H2045" t="s">
        <v>230</v>
      </c>
      <c r="I2045" t="s">
        <v>303</v>
      </c>
      <c r="J2045" t="s">
        <v>462</v>
      </c>
      <c r="K2045" t="s">
        <v>463</v>
      </c>
      <c r="L2045" t="s">
        <v>17</v>
      </c>
      <c r="M2045">
        <v>1512432000</v>
      </c>
      <c r="N2045" t="s">
        <v>1628</v>
      </c>
      <c r="O2045" t="s">
        <v>1628</v>
      </c>
      <c r="P2045" t="s">
        <v>1628</v>
      </c>
      <c r="Q2045">
        <f>LEN(AMAZON_FASHION_5__2[[#This Row],[reviewText]])</f>
        <v>5</v>
      </c>
      <c r="R2045" t="str">
        <f>IF(AMAZON_FASHION_5__2[[#This Row],[overall]]&gt;=4,"Positive",IF(AMAZON_FASHION_5__2[[#This Row],[overall]]&lt;=2,"Negative","Neutral"))</f>
        <v>Positive</v>
      </c>
      <c r="S20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46" spans="1:19" x14ac:dyDescent="0.25">
      <c r="A2046">
        <v>5</v>
      </c>
      <c r="B2046" t="b">
        <v>1</v>
      </c>
      <c r="C2046" s="1">
        <v>43073</v>
      </c>
      <c r="D2046">
        <f>YEAR(AMAZON_FASHION_5__2[[#This Row],[reviewDate]])</f>
        <v>2017</v>
      </c>
      <c r="E2046" s="1" t="str">
        <f>TEXT(AMAZON_FASHION_5__2[[#This Row],[reviewDate]], "mmmm")</f>
        <v>December</v>
      </c>
      <c r="F2046" t="s">
        <v>464</v>
      </c>
      <c r="G2046" t="s">
        <v>1501</v>
      </c>
      <c r="H2046" t="s">
        <v>320</v>
      </c>
      <c r="I2046" t="s">
        <v>303</v>
      </c>
      <c r="J2046" t="s">
        <v>63</v>
      </c>
      <c r="K2046" t="s">
        <v>465</v>
      </c>
      <c r="L2046" t="s">
        <v>17</v>
      </c>
      <c r="M2046">
        <v>1512345600</v>
      </c>
      <c r="N2046" t="s">
        <v>1628</v>
      </c>
      <c r="O2046" t="s">
        <v>1628</v>
      </c>
      <c r="P2046" t="s">
        <v>1628</v>
      </c>
      <c r="Q2046">
        <f>LEN(AMAZON_FASHION_5__2[[#This Row],[reviewText]])</f>
        <v>1</v>
      </c>
      <c r="R2046" t="str">
        <f>IF(AMAZON_FASHION_5__2[[#This Row],[overall]]&gt;=4,"Positive",IF(AMAZON_FASHION_5__2[[#This Row],[overall]]&lt;=2,"Negative","Neutral"))</f>
        <v>Positive</v>
      </c>
      <c r="S20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47" spans="1:19" x14ac:dyDescent="0.25">
      <c r="A2047">
        <v>5</v>
      </c>
      <c r="B2047" t="b">
        <v>1</v>
      </c>
      <c r="C2047" s="1">
        <v>43069</v>
      </c>
      <c r="D2047">
        <f>YEAR(AMAZON_FASHION_5__2[[#This Row],[reviewDate]])</f>
        <v>2017</v>
      </c>
      <c r="E2047" s="1" t="str">
        <f>TEXT(AMAZON_FASHION_5__2[[#This Row],[reviewDate]], "mmmm")</f>
        <v>November</v>
      </c>
      <c r="F2047" t="s">
        <v>466</v>
      </c>
      <c r="G2047" t="s">
        <v>1501</v>
      </c>
      <c r="H2047" t="s">
        <v>210</v>
      </c>
      <c r="I2047" t="s">
        <v>274</v>
      </c>
      <c r="J2047" t="s">
        <v>467</v>
      </c>
      <c r="K2047" t="s">
        <v>468</v>
      </c>
      <c r="L2047" t="s">
        <v>17</v>
      </c>
      <c r="M2047">
        <v>1512000000</v>
      </c>
      <c r="N2047" t="s">
        <v>1628</v>
      </c>
      <c r="O2047" t="s">
        <v>1628</v>
      </c>
      <c r="P2047" t="s">
        <v>1628</v>
      </c>
      <c r="Q2047">
        <f>LEN(AMAZON_FASHION_5__2[[#This Row],[reviewText]])</f>
        <v>10</v>
      </c>
      <c r="R2047" t="str">
        <f>IF(AMAZON_FASHION_5__2[[#This Row],[overall]]&gt;=4,"Positive",IF(AMAZON_FASHION_5__2[[#This Row],[overall]]&lt;=2,"Negative","Neutral"))</f>
        <v>Positive</v>
      </c>
      <c r="S20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48" spans="1:19" x14ac:dyDescent="0.25">
      <c r="A2048">
        <v>3</v>
      </c>
      <c r="B2048" t="b">
        <v>1</v>
      </c>
      <c r="C2048" s="1">
        <v>43069</v>
      </c>
      <c r="D2048">
        <f>YEAR(AMAZON_FASHION_5__2[[#This Row],[reviewDate]])</f>
        <v>2017</v>
      </c>
      <c r="E2048" s="1" t="str">
        <f>TEXT(AMAZON_FASHION_5__2[[#This Row],[reviewDate]], "mmmm")</f>
        <v>November</v>
      </c>
      <c r="F2048" t="s">
        <v>469</v>
      </c>
      <c r="G2048" t="s">
        <v>1501</v>
      </c>
      <c r="H2048" t="s">
        <v>210</v>
      </c>
      <c r="I2048" t="s">
        <v>198</v>
      </c>
      <c r="J2048" t="s">
        <v>63</v>
      </c>
      <c r="K2048" t="s">
        <v>470</v>
      </c>
      <c r="L2048" t="s">
        <v>471</v>
      </c>
      <c r="M2048">
        <v>1512000000</v>
      </c>
      <c r="N2048" t="s">
        <v>1628</v>
      </c>
      <c r="O2048" t="s">
        <v>1628</v>
      </c>
      <c r="P2048" t="s">
        <v>1628</v>
      </c>
      <c r="Q2048">
        <f>LEN(AMAZON_FASHION_5__2[[#This Row],[reviewText]])</f>
        <v>192</v>
      </c>
      <c r="R2048" t="str">
        <f>IF(AMAZON_FASHION_5__2[[#This Row],[overall]]&gt;=4,"Positive",IF(AMAZON_FASHION_5__2[[#This Row],[overall]]&lt;=2,"Negative","Neutral"))</f>
        <v>Neutral</v>
      </c>
      <c r="S20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49" spans="1:19" x14ac:dyDescent="0.25">
      <c r="A2049">
        <v>3</v>
      </c>
      <c r="B2049" t="b">
        <v>1</v>
      </c>
      <c r="C2049" s="1">
        <v>43067</v>
      </c>
      <c r="D2049">
        <f>YEAR(AMAZON_FASHION_5__2[[#This Row],[reviewDate]])</f>
        <v>2017</v>
      </c>
      <c r="E2049" s="1" t="str">
        <f>TEXT(AMAZON_FASHION_5__2[[#This Row],[reviewDate]], "mmmm")</f>
        <v>November</v>
      </c>
      <c r="F2049" t="s">
        <v>472</v>
      </c>
      <c r="G2049" t="s">
        <v>1501</v>
      </c>
      <c r="H2049" t="s">
        <v>261</v>
      </c>
      <c r="I2049" t="s">
        <v>1455</v>
      </c>
      <c r="J2049" t="s">
        <v>473</v>
      </c>
      <c r="K2049" t="s">
        <v>474</v>
      </c>
      <c r="L2049" t="s">
        <v>475</v>
      </c>
      <c r="M2049">
        <v>1511827200</v>
      </c>
      <c r="N2049" t="s">
        <v>1628</v>
      </c>
      <c r="O2049" t="s">
        <v>1628</v>
      </c>
      <c r="P2049" t="s">
        <v>1628</v>
      </c>
      <c r="Q2049">
        <f>LEN(AMAZON_FASHION_5__2[[#This Row],[reviewText]])</f>
        <v>194</v>
      </c>
      <c r="R2049" t="str">
        <f>IF(AMAZON_FASHION_5__2[[#This Row],[overall]]&gt;=4,"Positive",IF(AMAZON_FASHION_5__2[[#This Row],[overall]]&lt;=2,"Negative","Neutral"))</f>
        <v>Neutral</v>
      </c>
      <c r="S20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50" spans="1:19" x14ac:dyDescent="0.25">
      <c r="A2050">
        <v>4</v>
      </c>
      <c r="B2050" t="b">
        <v>1</v>
      </c>
      <c r="C2050" s="1">
        <v>43067</v>
      </c>
      <c r="D2050">
        <f>YEAR(AMAZON_FASHION_5__2[[#This Row],[reviewDate]])</f>
        <v>2017</v>
      </c>
      <c r="E2050" s="1" t="str">
        <f>TEXT(AMAZON_FASHION_5__2[[#This Row],[reviewDate]], "mmmm")</f>
        <v>November</v>
      </c>
      <c r="F2050" t="s">
        <v>476</v>
      </c>
      <c r="G2050" t="s">
        <v>1501</v>
      </c>
      <c r="H2050" t="s">
        <v>477</v>
      </c>
      <c r="I2050" t="s">
        <v>396</v>
      </c>
      <c r="J2050" t="s">
        <v>478</v>
      </c>
      <c r="K2050" t="s">
        <v>479</v>
      </c>
      <c r="L2050" t="s">
        <v>480</v>
      </c>
      <c r="M2050">
        <v>1511827200</v>
      </c>
      <c r="N2050" t="s">
        <v>1628</v>
      </c>
      <c r="O2050" t="s">
        <v>1628</v>
      </c>
      <c r="P2050" t="s">
        <v>1628</v>
      </c>
      <c r="Q2050">
        <f>LEN(AMAZON_FASHION_5__2[[#This Row],[reviewText]])</f>
        <v>27</v>
      </c>
      <c r="R2050" t="str">
        <f>IF(AMAZON_FASHION_5__2[[#This Row],[overall]]&gt;=4,"Positive",IF(AMAZON_FASHION_5__2[[#This Row],[overall]]&lt;=2,"Negative","Neutral"))</f>
        <v>Positive</v>
      </c>
      <c r="S20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51" spans="1:19" x14ac:dyDescent="0.25">
      <c r="A2051">
        <v>5</v>
      </c>
      <c r="B2051" t="b">
        <v>1</v>
      </c>
      <c r="C2051" s="1">
        <v>43066</v>
      </c>
      <c r="D2051">
        <f>YEAR(AMAZON_FASHION_5__2[[#This Row],[reviewDate]])</f>
        <v>2017</v>
      </c>
      <c r="E2051" s="1" t="str">
        <f>TEXT(AMAZON_FASHION_5__2[[#This Row],[reviewDate]], "mmmm")</f>
        <v>November</v>
      </c>
      <c r="F2051" t="s">
        <v>481</v>
      </c>
      <c r="G2051" t="s">
        <v>1501</v>
      </c>
      <c r="H2051" t="s">
        <v>210</v>
      </c>
      <c r="I2051" t="s">
        <v>303</v>
      </c>
      <c r="J2051" t="s">
        <v>482</v>
      </c>
      <c r="K2051" t="s">
        <v>483</v>
      </c>
      <c r="L2051" t="s">
        <v>17</v>
      </c>
      <c r="M2051">
        <v>1511740800</v>
      </c>
      <c r="N2051" t="s">
        <v>1628</v>
      </c>
      <c r="O2051" t="s">
        <v>1628</v>
      </c>
      <c r="P2051" t="s">
        <v>1628</v>
      </c>
      <c r="Q2051">
        <f>LEN(AMAZON_FASHION_5__2[[#This Row],[reviewText]])</f>
        <v>8</v>
      </c>
      <c r="R2051" t="str">
        <f>IF(AMAZON_FASHION_5__2[[#This Row],[overall]]&gt;=4,"Positive",IF(AMAZON_FASHION_5__2[[#This Row],[overall]]&lt;=2,"Negative","Neutral"))</f>
        <v>Positive</v>
      </c>
      <c r="S20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52" spans="1:19" x14ac:dyDescent="0.25">
      <c r="A2052">
        <v>5</v>
      </c>
      <c r="B2052" t="b">
        <v>1</v>
      </c>
      <c r="C2052" s="1">
        <v>43066</v>
      </c>
      <c r="D2052">
        <f>YEAR(AMAZON_FASHION_5__2[[#This Row],[reviewDate]])</f>
        <v>2017</v>
      </c>
      <c r="E2052" s="1" t="str">
        <f>TEXT(AMAZON_FASHION_5__2[[#This Row],[reviewDate]], "mmmm")</f>
        <v>November</v>
      </c>
      <c r="F2052" t="s">
        <v>481</v>
      </c>
      <c r="G2052" t="s">
        <v>1501</v>
      </c>
      <c r="H2052" t="s">
        <v>210</v>
      </c>
      <c r="I2052" t="s">
        <v>392</v>
      </c>
      <c r="J2052" t="s">
        <v>482</v>
      </c>
      <c r="K2052" t="s">
        <v>483</v>
      </c>
      <c r="L2052" t="s">
        <v>17</v>
      </c>
      <c r="M2052">
        <v>1511740800</v>
      </c>
      <c r="N2052" t="s">
        <v>1628</v>
      </c>
      <c r="O2052" t="s">
        <v>1628</v>
      </c>
      <c r="P2052" t="s">
        <v>1628</v>
      </c>
      <c r="Q2052">
        <f>LEN(AMAZON_FASHION_5__2[[#This Row],[reviewText]])</f>
        <v>8</v>
      </c>
      <c r="R2052" t="str">
        <f>IF(AMAZON_FASHION_5__2[[#This Row],[overall]]&gt;=4,"Positive",IF(AMAZON_FASHION_5__2[[#This Row],[overall]]&lt;=2,"Negative","Neutral"))</f>
        <v>Positive</v>
      </c>
      <c r="S20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53" spans="1:19" x14ac:dyDescent="0.25">
      <c r="A2053">
        <v>1</v>
      </c>
      <c r="B2053" t="b">
        <v>1</v>
      </c>
      <c r="C2053" s="1">
        <v>43058</v>
      </c>
      <c r="D2053">
        <f>YEAR(AMAZON_FASHION_5__2[[#This Row],[reviewDate]])</f>
        <v>2017</v>
      </c>
      <c r="E2053" s="1" t="str">
        <f>TEXT(AMAZON_FASHION_5__2[[#This Row],[reviewDate]], "mmmm")</f>
        <v>November</v>
      </c>
      <c r="F2053" t="s">
        <v>484</v>
      </c>
      <c r="G2053" t="s">
        <v>1501</v>
      </c>
      <c r="H2053" t="s">
        <v>201</v>
      </c>
      <c r="I2053" t="s">
        <v>198</v>
      </c>
      <c r="J2053" t="s">
        <v>485</v>
      </c>
      <c r="K2053" t="s">
        <v>486</v>
      </c>
      <c r="L2053" t="s">
        <v>487</v>
      </c>
      <c r="M2053">
        <v>1511049600</v>
      </c>
      <c r="N2053" t="s">
        <v>1628</v>
      </c>
      <c r="O2053" t="s">
        <v>1628</v>
      </c>
      <c r="P2053" t="s">
        <v>1628</v>
      </c>
      <c r="Q2053">
        <f>LEN(AMAZON_FASHION_5__2[[#This Row],[reviewText]])</f>
        <v>133</v>
      </c>
      <c r="R2053" t="str">
        <f>IF(AMAZON_FASHION_5__2[[#This Row],[overall]]&gt;=4,"Positive",IF(AMAZON_FASHION_5__2[[#This Row],[overall]]&lt;=2,"Negative","Neutral"))</f>
        <v>Negative</v>
      </c>
      <c r="S20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54" spans="1:19" x14ac:dyDescent="0.25">
      <c r="A2054">
        <v>5</v>
      </c>
      <c r="B2054" t="b">
        <v>1</v>
      </c>
      <c r="C2054" s="1">
        <v>43053</v>
      </c>
      <c r="D2054">
        <f>YEAR(AMAZON_FASHION_5__2[[#This Row],[reviewDate]])</f>
        <v>2017</v>
      </c>
      <c r="E2054" s="1" t="str">
        <f>TEXT(AMAZON_FASHION_5__2[[#This Row],[reviewDate]], "mmmm")</f>
        <v>November</v>
      </c>
      <c r="F2054" t="s">
        <v>488</v>
      </c>
      <c r="G2054" t="s">
        <v>1501</v>
      </c>
      <c r="H2054" t="s">
        <v>210</v>
      </c>
      <c r="I2054" t="s">
        <v>303</v>
      </c>
      <c r="J2054" t="s">
        <v>489</v>
      </c>
      <c r="K2054" t="s">
        <v>490</v>
      </c>
      <c r="L2054" t="s">
        <v>491</v>
      </c>
      <c r="M2054">
        <v>1510617600</v>
      </c>
      <c r="N2054" t="s">
        <v>1628</v>
      </c>
      <c r="O2054" t="s">
        <v>1628</v>
      </c>
      <c r="P2054" t="s">
        <v>1628</v>
      </c>
      <c r="Q2054">
        <f>LEN(AMAZON_FASHION_5__2[[#This Row],[reviewText]])</f>
        <v>232</v>
      </c>
      <c r="R2054" t="str">
        <f>IF(AMAZON_FASHION_5__2[[#This Row],[overall]]&gt;=4,"Positive",IF(AMAZON_FASHION_5__2[[#This Row],[overall]]&lt;=2,"Negative","Neutral"))</f>
        <v>Positive</v>
      </c>
      <c r="S20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55" spans="1:19" x14ac:dyDescent="0.25">
      <c r="A2055">
        <v>4</v>
      </c>
      <c r="B2055" t="b">
        <v>1</v>
      </c>
      <c r="C2055" s="1">
        <v>43050</v>
      </c>
      <c r="D2055">
        <f>YEAR(AMAZON_FASHION_5__2[[#This Row],[reviewDate]])</f>
        <v>2017</v>
      </c>
      <c r="E2055" s="1" t="str">
        <f>TEXT(AMAZON_FASHION_5__2[[#This Row],[reviewDate]], "mmmm")</f>
        <v>November</v>
      </c>
      <c r="F2055" t="s">
        <v>492</v>
      </c>
      <c r="G2055" t="s">
        <v>1501</v>
      </c>
      <c r="H2055" t="s">
        <v>230</v>
      </c>
      <c r="I2055" t="s">
        <v>493</v>
      </c>
      <c r="J2055" t="s">
        <v>494</v>
      </c>
      <c r="K2055" t="s">
        <v>495</v>
      </c>
      <c r="L2055" t="s">
        <v>496</v>
      </c>
      <c r="M2055">
        <v>1510358400</v>
      </c>
      <c r="N2055" t="s">
        <v>1628</v>
      </c>
      <c r="O2055" t="s">
        <v>1628</v>
      </c>
      <c r="P2055" t="s">
        <v>1628</v>
      </c>
      <c r="Q2055">
        <f>LEN(AMAZON_FASHION_5__2[[#This Row],[reviewText]])</f>
        <v>104</v>
      </c>
      <c r="R2055" t="str">
        <f>IF(AMAZON_FASHION_5__2[[#This Row],[overall]]&gt;=4,"Positive",IF(AMAZON_FASHION_5__2[[#This Row],[overall]]&lt;=2,"Negative","Neutral"))</f>
        <v>Positive</v>
      </c>
      <c r="S20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56" spans="1:19" x14ac:dyDescent="0.25">
      <c r="A2056">
        <v>5</v>
      </c>
      <c r="B2056" t="b">
        <v>1</v>
      </c>
      <c r="C2056" s="1">
        <v>43049</v>
      </c>
      <c r="D2056">
        <f>YEAR(AMAZON_FASHION_5__2[[#This Row],[reviewDate]])</f>
        <v>2017</v>
      </c>
      <c r="E2056" s="1" t="str">
        <f>TEXT(AMAZON_FASHION_5__2[[#This Row],[reviewDate]], "mmmm")</f>
        <v>November</v>
      </c>
      <c r="F2056" t="s">
        <v>497</v>
      </c>
      <c r="G2056" t="s">
        <v>1501</v>
      </c>
      <c r="H2056" t="s">
        <v>477</v>
      </c>
      <c r="I2056" t="s">
        <v>396</v>
      </c>
      <c r="J2056" t="s">
        <v>498</v>
      </c>
      <c r="K2056" t="s">
        <v>499</v>
      </c>
      <c r="L2056" t="s">
        <v>17</v>
      </c>
      <c r="M2056">
        <v>1510272000</v>
      </c>
      <c r="N2056" t="s">
        <v>1628</v>
      </c>
      <c r="O2056" t="s">
        <v>1628</v>
      </c>
      <c r="P2056" t="s">
        <v>1628</v>
      </c>
      <c r="Q2056">
        <f>LEN(AMAZON_FASHION_5__2[[#This Row],[reviewText]])</f>
        <v>15</v>
      </c>
      <c r="R2056" t="str">
        <f>IF(AMAZON_FASHION_5__2[[#This Row],[overall]]&gt;=4,"Positive",IF(AMAZON_FASHION_5__2[[#This Row],[overall]]&lt;=2,"Negative","Neutral"))</f>
        <v>Positive</v>
      </c>
      <c r="S20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57" spans="1:19" x14ac:dyDescent="0.25">
      <c r="A2057">
        <v>5</v>
      </c>
      <c r="B2057" t="b">
        <v>1</v>
      </c>
      <c r="C2057" s="1">
        <v>43048</v>
      </c>
      <c r="D2057">
        <f>YEAR(AMAZON_FASHION_5__2[[#This Row],[reviewDate]])</f>
        <v>2017</v>
      </c>
      <c r="E2057" s="1" t="str">
        <f>TEXT(AMAZON_FASHION_5__2[[#This Row],[reviewDate]], "mmmm")</f>
        <v>November</v>
      </c>
      <c r="F2057" t="s">
        <v>500</v>
      </c>
      <c r="G2057" t="s">
        <v>1501</v>
      </c>
      <c r="H2057" t="s">
        <v>197</v>
      </c>
      <c r="I2057" t="s">
        <v>198</v>
      </c>
      <c r="J2057" t="s">
        <v>63</v>
      </c>
      <c r="K2057" t="s">
        <v>501</v>
      </c>
      <c r="L2057" t="s">
        <v>502</v>
      </c>
      <c r="M2057">
        <v>1510185600</v>
      </c>
      <c r="N2057" t="s">
        <v>1628</v>
      </c>
      <c r="O2057" t="s">
        <v>1628</v>
      </c>
      <c r="P2057" t="s">
        <v>1628</v>
      </c>
      <c r="Q2057">
        <f>LEN(AMAZON_FASHION_5__2[[#This Row],[reviewText]])</f>
        <v>278</v>
      </c>
      <c r="R2057" t="str">
        <f>IF(AMAZON_FASHION_5__2[[#This Row],[overall]]&gt;=4,"Positive",IF(AMAZON_FASHION_5__2[[#This Row],[overall]]&lt;=2,"Negative","Neutral"))</f>
        <v>Positive</v>
      </c>
      <c r="S20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58" spans="1:19" x14ac:dyDescent="0.25">
      <c r="A2058">
        <v>4</v>
      </c>
      <c r="B2058" t="b">
        <v>1</v>
      </c>
      <c r="C2058" s="1">
        <v>43046</v>
      </c>
      <c r="D2058">
        <f>YEAR(AMAZON_FASHION_5__2[[#This Row],[reviewDate]])</f>
        <v>2017</v>
      </c>
      <c r="E2058" s="1" t="str">
        <f>TEXT(AMAZON_FASHION_5__2[[#This Row],[reviewDate]], "mmmm")</f>
        <v>November</v>
      </c>
      <c r="F2058" t="s">
        <v>503</v>
      </c>
      <c r="G2058" t="s">
        <v>1501</v>
      </c>
      <c r="H2058" t="s">
        <v>210</v>
      </c>
      <c r="I2058" t="s">
        <v>274</v>
      </c>
      <c r="J2058" t="s">
        <v>504</v>
      </c>
      <c r="K2058" t="s">
        <v>505</v>
      </c>
      <c r="L2058" t="s">
        <v>103</v>
      </c>
      <c r="M2058">
        <v>1510012800</v>
      </c>
      <c r="N2058" t="s">
        <v>1628</v>
      </c>
      <c r="O2058" t="s">
        <v>1628</v>
      </c>
      <c r="P2058" t="s">
        <v>1628</v>
      </c>
      <c r="Q2058">
        <f>LEN(AMAZON_FASHION_5__2[[#This Row],[reviewText]])</f>
        <v>8</v>
      </c>
      <c r="R2058" t="str">
        <f>IF(AMAZON_FASHION_5__2[[#This Row],[overall]]&gt;=4,"Positive",IF(AMAZON_FASHION_5__2[[#This Row],[overall]]&lt;=2,"Negative","Neutral"))</f>
        <v>Positive</v>
      </c>
      <c r="S20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59" spans="1:19" x14ac:dyDescent="0.25">
      <c r="A2059">
        <v>2</v>
      </c>
      <c r="B2059" t="b">
        <v>1</v>
      </c>
      <c r="C2059" s="1">
        <v>43044</v>
      </c>
      <c r="D2059">
        <f>YEAR(AMAZON_FASHION_5__2[[#This Row],[reviewDate]])</f>
        <v>2017</v>
      </c>
      <c r="E2059" s="1" t="str">
        <f>TEXT(AMAZON_FASHION_5__2[[#This Row],[reviewDate]], "mmmm")</f>
        <v>November</v>
      </c>
      <c r="F2059" t="s">
        <v>506</v>
      </c>
      <c r="G2059" t="s">
        <v>1501</v>
      </c>
      <c r="H2059" t="s">
        <v>197</v>
      </c>
      <c r="I2059" t="s">
        <v>507</v>
      </c>
      <c r="J2059" t="s">
        <v>63</v>
      </c>
      <c r="K2059" t="s">
        <v>508</v>
      </c>
      <c r="L2059" t="s">
        <v>509</v>
      </c>
      <c r="M2059">
        <v>1509840000</v>
      </c>
      <c r="N2059" t="s">
        <v>1628</v>
      </c>
      <c r="O2059" t="s">
        <v>1628</v>
      </c>
      <c r="P2059">
        <v>6</v>
      </c>
      <c r="Q2059">
        <f>LEN(AMAZON_FASHION_5__2[[#This Row],[reviewText]])</f>
        <v>467</v>
      </c>
      <c r="R2059" t="str">
        <f>IF(AMAZON_FASHION_5__2[[#This Row],[overall]]&gt;=4,"Positive",IF(AMAZON_FASHION_5__2[[#This Row],[overall]]&lt;=2,"Negative","Neutral"))</f>
        <v>Negative</v>
      </c>
      <c r="S20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60" spans="1:19" x14ac:dyDescent="0.25">
      <c r="A2060">
        <v>5</v>
      </c>
      <c r="B2060" t="b">
        <v>1</v>
      </c>
      <c r="C2060" s="1">
        <v>43043</v>
      </c>
      <c r="D2060">
        <f>YEAR(AMAZON_FASHION_5__2[[#This Row],[reviewDate]])</f>
        <v>2017</v>
      </c>
      <c r="E2060" s="1" t="str">
        <f>TEXT(AMAZON_FASHION_5__2[[#This Row],[reviewDate]], "mmmm")</f>
        <v>November</v>
      </c>
      <c r="F2060" t="s">
        <v>510</v>
      </c>
      <c r="G2060" t="s">
        <v>1501</v>
      </c>
      <c r="H2060" t="s">
        <v>235</v>
      </c>
      <c r="I2060" t="s">
        <v>274</v>
      </c>
      <c r="J2060" t="s">
        <v>511</v>
      </c>
      <c r="K2060" t="s">
        <v>512</v>
      </c>
      <c r="L2060" t="s">
        <v>17</v>
      </c>
      <c r="M2060">
        <v>1509753600</v>
      </c>
      <c r="N2060" t="s">
        <v>1628</v>
      </c>
      <c r="O2060" t="s">
        <v>1628</v>
      </c>
      <c r="P2060" t="s">
        <v>1628</v>
      </c>
      <c r="Q2060">
        <f>LEN(AMAZON_FASHION_5__2[[#This Row],[reviewText]])</f>
        <v>39</v>
      </c>
      <c r="R2060" t="str">
        <f>IF(AMAZON_FASHION_5__2[[#This Row],[overall]]&gt;=4,"Positive",IF(AMAZON_FASHION_5__2[[#This Row],[overall]]&lt;=2,"Negative","Neutral"))</f>
        <v>Positive</v>
      </c>
      <c r="S20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61" spans="1:19" x14ac:dyDescent="0.25">
      <c r="A2061">
        <v>3</v>
      </c>
      <c r="B2061" t="b">
        <v>1</v>
      </c>
      <c r="C2061" s="1">
        <v>43043</v>
      </c>
      <c r="D2061">
        <f>YEAR(AMAZON_FASHION_5__2[[#This Row],[reviewDate]])</f>
        <v>2017</v>
      </c>
      <c r="E2061" s="1" t="str">
        <f>TEXT(AMAZON_FASHION_5__2[[#This Row],[reviewDate]], "mmmm")</f>
        <v>November</v>
      </c>
      <c r="F2061" t="s">
        <v>513</v>
      </c>
      <c r="G2061" t="s">
        <v>1501</v>
      </c>
      <c r="H2061" t="s">
        <v>205</v>
      </c>
      <c r="I2061" t="s">
        <v>507</v>
      </c>
      <c r="J2061" t="s">
        <v>514</v>
      </c>
      <c r="K2061" t="s">
        <v>515</v>
      </c>
      <c r="L2061" t="s">
        <v>101</v>
      </c>
      <c r="M2061">
        <v>1509753600</v>
      </c>
      <c r="N2061" t="s">
        <v>1628</v>
      </c>
      <c r="O2061" t="s">
        <v>1628</v>
      </c>
      <c r="P2061" t="s">
        <v>1628</v>
      </c>
      <c r="Q2061">
        <f>LEN(AMAZON_FASHION_5__2[[#This Row],[reviewText]])</f>
        <v>38</v>
      </c>
      <c r="R2061" t="str">
        <f>IF(AMAZON_FASHION_5__2[[#This Row],[overall]]&gt;=4,"Positive",IF(AMAZON_FASHION_5__2[[#This Row],[overall]]&lt;=2,"Negative","Neutral"))</f>
        <v>Neutral</v>
      </c>
      <c r="S20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62" spans="1:19" x14ac:dyDescent="0.25">
      <c r="A2062">
        <v>4</v>
      </c>
      <c r="B2062" t="b">
        <v>1</v>
      </c>
      <c r="C2062" s="1">
        <v>43042</v>
      </c>
      <c r="D2062">
        <f>YEAR(AMAZON_FASHION_5__2[[#This Row],[reviewDate]])</f>
        <v>2017</v>
      </c>
      <c r="E2062" s="1" t="str">
        <f>TEXT(AMAZON_FASHION_5__2[[#This Row],[reviewDate]], "mmmm")</f>
        <v>November</v>
      </c>
      <c r="F2062" t="s">
        <v>516</v>
      </c>
      <c r="G2062" t="s">
        <v>1501</v>
      </c>
      <c r="H2062" t="s">
        <v>230</v>
      </c>
      <c r="I2062" t="s">
        <v>274</v>
      </c>
      <c r="J2062" t="s">
        <v>517</v>
      </c>
      <c r="K2062" t="s">
        <v>518</v>
      </c>
      <c r="L2062" t="s">
        <v>519</v>
      </c>
      <c r="M2062">
        <v>1509667200</v>
      </c>
      <c r="N2062" t="s">
        <v>1628</v>
      </c>
      <c r="O2062" t="s">
        <v>1628</v>
      </c>
      <c r="P2062" t="s">
        <v>1628</v>
      </c>
      <c r="Q2062">
        <f>LEN(AMAZON_FASHION_5__2[[#This Row],[reviewText]])</f>
        <v>23</v>
      </c>
      <c r="R2062" t="str">
        <f>IF(AMAZON_FASHION_5__2[[#This Row],[overall]]&gt;=4,"Positive",IF(AMAZON_FASHION_5__2[[#This Row],[overall]]&lt;=2,"Negative","Neutral"))</f>
        <v>Positive</v>
      </c>
      <c r="S20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63" spans="1:19" x14ac:dyDescent="0.25">
      <c r="A2063">
        <v>5</v>
      </c>
      <c r="B2063" t="b">
        <v>1</v>
      </c>
      <c r="C2063" s="1">
        <v>43041</v>
      </c>
      <c r="D2063">
        <f>YEAR(AMAZON_FASHION_5__2[[#This Row],[reviewDate]])</f>
        <v>2017</v>
      </c>
      <c r="E2063" s="1" t="str">
        <f>TEXT(AMAZON_FASHION_5__2[[#This Row],[reviewDate]], "mmmm")</f>
        <v>November</v>
      </c>
      <c r="F2063" t="s">
        <v>520</v>
      </c>
      <c r="G2063" t="s">
        <v>1501</v>
      </c>
      <c r="H2063" t="s">
        <v>230</v>
      </c>
      <c r="I2063" t="s">
        <v>303</v>
      </c>
      <c r="J2063" t="s">
        <v>521</v>
      </c>
      <c r="K2063" t="s">
        <v>522</v>
      </c>
      <c r="L2063" t="s">
        <v>17</v>
      </c>
      <c r="M2063">
        <v>1509580800</v>
      </c>
      <c r="N2063" t="s">
        <v>1628</v>
      </c>
      <c r="O2063" t="s">
        <v>1628</v>
      </c>
      <c r="P2063" t="s">
        <v>1628</v>
      </c>
      <c r="Q2063">
        <f>LEN(AMAZON_FASHION_5__2[[#This Row],[reviewText]])</f>
        <v>10</v>
      </c>
      <c r="R2063" t="str">
        <f>IF(AMAZON_FASHION_5__2[[#This Row],[overall]]&gt;=4,"Positive",IF(AMAZON_FASHION_5__2[[#This Row],[overall]]&lt;=2,"Negative","Neutral"))</f>
        <v>Positive</v>
      </c>
      <c r="S20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64" spans="1:19" x14ac:dyDescent="0.25">
      <c r="A2064">
        <v>4</v>
      </c>
      <c r="B2064" t="b">
        <v>1</v>
      </c>
      <c r="C2064" s="1">
        <v>43039</v>
      </c>
      <c r="D2064">
        <f>YEAR(AMAZON_FASHION_5__2[[#This Row],[reviewDate]])</f>
        <v>2017</v>
      </c>
      <c r="E2064" s="1" t="str">
        <f>TEXT(AMAZON_FASHION_5__2[[#This Row],[reviewDate]], "mmmm")</f>
        <v>October</v>
      </c>
      <c r="F2064" t="s">
        <v>523</v>
      </c>
      <c r="G2064" t="s">
        <v>1501</v>
      </c>
      <c r="H2064" t="s">
        <v>201</v>
      </c>
      <c r="I2064" t="s">
        <v>524</v>
      </c>
      <c r="J2064" t="s">
        <v>525</v>
      </c>
      <c r="K2064" t="s">
        <v>526</v>
      </c>
      <c r="L2064" t="s">
        <v>527</v>
      </c>
      <c r="M2064">
        <v>1509408000</v>
      </c>
      <c r="N2064" t="s">
        <v>1628</v>
      </c>
      <c r="O2064" t="s">
        <v>1628</v>
      </c>
      <c r="P2064" t="s">
        <v>1628</v>
      </c>
      <c r="Q2064">
        <f>LEN(AMAZON_FASHION_5__2[[#This Row],[reviewText]])</f>
        <v>152</v>
      </c>
      <c r="R2064" t="str">
        <f>IF(AMAZON_FASHION_5__2[[#This Row],[overall]]&gt;=4,"Positive",IF(AMAZON_FASHION_5__2[[#This Row],[overall]]&lt;=2,"Negative","Neutral"))</f>
        <v>Positive</v>
      </c>
      <c r="S20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65" spans="1:19" x14ac:dyDescent="0.25">
      <c r="A2065">
        <v>5</v>
      </c>
      <c r="B2065" t="b">
        <v>1</v>
      </c>
      <c r="C2065" s="1">
        <v>43037</v>
      </c>
      <c r="D2065">
        <f>YEAR(AMAZON_FASHION_5__2[[#This Row],[reviewDate]])</f>
        <v>2017</v>
      </c>
      <c r="E2065" s="1" t="str">
        <f>TEXT(AMAZON_FASHION_5__2[[#This Row],[reviewDate]], "mmmm")</f>
        <v>October</v>
      </c>
      <c r="F2065" t="s">
        <v>528</v>
      </c>
      <c r="G2065" t="s">
        <v>1501</v>
      </c>
      <c r="H2065" t="s">
        <v>235</v>
      </c>
      <c r="I2065" t="s">
        <v>274</v>
      </c>
      <c r="J2065" t="s">
        <v>529</v>
      </c>
      <c r="K2065" t="s">
        <v>530</v>
      </c>
      <c r="L2065" t="s">
        <v>531</v>
      </c>
      <c r="M2065">
        <v>1509235200</v>
      </c>
      <c r="N2065" t="s">
        <v>1628</v>
      </c>
      <c r="O2065" t="s">
        <v>1628</v>
      </c>
      <c r="P2065" t="s">
        <v>1628</v>
      </c>
      <c r="Q2065">
        <f>LEN(AMAZON_FASHION_5__2[[#This Row],[reviewText]])</f>
        <v>21</v>
      </c>
      <c r="R2065" t="str">
        <f>IF(AMAZON_FASHION_5__2[[#This Row],[overall]]&gt;=4,"Positive",IF(AMAZON_FASHION_5__2[[#This Row],[overall]]&lt;=2,"Negative","Neutral"))</f>
        <v>Positive</v>
      </c>
      <c r="S20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66" spans="1:19" x14ac:dyDescent="0.25">
      <c r="A2066">
        <v>5</v>
      </c>
      <c r="B2066" t="b">
        <v>1</v>
      </c>
      <c r="C2066" s="1">
        <v>43034</v>
      </c>
      <c r="D2066">
        <f>YEAR(AMAZON_FASHION_5__2[[#This Row],[reviewDate]])</f>
        <v>2017</v>
      </c>
      <c r="E2066" s="1" t="str">
        <f>TEXT(AMAZON_FASHION_5__2[[#This Row],[reviewDate]], "mmmm")</f>
        <v>October</v>
      </c>
      <c r="F2066" t="s">
        <v>532</v>
      </c>
      <c r="G2066" t="s">
        <v>1501</v>
      </c>
      <c r="H2066" t="s">
        <v>477</v>
      </c>
      <c r="I2066" t="s">
        <v>198</v>
      </c>
      <c r="J2066" t="s">
        <v>533</v>
      </c>
      <c r="K2066" t="s">
        <v>534</v>
      </c>
      <c r="L2066" t="s">
        <v>535</v>
      </c>
      <c r="M2066">
        <v>1508976000</v>
      </c>
      <c r="N2066" t="s">
        <v>1628</v>
      </c>
      <c r="O2066" t="s">
        <v>1628</v>
      </c>
      <c r="P2066" t="s">
        <v>1628</v>
      </c>
      <c r="Q2066">
        <f>LEN(AMAZON_FASHION_5__2[[#This Row],[reviewText]])</f>
        <v>185</v>
      </c>
      <c r="R2066" t="str">
        <f>IF(AMAZON_FASHION_5__2[[#This Row],[overall]]&gt;=4,"Positive",IF(AMAZON_FASHION_5__2[[#This Row],[overall]]&lt;=2,"Negative","Neutral"))</f>
        <v>Positive</v>
      </c>
      <c r="S20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67" spans="1:19" x14ac:dyDescent="0.25">
      <c r="A2067">
        <v>5</v>
      </c>
      <c r="B2067" t="b">
        <v>1</v>
      </c>
      <c r="C2067" s="1">
        <v>43034</v>
      </c>
      <c r="D2067">
        <f>YEAR(AMAZON_FASHION_5__2[[#This Row],[reviewDate]])</f>
        <v>2017</v>
      </c>
      <c r="E2067" s="1" t="str">
        <f>TEXT(AMAZON_FASHION_5__2[[#This Row],[reviewDate]], "mmmm")</f>
        <v>October</v>
      </c>
      <c r="F2067" t="s">
        <v>536</v>
      </c>
      <c r="G2067" t="s">
        <v>1501</v>
      </c>
      <c r="H2067" t="s">
        <v>197</v>
      </c>
      <c r="I2067" t="s">
        <v>303</v>
      </c>
      <c r="J2067" t="s">
        <v>537</v>
      </c>
      <c r="K2067" t="s">
        <v>538</v>
      </c>
      <c r="L2067" t="s">
        <v>539</v>
      </c>
      <c r="M2067">
        <v>1508976000</v>
      </c>
      <c r="N2067" t="s">
        <v>1628</v>
      </c>
      <c r="O2067" t="s">
        <v>1628</v>
      </c>
      <c r="P2067" t="s">
        <v>1628</v>
      </c>
      <c r="Q2067">
        <f>LEN(AMAZON_FASHION_5__2[[#This Row],[reviewText]])</f>
        <v>351</v>
      </c>
      <c r="R2067" t="str">
        <f>IF(AMAZON_FASHION_5__2[[#This Row],[overall]]&gt;=4,"Positive",IF(AMAZON_FASHION_5__2[[#This Row],[overall]]&lt;=2,"Negative","Neutral"))</f>
        <v>Positive</v>
      </c>
      <c r="S20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68" spans="1:19" x14ac:dyDescent="0.25">
      <c r="A2068">
        <v>5</v>
      </c>
      <c r="B2068" t="b">
        <v>1</v>
      </c>
      <c r="C2068" s="1">
        <v>43033</v>
      </c>
      <c r="D2068">
        <f>YEAR(AMAZON_FASHION_5__2[[#This Row],[reviewDate]])</f>
        <v>2017</v>
      </c>
      <c r="E2068" s="1" t="str">
        <f>TEXT(AMAZON_FASHION_5__2[[#This Row],[reviewDate]], "mmmm")</f>
        <v>October</v>
      </c>
      <c r="F2068" t="s">
        <v>540</v>
      </c>
      <c r="G2068" t="s">
        <v>1501</v>
      </c>
      <c r="H2068" t="s">
        <v>230</v>
      </c>
      <c r="I2068" t="s">
        <v>541</v>
      </c>
      <c r="J2068" t="s">
        <v>542</v>
      </c>
      <c r="K2068" t="s">
        <v>543</v>
      </c>
      <c r="L2068" t="s">
        <v>17</v>
      </c>
      <c r="M2068">
        <v>1508889600</v>
      </c>
      <c r="N2068" t="s">
        <v>1628</v>
      </c>
      <c r="O2068" t="s">
        <v>1628</v>
      </c>
      <c r="P2068" t="s">
        <v>1628</v>
      </c>
      <c r="Q2068">
        <f>LEN(AMAZON_FASHION_5__2[[#This Row],[reviewText]])</f>
        <v>11</v>
      </c>
      <c r="R2068" t="str">
        <f>IF(AMAZON_FASHION_5__2[[#This Row],[overall]]&gt;=4,"Positive",IF(AMAZON_FASHION_5__2[[#This Row],[overall]]&lt;=2,"Negative","Neutral"))</f>
        <v>Positive</v>
      </c>
      <c r="S20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69" spans="1:19" x14ac:dyDescent="0.25">
      <c r="A2069">
        <v>5</v>
      </c>
      <c r="B2069" t="b">
        <v>1</v>
      </c>
      <c r="C2069" s="1">
        <v>43032</v>
      </c>
      <c r="D2069">
        <f>YEAR(AMAZON_FASHION_5__2[[#This Row],[reviewDate]])</f>
        <v>2017</v>
      </c>
      <c r="E2069" s="1" t="str">
        <f>TEXT(AMAZON_FASHION_5__2[[#This Row],[reviewDate]], "mmmm")</f>
        <v>October</v>
      </c>
      <c r="F2069" t="s">
        <v>544</v>
      </c>
      <c r="G2069" t="s">
        <v>1501</v>
      </c>
      <c r="H2069" t="s">
        <v>201</v>
      </c>
      <c r="I2069" t="s">
        <v>507</v>
      </c>
      <c r="J2069" t="s">
        <v>545</v>
      </c>
      <c r="K2069" t="s">
        <v>546</v>
      </c>
      <c r="L2069" t="s">
        <v>17</v>
      </c>
      <c r="M2069">
        <v>1508803200</v>
      </c>
      <c r="N2069" t="s">
        <v>1628</v>
      </c>
      <c r="O2069" t="s">
        <v>1628</v>
      </c>
      <c r="P2069" t="s">
        <v>1628</v>
      </c>
      <c r="Q2069">
        <f>LEN(AMAZON_FASHION_5__2[[#This Row],[reviewText]])</f>
        <v>35</v>
      </c>
      <c r="R2069" t="str">
        <f>IF(AMAZON_FASHION_5__2[[#This Row],[overall]]&gt;=4,"Positive",IF(AMAZON_FASHION_5__2[[#This Row],[overall]]&lt;=2,"Negative","Neutral"))</f>
        <v>Positive</v>
      </c>
      <c r="S20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70" spans="1:19" x14ac:dyDescent="0.25">
      <c r="A2070">
        <v>5</v>
      </c>
      <c r="B2070" t="b">
        <v>1</v>
      </c>
      <c r="C2070" s="1">
        <v>43030</v>
      </c>
      <c r="D2070">
        <f>YEAR(AMAZON_FASHION_5__2[[#This Row],[reviewDate]])</f>
        <v>2017</v>
      </c>
      <c r="E2070" s="1" t="str">
        <f>TEXT(AMAZON_FASHION_5__2[[#This Row],[reviewDate]], "mmmm")</f>
        <v>October</v>
      </c>
      <c r="F2070" t="s">
        <v>547</v>
      </c>
      <c r="G2070" t="s">
        <v>1501</v>
      </c>
      <c r="H2070" t="s">
        <v>230</v>
      </c>
      <c r="I2070" t="s">
        <v>548</v>
      </c>
      <c r="J2070" t="s">
        <v>549</v>
      </c>
      <c r="K2070" t="s">
        <v>550</v>
      </c>
      <c r="L2070" t="s">
        <v>17</v>
      </c>
      <c r="M2070">
        <v>1508630400</v>
      </c>
      <c r="N2070" t="s">
        <v>1628</v>
      </c>
      <c r="O2070" t="s">
        <v>1628</v>
      </c>
      <c r="P2070" t="s">
        <v>1628</v>
      </c>
      <c r="Q2070">
        <f>LEN(AMAZON_FASHION_5__2[[#This Row],[reviewText]])</f>
        <v>14</v>
      </c>
      <c r="R2070" t="str">
        <f>IF(AMAZON_FASHION_5__2[[#This Row],[overall]]&gt;=4,"Positive",IF(AMAZON_FASHION_5__2[[#This Row],[overall]]&lt;=2,"Negative","Neutral"))</f>
        <v>Positive</v>
      </c>
      <c r="S20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71" spans="1:19" x14ac:dyDescent="0.25">
      <c r="A2071">
        <v>3</v>
      </c>
      <c r="B2071" t="b">
        <v>1</v>
      </c>
      <c r="C2071" s="1">
        <v>43026</v>
      </c>
      <c r="D2071">
        <f>YEAR(AMAZON_FASHION_5__2[[#This Row],[reviewDate]])</f>
        <v>2017</v>
      </c>
      <c r="E2071" s="1" t="str">
        <f>TEXT(AMAZON_FASHION_5__2[[#This Row],[reviewDate]], "mmmm")</f>
        <v>October</v>
      </c>
      <c r="F2071" t="s">
        <v>551</v>
      </c>
      <c r="G2071" t="s">
        <v>1501</v>
      </c>
      <c r="H2071" t="s">
        <v>210</v>
      </c>
      <c r="I2071" t="s">
        <v>274</v>
      </c>
      <c r="J2071" t="s">
        <v>552</v>
      </c>
      <c r="K2071" t="s">
        <v>553</v>
      </c>
      <c r="L2071" t="s">
        <v>554</v>
      </c>
      <c r="M2071">
        <v>1508284800</v>
      </c>
      <c r="N2071" t="s">
        <v>1628</v>
      </c>
      <c r="O2071" t="s">
        <v>1628</v>
      </c>
      <c r="P2071" t="s">
        <v>1628</v>
      </c>
      <c r="Q2071">
        <f>LEN(AMAZON_FASHION_5__2[[#This Row],[reviewText]])</f>
        <v>201</v>
      </c>
      <c r="R2071" t="str">
        <f>IF(AMAZON_FASHION_5__2[[#This Row],[overall]]&gt;=4,"Positive",IF(AMAZON_FASHION_5__2[[#This Row],[overall]]&lt;=2,"Negative","Neutral"))</f>
        <v>Neutral</v>
      </c>
      <c r="S20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72" spans="1:19" x14ac:dyDescent="0.25">
      <c r="A2072">
        <v>5</v>
      </c>
      <c r="B2072" t="b">
        <v>1</v>
      </c>
      <c r="C2072" s="1">
        <v>43021</v>
      </c>
      <c r="D2072">
        <f>YEAR(AMAZON_FASHION_5__2[[#This Row],[reviewDate]])</f>
        <v>2017</v>
      </c>
      <c r="E2072" s="1" t="str">
        <f>TEXT(AMAZON_FASHION_5__2[[#This Row],[reviewDate]], "mmmm")</f>
        <v>October</v>
      </c>
      <c r="F2072" t="s">
        <v>555</v>
      </c>
      <c r="G2072" t="s">
        <v>1501</v>
      </c>
      <c r="H2072" t="s">
        <v>201</v>
      </c>
      <c r="I2072" t="s">
        <v>303</v>
      </c>
      <c r="J2072" t="s">
        <v>63</v>
      </c>
      <c r="K2072" t="s">
        <v>556</v>
      </c>
      <c r="L2072" t="s">
        <v>17</v>
      </c>
      <c r="M2072">
        <v>1507852800</v>
      </c>
      <c r="N2072" t="s">
        <v>1628</v>
      </c>
      <c r="O2072" t="s">
        <v>1628</v>
      </c>
      <c r="P2072" t="s">
        <v>1628</v>
      </c>
      <c r="Q2072">
        <f>LEN(AMAZON_FASHION_5__2[[#This Row],[reviewText]])</f>
        <v>25</v>
      </c>
      <c r="R2072" t="str">
        <f>IF(AMAZON_FASHION_5__2[[#This Row],[overall]]&gt;=4,"Positive",IF(AMAZON_FASHION_5__2[[#This Row],[overall]]&lt;=2,"Negative","Neutral"))</f>
        <v>Positive</v>
      </c>
      <c r="S20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73" spans="1:19" x14ac:dyDescent="0.25">
      <c r="A2073">
        <v>3</v>
      </c>
      <c r="B2073" t="b">
        <v>1</v>
      </c>
      <c r="C2073" s="1">
        <v>43018</v>
      </c>
      <c r="D2073">
        <f>YEAR(AMAZON_FASHION_5__2[[#This Row],[reviewDate]])</f>
        <v>2017</v>
      </c>
      <c r="E2073" s="1" t="str">
        <f>TEXT(AMAZON_FASHION_5__2[[#This Row],[reviewDate]], "mmmm")</f>
        <v>October</v>
      </c>
      <c r="F2073" t="s">
        <v>557</v>
      </c>
      <c r="G2073" t="s">
        <v>1501</v>
      </c>
      <c r="H2073" t="s">
        <v>558</v>
      </c>
      <c r="I2073" t="s">
        <v>198</v>
      </c>
      <c r="J2073" t="s">
        <v>559</v>
      </c>
      <c r="K2073" t="s">
        <v>560</v>
      </c>
      <c r="L2073" t="s">
        <v>561</v>
      </c>
      <c r="M2073">
        <v>1507593600</v>
      </c>
      <c r="N2073" t="s">
        <v>1628</v>
      </c>
      <c r="O2073" t="s">
        <v>1628</v>
      </c>
      <c r="P2073" t="s">
        <v>1628</v>
      </c>
      <c r="Q2073">
        <f>LEN(AMAZON_FASHION_5__2[[#This Row],[reviewText]])</f>
        <v>192</v>
      </c>
      <c r="R2073" t="str">
        <f>IF(AMAZON_FASHION_5__2[[#This Row],[overall]]&gt;=4,"Positive",IF(AMAZON_FASHION_5__2[[#This Row],[overall]]&lt;=2,"Negative","Neutral"))</f>
        <v>Neutral</v>
      </c>
      <c r="S20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74" spans="1:19" x14ac:dyDescent="0.25">
      <c r="A2074">
        <v>5</v>
      </c>
      <c r="B2074" t="b">
        <v>1</v>
      </c>
      <c r="C2074" s="1">
        <v>43011</v>
      </c>
      <c r="D2074">
        <f>YEAR(AMAZON_FASHION_5__2[[#This Row],[reviewDate]])</f>
        <v>2017</v>
      </c>
      <c r="E2074" s="1" t="str">
        <f>TEXT(AMAZON_FASHION_5__2[[#This Row],[reviewDate]], "mmmm")</f>
        <v>October</v>
      </c>
      <c r="F2074" t="s">
        <v>562</v>
      </c>
      <c r="G2074" t="s">
        <v>1501</v>
      </c>
      <c r="H2074" t="s">
        <v>261</v>
      </c>
      <c r="I2074" t="s">
        <v>99</v>
      </c>
      <c r="J2074" t="s">
        <v>563</v>
      </c>
      <c r="K2074" t="s">
        <v>564</v>
      </c>
      <c r="L2074" t="s">
        <v>565</v>
      </c>
      <c r="M2074">
        <v>1506988800</v>
      </c>
      <c r="N2074" t="s">
        <v>1628</v>
      </c>
      <c r="O2074" t="s">
        <v>1628</v>
      </c>
      <c r="P2074" t="s">
        <v>1628</v>
      </c>
      <c r="Q2074">
        <f>LEN(AMAZON_FASHION_5__2[[#This Row],[reviewText]])</f>
        <v>230</v>
      </c>
      <c r="R2074" t="str">
        <f>IF(AMAZON_FASHION_5__2[[#This Row],[overall]]&gt;=4,"Positive",IF(AMAZON_FASHION_5__2[[#This Row],[overall]]&lt;=2,"Negative","Neutral"))</f>
        <v>Positive</v>
      </c>
      <c r="S20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75" spans="1:19" x14ac:dyDescent="0.25">
      <c r="A2075">
        <v>5</v>
      </c>
      <c r="B2075" t="b">
        <v>1</v>
      </c>
      <c r="C2075" s="1">
        <v>43010</v>
      </c>
      <c r="D2075">
        <f>YEAR(AMAZON_FASHION_5__2[[#This Row],[reviewDate]])</f>
        <v>2017</v>
      </c>
      <c r="E2075" s="1" t="str">
        <f>TEXT(AMAZON_FASHION_5__2[[#This Row],[reviewDate]], "mmmm")</f>
        <v>October</v>
      </c>
      <c r="F2075" t="s">
        <v>566</v>
      </c>
      <c r="G2075" t="s">
        <v>1501</v>
      </c>
      <c r="H2075" t="s">
        <v>201</v>
      </c>
      <c r="I2075" t="s">
        <v>303</v>
      </c>
      <c r="J2075" t="s">
        <v>63</v>
      </c>
      <c r="K2075" t="s">
        <v>567</v>
      </c>
      <c r="L2075" t="s">
        <v>568</v>
      </c>
      <c r="M2075">
        <v>1506902400</v>
      </c>
      <c r="N2075" t="s">
        <v>1628</v>
      </c>
      <c r="O2075" t="s">
        <v>1628</v>
      </c>
      <c r="P2075" t="s">
        <v>1628</v>
      </c>
      <c r="Q2075">
        <f>LEN(AMAZON_FASHION_5__2[[#This Row],[reviewText]])</f>
        <v>171</v>
      </c>
      <c r="R2075" t="str">
        <f>IF(AMAZON_FASHION_5__2[[#This Row],[overall]]&gt;=4,"Positive",IF(AMAZON_FASHION_5__2[[#This Row],[overall]]&lt;=2,"Negative","Neutral"))</f>
        <v>Positive</v>
      </c>
      <c r="S20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76" spans="1:19" x14ac:dyDescent="0.25">
      <c r="A2076">
        <v>5</v>
      </c>
      <c r="B2076" t="b">
        <v>1</v>
      </c>
      <c r="C2076" s="1">
        <v>43005</v>
      </c>
      <c r="D2076">
        <f>YEAR(AMAZON_FASHION_5__2[[#This Row],[reviewDate]])</f>
        <v>2017</v>
      </c>
      <c r="E2076" s="1" t="str">
        <f>TEXT(AMAZON_FASHION_5__2[[#This Row],[reviewDate]], "mmmm")</f>
        <v>September</v>
      </c>
      <c r="F2076" t="s">
        <v>569</v>
      </c>
      <c r="G2076" t="s">
        <v>1501</v>
      </c>
      <c r="H2076" t="s">
        <v>210</v>
      </c>
      <c r="I2076" t="s">
        <v>99</v>
      </c>
      <c r="J2076" t="s">
        <v>570</v>
      </c>
      <c r="K2076" t="s">
        <v>571</v>
      </c>
      <c r="L2076" t="s">
        <v>17</v>
      </c>
      <c r="M2076">
        <v>1506470400</v>
      </c>
      <c r="N2076" t="s">
        <v>1628</v>
      </c>
      <c r="O2076" t="s">
        <v>1628</v>
      </c>
      <c r="P2076" t="s">
        <v>1628</v>
      </c>
      <c r="Q2076">
        <f>LEN(AMAZON_FASHION_5__2[[#This Row],[reviewText]])</f>
        <v>12</v>
      </c>
      <c r="R2076" t="str">
        <f>IF(AMAZON_FASHION_5__2[[#This Row],[overall]]&gt;=4,"Positive",IF(AMAZON_FASHION_5__2[[#This Row],[overall]]&lt;=2,"Negative","Neutral"))</f>
        <v>Positive</v>
      </c>
      <c r="S20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77" spans="1:19" x14ac:dyDescent="0.25">
      <c r="A2077">
        <v>5</v>
      </c>
      <c r="B2077" t="b">
        <v>1</v>
      </c>
      <c r="C2077" s="1">
        <v>43005</v>
      </c>
      <c r="D2077">
        <f>YEAR(AMAZON_FASHION_5__2[[#This Row],[reviewDate]])</f>
        <v>2017</v>
      </c>
      <c r="E2077" s="1" t="str">
        <f>TEXT(AMAZON_FASHION_5__2[[#This Row],[reviewDate]], "mmmm")</f>
        <v>September</v>
      </c>
      <c r="F2077" t="s">
        <v>572</v>
      </c>
      <c r="G2077" t="s">
        <v>1501</v>
      </c>
      <c r="H2077" t="s">
        <v>573</v>
      </c>
      <c r="I2077" t="s">
        <v>574</v>
      </c>
      <c r="J2077" t="s">
        <v>575</v>
      </c>
      <c r="K2077" t="s">
        <v>576</v>
      </c>
      <c r="L2077" t="s">
        <v>577</v>
      </c>
      <c r="M2077">
        <v>1506470400</v>
      </c>
      <c r="N2077" t="s">
        <v>1628</v>
      </c>
      <c r="O2077" t="s">
        <v>1628</v>
      </c>
      <c r="P2077" t="s">
        <v>1628</v>
      </c>
      <c r="Q2077">
        <f>LEN(AMAZON_FASHION_5__2[[#This Row],[reviewText]])</f>
        <v>70</v>
      </c>
      <c r="R2077" t="str">
        <f>IF(AMAZON_FASHION_5__2[[#This Row],[overall]]&gt;=4,"Positive",IF(AMAZON_FASHION_5__2[[#This Row],[overall]]&lt;=2,"Negative","Neutral"))</f>
        <v>Positive</v>
      </c>
      <c r="S20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78" spans="1:19" x14ac:dyDescent="0.25">
      <c r="A2078">
        <v>5</v>
      </c>
      <c r="B2078" t="b">
        <v>1</v>
      </c>
      <c r="C2078" s="1">
        <v>43004</v>
      </c>
      <c r="D2078">
        <f>YEAR(AMAZON_FASHION_5__2[[#This Row],[reviewDate]])</f>
        <v>2017</v>
      </c>
      <c r="E2078" s="1" t="str">
        <f>TEXT(AMAZON_FASHION_5__2[[#This Row],[reviewDate]], "mmmm")</f>
        <v>September</v>
      </c>
      <c r="F2078" t="s">
        <v>578</v>
      </c>
      <c r="G2078" t="s">
        <v>1501</v>
      </c>
      <c r="H2078" t="s">
        <v>205</v>
      </c>
      <c r="I2078" t="s">
        <v>198</v>
      </c>
      <c r="J2078" t="s">
        <v>579</v>
      </c>
      <c r="K2078" t="s">
        <v>580</v>
      </c>
      <c r="L2078" t="s">
        <v>17</v>
      </c>
      <c r="M2078">
        <v>1506384000</v>
      </c>
      <c r="N2078" t="s">
        <v>1628</v>
      </c>
      <c r="O2078" t="s">
        <v>1628</v>
      </c>
      <c r="P2078" t="s">
        <v>1628</v>
      </c>
      <c r="Q2078">
        <f>LEN(AMAZON_FASHION_5__2[[#This Row],[reviewText]])</f>
        <v>9</v>
      </c>
      <c r="R2078" t="str">
        <f>IF(AMAZON_FASHION_5__2[[#This Row],[overall]]&gt;=4,"Positive",IF(AMAZON_FASHION_5__2[[#This Row],[overall]]&lt;=2,"Negative","Neutral"))</f>
        <v>Positive</v>
      </c>
      <c r="S20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79" spans="1:19" x14ac:dyDescent="0.25">
      <c r="A2079">
        <v>5</v>
      </c>
      <c r="B2079" t="b">
        <v>1</v>
      </c>
      <c r="C2079" s="1">
        <v>43003</v>
      </c>
      <c r="D2079">
        <f>YEAR(AMAZON_FASHION_5__2[[#This Row],[reviewDate]])</f>
        <v>2017</v>
      </c>
      <c r="E2079" s="1" t="str">
        <f>TEXT(AMAZON_FASHION_5__2[[#This Row],[reviewDate]], "mmmm")</f>
        <v>September</v>
      </c>
      <c r="F2079" t="s">
        <v>581</v>
      </c>
      <c r="G2079" t="s">
        <v>1501</v>
      </c>
      <c r="H2079" t="s">
        <v>235</v>
      </c>
      <c r="I2079" t="s">
        <v>198</v>
      </c>
      <c r="J2079" t="s">
        <v>582</v>
      </c>
      <c r="K2079" t="s">
        <v>583</v>
      </c>
      <c r="L2079" t="s">
        <v>17</v>
      </c>
      <c r="M2079">
        <v>1506297600</v>
      </c>
      <c r="N2079" t="s">
        <v>1628</v>
      </c>
      <c r="O2079" t="s">
        <v>1628</v>
      </c>
      <c r="P2079" t="s">
        <v>1628</v>
      </c>
      <c r="Q2079">
        <f>LEN(AMAZON_FASHION_5__2[[#This Row],[reviewText]])</f>
        <v>50</v>
      </c>
      <c r="R2079" t="str">
        <f>IF(AMAZON_FASHION_5__2[[#This Row],[overall]]&gt;=4,"Positive",IF(AMAZON_FASHION_5__2[[#This Row],[overall]]&lt;=2,"Negative","Neutral"))</f>
        <v>Positive</v>
      </c>
      <c r="S20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80" spans="1:19" x14ac:dyDescent="0.25">
      <c r="A2080">
        <v>5</v>
      </c>
      <c r="B2080" t="b">
        <v>1</v>
      </c>
      <c r="C2080" s="1">
        <v>42998</v>
      </c>
      <c r="D2080">
        <f>YEAR(AMAZON_FASHION_5__2[[#This Row],[reviewDate]])</f>
        <v>2017</v>
      </c>
      <c r="E2080" s="1" t="str">
        <f>TEXT(AMAZON_FASHION_5__2[[#This Row],[reviewDate]], "mmmm")</f>
        <v>September</v>
      </c>
      <c r="F2080" t="s">
        <v>584</v>
      </c>
      <c r="G2080" t="s">
        <v>1501</v>
      </c>
      <c r="H2080" t="s">
        <v>235</v>
      </c>
      <c r="I2080" t="s">
        <v>99</v>
      </c>
      <c r="J2080" t="s">
        <v>63</v>
      </c>
      <c r="K2080" t="s">
        <v>585</v>
      </c>
      <c r="L2080" t="s">
        <v>586</v>
      </c>
      <c r="M2080">
        <v>1505865600</v>
      </c>
      <c r="N2080" t="s">
        <v>1628</v>
      </c>
      <c r="O2080" t="s">
        <v>1628</v>
      </c>
      <c r="P2080" t="s">
        <v>1628</v>
      </c>
      <c r="Q2080">
        <f>LEN(AMAZON_FASHION_5__2[[#This Row],[reviewText]])</f>
        <v>370</v>
      </c>
      <c r="R2080" t="str">
        <f>IF(AMAZON_FASHION_5__2[[#This Row],[overall]]&gt;=4,"Positive",IF(AMAZON_FASHION_5__2[[#This Row],[overall]]&lt;=2,"Negative","Neutral"))</f>
        <v>Positive</v>
      </c>
      <c r="S20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81" spans="1:19" x14ac:dyDescent="0.25">
      <c r="A2081">
        <v>5</v>
      </c>
      <c r="B2081" t="b">
        <v>1</v>
      </c>
      <c r="C2081" s="1">
        <v>42996</v>
      </c>
      <c r="D2081">
        <f>YEAR(AMAZON_FASHION_5__2[[#This Row],[reviewDate]])</f>
        <v>2017</v>
      </c>
      <c r="E2081" s="1" t="str">
        <f>TEXT(AMAZON_FASHION_5__2[[#This Row],[reviewDate]], "mmmm")</f>
        <v>September</v>
      </c>
      <c r="F2081" t="s">
        <v>587</v>
      </c>
      <c r="G2081" t="s">
        <v>1501</v>
      </c>
      <c r="H2081" t="s">
        <v>230</v>
      </c>
      <c r="I2081" t="s">
        <v>198</v>
      </c>
      <c r="J2081" t="s">
        <v>588</v>
      </c>
      <c r="K2081" t="s">
        <v>589</v>
      </c>
      <c r="L2081" t="s">
        <v>590</v>
      </c>
      <c r="M2081">
        <v>1505692800</v>
      </c>
      <c r="N2081" t="s">
        <v>1628</v>
      </c>
      <c r="O2081" t="s">
        <v>1628</v>
      </c>
      <c r="P2081" t="s">
        <v>1628</v>
      </c>
      <c r="Q2081">
        <f>LEN(AMAZON_FASHION_5__2[[#This Row],[reviewText]])</f>
        <v>49</v>
      </c>
      <c r="R2081" t="str">
        <f>IF(AMAZON_FASHION_5__2[[#This Row],[overall]]&gt;=4,"Positive",IF(AMAZON_FASHION_5__2[[#This Row],[overall]]&lt;=2,"Negative","Neutral"))</f>
        <v>Positive</v>
      </c>
      <c r="S20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82" spans="1:19" x14ac:dyDescent="0.25">
      <c r="A2082">
        <v>5</v>
      </c>
      <c r="B2082" t="b">
        <v>1</v>
      </c>
      <c r="C2082" s="1">
        <v>42994</v>
      </c>
      <c r="D2082">
        <f>YEAR(AMAZON_FASHION_5__2[[#This Row],[reviewDate]])</f>
        <v>2017</v>
      </c>
      <c r="E2082" s="1" t="str">
        <f>TEXT(AMAZON_FASHION_5__2[[#This Row],[reviewDate]], "mmmm")</f>
        <v>September</v>
      </c>
      <c r="F2082" t="s">
        <v>591</v>
      </c>
      <c r="G2082" t="s">
        <v>1501</v>
      </c>
      <c r="H2082" t="s">
        <v>235</v>
      </c>
      <c r="I2082" t="s">
        <v>507</v>
      </c>
      <c r="J2082" t="s">
        <v>63</v>
      </c>
      <c r="K2082" t="s">
        <v>592</v>
      </c>
      <c r="L2082" t="s">
        <v>593</v>
      </c>
      <c r="M2082">
        <v>1505520000</v>
      </c>
      <c r="N2082" t="s">
        <v>1628</v>
      </c>
      <c r="O2082" t="s">
        <v>1628</v>
      </c>
      <c r="P2082" t="s">
        <v>1628</v>
      </c>
      <c r="Q2082">
        <f>LEN(AMAZON_FASHION_5__2[[#This Row],[reviewText]])</f>
        <v>40</v>
      </c>
      <c r="R2082" t="str">
        <f>IF(AMAZON_FASHION_5__2[[#This Row],[overall]]&gt;=4,"Positive",IF(AMAZON_FASHION_5__2[[#This Row],[overall]]&lt;=2,"Negative","Neutral"))</f>
        <v>Positive</v>
      </c>
      <c r="S20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83" spans="1:19" x14ac:dyDescent="0.25">
      <c r="A2083">
        <v>5</v>
      </c>
      <c r="B2083" t="b">
        <v>1</v>
      </c>
      <c r="C2083" s="1">
        <v>42992</v>
      </c>
      <c r="D2083">
        <f>YEAR(AMAZON_FASHION_5__2[[#This Row],[reviewDate]])</f>
        <v>2017</v>
      </c>
      <c r="E2083" s="1" t="str">
        <f>TEXT(AMAZON_FASHION_5__2[[#This Row],[reviewDate]], "mmmm")</f>
        <v>September</v>
      </c>
      <c r="F2083" t="s">
        <v>594</v>
      </c>
      <c r="G2083" t="s">
        <v>1501</v>
      </c>
      <c r="H2083" t="s">
        <v>201</v>
      </c>
      <c r="I2083" t="s">
        <v>524</v>
      </c>
      <c r="J2083" t="s">
        <v>595</v>
      </c>
      <c r="K2083" t="s">
        <v>596</v>
      </c>
      <c r="L2083" t="s">
        <v>597</v>
      </c>
      <c r="M2083">
        <v>1505347200</v>
      </c>
      <c r="N2083" t="s">
        <v>1628</v>
      </c>
      <c r="O2083" t="s">
        <v>1628</v>
      </c>
      <c r="P2083" t="s">
        <v>1628</v>
      </c>
      <c r="Q2083">
        <f>LEN(AMAZON_FASHION_5__2[[#This Row],[reviewText]])</f>
        <v>23</v>
      </c>
      <c r="R2083" t="str">
        <f>IF(AMAZON_FASHION_5__2[[#This Row],[overall]]&gt;=4,"Positive",IF(AMAZON_FASHION_5__2[[#This Row],[overall]]&lt;=2,"Negative","Neutral"))</f>
        <v>Positive</v>
      </c>
      <c r="S20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84" spans="1:19" x14ac:dyDescent="0.25">
      <c r="A2084">
        <v>5</v>
      </c>
      <c r="B2084" t="b">
        <v>1</v>
      </c>
      <c r="C2084" s="1">
        <v>42991</v>
      </c>
      <c r="D2084">
        <f>YEAR(AMAZON_FASHION_5__2[[#This Row],[reviewDate]])</f>
        <v>2017</v>
      </c>
      <c r="E2084" s="1" t="str">
        <f>TEXT(AMAZON_FASHION_5__2[[#This Row],[reviewDate]], "mmmm")</f>
        <v>September</v>
      </c>
      <c r="F2084" t="s">
        <v>598</v>
      </c>
      <c r="G2084" t="s">
        <v>1501</v>
      </c>
      <c r="H2084" t="s">
        <v>230</v>
      </c>
      <c r="I2084" t="s">
        <v>599</v>
      </c>
      <c r="J2084" t="s">
        <v>600</v>
      </c>
      <c r="K2084" t="s">
        <v>601</v>
      </c>
      <c r="L2084" t="s">
        <v>17</v>
      </c>
      <c r="M2084">
        <v>1505260800</v>
      </c>
      <c r="N2084" t="s">
        <v>1628</v>
      </c>
      <c r="O2084" t="s">
        <v>1628</v>
      </c>
      <c r="P2084" t="s">
        <v>1628</v>
      </c>
      <c r="Q2084">
        <f>LEN(AMAZON_FASHION_5__2[[#This Row],[reviewText]])</f>
        <v>28</v>
      </c>
      <c r="R2084" t="str">
        <f>IF(AMAZON_FASHION_5__2[[#This Row],[overall]]&gt;=4,"Positive",IF(AMAZON_FASHION_5__2[[#This Row],[overall]]&lt;=2,"Negative","Neutral"))</f>
        <v>Positive</v>
      </c>
      <c r="S20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85" spans="1:19" x14ac:dyDescent="0.25">
      <c r="A2085">
        <v>5</v>
      </c>
      <c r="B2085" t="b">
        <v>1</v>
      </c>
      <c r="C2085" s="1">
        <v>42988</v>
      </c>
      <c r="D2085">
        <f>YEAR(AMAZON_FASHION_5__2[[#This Row],[reviewDate]])</f>
        <v>2017</v>
      </c>
      <c r="E2085" s="1" t="str">
        <f>TEXT(AMAZON_FASHION_5__2[[#This Row],[reviewDate]], "mmmm")</f>
        <v>September</v>
      </c>
      <c r="F2085" t="s">
        <v>602</v>
      </c>
      <c r="G2085" t="s">
        <v>1501</v>
      </c>
      <c r="H2085" t="s">
        <v>210</v>
      </c>
      <c r="I2085" t="s">
        <v>274</v>
      </c>
      <c r="J2085" t="s">
        <v>63</v>
      </c>
      <c r="K2085" t="s">
        <v>603</v>
      </c>
      <c r="L2085" t="s">
        <v>17</v>
      </c>
      <c r="M2085">
        <v>1505001600</v>
      </c>
      <c r="N2085" t="s">
        <v>1628</v>
      </c>
      <c r="O2085" t="s">
        <v>1628</v>
      </c>
      <c r="P2085" t="s">
        <v>1628</v>
      </c>
      <c r="Q2085">
        <f>LEN(AMAZON_FASHION_5__2[[#This Row],[reviewText]])</f>
        <v>48</v>
      </c>
      <c r="R2085" t="str">
        <f>IF(AMAZON_FASHION_5__2[[#This Row],[overall]]&gt;=4,"Positive",IF(AMAZON_FASHION_5__2[[#This Row],[overall]]&lt;=2,"Negative","Neutral"))</f>
        <v>Positive</v>
      </c>
      <c r="S20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86" spans="1:19" x14ac:dyDescent="0.25">
      <c r="A2086">
        <v>5</v>
      </c>
      <c r="B2086" t="b">
        <v>1</v>
      </c>
      <c r="C2086" s="1">
        <v>42985</v>
      </c>
      <c r="D2086">
        <f>YEAR(AMAZON_FASHION_5__2[[#This Row],[reviewDate]])</f>
        <v>2017</v>
      </c>
      <c r="E2086" s="1" t="str">
        <f>TEXT(AMAZON_FASHION_5__2[[#This Row],[reviewDate]], "mmmm")</f>
        <v>September</v>
      </c>
      <c r="F2086" t="s">
        <v>604</v>
      </c>
      <c r="G2086" t="s">
        <v>1501</v>
      </c>
      <c r="H2086" t="s">
        <v>230</v>
      </c>
      <c r="I2086" t="s">
        <v>507</v>
      </c>
      <c r="J2086" t="s">
        <v>605</v>
      </c>
      <c r="K2086" t="s">
        <v>606</v>
      </c>
      <c r="L2086" t="s">
        <v>607</v>
      </c>
      <c r="M2086">
        <v>1504742400</v>
      </c>
      <c r="N2086" t="s">
        <v>1628</v>
      </c>
      <c r="O2086" t="s">
        <v>1628</v>
      </c>
      <c r="P2086" t="s">
        <v>1628</v>
      </c>
      <c r="Q2086">
        <f>LEN(AMAZON_FASHION_5__2[[#This Row],[reviewText]])</f>
        <v>119</v>
      </c>
      <c r="R2086" t="str">
        <f>IF(AMAZON_FASHION_5__2[[#This Row],[overall]]&gt;=4,"Positive",IF(AMAZON_FASHION_5__2[[#This Row],[overall]]&lt;=2,"Negative","Neutral"))</f>
        <v>Positive</v>
      </c>
      <c r="S20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87" spans="1:19" x14ac:dyDescent="0.25">
      <c r="A2087">
        <v>5</v>
      </c>
      <c r="B2087" t="b">
        <v>1</v>
      </c>
      <c r="C2087" s="1">
        <v>42983</v>
      </c>
      <c r="D2087">
        <f>YEAR(AMAZON_FASHION_5__2[[#This Row],[reviewDate]])</f>
        <v>2017</v>
      </c>
      <c r="E2087" s="1" t="str">
        <f>TEXT(AMAZON_FASHION_5__2[[#This Row],[reviewDate]], "mmmm")</f>
        <v>September</v>
      </c>
      <c r="F2087" t="s">
        <v>608</v>
      </c>
      <c r="G2087" t="s">
        <v>1501</v>
      </c>
      <c r="H2087" t="s">
        <v>235</v>
      </c>
      <c r="I2087" t="s">
        <v>274</v>
      </c>
      <c r="J2087" t="s">
        <v>609</v>
      </c>
      <c r="K2087" t="s">
        <v>610</v>
      </c>
      <c r="L2087" t="s">
        <v>17</v>
      </c>
      <c r="M2087">
        <v>1504569600</v>
      </c>
      <c r="N2087" t="s">
        <v>1628</v>
      </c>
      <c r="O2087" t="s">
        <v>1628</v>
      </c>
      <c r="P2087" t="s">
        <v>1628</v>
      </c>
      <c r="Q2087">
        <f>LEN(AMAZON_FASHION_5__2[[#This Row],[reviewText]])</f>
        <v>16</v>
      </c>
      <c r="R2087" t="str">
        <f>IF(AMAZON_FASHION_5__2[[#This Row],[overall]]&gt;=4,"Positive",IF(AMAZON_FASHION_5__2[[#This Row],[overall]]&lt;=2,"Negative","Neutral"))</f>
        <v>Positive</v>
      </c>
      <c r="S20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88" spans="1:19" x14ac:dyDescent="0.25">
      <c r="A2088">
        <v>5</v>
      </c>
      <c r="B2088" t="b">
        <v>1</v>
      </c>
      <c r="C2088" s="1">
        <v>42982</v>
      </c>
      <c r="D2088">
        <f>YEAR(AMAZON_FASHION_5__2[[#This Row],[reviewDate]])</f>
        <v>2017</v>
      </c>
      <c r="E2088" s="1" t="str">
        <f>TEXT(AMAZON_FASHION_5__2[[#This Row],[reviewDate]], "mmmm")</f>
        <v>September</v>
      </c>
      <c r="F2088" t="s">
        <v>611</v>
      </c>
      <c r="G2088" t="s">
        <v>1501</v>
      </c>
      <c r="H2088" t="s">
        <v>235</v>
      </c>
      <c r="I2088" t="s">
        <v>198</v>
      </c>
      <c r="J2088" t="s">
        <v>612</v>
      </c>
      <c r="K2088" t="s">
        <v>613</v>
      </c>
      <c r="L2088" t="s">
        <v>17</v>
      </c>
      <c r="M2088">
        <v>1504483200</v>
      </c>
      <c r="N2088" t="s">
        <v>1628</v>
      </c>
      <c r="O2088" t="s">
        <v>1628</v>
      </c>
      <c r="P2088" t="s">
        <v>1628</v>
      </c>
      <c r="Q2088">
        <f>LEN(AMAZON_FASHION_5__2[[#This Row],[reviewText]])</f>
        <v>12</v>
      </c>
      <c r="R2088" t="str">
        <f>IF(AMAZON_FASHION_5__2[[#This Row],[overall]]&gt;=4,"Positive",IF(AMAZON_FASHION_5__2[[#This Row],[overall]]&lt;=2,"Negative","Neutral"))</f>
        <v>Positive</v>
      </c>
      <c r="S20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89" spans="1:19" x14ac:dyDescent="0.25">
      <c r="A2089">
        <v>4</v>
      </c>
      <c r="B2089" t="b">
        <v>1</v>
      </c>
      <c r="C2089" s="1">
        <v>42976</v>
      </c>
      <c r="D2089">
        <f>YEAR(AMAZON_FASHION_5__2[[#This Row],[reviewDate]])</f>
        <v>2017</v>
      </c>
      <c r="E2089" s="1" t="str">
        <f>TEXT(AMAZON_FASHION_5__2[[#This Row],[reviewDate]], "mmmm")</f>
        <v>August</v>
      </c>
      <c r="F2089" t="s">
        <v>614</v>
      </c>
      <c r="G2089" t="s">
        <v>1501</v>
      </c>
      <c r="H2089" t="s">
        <v>230</v>
      </c>
      <c r="I2089" t="s">
        <v>507</v>
      </c>
      <c r="J2089" t="s">
        <v>615</v>
      </c>
      <c r="K2089" t="s">
        <v>616</v>
      </c>
      <c r="L2089" t="s">
        <v>617</v>
      </c>
      <c r="M2089">
        <v>1503964800</v>
      </c>
      <c r="N2089" t="s">
        <v>1628</v>
      </c>
      <c r="O2089" t="s">
        <v>1628</v>
      </c>
      <c r="P2089" t="s">
        <v>1628</v>
      </c>
      <c r="Q2089">
        <f>LEN(AMAZON_FASHION_5__2[[#This Row],[reviewText]])</f>
        <v>118</v>
      </c>
      <c r="R2089" t="str">
        <f>IF(AMAZON_FASHION_5__2[[#This Row],[overall]]&gt;=4,"Positive",IF(AMAZON_FASHION_5__2[[#This Row],[overall]]&lt;=2,"Negative","Neutral"))</f>
        <v>Positive</v>
      </c>
      <c r="S20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90" spans="1:19" x14ac:dyDescent="0.25">
      <c r="A2090">
        <v>1</v>
      </c>
      <c r="B2090" t="b">
        <v>1</v>
      </c>
      <c r="C2090" s="1">
        <v>42976</v>
      </c>
      <c r="D2090">
        <f>YEAR(AMAZON_FASHION_5__2[[#This Row],[reviewDate]])</f>
        <v>2017</v>
      </c>
      <c r="E2090" s="1" t="str">
        <f>TEXT(AMAZON_FASHION_5__2[[#This Row],[reviewDate]], "mmmm")</f>
        <v>August</v>
      </c>
      <c r="F2090" t="s">
        <v>618</v>
      </c>
      <c r="G2090" t="s">
        <v>1501</v>
      </c>
      <c r="H2090" t="s">
        <v>558</v>
      </c>
      <c r="I2090" t="s">
        <v>198</v>
      </c>
      <c r="J2090" t="s">
        <v>619</v>
      </c>
      <c r="K2090" t="s">
        <v>620</v>
      </c>
      <c r="L2090" t="s">
        <v>65</v>
      </c>
      <c r="M2090">
        <v>1503964800</v>
      </c>
      <c r="N2090" t="s">
        <v>1628</v>
      </c>
      <c r="O2090" t="s">
        <v>1628</v>
      </c>
      <c r="P2090" t="s">
        <v>1628</v>
      </c>
      <c r="Q2090">
        <f>LEN(AMAZON_FASHION_5__2[[#This Row],[reviewText]])</f>
        <v>52</v>
      </c>
      <c r="R2090" t="str">
        <f>IF(AMAZON_FASHION_5__2[[#This Row],[overall]]&gt;=4,"Positive",IF(AMAZON_FASHION_5__2[[#This Row],[overall]]&lt;=2,"Negative","Neutral"))</f>
        <v>Negative</v>
      </c>
      <c r="S20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91" spans="1:19" x14ac:dyDescent="0.25">
      <c r="A2091">
        <v>5</v>
      </c>
      <c r="B2091" t="b">
        <v>1</v>
      </c>
      <c r="C2091" s="1">
        <v>42976</v>
      </c>
      <c r="D2091">
        <f>YEAR(AMAZON_FASHION_5__2[[#This Row],[reviewDate]])</f>
        <v>2017</v>
      </c>
      <c r="E2091" s="1" t="str">
        <f>TEXT(AMAZON_FASHION_5__2[[#This Row],[reviewDate]], "mmmm")</f>
        <v>August</v>
      </c>
      <c r="F2091" t="s">
        <v>621</v>
      </c>
      <c r="G2091" t="s">
        <v>1501</v>
      </c>
      <c r="H2091" t="s">
        <v>210</v>
      </c>
      <c r="I2091" t="s">
        <v>198</v>
      </c>
      <c r="J2091" t="s">
        <v>622</v>
      </c>
      <c r="K2091" t="s">
        <v>623</v>
      </c>
      <c r="L2091" t="s">
        <v>17</v>
      </c>
      <c r="M2091">
        <v>1503964800</v>
      </c>
      <c r="N2091" t="s">
        <v>1628</v>
      </c>
      <c r="O2091" t="s">
        <v>1628</v>
      </c>
      <c r="P2091" t="s">
        <v>1628</v>
      </c>
      <c r="Q2091">
        <f>LEN(AMAZON_FASHION_5__2[[#This Row],[reviewText]])</f>
        <v>30</v>
      </c>
      <c r="R2091" t="str">
        <f>IF(AMAZON_FASHION_5__2[[#This Row],[overall]]&gt;=4,"Positive",IF(AMAZON_FASHION_5__2[[#This Row],[overall]]&lt;=2,"Negative","Neutral"))</f>
        <v>Positive</v>
      </c>
      <c r="S20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92" spans="1:19" x14ac:dyDescent="0.25">
      <c r="A2092">
        <v>5</v>
      </c>
      <c r="B2092" t="b">
        <v>1</v>
      </c>
      <c r="C2092" s="1">
        <v>42974</v>
      </c>
      <c r="D2092">
        <f>YEAR(AMAZON_FASHION_5__2[[#This Row],[reviewDate]])</f>
        <v>2017</v>
      </c>
      <c r="E2092" s="1" t="str">
        <f>TEXT(AMAZON_FASHION_5__2[[#This Row],[reviewDate]], "mmmm")</f>
        <v>August</v>
      </c>
      <c r="F2092" t="s">
        <v>624</v>
      </c>
      <c r="G2092" t="s">
        <v>1501</v>
      </c>
      <c r="H2092" t="s">
        <v>201</v>
      </c>
      <c r="I2092" t="s">
        <v>99</v>
      </c>
      <c r="J2092" t="s">
        <v>625</v>
      </c>
      <c r="K2092" t="s">
        <v>626</v>
      </c>
      <c r="L2092" t="s">
        <v>627</v>
      </c>
      <c r="M2092">
        <v>1503792000</v>
      </c>
      <c r="N2092" t="s">
        <v>1628</v>
      </c>
      <c r="O2092" t="s">
        <v>1628</v>
      </c>
      <c r="P2092" t="s">
        <v>1628</v>
      </c>
      <c r="Q2092">
        <f>LEN(AMAZON_FASHION_5__2[[#This Row],[reviewText]])</f>
        <v>17</v>
      </c>
      <c r="R2092" t="str">
        <f>IF(AMAZON_FASHION_5__2[[#This Row],[overall]]&gt;=4,"Positive",IF(AMAZON_FASHION_5__2[[#This Row],[overall]]&lt;=2,"Negative","Neutral"))</f>
        <v>Positive</v>
      </c>
      <c r="S20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93" spans="1:19" x14ac:dyDescent="0.25">
      <c r="A2093">
        <v>4</v>
      </c>
      <c r="B2093" t="b">
        <v>1</v>
      </c>
      <c r="C2093" s="1">
        <v>42971</v>
      </c>
      <c r="D2093">
        <f>YEAR(AMAZON_FASHION_5__2[[#This Row],[reviewDate]])</f>
        <v>2017</v>
      </c>
      <c r="E2093" s="1" t="str">
        <f>TEXT(AMAZON_FASHION_5__2[[#This Row],[reviewDate]], "mmmm")</f>
        <v>August</v>
      </c>
      <c r="F2093" t="s">
        <v>628</v>
      </c>
      <c r="G2093" t="s">
        <v>1501</v>
      </c>
      <c r="H2093" t="s">
        <v>210</v>
      </c>
      <c r="I2093" t="s">
        <v>435</v>
      </c>
      <c r="J2093" t="s">
        <v>629</v>
      </c>
      <c r="K2093" t="s">
        <v>630</v>
      </c>
      <c r="L2093" t="s">
        <v>247</v>
      </c>
      <c r="M2093">
        <v>1503532800</v>
      </c>
      <c r="N2093" t="s">
        <v>1628</v>
      </c>
      <c r="O2093" t="s">
        <v>1628</v>
      </c>
      <c r="P2093" t="s">
        <v>1628</v>
      </c>
      <c r="Q2093">
        <f>LEN(AMAZON_FASHION_5__2[[#This Row],[reviewText]])</f>
        <v>225</v>
      </c>
      <c r="R2093" t="str">
        <f>IF(AMAZON_FASHION_5__2[[#This Row],[overall]]&gt;=4,"Positive",IF(AMAZON_FASHION_5__2[[#This Row],[overall]]&lt;=2,"Negative","Neutral"))</f>
        <v>Positive</v>
      </c>
      <c r="S20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94" spans="1:19" x14ac:dyDescent="0.25">
      <c r="A2094">
        <v>1</v>
      </c>
      <c r="B2094" t="b">
        <v>1</v>
      </c>
      <c r="C2094" s="1">
        <v>42971</v>
      </c>
      <c r="D2094">
        <f>YEAR(AMAZON_FASHION_5__2[[#This Row],[reviewDate]])</f>
        <v>2017</v>
      </c>
      <c r="E2094" s="1" t="str">
        <f>TEXT(AMAZON_FASHION_5__2[[#This Row],[reviewDate]], "mmmm")</f>
        <v>August</v>
      </c>
      <c r="F2094" t="s">
        <v>631</v>
      </c>
      <c r="G2094" t="s">
        <v>1501</v>
      </c>
      <c r="H2094" t="s">
        <v>235</v>
      </c>
      <c r="I2094" t="s">
        <v>411</v>
      </c>
      <c r="J2094" t="s">
        <v>632</v>
      </c>
      <c r="K2094" t="s">
        <v>633</v>
      </c>
      <c r="L2094" t="s">
        <v>634</v>
      </c>
      <c r="M2094">
        <v>1503532800</v>
      </c>
      <c r="N2094" t="s">
        <v>1628</v>
      </c>
      <c r="O2094" t="s">
        <v>1628</v>
      </c>
      <c r="P2094" t="s">
        <v>1628</v>
      </c>
      <c r="Q2094">
        <f>LEN(AMAZON_FASHION_5__2[[#This Row],[reviewText]])</f>
        <v>213</v>
      </c>
      <c r="R2094" t="str">
        <f>IF(AMAZON_FASHION_5__2[[#This Row],[overall]]&gt;=4,"Positive",IF(AMAZON_FASHION_5__2[[#This Row],[overall]]&lt;=2,"Negative","Neutral"))</f>
        <v>Negative</v>
      </c>
      <c r="S20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95" spans="1:19" x14ac:dyDescent="0.25">
      <c r="A2095">
        <v>5</v>
      </c>
      <c r="B2095" t="b">
        <v>1</v>
      </c>
      <c r="C2095" s="1">
        <v>42968</v>
      </c>
      <c r="D2095">
        <f>YEAR(AMAZON_FASHION_5__2[[#This Row],[reviewDate]])</f>
        <v>2017</v>
      </c>
      <c r="E2095" s="1" t="str">
        <f>TEXT(AMAZON_FASHION_5__2[[#This Row],[reviewDate]], "mmmm")</f>
        <v>August</v>
      </c>
      <c r="F2095" t="s">
        <v>635</v>
      </c>
      <c r="G2095" t="s">
        <v>1501</v>
      </c>
      <c r="H2095" t="s">
        <v>477</v>
      </c>
      <c r="I2095" t="s">
        <v>303</v>
      </c>
      <c r="J2095" t="s">
        <v>636</v>
      </c>
      <c r="K2095" t="s">
        <v>637</v>
      </c>
      <c r="L2095" t="s">
        <v>638</v>
      </c>
      <c r="M2095">
        <v>1503273600</v>
      </c>
      <c r="N2095" t="s">
        <v>1628</v>
      </c>
      <c r="O2095" t="s">
        <v>1628</v>
      </c>
      <c r="P2095" t="s">
        <v>1628</v>
      </c>
      <c r="Q2095">
        <f>LEN(AMAZON_FASHION_5__2[[#This Row],[reviewText]])</f>
        <v>55</v>
      </c>
      <c r="R2095" t="str">
        <f>IF(AMAZON_FASHION_5__2[[#This Row],[overall]]&gt;=4,"Positive",IF(AMAZON_FASHION_5__2[[#This Row],[overall]]&lt;=2,"Negative","Neutral"))</f>
        <v>Positive</v>
      </c>
      <c r="S20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96" spans="1:19" x14ac:dyDescent="0.25">
      <c r="A2096">
        <v>5</v>
      </c>
      <c r="B2096" t="b">
        <v>1</v>
      </c>
      <c r="C2096" s="1">
        <v>42967</v>
      </c>
      <c r="D2096">
        <f>YEAR(AMAZON_FASHION_5__2[[#This Row],[reviewDate]])</f>
        <v>2017</v>
      </c>
      <c r="E2096" s="1" t="str">
        <f>TEXT(AMAZON_FASHION_5__2[[#This Row],[reviewDate]], "mmmm")</f>
        <v>August</v>
      </c>
      <c r="F2096" t="s">
        <v>639</v>
      </c>
      <c r="G2096" t="s">
        <v>1501</v>
      </c>
      <c r="H2096" t="s">
        <v>197</v>
      </c>
      <c r="I2096" t="s">
        <v>198</v>
      </c>
      <c r="J2096" t="s">
        <v>640</v>
      </c>
      <c r="K2096" t="s">
        <v>406</v>
      </c>
      <c r="L2096" t="s">
        <v>17</v>
      </c>
      <c r="M2096">
        <v>1503187200</v>
      </c>
      <c r="N2096" t="s">
        <v>1628</v>
      </c>
      <c r="O2096" t="s">
        <v>1628</v>
      </c>
      <c r="P2096" t="s">
        <v>1628</v>
      </c>
      <c r="Q2096">
        <f>LEN(AMAZON_FASHION_5__2[[#This Row],[reviewText]])</f>
        <v>10</v>
      </c>
      <c r="R2096" t="str">
        <f>IF(AMAZON_FASHION_5__2[[#This Row],[overall]]&gt;=4,"Positive",IF(AMAZON_FASHION_5__2[[#This Row],[overall]]&lt;=2,"Negative","Neutral"))</f>
        <v>Positive</v>
      </c>
      <c r="S20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97" spans="1:19" x14ac:dyDescent="0.25">
      <c r="A2097">
        <v>3</v>
      </c>
      <c r="B2097" t="b">
        <v>1</v>
      </c>
      <c r="C2097" s="1">
        <v>42964</v>
      </c>
      <c r="D2097">
        <f>YEAR(AMAZON_FASHION_5__2[[#This Row],[reviewDate]])</f>
        <v>2017</v>
      </c>
      <c r="E2097" s="1" t="str">
        <f>TEXT(AMAZON_FASHION_5__2[[#This Row],[reviewDate]], "mmmm")</f>
        <v>August</v>
      </c>
      <c r="F2097" t="s">
        <v>641</v>
      </c>
      <c r="G2097" t="s">
        <v>1501</v>
      </c>
      <c r="H2097" t="s">
        <v>477</v>
      </c>
      <c r="I2097" t="s">
        <v>642</v>
      </c>
      <c r="J2097" t="s">
        <v>643</v>
      </c>
      <c r="K2097" t="s">
        <v>644</v>
      </c>
      <c r="L2097" t="s">
        <v>645</v>
      </c>
      <c r="M2097">
        <v>1502928000</v>
      </c>
      <c r="N2097" t="s">
        <v>1628</v>
      </c>
      <c r="O2097" t="s">
        <v>1628</v>
      </c>
      <c r="P2097" t="s">
        <v>1628</v>
      </c>
      <c r="Q2097">
        <f>LEN(AMAZON_FASHION_5__2[[#This Row],[reviewText]])</f>
        <v>50</v>
      </c>
      <c r="R2097" t="str">
        <f>IF(AMAZON_FASHION_5__2[[#This Row],[overall]]&gt;=4,"Positive",IF(AMAZON_FASHION_5__2[[#This Row],[overall]]&lt;=2,"Negative","Neutral"))</f>
        <v>Neutral</v>
      </c>
      <c r="S20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98" spans="1:19" x14ac:dyDescent="0.25">
      <c r="A2098">
        <v>5</v>
      </c>
      <c r="B2098" t="b">
        <v>1</v>
      </c>
      <c r="C2098" s="1">
        <v>42964</v>
      </c>
      <c r="D2098">
        <f>YEAR(AMAZON_FASHION_5__2[[#This Row],[reviewDate]])</f>
        <v>2017</v>
      </c>
      <c r="E2098" s="1" t="str">
        <f>TEXT(AMAZON_FASHION_5__2[[#This Row],[reviewDate]], "mmmm")</f>
        <v>August</v>
      </c>
      <c r="F2098" t="s">
        <v>646</v>
      </c>
      <c r="G2098" t="s">
        <v>1501</v>
      </c>
      <c r="H2098" t="s">
        <v>201</v>
      </c>
      <c r="I2098" t="s">
        <v>198</v>
      </c>
      <c r="J2098" t="s">
        <v>647</v>
      </c>
      <c r="K2098" t="s">
        <v>648</v>
      </c>
      <c r="L2098" t="s">
        <v>17</v>
      </c>
      <c r="M2098">
        <v>1502928000</v>
      </c>
      <c r="N2098" t="s">
        <v>1628</v>
      </c>
      <c r="O2098" t="s">
        <v>1628</v>
      </c>
      <c r="P2098" t="s">
        <v>1628</v>
      </c>
      <c r="Q2098">
        <f>LEN(AMAZON_FASHION_5__2[[#This Row],[reviewText]])</f>
        <v>37</v>
      </c>
      <c r="R2098" t="str">
        <f>IF(AMAZON_FASHION_5__2[[#This Row],[overall]]&gt;=4,"Positive",IF(AMAZON_FASHION_5__2[[#This Row],[overall]]&lt;=2,"Negative","Neutral"))</f>
        <v>Positive</v>
      </c>
      <c r="S20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099" spans="1:19" x14ac:dyDescent="0.25">
      <c r="A2099">
        <v>5</v>
      </c>
      <c r="B2099" t="b">
        <v>1</v>
      </c>
      <c r="C2099" s="1">
        <v>42962</v>
      </c>
      <c r="D2099">
        <f>YEAR(AMAZON_FASHION_5__2[[#This Row],[reviewDate]])</f>
        <v>2017</v>
      </c>
      <c r="E2099" s="1" t="str">
        <f>TEXT(AMAZON_FASHION_5__2[[#This Row],[reviewDate]], "mmmm")</f>
        <v>August</v>
      </c>
      <c r="F2099" t="s">
        <v>649</v>
      </c>
      <c r="G2099" t="s">
        <v>1501</v>
      </c>
      <c r="H2099" t="s">
        <v>61</v>
      </c>
      <c r="I2099" t="s">
        <v>344</v>
      </c>
      <c r="J2099" t="s">
        <v>63</v>
      </c>
      <c r="K2099" t="s">
        <v>650</v>
      </c>
      <c r="L2099" t="s">
        <v>17</v>
      </c>
      <c r="M2099">
        <v>1502755200</v>
      </c>
      <c r="N2099" t="s">
        <v>1628</v>
      </c>
      <c r="O2099" t="s">
        <v>1628</v>
      </c>
      <c r="P2099" t="s">
        <v>1628</v>
      </c>
      <c r="Q2099">
        <f>LEN(AMAZON_FASHION_5__2[[#This Row],[reviewText]])</f>
        <v>16</v>
      </c>
      <c r="R2099" t="str">
        <f>IF(AMAZON_FASHION_5__2[[#This Row],[overall]]&gt;=4,"Positive",IF(AMAZON_FASHION_5__2[[#This Row],[overall]]&lt;=2,"Negative","Neutral"))</f>
        <v>Positive</v>
      </c>
      <c r="S20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00" spans="1:19" x14ac:dyDescent="0.25">
      <c r="A2100">
        <v>5</v>
      </c>
      <c r="B2100" t="b">
        <v>1</v>
      </c>
      <c r="C2100" s="1">
        <v>42961</v>
      </c>
      <c r="D2100">
        <f>YEAR(AMAZON_FASHION_5__2[[#This Row],[reviewDate]])</f>
        <v>2017</v>
      </c>
      <c r="E2100" s="1" t="str">
        <f>TEXT(AMAZON_FASHION_5__2[[#This Row],[reviewDate]], "mmmm")</f>
        <v>August</v>
      </c>
      <c r="F2100" t="s">
        <v>651</v>
      </c>
      <c r="G2100" t="s">
        <v>1501</v>
      </c>
      <c r="H2100" t="s">
        <v>230</v>
      </c>
      <c r="I2100" t="s">
        <v>198</v>
      </c>
      <c r="J2100" t="s">
        <v>652</v>
      </c>
      <c r="K2100" t="s">
        <v>653</v>
      </c>
      <c r="L2100" t="s">
        <v>654</v>
      </c>
      <c r="M2100">
        <v>1502668800</v>
      </c>
      <c r="N2100" t="s">
        <v>1628</v>
      </c>
      <c r="O2100" t="s">
        <v>1628</v>
      </c>
      <c r="P2100" t="s">
        <v>1628</v>
      </c>
      <c r="Q2100">
        <f>LEN(AMAZON_FASHION_5__2[[#This Row],[reviewText]])</f>
        <v>145</v>
      </c>
      <c r="R2100" t="str">
        <f>IF(AMAZON_FASHION_5__2[[#This Row],[overall]]&gt;=4,"Positive",IF(AMAZON_FASHION_5__2[[#This Row],[overall]]&lt;=2,"Negative","Neutral"))</f>
        <v>Positive</v>
      </c>
      <c r="S21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01" spans="1:19" x14ac:dyDescent="0.25">
      <c r="A2101">
        <v>5</v>
      </c>
      <c r="B2101" t="b">
        <v>1</v>
      </c>
      <c r="C2101" s="1">
        <v>42959</v>
      </c>
      <c r="D2101">
        <f>YEAR(AMAZON_FASHION_5__2[[#This Row],[reviewDate]])</f>
        <v>2017</v>
      </c>
      <c r="E2101" s="1" t="str">
        <f>TEXT(AMAZON_FASHION_5__2[[#This Row],[reviewDate]], "mmmm")</f>
        <v>August</v>
      </c>
      <c r="F2101" t="s">
        <v>655</v>
      </c>
      <c r="G2101" t="s">
        <v>1501</v>
      </c>
      <c r="H2101" t="s">
        <v>210</v>
      </c>
      <c r="I2101" t="s">
        <v>198</v>
      </c>
      <c r="J2101" t="s">
        <v>656</v>
      </c>
      <c r="K2101" t="s">
        <v>657</v>
      </c>
      <c r="L2101" t="s">
        <v>658</v>
      </c>
      <c r="M2101">
        <v>1502496000</v>
      </c>
      <c r="N2101" t="s">
        <v>1628</v>
      </c>
      <c r="O2101" t="s">
        <v>1628</v>
      </c>
      <c r="P2101" t="s">
        <v>1628</v>
      </c>
      <c r="Q2101">
        <f>LEN(AMAZON_FASHION_5__2[[#This Row],[reviewText]])</f>
        <v>230</v>
      </c>
      <c r="R2101" t="str">
        <f>IF(AMAZON_FASHION_5__2[[#This Row],[overall]]&gt;=4,"Positive",IF(AMAZON_FASHION_5__2[[#This Row],[overall]]&lt;=2,"Negative","Neutral"))</f>
        <v>Positive</v>
      </c>
      <c r="S21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02" spans="1:19" x14ac:dyDescent="0.25">
      <c r="A2102">
        <v>4</v>
      </c>
      <c r="B2102" t="b">
        <v>1</v>
      </c>
      <c r="C2102" s="1">
        <v>42958</v>
      </c>
      <c r="D2102">
        <f>YEAR(AMAZON_FASHION_5__2[[#This Row],[reviewDate]])</f>
        <v>2017</v>
      </c>
      <c r="E2102" s="1" t="str">
        <f>TEXT(AMAZON_FASHION_5__2[[#This Row],[reviewDate]], "mmmm")</f>
        <v>August</v>
      </c>
      <c r="F2102" t="s">
        <v>659</v>
      </c>
      <c r="G2102" t="s">
        <v>1501</v>
      </c>
      <c r="H2102" t="s">
        <v>477</v>
      </c>
      <c r="I2102" t="s">
        <v>198</v>
      </c>
      <c r="J2102" t="s">
        <v>660</v>
      </c>
      <c r="K2102" t="s">
        <v>661</v>
      </c>
      <c r="L2102" t="s">
        <v>103</v>
      </c>
      <c r="M2102">
        <v>1502409600</v>
      </c>
      <c r="N2102" t="s">
        <v>1628</v>
      </c>
      <c r="O2102" t="s">
        <v>1628</v>
      </c>
      <c r="P2102" t="s">
        <v>1628</v>
      </c>
      <c r="Q2102">
        <f>LEN(AMAZON_FASHION_5__2[[#This Row],[reviewText]])</f>
        <v>59</v>
      </c>
      <c r="R2102" t="str">
        <f>IF(AMAZON_FASHION_5__2[[#This Row],[overall]]&gt;=4,"Positive",IF(AMAZON_FASHION_5__2[[#This Row],[overall]]&lt;=2,"Negative","Neutral"))</f>
        <v>Positive</v>
      </c>
      <c r="S21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03" spans="1:19" x14ac:dyDescent="0.25">
      <c r="A2103">
        <v>3</v>
      </c>
      <c r="B2103" t="b">
        <v>1</v>
      </c>
      <c r="C2103" s="1">
        <v>42955</v>
      </c>
      <c r="D2103">
        <f>YEAR(AMAZON_FASHION_5__2[[#This Row],[reviewDate]])</f>
        <v>2017</v>
      </c>
      <c r="E2103" s="1" t="str">
        <f>TEXT(AMAZON_FASHION_5__2[[#This Row],[reviewDate]], "mmmm")</f>
        <v>August</v>
      </c>
      <c r="F2103" t="s">
        <v>662</v>
      </c>
      <c r="G2103" t="s">
        <v>1501</v>
      </c>
      <c r="H2103" t="s">
        <v>210</v>
      </c>
      <c r="I2103" t="s">
        <v>198</v>
      </c>
      <c r="J2103" t="s">
        <v>663</v>
      </c>
      <c r="K2103" t="s">
        <v>664</v>
      </c>
      <c r="L2103" t="s">
        <v>665</v>
      </c>
      <c r="M2103">
        <v>1502150400</v>
      </c>
      <c r="N2103" t="s">
        <v>1628</v>
      </c>
      <c r="O2103" t="s">
        <v>1628</v>
      </c>
      <c r="P2103" t="s">
        <v>1628</v>
      </c>
      <c r="Q2103">
        <f>LEN(AMAZON_FASHION_5__2[[#This Row],[reviewText]])</f>
        <v>138</v>
      </c>
      <c r="R2103" t="str">
        <f>IF(AMAZON_FASHION_5__2[[#This Row],[overall]]&gt;=4,"Positive",IF(AMAZON_FASHION_5__2[[#This Row],[overall]]&lt;=2,"Negative","Neutral"))</f>
        <v>Neutral</v>
      </c>
      <c r="S21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04" spans="1:19" x14ac:dyDescent="0.25">
      <c r="A2104">
        <v>5</v>
      </c>
      <c r="B2104" t="b">
        <v>1</v>
      </c>
      <c r="C2104" s="1">
        <v>42955</v>
      </c>
      <c r="D2104">
        <f>YEAR(AMAZON_FASHION_5__2[[#This Row],[reviewDate]])</f>
        <v>2017</v>
      </c>
      <c r="E2104" s="1" t="str">
        <f>TEXT(AMAZON_FASHION_5__2[[#This Row],[reviewDate]], "mmmm")</f>
        <v>August</v>
      </c>
      <c r="F2104" t="s">
        <v>666</v>
      </c>
      <c r="G2104" t="s">
        <v>1501</v>
      </c>
      <c r="H2104" t="s">
        <v>284</v>
      </c>
      <c r="I2104" t="s">
        <v>198</v>
      </c>
      <c r="J2104" t="s">
        <v>667</v>
      </c>
      <c r="K2104" t="s">
        <v>668</v>
      </c>
      <c r="L2104" t="s">
        <v>17</v>
      </c>
      <c r="M2104">
        <v>1502150400</v>
      </c>
      <c r="N2104" t="s">
        <v>1628</v>
      </c>
      <c r="O2104" t="s">
        <v>1628</v>
      </c>
      <c r="P2104" t="s">
        <v>1628</v>
      </c>
      <c r="Q2104">
        <f>LEN(AMAZON_FASHION_5__2[[#This Row],[reviewText]])</f>
        <v>27</v>
      </c>
      <c r="R2104" t="str">
        <f>IF(AMAZON_FASHION_5__2[[#This Row],[overall]]&gt;=4,"Positive",IF(AMAZON_FASHION_5__2[[#This Row],[overall]]&lt;=2,"Negative","Neutral"))</f>
        <v>Positive</v>
      </c>
      <c r="S21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05" spans="1:19" x14ac:dyDescent="0.25">
      <c r="A2105">
        <v>5</v>
      </c>
      <c r="B2105" t="b">
        <v>1</v>
      </c>
      <c r="C2105" s="1">
        <v>42954</v>
      </c>
      <c r="D2105">
        <f>YEAR(AMAZON_FASHION_5__2[[#This Row],[reviewDate]])</f>
        <v>2017</v>
      </c>
      <c r="E2105" s="1" t="str">
        <f>TEXT(AMAZON_FASHION_5__2[[#This Row],[reviewDate]], "mmmm")</f>
        <v>August</v>
      </c>
      <c r="F2105" t="s">
        <v>669</v>
      </c>
      <c r="G2105" t="s">
        <v>1501</v>
      </c>
      <c r="H2105" t="s">
        <v>230</v>
      </c>
      <c r="I2105" t="s">
        <v>1476</v>
      </c>
      <c r="J2105" t="s">
        <v>670</v>
      </c>
      <c r="K2105" t="s">
        <v>671</v>
      </c>
      <c r="L2105" t="s">
        <v>17</v>
      </c>
      <c r="M2105">
        <v>1502064000</v>
      </c>
      <c r="N2105" t="s">
        <v>1628</v>
      </c>
      <c r="O2105" t="s">
        <v>1628</v>
      </c>
      <c r="P2105" t="s">
        <v>1628</v>
      </c>
      <c r="Q2105">
        <f>LEN(AMAZON_FASHION_5__2[[#This Row],[reviewText]])</f>
        <v>10</v>
      </c>
      <c r="R2105" t="str">
        <f>IF(AMAZON_FASHION_5__2[[#This Row],[overall]]&gt;=4,"Positive",IF(AMAZON_FASHION_5__2[[#This Row],[overall]]&lt;=2,"Negative","Neutral"))</f>
        <v>Positive</v>
      </c>
      <c r="S21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06" spans="1:19" x14ac:dyDescent="0.25">
      <c r="A2106">
        <v>5</v>
      </c>
      <c r="B2106" t="b">
        <v>1</v>
      </c>
      <c r="C2106" s="1">
        <v>42951</v>
      </c>
      <c r="D2106">
        <f>YEAR(AMAZON_FASHION_5__2[[#This Row],[reviewDate]])</f>
        <v>2017</v>
      </c>
      <c r="E2106" s="1" t="str">
        <f>TEXT(AMAZON_FASHION_5__2[[#This Row],[reviewDate]], "mmmm")</f>
        <v>August</v>
      </c>
      <c r="F2106" t="s">
        <v>672</v>
      </c>
      <c r="G2106" t="s">
        <v>1501</v>
      </c>
      <c r="H2106" t="s">
        <v>235</v>
      </c>
      <c r="I2106" t="s">
        <v>274</v>
      </c>
      <c r="J2106" t="s">
        <v>673</v>
      </c>
      <c r="K2106" t="s">
        <v>674</v>
      </c>
      <c r="L2106" t="s">
        <v>675</v>
      </c>
      <c r="M2106">
        <v>1501804800</v>
      </c>
      <c r="N2106" t="s">
        <v>1628</v>
      </c>
      <c r="O2106" t="s">
        <v>1628</v>
      </c>
      <c r="P2106" t="s">
        <v>1628</v>
      </c>
      <c r="Q2106">
        <f>LEN(AMAZON_FASHION_5__2[[#This Row],[reviewText]])</f>
        <v>114</v>
      </c>
      <c r="R2106" t="str">
        <f>IF(AMAZON_FASHION_5__2[[#This Row],[overall]]&gt;=4,"Positive",IF(AMAZON_FASHION_5__2[[#This Row],[overall]]&lt;=2,"Negative","Neutral"))</f>
        <v>Positive</v>
      </c>
      <c r="S21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07" spans="1:19" x14ac:dyDescent="0.25">
      <c r="A2107">
        <v>3</v>
      </c>
      <c r="B2107" t="b">
        <v>1</v>
      </c>
      <c r="C2107" s="1">
        <v>42949</v>
      </c>
      <c r="D2107">
        <f>YEAR(AMAZON_FASHION_5__2[[#This Row],[reviewDate]])</f>
        <v>2017</v>
      </c>
      <c r="E2107" s="1" t="str">
        <f>TEXT(AMAZON_FASHION_5__2[[#This Row],[reviewDate]], "mmmm")</f>
        <v>August</v>
      </c>
      <c r="F2107" t="s">
        <v>676</v>
      </c>
      <c r="G2107" t="s">
        <v>1501</v>
      </c>
      <c r="H2107" t="s">
        <v>677</v>
      </c>
      <c r="I2107" t="s">
        <v>198</v>
      </c>
      <c r="J2107" t="s">
        <v>678</v>
      </c>
      <c r="K2107" t="s">
        <v>679</v>
      </c>
      <c r="L2107" t="s">
        <v>680</v>
      </c>
      <c r="M2107">
        <v>1501632000</v>
      </c>
      <c r="N2107" t="s">
        <v>1628</v>
      </c>
      <c r="O2107" t="s">
        <v>1628</v>
      </c>
      <c r="P2107" t="s">
        <v>1628</v>
      </c>
      <c r="Q2107">
        <f>LEN(AMAZON_FASHION_5__2[[#This Row],[reviewText]])</f>
        <v>264</v>
      </c>
      <c r="R2107" t="str">
        <f>IF(AMAZON_FASHION_5__2[[#This Row],[overall]]&gt;=4,"Positive",IF(AMAZON_FASHION_5__2[[#This Row],[overall]]&lt;=2,"Negative","Neutral"))</f>
        <v>Neutral</v>
      </c>
      <c r="S21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08" spans="1:19" x14ac:dyDescent="0.25">
      <c r="A2108">
        <v>5</v>
      </c>
      <c r="B2108" t="b">
        <v>1</v>
      </c>
      <c r="C2108" s="1">
        <v>42936</v>
      </c>
      <c r="D2108">
        <f>YEAR(AMAZON_FASHION_5__2[[#This Row],[reviewDate]])</f>
        <v>2017</v>
      </c>
      <c r="E2108" s="1" t="str">
        <f>TEXT(AMAZON_FASHION_5__2[[#This Row],[reviewDate]], "mmmm")</f>
        <v>July</v>
      </c>
      <c r="F2108" t="s">
        <v>681</v>
      </c>
      <c r="G2108" t="s">
        <v>1501</v>
      </c>
      <c r="H2108" t="s">
        <v>210</v>
      </c>
      <c r="I2108" t="s">
        <v>198</v>
      </c>
      <c r="J2108" t="s">
        <v>63</v>
      </c>
      <c r="K2108" t="s">
        <v>682</v>
      </c>
      <c r="L2108" t="s">
        <v>365</v>
      </c>
      <c r="M2108">
        <v>1500508800</v>
      </c>
      <c r="N2108" t="s">
        <v>1628</v>
      </c>
      <c r="O2108" t="s">
        <v>1628</v>
      </c>
      <c r="P2108" t="s">
        <v>1628</v>
      </c>
      <c r="Q2108">
        <f>LEN(AMAZON_FASHION_5__2[[#This Row],[reviewText]])</f>
        <v>34</v>
      </c>
      <c r="R2108" t="str">
        <f>IF(AMAZON_FASHION_5__2[[#This Row],[overall]]&gt;=4,"Positive",IF(AMAZON_FASHION_5__2[[#This Row],[overall]]&lt;=2,"Negative","Neutral"))</f>
        <v>Positive</v>
      </c>
      <c r="S21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09" spans="1:19" x14ac:dyDescent="0.25">
      <c r="A2109">
        <v>5</v>
      </c>
      <c r="B2109" t="b">
        <v>1</v>
      </c>
      <c r="C2109" s="1">
        <v>42934</v>
      </c>
      <c r="D2109">
        <f>YEAR(AMAZON_FASHION_5__2[[#This Row],[reviewDate]])</f>
        <v>2017</v>
      </c>
      <c r="E2109" s="1" t="str">
        <f>TEXT(AMAZON_FASHION_5__2[[#This Row],[reviewDate]], "mmmm")</f>
        <v>July</v>
      </c>
      <c r="F2109" t="s">
        <v>683</v>
      </c>
      <c r="G2109" t="s">
        <v>1501</v>
      </c>
      <c r="H2109" t="s">
        <v>230</v>
      </c>
      <c r="I2109" t="s">
        <v>507</v>
      </c>
      <c r="J2109" t="s">
        <v>684</v>
      </c>
      <c r="K2109" t="s">
        <v>685</v>
      </c>
      <c r="L2109" t="s">
        <v>686</v>
      </c>
      <c r="M2109">
        <v>1500336000</v>
      </c>
      <c r="N2109" t="s">
        <v>1628</v>
      </c>
      <c r="O2109" t="s">
        <v>1628</v>
      </c>
      <c r="P2109" t="s">
        <v>1628</v>
      </c>
      <c r="Q2109">
        <f>LEN(AMAZON_FASHION_5__2[[#This Row],[reviewText]])</f>
        <v>124</v>
      </c>
      <c r="R2109" t="str">
        <f>IF(AMAZON_FASHION_5__2[[#This Row],[overall]]&gt;=4,"Positive",IF(AMAZON_FASHION_5__2[[#This Row],[overall]]&lt;=2,"Negative","Neutral"))</f>
        <v>Positive</v>
      </c>
      <c r="S21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10" spans="1:19" x14ac:dyDescent="0.25">
      <c r="A2110">
        <v>4</v>
      </c>
      <c r="B2110" t="b">
        <v>1</v>
      </c>
      <c r="C2110" s="1">
        <v>42934</v>
      </c>
      <c r="D2110">
        <f>YEAR(AMAZON_FASHION_5__2[[#This Row],[reviewDate]])</f>
        <v>2017</v>
      </c>
      <c r="E2110" s="1" t="str">
        <f>TEXT(AMAZON_FASHION_5__2[[#This Row],[reviewDate]], "mmmm")</f>
        <v>July</v>
      </c>
      <c r="F2110" t="s">
        <v>687</v>
      </c>
      <c r="G2110" t="s">
        <v>1501</v>
      </c>
      <c r="H2110" t="s">
        <v>235</v>
      </c>
      <c r="I2110" t="s">
        <v>344</v>
      </c>
      <c r="J2110" t="s">
        <v>688</v>
      </c>
      <c r="K2110" t="s">
        <v>689</v>
      </c>
      <c r="L2110" t="s">
        <v>103</v>
      </c>
      <c r="M2110">
        <v>1500336000</v>
      </c>
      <c r="N2110" t="s">
        <v>1628</v>
      </c>
      <c r="O2110" t="s">
        <v>1628</v>
      </c>
      <c r="P2110" t="s">
        <v>1628</v>
      </c>
      <c r="Q2110">
        <f>LEN(AMAZON_FASHION_5__2[[#This Row],[reviewText]])</f>
        <v>28</v>
      </c>
      <c r="R2110" t="str">
        <f>IF(AMAZON_FASHION_5__2[[#This Row],[overall]]&gt;=4,"Positive",IF(AMAZON_FASHION_5__2[[#This Row],[overall]]&lt;=2,"Negative","Neutral"))</f>
        <v>Positive</v>
      </c>
      <c r="S21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11" spans="1:19" x14ac:dyDescent="0.25">
      <c r="A2111">
        <v>5</v>
      </c>
      <c r="B2111" t="b">
        <v>1</v>
      </c>
      <c r="C2111" s="1">
        <v>42934</v>
      </c>
      <c r="D2111">
        <f>YEAR(AMAZON_FASHION_5__2[[#This Row],[reviewDate]])</f>
        <v>2017</v>
      </c>
      <c r="E2111" s="1" t="str">
        <f>TEXT(AMAZON_FASHION_5__2[[#This Row],[reviewDate]], "mmmm")</f>
        <v>July</v>
      </c>
      <c r="F2111" t="s">
        <v>690</v>
      </c>
      <c r="G2111" t="s">
        <v>1501</v>
      </c>
      <c r="H2111" t="s">
        <v>197</v>
      </c>
      <c r="I2111" t="s">
        <v>198</v>
      </c>
      <c r="J2111" t="s">
        <v>691</v>
      </c>
      <c r="K2111" t="s">
        <v>692</v>
      </c>
      <c r="L2111" t="s">
        <v>693</v>
      </c>
      <c r="M2111">
        <v>1500336000</v>
      </c>
      <c r="N2111" t="s">
        <v>1628</v>
      </c>
      <c r="O2111" t="s">
        <v>1628</v>
      </c>
      <c r="P2111" t="s">
        <v>1628</v>
      </c>
      <c r="Q2111">
        <f>LEN(AMAZON_FASHION_5__2[[#This Row],[reviewText]])</f>
        <v>184</v>
      </c>
      <c r="R2111" t="str">
        <f>IF(AMAZON_FASHION_5__2[[#This Row],[overall]]&gt;=4,"Positive",IF(AMAZON_FASHION_5__2[[#This Row],[overall]]&lt;=2,"Negative","Neutral"))</f>
        <v>Positive</v>
      </c>
      <c r="S21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12" spans="1:19" x14ac:dyDescent="0.25">
      <c r="A2112">
        <v>5</v>
      </c>
      <c r="B2112" t="b">
        <v>1</v>
      </c>
      <c r="C2112" s="1">
        <v>42934</v>
      </c>
      <c r="D2112">
        <f>YEAR(AMAZON_FASHION_5__2[[#This Row],[reviewDate]])</f>
        <v>2017</v>
      </c>
      <c r="E2112" s="1" t="str">
        <f>TEXT(AMAZON_FASHION_5__2[[#This Row],[reviewDate]], "mmmm")</f>
        <v>July</v>
      </c>
      <c r="F2112" t="s">
        <v>694</v>
      </c>
      <c r="G2112" t="s">
        <v>1501</v>
      </c>
      <c r="H2112" t="s">
        <v>205</v>
      </c>
      <c r="I2112" t="s">
        <v>198</v>
      </c>
      <c r="J2112" t="s">
        <v>695</v>
      </c>
      <c r="K2112" t="s">
        <v>18</v>
      </c>
      <c r="L2112" t="s">
        <v>17</v>
      </c>
      <c r="M2112">
        <v>1500336000</v>
      </c>
      <c r="N2112" t="s">
        <v>1628</v>
      </c>
      <c r="O2112" t="s">
        <v>1628</v>
      </c>
      <c r="P2112" t="s">
        <v>1628</v>
      </c>
      <c r="Q2112">
        <f>LEN(AMAZON_FASHION_5__2[[#This Row],[reviewText]])</f>
        <v>0</v>
      </c>
      <c r="R2112" t="str">
        <f>IF(AMAZON_FASHION_5__2[[#This Row],[overall]]&gt;=4,"Positive",IF(AMAZON_FASHION_5__2[[#This Row],[overall]]&lt;=2,"Negative","Neutral"))</f>
        <v>Positive</v>
      </c>
      <c r="S21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13" spans="1:19" x14ac:dyDescent="0.25">
      <c r="A2113">
        <v>5</v>
      </c>
      <c r="B2113" t="b">
        <v>1</v>
      </c>
      <c r="C2113" s="1">
        <v>42934</v>
      </c>
      <c r="D2113">
        <f>YEAR(AMAZON_FASHION_5__2[[#This Row],[reviewDate]])</f>
        <v>2017</v>
      </c>
      <c r="E2113" s="1" t="str">
        <f>TEXT(AMAZON_FASHION_5__2[[#This Row],[reviewDate]], "mmmm")</f>
        <v>July</v>
      </c>
      <c r="F2113" t="s">
        <v>696</v>
      </c>
      <c r="G2113" t="s">
        <v>1501</v>
      </c>
      <c r="H2113" t="s">
        <v>210</v>
      </c>
      <c r="I2113" t="s">
        <v>99</v>
      </c>
      <c r="J2113" t="s">
        <v>697</v>
      </c>
      <c r="K2113" t="s">
        <v>276</v>
      </c>
      <c r="L2113" t="s">
        <v>17</v>
      </c>
      <c r="M2113">
        <v>1500336000</v>
      </c>
      <c r="N2113" t="s">
        <v>1628</v>
      </c>
      <c r="O2113" t="s">
        <v>1628</v>
      </c>
      <c r="P2113" t="s">
        <v>1628</v>
      </c>
      <c r="Q2113">
        <f>LEN(AMAZON_FASHION_5__2[[#This Row],[reviewText]])</f>
        <v>4</v>
      </c>
      <c r="R2113" t="str">
        <f>IF(AMAZON_FASHION_5__2[[#This Row],[overall]]&gt;=4,"Positive",IF(AMAZON_FASHION_5__2[[#This Row],[overall]]&lt;=2,"Negative","Neutral"))</f>
        <v>Positive</v>
      </c>
      <c r="S21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14" spans="1:19" x14ac:dyDescent="0.25">
      <c r="A2114">
        <v>5</v>
      </c>
      <c r="B2114" t="b">
        <v>1</v>
      </c>
      <c r="C2114" s="1">
        <v>42934</v>
      </c>
      <c r="D2114">
        <f>YEAR(AMAZON_FASHION_5__2[[#This Row],[reviewDate]])</f>
        <v>2017</v>
      </c>
      <c r="E2114" s="1" t="str">
        <f>TEXT(AMAZON_FASHION_5__2[[#This Row],[reviewDate]], "mmmm")</f>
        <v>July</v>
      </c>
      <c r="F2114" t="s">
        <v>698</v>
      </c>
      <c r="G2114" t="s">
        <v>1501</v>
      </c>
      <c r="H2114" t="s">
        <v>210</v>
      </c>
      <c r="I2114" t="s">
        <v>642</v>
      </c>
      <c r="J2114" t="s">
        <v>63</v>
      </c>
      <c r="K2114" t="s">
        <v>699</v>
      </c>
      <c r="L2114" t="s">
        <v>700</v>
      </c>
      <c r="M2114">
        <v>1500336000</v>
      </c>
      <c r="N2114" t="s">
        <v>1628</v>
      </c>
      <c r="O2114" t="s">
        <v>1628</v>
      </c>
      <c r="P2114" t="s">
        <v>1628</v>
      </c>
      <c r="Q2114">
        <f>LEN(AMAZON_FASHION_5__2[[#This Row],[reviewText]])</f>
        <v>99</v>
      </c>
      <c r="R2114" t="str">
        <f>IF(AMAZON_FASHION_5__2[[#This Row],[overall]]&gt;=4,"Positive",IF(AMAZON_FASHION_5__2[[#This Row],[overall]]&lt;=2,"Negative","Neutral"))</f>
        <v>Positive</v>
      </c>
      <c r="S21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15" spans="1:19" x14ac:dyDescent="0.25">
      <c r="A2115">
        <v>5</v>
      </c>
      <c r="B2115" t="b">
        <v>1</v>
      </c>
      <c r="C2115" s="1">
        <v>42934</v>
      </c>
      <c r="D2115">
        <f>YEAR(AMAZON_FASHION_5__2[[#This Row],[reviewDate]])</f>
        <v>2017</v>
      </c>
      <c r="E2115" s="1" t="str">
        <f>TEXT(AMAZON_FASHION_5__2[[#This Row],[reviewDate]], "mmmm")</f>
        <v>July</v>
      </c>
      <c r="F2115" t="s">
        <v>701</v>
      </c>
      <c r="G2115" t="s">
        <v>1501</v>
      </c>
      <c r="H2115" t="s">
        <v>201</v>
      </c>
      <c r="I2115" t="s">
        <v>198</v>
      </c>
      <c r="J2115" t="s">
        <v>702</v>
      </c>
      <c r="K2115" t="s">
        <v>703</v>
      </c>
      <c r="L2115" t="s">
        <v>704</v>
      </c>
      <c r="M2115">
        <v>1500336000</v>
      </c>
      <c r="N2115" t="s">
        <v>1628</v>
      </c>
      <c r="O2115" t="s">
        <v>1628</v>
      </c>
      <c r="P2115" t="s">
        <v>1628</v>
      </c>
      <c r="Q2115">
        <f>LEN(AMAZON_FASHION_5__2[[#This Row],[reviewText]])</f>
        <v>178</v>
      </c>
      <c r="R2115" t="str">
        <f>IF(AMAZON_FASHION_5__2[[#This Row],[overall]]&gt;=4,"Positive",IF(AMAZON_FASHION_5__2[[#This Row],[overall]]&lt;=2,"Negative","Neutral"))</f>
        <v>Positive</v>
      </c>
      <c r="S21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16" spans="1:19" x14ac:dyDescent="0.25">
      <c r="A2116">
        <v>5</v>
      </c>
      <c r="B2116" t="b">
        <v>1</v>
      </c>
      <c r="C2116" s="1">
        <v>42931</v>
      </c>
      <c r="D2116">
        <f>YEAR(AMAZON_FASHION_5__2[[#This Row],[reviewDate]])</f>
        <v>2017</v>
      </c>
      <c r="E2116" s="1" t="str">
        <f>TEXT(AMAZON_FASHION_5__2[[#This Row],[reviewDate]], "mmmm")</f>
        <v>July</v>
      </c>
      <c r="F2116" t="s">
        <v>705</v>
      </c>
      <c r="G2116" t="s">
        <v>1501</v>
      </c>
      <c r="H2116" t="s">
        <v>205</v>
      </c>
      <c r="I2116" t="s">
        <v>396</v>
      </c>
      <c r="J2116" t="s">
        <v>706</v>
      </c>
      <c r="K2116" t="s">
        <v>707</v>
      </c>
      <c r="L2116" t="s">
        <v>17</v>
      </c>
      <c r="M2116">
        <v>1500076800</v>
      </c>
      <c r="N2116" t="s">
        <v>1628</v>
      </c>
      <c r="O2116" t="s">
        <v>1628</v>
      </c>
      <c r="P2116" t="s">
        <v>1628</v>
      </c>
      <c r="Q2116">
        <f>LEN(AMAZON_FASHION_5__2[[#This Row],[reviewText]])</f>
        <v>30</v>
      </c>
      <c r="R2116" t="str">
        <f>IF(AMAZON_FASHION_5__2[[#This Row],[overall]]&gt;=4,"Positive",IF(AMAZON_FASHION_5__2[[#This Row],[overall]]&lt;=2,"Negative","Neutral"))</f>
        <v>Positive</v>
      </c>
      <c r="S21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17" spans="1:19" x14ac:dyDescent="0.25">
      <c r="A2117">
        <v>3</v>
      </c>
      <c r="B2117" t="b">
        <v>1</v>
      </c>
      <c r="C2117" s="1">
        <v>42931</v>
      </c>
      <c r="D2117">
        <f>YEAR(AMAZON_FASHION_5__2[[#This Row],[reviewDate]])</f>
        <v>2017</v>
      </c>
      <c r="E2117" s="1" t="str">
        <f>TEXT(AMAZON_FASHION_5__2[[#This Row],[reviewDate]], "mmmm")</f>
        <v>July</v>
      </c>
      <c r="F2117" t="s">
        <v>708</v>
      </c>
      <c r="G2117" t="s">
        <v>1501</v>
      </c>
      <c r="H2117" t="s">
        <v>230</v>
      </c>
      <c r="I2117" t="s">
        <v>274</v>
      </c>
      <c r="J2117" t="s">
        <v>709</v>
      </c>
      <c r="K2117" t="s">
        <v>710</v>
      </c>
      <c r="L2117" t="s">
        <v>711</v>
      </c>
      <c r="M2117">
        <v>1500076800</v>
      </c>
      <c r="N2117" t="s">
        <v>1628</v>
      </c>
      <c r="O2117" t="s">
        <v>1628</v>
      </c>
      <c r="P2117" t="s">
        <v>1628</v>
      </c>
      <c r="Q2117">
        <f>LEN(AMAZON_FASHION_5__2[[#This Row],[reviewText]])</f>
        <v>130</v>
      </c>
      <c r="R2117" t="str">
        <f>IF(AMAZON_FASHION_5__2[[#This Row],[overall]]&gt;=4,"Positive",IF(AMAZON_FASHION_5__2[[#This Row],[overall]]&lt;=2,"Negative","Neutral"))</f>
        <v>Neutral</v>
      </c>
      <c r="S21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18" spans="1:19" x14ac:dyDescent="0.25">
      <c r="A2118">
        <v>5</v>
      </c>
      <c r="B2118" t="b">
        <v>1</v>
      </c>
      <c r="C2118" s="1">
        <v>42925</v>
      </c>
      <c r="D2118">
        <f>YEAR(AMAZON_FASHION_5__2[[#This Row],[reviewDate]])</f>
        <v>2017</v>
      </c>
      <c r="E2118" s="1" t="str">
        <f>TEXT(AMAZON_FASHION_5__2[[#This Row],[reviewDate]], "mmmm")</f>
        <v>July</v>
      </c>
      <c r="F2118" t="s">
        <v>712</v>
      </c>
      <c r="G2118" t="s">
        <v>1501</v>
      </c>
      <c r="H2118" t="s">
        <v>477</v>
      </c>
      <c r="I2118" t="s">
        <v>419</v>
      </c>
      <c r="J2118" t="s">
        <v>713</v>
      </c>
      <c r="K2118" t="s">
        <v>714</v>
      </c>
      <c r="L2118" t="s">
        <v>715</v>
      </c>
      <c r="M2118">
        <v>1499558400</v>
      </c>
      <c r="N2118" t="s">
        <v>1628</v>
      </c>
      <c r="O2118" t="s">
        <v>1628</v>
      </c>
      <c r="P2118" t="s">
        <v>1628</v>
      </c>
      <c r="Q2118">
        <f>LEN(AMAZON_FASHION_5__2[[#This Row],[reviewText]])</f>
        <v>112</v>
      </c>
      <c r="R2118" t="str">
        <f>IF(AMAZON_FASHION_5__2[[#This Row],[overall]]&gt;=4,"Positive",IF(AMAZON_FASHION_5__2[[#This Row],[overall]]&lt;=2,"Negative","Neutral"))</f>
        <v>Positive</v>
      </c>
      <c r="S21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19" spans="1:19" x14ac:dyDescent="0.25">
      <c r="A2119">
        <v>5</v>
      </c>
      <c r="B2119" t="b">
        <v>1</v>
      </c>
      <c r="C2119" s="1">
        <v>42924</v>
      </c>
      <c r="D2119">
        <f>YEAR(AMAZON_FASHION_5__2[[#This Row],[reviewDate]])</f>
        <v>2017</v>
      </c>
      <c r="E2119" s="1" t="str">
        <f>TEXT(AMAZON_FASHION_5__2[[#This Row],[reviewDate]], "mmmm")</f>
        <v>July</v>
      </c>
      <c r="F2119" t="s">
        <v>716</v>
      </c>
      <c r="G2119" t="s">
        <v>1501</v>
      </c>
      <c r="H2119" t="s">
        <v>717</v>
      </c>
      <c r="I2119" t="s">
        <v>336</v>
      </c>
      <c r="J2119" t="s">
        <v>718</v>
      </c>
      <c r="K2119" t="s">
        <v>719</v>
      </c>
      <c r="L2119" t="s">
        <v>720</v>
      </c>
      <c r="M2119">
        <v>1499472000</v>
      </c>
      <c r="N2119" t="s">
        <v>1628</v>
      </c>
      <c r="O2119" t="s">
        <v>1628</v>
      </c>
      <c r="P2119" t="s">
        <v>1628</v>
      </c>
      <c r="Q2119">
        <f>LEN(AMAZON_FASHION_5__2[[#This Row],[reviewText]])</f>
        <v>22</v>
      </c>
      <c r="R2119" t="str">
        <f>IF(AMAZON_FASHION_5__2[[#This Row],[overall]]&gt;=4,"Positive",IF(AMAZON_FASHION_5__2[[#This Row],[overall]]&lt;=2,"Negative","Neutral"))</f>
        <v>Positive</v>
      </c>
      <c r="S21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20" spans="1:19" x14ac:dyDescent="0.25">
      <c r="A2120">
        <v>4</v>
      </c>
      <c r="B2120" t="b">
        <v>1</v>
      </c>
      <c r="C2120" s="1">
        <v>42923</v>
      </c>
      <c r="D2120">
        <f>YEAR(AMAZON_FASHION_5__2[[#This Row],[reviewDate]])</f>
        <v>2017</v>
      </c>
      <c r="E2120" s="1" t="str">
        <f>TEXT(AMAZON_FASHION_5__2[[#This Row],[reviewDate]], "mmmm")</f>
        <v>July</v>
      </c>
      <c r="F2120" t="s">
        <v>721</v>
      </c>
      <c r="G2120" t="s">
        <v>1501</v>
      </c>
      <c r="H2120" t="s">
        <v>201</v>
      </c>
      <c r="I2120" t="s">
        <v>198</v>
      </c>
      <c r="J2120" t="s">
        <v>722</v>
      </c>
      <c r="K2120" t="s">
        <v>723</v>
      </c>
      <c r="L2120" t="s">
        <v>724</v>
      </c>
      <c r="M2120">
        <v>1499385600</v>
      </c>
      <c r="N2120" t="s">
        <v>1628</v>
      </c>
      <c r="O2120" t="s">
        <v>1628</v>
      </c>
      <c r="P2120" t="s">
        <v>1628</v>
      </c>
      <c r="Q2120">
        <f>LEN(AMAZON_FASHION_5__2[[#This Row],[reviewText]])</f>
        <v>453</v>
      </c>
      <c r="R2120" t="str">
        <f>IF(AMAZON_FASHION_5__2[[#This Row],[overall]]&gt;=4,"Positive",IF(AMAZON_FASHION_5__2[[#This Row],[overall]]&lt;=2,"Negative","Neutral"))</f>
        <v>Positive</v>
      </c>
      <c r="S21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21" spans="1:19" x14ac:dyDescent="0.25">
      <c r="A2121">
        <v>3</v>
      </c>
      <c r="B2121" t="b">
        <v>0</v>
      </c>
      <c r="C2121" s="1">
        <v>42917</v>
      </c>
      <c r="D2121">
        <f>YEAR(AMAZON_FASHION_5__2[[#This Row],[reviewDate]])</f>
        <v>2017</v>
      </c>
      <c r="E2121" s="1" t="str">
        <f>TEXT(AMAZON_FASHION_5__2[[#This Row],[reviewDate]], "mmmm")</f>
        <v>July</v>
      </c>
      <c r="F2121" t="s">
        <v>725</v>
      </c>
      <c r="G2121" t="s">
        <v>1501</v>
      </c>
      <c r="H2121" t="s">
        <v>261</v>
      </c>
      <c r="I2121" t="s">
        <v>99</v>
      </c>
      <c r="J2121" t="s">
        <v>726</v>
      </c>
      <c r="K2121" t="s">
        <v>727</v>
      </c>
      <c r="L2121" t="s">
        <v>728</v>
      </c>
      <c r="M2121">
        <v>1498867200</v>
      </c>
      <c r="N2121" t="s">
        <v>1628</v>
      </c>
      <c r="O2121" t="s">
        <v>1628</v>
      </c>
      <c r="P2121" t="s">
        <v>1628</v>
      </c>
      <c r="Q2121">
        <f>LEN(AMAZON_FASHION_5__2[[#This Row],[reviewText]])</f>
        <v>566</v>
      </c>
      <c r="R2121" t="str">
        <f>IF(AMAZON_FASHION_5__2[[#This Row],[overall]]&gt;=4,"Positive",IF(AMAZON_FASHION_5__2[[#This Row],[overall]]&lt;=2,"Negative","Neutral"))</f>
        <v>Neutral</v>
      </c>
      <c r="S21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22" spans="1:19" x14ac:dyDescent="0.25">
      <c r="A2122">
        <v>5</v>
      </c>
      <c r="B2122" t="b">
        <v>1</v>
      </c>
      <c r="C2122" s="1">
        <v>42916</v>
      </c>
      <c r="D2122">
        <f>YEAR(AMAZON_FASHION_5__2[[#This Row],[reviewDate]])</f>
        <v>2017</v>
      </c>
      <c r="E2122" s="1" t="str">
        <f>TEXT(AMAZON_FASHION_5__2[[#This Row],[reviewDate]], "mmmm")</f>
        <v>June</v>
      </c>
      <c r="F2122" t="s">
        <v>729</v>
      </c>
      <c r="G2122" t="s">
        <v>1501</v>
      </c>
      <c r="H2122" t="s">
        <v>201</v>
      </c>
      <c r="I2122" t="s">
        <v>198</v>
      </c>
      <c r="J2122" t="s">
        <v>730</v>
      </c>
      <c r="K2122" t="s">
        <v>731</v>
      </c>
      <c r="L2122" t="s">
        <v>732</v>
      </c>
      <c r="M2122">
        <v>1498780800</v>
      </c>
      <c r="N2122" t="s">
        <v>1628</v>
      </c>
      <c r="O2122" t="s">
        <v>1628</v>
      </c>
      <c r="P2122" t="s">
        <v>1628</v>
      </c>
      <c r="Q2122">
        <f>LEN(AMAZON_FASHION_5__2[[#This Row],[reviewText]])</f>
        <v>5</v>
      </c>
      <c r="R2122" t="str">
        <f>IF(AMAZON_FASHION_5__2[[#This Row],[overall]]&gt;=4,"Positive",IF(AMAZON_FASHION_5__2[[#This Row],[overall]]&lt;=2,"Negative","Neutral"))</f>
        <v>Positive</v>
      </c>
      <c r="S21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23" spans="1:19" x14ac:dyDescent="0.25">
      <c r="A2123">
        <v>5</v>
      </c>
      <c r="B2123" t="b">
        <v>1</v>
      </c>
      <c r="C2123" s="1">
        <v>42914</v>
      </c>
      <c r="D2123">
        <f>YEAR(AMAZON_FASHION_5__2[[#This Row],[reviewDate]])</f>
        <v>2017</v>
      </c>
      <c r="E2123" s="1" t="str">
        <f>TEXT(AMAZON_FASHION_5__2[[#This Row],[reviewDate]], "mmmm")</f>
        <v>June</v>
      </c>
      <c r="F2123" t="s">
        <v>733</v>
      </c>
      <c r="G2123" t="s">
        <v>1501</v>
      </c>
      <c r="H2123" t="s">
        <v>235</v>
      </c>
      <c r="I2123" t="s">
        <v>493</v>
      </c>
      <c r="J2123" t="s">
        <v>734</v>
      </c>
      <c r="K2123" t="s">
        <v>735</v>
      </c>
      <c r="L2123" t="s">
        <v>17</v>
      </c>
      <c r="M2123">
        <v>1498608000</v>
      </c>
      <c r="N2123" t="s">
        <v>1628</v>
      </c>
      <c r="O2123" t="s">
        <v>1628</v>
      </c>
      <c r="P2123" t="s">
        <v>1628</v>
      </c>
      <c r="Q2123">
        <f>LEN(AMAZON_FASHION_5__2[[#This Row],[reviewText]])</f>
        <v>18</v>
      </c>
      <c r="R2123" t="str">
        <f>IF(AMAZON_FASHION_5__2[[#This Row],[overall]]&gt;=4,"Positive",IF(AMAZON_FASHION_5__2[[#This Row],[overall]]&lt;=2,"Negative","Neutral"))</f>
        <v>Positive</v>
      </c>
      <c r="S21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24" spans="1:19" x14ac:dyDescent="0.25">
      <c r="A2124">
        <v>5</v>
      </c>
      <c r="B2124" t="b">
        <v>1</v>
      </c>
      <c r="C2124" s="1">
        <v>42912</v>
      </c>
      <c r="D2124">
        <f>YEAR(AMAZON_FASHION_5__2[[#This Row],[reviewDate]])</f>
        <v>2017</v>
      </c>
      <c r="E2124" s="1" t="str">
        <f>TEXT(AMAZON_FASHION_5__2[[#This Row],[reviewDate]], "mmmm")</f>
        <v>June</v>
      </c>
      <c r="F2124" t="s">
        <v>736</v>
      </c>
      <c r="G2124" t="s">
        <v>1501</v>
      </c>
      <c r="H2124" t="s">
        <v>201</v>
      </c>
      <c r="I2124" t="s">
        <v>524</v>
      </c>
      <c r="J2124" t="s">
        <v>737</v>
      </c>
      <c r="K2124" t="s">
        <v>738</v>
      </c>
      <c r="L2124" t="s">
        <v>17</v>
      </c>
      <c r="M2124">
        <v>1498435200</v>
      </c>
      <c r="N2124" t="s">
        <v>1628</v>
      </c>
      <c r="O2124" t="s">
        <v>1628</v>
      </c>
      <c r="P2124" t="s">
        <v>1628</v>
      </c>
      <c r="Q2124">
        <f>LEN(AMAZON_FASHION_5__2[[#This Row],[reviewText]])</f>
        <v>8</v>
      </c>
      <c r="R2124" t="str">
        <f>IF(AMAZON_FASHION_5__2[[#This Row],[overall]]&gt;=4,"Positive",IF(AMAZON_FASHION_5__2[[#This Row],[overall]]&lt;=2,"Negative","Neutral"))</f>
        <v>Positive</v>
      </c>
      <c r="S21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25" spans="1:19" x14ac:dyDescent="0.25">
      <c r="A2125">
        <v>5</v>
      </c>
      <c r="B2125" t="b">
        <v>1</v>
      </c>
      <c r="C2125" s="1">
        <v>42907</v>
      </c>
      <c r="D2125">
        <f>YEAR(AMAZON_FASHION_5__2[[#This Row],[reviewDate]])</f>
        <v>2017</v>
      </c>
      <c r="E2125" s="1" t="str">
        <f>TEXT(AMAZON_FASHION_5__2[[#This Row],[reviewDate]], "mmmm")</f>
        <v>June</v>
      </c>
      <c r="F2125" t="s">
        <v>739</v>
      </c>
      <c r="G2125" t="s">
        <v>1501</v>
      </c>
      <c r="H2125" t="s">
        <v>210</v>
      </c>
      <c r="I2125" t="s">
        <v>303</v>
      </c>
      <c r="J2125" t="s">
        <v>63</v>
      </c>
      <c r="K2125" t="s">
        <v>740</v>
      </c>
      <c r="L2125" t="s">
        <v>741</v>
      </c>
      <c r="M2125">
        <v>1498003200</v>
      </c>
      <c r="N2125" t="s">
        <v>1628</v>
      </c>
      <c r="O2125" t="s">
        <v>1628</v>
      </c>
      <c r="P2125" t="s">
        <v>1628</v>
      </c>
      <c r="Q2125">
        <f>LEN(AMAZON_FASHION_5__2[[#This Row],[reviewText]])</f>
        <v>141</v>
      </c>
      <c r="R2125" t="str">
        <f>IF(AMAZON_FASHION_5__2[[#This Row],[overall]]&gt;=4,"Positive",IF(AMAZON_FASHION_5__2[[#This Row],[overall]]&lt;=2,"Negative","Neutral"))</f>
        <v>Positive</v>
      </c>
      <c r="S21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26" spans="1:19" x14ac:dyDescent="0.25">
      <c r="A2126">
        <v>5</v>
      </c>
      <c r="B2126" t="b">
        <v>1</v>
      </c>
      <c r="C2126" s="1">
        <v>42906</v>
      </c>
      <c r="D2126">
        <f>YEAR(AMAZON_FASHION_5__2[[#This Row],[reviewDate]])</f>
        <v>2017</v>
      </c>
      <c r="E2126" s="1" t="str">
        <f>TEXT(AMAZON_FASHION_5__2[[#This Row],[reviewDate]], "mmmm")</f>
        <v>June</v>
      </c>
      <c r="F2126" t="s">
        <v>742</v>
      </c>
      <c r="G2126" t="s">
        <v>1501</v>
      </c>
      <c r="H2126" t="s">
        <v>1488</v>
      </c>
      <c r="I2126" t="s">
        <v>336</v>
      </c>
      <c r="J2126" t="s">
        <v>743</v>
      </c>
      <c r="K2126" t="s">
        <v>744</v>
      </c>
      <c r="L2126" t="s">
        <v>745</v>
      </c>
      <c r="M2126">
        <v>1497916800</v>
      </c>
      <c r="N2126" t="s">
        <v>1628</v>
      </c>
      <c r="O2126" t="s">
        <v>1628</v>
      </c>
      <c r="P2126" t="s">
        <v>1628</v>
      </c>
      <c r="Q2126">
        <f>LEN(AMAZON_FASHION_5__2[[#This Row],[reviewText]])</f>
        <v>275</v>
      </c>
      <c r="R2126" t="str">
        <f>IF(AMAZON_FASHION_5__2[[#This Row],[overall]]&gt;=4,"Positive",IF(AMAZON_FASHION_5__2[[#This Row],[overall]]&lt;=2,"Negative","Neutral"))</f>
        <v>Positive</v>
      </c>
      <c r="S21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27" spans="1:19" x14ac:dyDescent="0.25">
      <c r="A2127">
        <v>5</v>
      </c>
      <c r="B2127" t="b">
        <v>1</v>
      </c>
      <c r="C2127" s="1">
        <v>42906</v>
      </c>
      <c r="D2127">
        <f>YEAR(AMAZON_FASHION_5__2[[#This Row],[reviewDate]])</f>
        <v>2017</v>
      </c>
      <c r="E2127" s="1" t="str">
        <f>TEXT(AMAZON_FASHION_5__2[[#This Row],[reviewDate]], "mmmm")</f>
        <v>June</v>
      </c>
      <c r="F2127" t="s">
        <v>746</v>
      </c>
      <c r="G2127" t="s">
        <v>1501</v>
      </c>
      <c r="H2127" t="s">
        <v>201</v>
      </c>
      <c r="I2127" t="s">
        <v>198</v>
      </c>
      <c r="J2127" t="s">
        <v>747</v>
      </c>
      <c r="K2127" t="s">
        <v>748</v>
      </c>
      <c r="L2127" t="s">
        <v>749</v>
      </c>
      <c r="M2127">
        <v>1497916800</v>
      </c>
      <c r="N2127" t="s">
        <v>1628</v>
      </c>
      <c r="O2127" t="s">
        <v>1628</v>
      </c>
      <c r="P2127" t="s">
        <v>1628</v>
      </c>
      <c r="Q2127">
        <f>LEN(AMAZON_FASHION_5__2[[#This Row],[reviewText]])</f>
        <v>69</v>
      </c>
      <c r="R2127" t="str">
        <f>IF(AMAZON_FASHION_5__2[[#This Row],[overall]]&gt;=4,"Positive",IF(AMAZON_FASHION_5__2[[#This Row],[overall]]&lt;=2,"Negative","Neutral"))</f>
        <v>Positive</v>
      </c>
      <c r="S21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28" spans="1:19" x14ac:dyDescent="0.25">
      <c r="A2128">
        <v>4</v>
      </c>
      <c r="B2128" t="b">
        <v>1</v>
      </c>
      <c r="C2128" s="1">
        <v>42905</v>
      </c>
      <c r="D2128">
        <f>YEAR(AMAZON_FASHION_5__2[[#This Row],[reviewDate]])</f>
        <v>2017</v>
      </c>
      <c r="E2128" s="1" t="str">
        <f>TEXT(AMAZON_FASHION_5__2[[#This Row],[reviewDate]], "mmmm")</f>
        <v>June</v>
      </c>
      <c r="F2128" t="s">
        <v>750</v>
      </c>
      <c r="G2128" t="s">
        <v>1501</v>
      </c>
      <c r="H2128" t="s">
        <v>201</v>
      </c>
      <c r="I2128" t="s">
        <v>198</v>
      </c>
      <c r="J2128" t="s">
        <v>751</v>
      </c>
      <c r="K2128" t="s">
        <v>752</v>
      </c>
      <c r="L2128" t="s">
        <v>103</v>
      </c>
      <c r="M2128">
        <v>1497830400</v>
      </c>
      <c r="N2128" t="s">
        <v>1628</v>
      </c>
      <c r="O2128" t="s">
        <v>1628</v>
      </c>
      <c r="P2128" t="s">
        <v>1628</v>
      </c>
      <c r="Q2128">
        <f>LEN(AMAZON_FASHION_5__2[[#This Row],[reviewText]])</f>
        <v>12</v>
      </c>
      <c r="R2128" t="str">
        <f>IF(AMAZON_FASHION_5__2[[#This Row],[overall]]&gt;=4,"Positive",IF(AMAZON_FASHION_5__2[[#This Row],[overall]]&lt;=2,"Negative","Neutral"))</f>
        <v>Positive</v>
      </c>
      <c r="S21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29" spans="1:19" x14ac:dyDescent="0.25">
      <c r="A2129">
        <v>5</v>
      </c>
      <c r="B2129" t="b">
        <v>1</v>
      </c>
      <c r="C2129" s="1">
        <v>42905</v>
      </c>
      <c r="D2129">
        <f>YEAR(AMAZON_FASHION_5__2[[#This Row],[reviewDate]])</f>
        <v>2017</v>
      </c>
      <c r="E2129" s="1" t="str">
        <f>TEXT(AMAZON_FASHION_5__2[[#This Row],[reviewDate]], "mmmm")</f>
        <v>June</v>
      </c>
      <c r="F2129" t="s">
        <v>753</v>
      </c>
      <c r="G2129" t="s">
        <v>1501</v>
      </c>
      <c r="H2129" t="s">
        <v>284</v>
      </c>
      <c r="I2129" t="s">
        <v>198</v>
      </c>
      <c r="J2129" t="s">
        <v>754</v>
      </c>
      <c r="K2129" t="s">
        <v>755</v>
      </c>
      <c r="L2129" t="s">
        <v>756</v>
      </c>
      <c r="M2129">
        <v>1497830400</v>
      </c>
      <c r="N2129" t="s">
        <v>1628</v>
      </c>
      <c r="O2129" t="s">
        <v>1628</v>
      </c>
      <c r="P2129" t="s">
        <v>1628</v>
      </c>
      <c r="Q2129">
        <f>LEN(AMAZON_FASHION_5__2[[#This Row],[reviewText]])</f>
        <v>108</v>
      </c>
      <c r="R2129" t="str">
        <f>IF(AMAZON_FASHION_5__2[[#This Row],[overall]]&gt;=4,"Positive",IF(AMAZON_FASHION_5__2[[#This Row],[overall]]&lt;=2,"Negative","Neutral"))</f>
        <v>Positive</v>
      </c>
      <c r="S21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30" spans="1:19" x14ac:dyDescent="0.25">
      <c r="A2130">
        <v>5</v>
      </c>
      <c r="B2130" t="b">
        <v>1</v>
      </c>
      <c r="C2130" s="1">
        <v>42905</v>
      </c>
      <c r="D2130">
        <f>YEAR(AMAZON_FASHION_5__2[[#This Row],[reviewDate]])</f>
        <v>2017</v>
      </c>
      <c r="E2130" s="1" t="str">
        <f>TEXT(AMAZON_FASHION_5__2[[#This Row],[reviewDate]], "mmmm")</f>
        <v>June</v>
      </c>
      <c r="F2130" t="s">
        <v>757</v>
      </c>
      <c r="G2130" t="s">
        <v>1501</v>
      </c>
      <c r="H2130" t="s">
        <v>210</v>
      </c>
      <c r="I2130" t="s">
        <v>198</v>
      </c>
      <c r="J2130" t="s">
        <v>63</v>
      </c>
      <c r="K2130" t="s">
        <v>758</v>
      </c>
      <c r="L2130" t="s">
        <v>759</v>
      </c>
      <c r="M2130">
        <v>1497830400</v>
      </c>
      <c r="N2130" t="s">
        <v>1628</v>
      </c>
      <c r="O2130" t="s">
        <v>1628</v>
      </c>
      <c r="P2130" t="s">
        <v>1628</v>
      </c>
      <c r="Q2130">
        <f>LEN(AMAZON_FASHION_5__2[[#This Row],[reviewText]])</f>
        <v>76</v>
      </c>
      <c r="R2130" t="str">
        <f>IF(AMAZON_FASHION_5__2[[#This Row],[overall]]&gt;=4,"Positive",IF(AMAZON_FASHION_5__2[[#This Row],[overall]]&lt;=2,"Negative","Neutral"))</f>
        <v>Positive</v>
      </c>
      <c r="S21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31" spans="1:19" x14ac:dyDescent="0.25">
      <c r="A2131">
        <v>3</v>
      </c>
      <c r="B2131" t="b">
        <v>1</v>
      </c>
      <c r="C2131" s="1">
        <v>42902</v>
      </c>
      <c r="D2131">
        <f>YEAR(AMAZON_FASHION_5__2[[#This Row],[reviewDate]])</f>
        <v>2017</v>
      </c>
      <c r="E2131" s="1" t="str">
        <f>TEXT(AMAZON_FASHION_5__2[[#This Row],[reviewDate]], "mmmm")</f>
        <v>June</v>
      </c>
      <c r="F2131" t="s">
        <v>760</v>
      </c>
      <c r="G2131" t="s">
        <v>1501</v>
      </c>
      <c r="H2131" t="s">
        <v>205</v>
      </c>
      <c r="I2131" t="s">
        <v>198</v>
      </c>
      <c r="J2131" t="s">
        <v>761</v>
      </c>
      <c r="K2131" t="s">
        <v>762</v>
      </c>
      <c r="L2131" t="s">
        <v>763</v>
      </c>
      <c r="M2131">
        <v>1497571200</v>
      </c>
      <c r="N2131" t="s">
        <v>1628</v>
      </c>
      <c r="O2131" t="s">
        <v>1628</v>
      </c>
      <c r="P2131" t="s">
        <v>1628</v>
      </c>
      <c r="Q2131">
        <f>LEN(AMAZON_FASHION_5__2[[#This Row],[reviewText]])</f>
        <v>468</v>
      </c>
      <c r="R2131" t="str">
        <f>IF(AMAZON_FASHION_5__2[[#This Row],[overall]]&gt;=4,"Positive",IF(AMAZON_FASHION_5__2[[#This Row],[overall]]&lt;=2,"Negative","Neutral"))</f>
        <v>Neutral</v>
      </c>
      <c r="S21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32" spans="1:19" x14ac:dyDescent="0.25">
      <c r="A2132">
        <v>5</v>
      </c>
      <c r="B2132" t="b">
        <v>1</v>
      </c>
      <c r="C2132" s="1">
        <v>42901</v>
      </c>
      <c r="D2132">
        <f>YEAR(AMAZON_FASHION_5__2[[#This Row],[reviewDate]])</f>
        <v>2017</v>
      </c>
      <c r="E2132" s="1" t="str">
        <f>TEXT(AMAZON_FASHION_5__2[[#This Row],[reviewDate]], "mmmm")</f>
        <v>June</v>
      </c>
      <c r="F2132" t="s">
        <v>764</v>
      </c>
      <c r="G2132" t="s">
        <v>1501</v>
      </c>
      <c r="H2132" t="s">
        <v>235</v>
      </c>
      <c r="I2132" t="s">
        <v>198</v>
      </c>
      <c r="J2132" t="s">
        <v>765</v>
      </c>
      <c r="K2132" t="s">
        <v>766</v>
      </c>
      <c r="L2132" t="s">
        <v>767</v>
      </c>
      <c r="M2132">
        <v>1497484800</v>
      </c>
      <c r="N2132" t="s">
        <v>1628</v>
      </c>
      <c r="O2132" t="s">
        <v>1628</v>
      </c>
      <c r="P2132" t="s">
        <v>1628</v>
      </c>
      <c r="Q2132">
        <f>LEN(AMAZON_FASHION_5__2[[#This Row],[reviewText]])</f>
        <v>125</v>
      </c>
      <c r="R2132" t="str">
        <f>IF(AMAZON_FASHION_5__2[[#This Row],[overall]]&gt;=4,"Positive",IF(AMAZON_FASHION_5__2[[#This Row],[overall]]&lt;=2,"Negative","Neutral"))</f>
        <v>Positive</v>
      </c>
      <c r="S21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33" spans="1:19" x14ac:dyDescent="0.25">
      <c r="A2133">
        <v>5</v>
      </c>
      <c r="B2133" t="b">
        <v>1</v>
      </c>
      <c r="C2133" s="1">
        <v>42901</v>
      </c>
      <c r="D2133">
        <f>YEAR(AMAZON_FASHION_5__2[[#This Row],[reviewDate]])</f>
        <v>2017</v>
      </c>
      <c r="E2133" s="1" t="str">
        <f>TEXT(AMAZON_FASHION_5__2[[#This Row],[reviewDate]], "mmmm")</f>
        <v>June</v>
      </c>
      <c r="F2133" t="s">
        <v>768</v>
      </c>
      <c r="G2133" t="s">
        <v>1501</v>
      </c>
      <c r="H2133" t="s">
        <v>210</v>
      </c>
      <c r="I2133" t="s">
        <v>419</v>
      </c>
      <c r="J2133" t="s">
        <v>769</v>
      </c>
      <c r="K2133" t="s">
        <v>770</v>
      </c>
      <c r="L2133" t="s">
        <v>17</v>
      </c>
      <c r="M2133">
        <v>1497484800</v>
      </c>
      <c r="N2133" t="s">
        <v>1628</v>
      </c>
      <c r="O2133" t="s">
        <v>1628</v>
      </c>
      <c r="P2133" t="s">
        <v>1628</v>
      </c>
      <c r="Q2133">
        <f>LEN(AMAZON_FASHION_5__2[[#This Row],[reviewText]])</f>
        <v>56</v>
      </c>
      <c r="R2133" t="str">
        <f>IF(AMAZON_FASHION_5__2[[#This Row],[overall]]&gt;=4,"Positive",IF(AMAZON_FASHION_5__2[[#This Row],[overall]]&lt;=2,"Negative","Neutral"))</f>
        <v>Positive</v>
      </c>
      <c r="S21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34" spans="1:19" x14ac:dyDescent="0.25">
      <c r="A2134">
        <v>5</v>
      </c>
      <c r="B2134" t="b">
        <v>1</v>
      </c>
      <c r="C2134" s="1">
        <v>42900</v>
      </c>
      <c r="D2134">
        <f>YEAR(AMAZON_FASHION_5__2[[#This Row],[reviewDate]])</f>
        <v>2017</v>
      </c>
      <c r="E2134" s="1" t="str">
        <f>TEXT(AMAZON_FASHION_5__2[[#This Row],[reviewDate]], "mmmm")</f>
        <v>June</v>
      </c>
      <c r="F2134" t="s">
        <v>771</v>
      </c>
      <c r="G2134" t="s">
        <v>1501</v>
      </c>
      <c r="H2134" t="s">
        <v>201</v>
      </c>
      <c r="I2134" t="s">
        <v>211</v>
      </c>
      <c r="J2134" t="s">
        <v>63</v>
      </c>
      <c r="K2134" t="s">
        <v>772</v>
      </c>
      <c r="L2134" t="s">
        <v>17</v>
      </c>
      <c r="M2134">
        <v>1497398400</v>
      </c>
      <c r="N2134" t="s">
        <v>1628</v>
      </c>
      <c r="O2134" t="s">
        <v>1628</v>
      </c>
      <c r="P2134" t="s">
        <v>1628</v>
      </c>
      <c r="Q2134">
        <f>LEN(AMAZON_FASHION_5__2[[#This Row],[reviewText]])</f>
        <v>21</v>
      </c>
      <c r="R2134" t="str">
        <f>IF(AMAZON_FASHION_5__2[[#This Row],[overall]]&gt;=4,"Positive",IF(AMAZON_FASHION_5__2[[#This Row],[overall]]&lt;=2,"Negative","Neutral"))</f>
        <v>Positive</v>
      </c>
      <c r="S21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35" spans="1:19" x14ac:dyDescent="0.25">
      <c r="A2135">
        <v>5</v>
      </c>
      <c r="B2135" t="b">
        <v>1</v>
      </c>
      <c r="C2135" s="1">
        <v>42899</v>
      </c>
      <c r="D2135">
        <f>YEAR(AMAZON_FASHION_5__2[[#This Row],[reviewDate]])</f>
        <v>2017</v>
      </c>
      <c r="E2135" s="1" t="str">
        <f>TEXT(AMAZON_FASHION_5__2[[#This Row],[reviewDate]], "mmmm")</f>
        <v>June</v>
      </c>
      <c r="F2135" t="s">
        <v>773</v>
      </c>
      <c r="G2135" t="s">
        <v>1501</v>
      </c>
      <c r="H2135" t="s">
        <v>235</v>
      </c>
      <c r="I2135" t="s">
        <v>493</v>
      </c>
      <c r="J2135" t="s">
        <v>774</v>
      </c>
      <c r="K2135" t="s">
        <v>775</v>
      </c>
      <c r="L2135" t="s">
        <v>17</v>
      </c>
      <c r="M2135">
        <v>1497312000</v>
      </c>
      <c r="N2135" t="s">
        <v>1628</v>
      </c>
      <c r="O2135" t="s">
        <v>1628</v>
      </c>
      <c r="P2135" t="s">
        <v>1628</v>
      </c>
      <c r="Q2135">
        <f>LEN(AMAZON_FASHION_5__2[[#This Row],[reviewText]])</f>
        <v>64</v>
      </c>
      <c r="R2135" t="str">
        <f>IF(AMAZON_FASHION_5__2[[#This Row],[overall]]&gt;=4,"Positive",IF(AMAZON_FASHION_5__2[[#This Row],[overall]]&lt;=2,"Negative","Neutral"))</f>
        <v>Positive</v>
      </c>
      <c r="S21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36" spans="1:19" x14ac:dyDescent="0.25">
      <c r="A2136">
        <v>5</v>
      </c>
      <c r="B2136" t="b">
        <v>1</v>
      </c>
      <c r="C2136" s="1">
        <v>42894</v>
      </c>
      <c r="D2136">
        <f>YEAR(AMAZON_FASHION_5__2[[#This Row],[reviewDate]])</f>
        <v>2017</v>
      </c>
      <c r="E2136" s="1" t="str">
        <f>TEXT(AMAZON_FASHION_5__2[[#This Row],[reviewDate]], "mmmm")</f>
        <v>June</v>
      </c>
      <c r="F2136" t="s">
        <v>776</v>
      </c>
      <c r="G2136" t="s">
        <v>1501</v>
      </c>
      <c r="H2136" t="s">
        <v>235</v>
      </c>
      <c r="I2136" t="s">
        <v>303</v>
      </c>
      <c r="J2136" t="s">
        <v>777</v>
      </c>
      <c r="K2136" t="s">
        <v>778</v>
      </c>
      <c r="L2136" t="s">
        <v>17</v>
      </c>
      <c r="M2136">
        <v>1496880000</v>
      </c>
      <c r="N2136" t="s">
        <v>1628</v>
      </c>
      <c r="O2136" t="s">
        <v>1628</v>
      </c>
      <c r="P2136" t="s">
        <v>1628</v>
      </c>
      <c r="Q2136">
        <f>LEN(AMAZON_FASHION_5__2[[#This Row],[reviewText]])</f>
        <v>27</v>
      </c>
      <c r="R2136" t="str">
        <f>IF(AMAZON_FASHION_5__2[[#This Row],[overall]]&gt;=4,"Positive",IF(AMAZON_FASHION_5__2[[#This Row],[overall]]&lt;=2,"Negative","Neutral"))</f>
        <v>Positive</v>
      </c>
      <c r="S21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37" spans="1:19" x14ac:dyDescent="0.25">
      <c r="A2137">
        <v>1</v>
      </c>
      <c r="B2137" t="b">
        <v>1</v>
      </c>
      <c r="C2137" s="1">
        <v>42891</v>
      </c>
      <c r="D2137">
        <f>YEAR(AMAZON_FASHION_5__2[[#This Row],[reviewDate]])</f>
        <v>2017</v>
      </c>
      <c r="E2137" s="1" t="str">
        <f>TEXT(AMAZON_FASHION_5__2[[#This Row],[reviewDate]], "mmmm")</f>
        <v>June</v>
      </c>
      <c r="F2137" t="s">
        <v>779</v>
      </c>
      <c r="G2137" t="s">
        <v>1501</v>
      </c>
      <c r="H2137" t="s">
        <v>1477</v>
      </c>
      <c r="I2137" t="s">
        <v>336</v>
      </c>
      <c r="J2137" t="s">
        <v>780</v>
      </c>
      <c r="K2137" t="s">
        <v>781</v>
      </c>
      <c r="L2137" t="s">
        <v>782</v>
      </c>
      <c r="M2137">
        <v>1496620800</v>
      </c>
      <c r="N2137" t="s">
        <v>1628</v>
      </c>
      <c r="O2137" t="s">
        <v>1628</v>
      </c>
      <c r="P2137" t="s">
        <v>1628</v>
      </c>
      <c r="Q2137">
        <f>LEN(AMAZON_FASHION_5__2[[#This Row],[reviewText]])</f>
        <v>75</v>
      </c>
      <c r="R2137" t="str">
        <f>IF(AMAZON_FASHION_5__2[[#This Row],[overall]]&gt;=4,"Positive",IF(AMAZON_FASHION_5__2[[#This Row],[overall]]&lt;=2,"Negative","Neutral"))</f>
        <v>Negative</v>
      </c>
      <c r="S21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38" spans="1:19" x14ac:dyDescent="0.25">
      <c r="A2138">
        <v>5</v>
      </c>
      <c r="B2138" t="b">
        <v>1</v>
      </c>
      <c r="C2138" s="1">
        <v>42888</v>
      </c>
      <c r="D2138">
        <f>YEAR(AMAZON_FASHION_5__2[[#This Row],[reviewDate]])</f>
        <v>2017</v>
      </c>
      <c r="E2138" s="1" t="str">
        <f>TEXT(AMAZON_FASHION_5__2[[#This Row],[reviewDate]], "mmmm")</f>
        <v>June</v>
      </c>
      <c r="F2138" t="s">
        <v>783</v>
      </c>
      <c r="G2138" t="s">
        <v>1501</v>
      </c>
      <c r="H2138" t="s">
        <v>230</v>
      </c>
      <c r="I2138" t="s">
        <v>198</v>
      </c>
      <c r="J2138" t="s">
        <v>784</v>
      </c>
      <c r="K2138" t="s">
        <v>785</v>
      </c>
      <c r="L2138" t="s">
        <v>17</v>
      </c>
      <c r="M2138">
        <v>1496361600</v>
      </c>
      <c r="N2138" t="s">
        <v>1628</v>
      </c>
      <c r="O2138" t="s">
        <v>1628</v>
      </c>
      <c r="P2138" t="s">
        <v>1628</v>
      </c>
      <c r="Q2138">
        <f>LEN(AMAZON_FASHION_5__2[[#This Row],[reviewText]])</f>
        <v>91</v>
      </c>
      <c r="R2138" t="str">
        <f>IF(AMAZON_FASHION_5__2[[#This Row],[overall]]&gt;=4,"Positive",IF(AMAZON_FASHION_5__2[[#This Row],[overall]]&lt;=2,"Negative","Neutral"))</f>
        <v>Positive</v>
      </c>
      <c r="S21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39" spans="1:19" x14ac:dyDescent="0.25">
      <c r="A2139">
        <v>5</v>
      </c>
      <c r="B2139" t="b">
        <v>1</v>
      </c>
      <c r="C2139" s="1">
        <v>42885</v>
      </c>
      <c r="D2139">
        <f>YEAR(AMAZON_FASHION_5__2[[#This Row],[reviewDate]])</f>
        <v>2017</v>
      </c>
      <c r="E2139" s="1" t="str">
        <f>TEXT(AMAZON_FASHION_5__2[[#This Row],[reviewDate]], "mmmm")</f>
        <v>May</v>
      </c>
      <c r="F2139" t="s">
        <v>786</v>
      </c>
      <c r="G2139" t="s">
        <v>1501</v>
      </c>
      <c r="H2139" t="s">
        <v>197</v>
      </c>
      <c r="I2139" t="s">
        <v>198</v>
      </c>
      <c r="J2139" t="s">
        <v>787</v>
      </c>
      <c r="K2139" t="s">
        <v>543</v>
      </c>
      <c r="L2139" t="s">
        <v>17</v>
      </c>
      <c r="M2139">
        <v>1496102400</v>
      </c>
      <c r="N2139" t="s">
        <v>1628</v>
      </c>
      <c r="O2139" t="s">
        <v>1628</v>
      </c>
      <c r="P2139" t="s">
        <v>1628</v>
      </c>
      <c r="Q2139">
        <f>LEN(AMAZON_FASHION_5__2[[#This Row],[reviewText]])</f>
        <v>11</v>
      </c>
      <c r="R2139" t="str">
        <f>IF(AMAZON_FASHION_5__2[[#This Row],[overall]]&gt;=4,"Positive",IF(AMAZON_FASHION_5__2[[#This Row],[overall]]&lt;=2,"Negative","Neutral"))</f>
        <v>Positive</v>
      </c>
      <c r="S21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40" spans="1:19" x14ac:dyDescent="0.25">
      <c r="A2140">
        <v>5</v>
      </c>
      <c r="B2140" t="b">
        <v>1</v>
      </c>
      <c r="C2140" s="1">
        <v>42885</v>
      </c>
      <c r="D2140">
        <f>YEAR(AMAZON_FASHION_5__2[[#This Row],[reviewDate]])</f>
        <v>2017</v>
      </c>
      <c r="E2140" s="1" t="str">
        <f>TEXT(AMAZON_FASHION_5__2[[#This Row],[reviewDate]], "mmmm")</f>
        <v>May</v>
      </c>
      <c r="F2140" t="s">
        <v>788</v>
      </c>
      <c r="G2140" t="s">
        <v>1501</v>
      </c>
      <c r="H2140" t="s">
        <v>477</v>
      </c>
      <c r="I2140" t="s">
        <v>344</v>
      </c>
      <c r="J2140" t="s">
        <v>789</v>
      </c>
      <c r="K2140" t="s">
        <v>790</v>
      </c>
      <c r="L2140" t="s">
        <v>791</v>
      </c>
      <c r="M2140">
        <v>1496102400</v>
      </c>
      <c r="N2140" t="s">
        <v>1628</v>
      </c>
      <c r="O2140" t="s">
        <v>1628</v>
      </c>
      <c r="P2140" t="s">
        <v>1628</v>
      </c>
      <c r="Q2140">
        <f>LEN(AMAZON_FASHION_5__2[[#This Row],[reviewText]])</f>
        <v>61</v>
      </c>
      <c r="R2140" t="str">
        <f>IF(AMAZON_FASHION_5__2[[#This Row],[overall]]&gt;=4,"Positive",IF(AMAZON_FASHION_5__2[[#This Row],[overall]]&lt;=2,"Negative","Neutral"))</f>
        <v>Positive</v>
      </c>
      <c r="S21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41" spans="1:19" x14ac:dyDescent="0.25">
      <c r="A2141">
        <v>4</v>
      </c>
      <c r="B2141" t="b">
        <v>1</v>
      </c>
      <c r="C2141" s="1">
        <v>42884</v>
      </c>
      <c r="D2141">
        <f>YEAR(AMAZON_FASHION_5__2[[#This Row],[reviewDate]])</f>
        <v>2017</v>
      </c>
      <c r="E2141" s="1" t="str">
        <f>TEXT(AMAZON_FASHION_5__2[[#This Row],[reviewDate]], "mmmm")</f>
        <v>May</v>
      </c>
      <c r="F2141" t="s">
        <v>792</v>
      </c>
      <c r="G2141" t="s">
        <v>1501</v>
      </c>
      <c r="H2141" t="s">
        <v>1488</v>
      </c>
      <c r="I2141" t="s">
        <v>336</v>
      </c>
      <c r="J2141" t="s">
        <v>793</v>
      </c>
      <c r="K2141" t="s">
        <v>794</v>
      </c>
      <c r="L2141" t="s">
        <v>795</v>
      </c>
      <c r="M2141">
        <v>1496016000</v>
      </c>
      <c r="N2141" t="s">
        <v>1628</v>
      </c>
      <c r="O2141" t="s">
        <v>1628</v>
      </c>
      <c r="P2141" t="s">
        <v>1628</v>
      </c>
      <c r="Q2141">
        <f>LEN(AMAZON_FASHION_5__2[[#This Row],[reviewText]])</f>
        <v>65</v>
      </c>
      <c r="R2141" t="str">
        <f>IF(AMAZON_FASHION_5__2[[#This Row],[overall]]&gt;=4,"Positive",IF(AMAZON_FASHION_5__2[[#This Row],[overall]]&lt;=2,"Negative","Neutral"))</f>
        <v>Positive</v>
      </c>
      <c r="S21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42" spans="1:19" x14ac:dyDescent="0.25">
      <c r="A2142">
        <v>3</v>
      </c>
      <c r="B2142" t="b">
        <v>1</v>
      </c>
      <c r="C2142" s="1">
        <v>42880</v>
      </c>
      <c r="D2142">
        <f>YEAR(AMAZON_FASHION_5__2[[#This Row],[reviewDate]])</f>
        <v>2017</v>
      </c>
      <c r="E2142" s="1" t="str">
        <f>TEXT(AMAZON_FASHION_5__2[[#This Row],[reviewDate]], "mmmm")</f>
        <v>May</v>
      </c>
      <c r="F2142" t="s">
        <v>796</v>
      </c>
      <c r="G2142" t="s">
        <v>1501</v>
      </c>
      <c r="H2142" t="s">
        <v>477</v>
      </c>
      <c r="I2142" t="s">
        <v>198</v>
      </c>
      <c r="J2142" t="s">
        <v>797</v>
      </c>
      <c r="K2142" t="s">
        <v>798</v>
      </c>
      <c r="L2142" t="s">
        <v>799</v>
      </c>
      <c r="M2142">
        <v>1495670400</v>
      </c>
      <c r="N2142" t="s">
        <v>1628</v>
      </c>
      <c r="O2142" t="s">
        <v>1628</v>
      </c>
      <c r="P2142" t="s">
        <v>1628</v>
      </c>
      <c r="Q2142">
        <f>LEN(AMAZON_FASHION_5__2[[#This Row],[reviewText]])</f>
        <v>40</v>
      </c>
      <c r="R2142" t="str">
        <f>IF(AMAZON_FASHION_5__2[[#This Row],[overall]]&gt;=4,"Positive",IF(AMAZON_FASHION_5__2[[#This Row],[overall]]&lt;=2,"Negative","Neutral"))</f>
        <v>Neutral</v>
      </c>
      <c r="S21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43" spans="1:19" x14ac:dyDescent="0.25">
      <c r="A2143">
        <v>5</v>
      </c>
      <c r="B2143" t="b">
        <v>1</v>
      </c>
      <c r="C2143" s="1">
        <v>42877</v>
      </c>
      <c r="D2143">
        <f>YEAR(AMAZON_FASHION_5__2[[#This Row],[reviewDate]])</f>
        <v>2017</v>
      </c>
      <c r="E2143" s="1" t="str">
        <f>TEXT(AMAZON_FASHION_5__2[[#This Row],[reviewDate]], "mmmm")</f>
        <v>May</v>
      </c>
      <c r="F2143" t="s">
        <v>800</v>
      </c>
      <c r="G2143" t="s">
        <v>1501</v>
      </c>
      <c r="H2143" t="s">
        <v>230</v>
      </c>
      <c r="I2143" t="s">
        <v>198</v>
      </c>
      <c r="J2143" t="s">
        <v>801</v>
      </c>
      <c r="K2143" t="s">
        <v>802</v>
      </c>
      <c r="L2143" t="s">
        <v>803</v>
      </c>
      <c r="M2143">
        <v>1495411200</v>
      </c>
      <c r="N2143" t="s">
        <v>1628</v>
      </c>
      <c r="O2143" t="s">
        <v>1628</v>
      </c>
      <c r="P2143" t="s">
        <v>1628</v>
      </c>
      <c r="Q2143">
        <f>LEN(AMAZON_FASHION_5__2[[#This Row],[reviewText]])</f>
        <v>45</v>
      </c>
      <c r="R2143" t="str">
        <f>IF(AMAZON_FASHION_5__2[[#This Row],[overall]]&gt;=4,"Positive",IF(AMAZON_FASHION_5__2[[#This Row],[overall]]&lt;=2,"Negative","Neutral"))</f>
        <v>Positive</v>
      </c>
      <c r="S21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44" spans="1:19" x14ac:dyDescent="0.25">
      <c r="A2144">
        <v>5</v>
      </c>
      <c r="B2144" t="b">
        <v>1</v>
      </c>
      <c r="C2144" s="1">
        <v>42877</v>
      </c>
      <c r="D2144">
        <f>YEAR(AMAZON_FASHION_5__2[[#This Row],[reviewDate]])</f>
        <v>2017</v>
      </c>
      <c r="E2144" s="1" t="str">
        <f>TEXT(AMAZON_FASHION_5__2[[#This Row],[reviewDate]], "mmmm")</f>
        <v>May</v>
      </c>
      <c r="F2144" t="s">
        <v>804</v>
      </c>
      <c r="G2144" t="s">
        <v>1501</v>
      </c>
      <c r="H2144" t="s">
        <v>210</v>
      </c>
      <c r="I2144" t="s">
        <v>198</v>
      </c>
      <c r="J2144" t="s">
        <v>805</v>
      </c>
      <c r="K2144" t="s">
        <v>806</v>
      </c>
      <c r="L2144" t="s">
        <v>807</v>
      </c>
      <c r="M2144">
        <v>1495411200</v>
      </c>
      <c r="N2144" t="s">
        <v>1628</v>
      </c>
      <c r="O2144" t="s">
        <v>1628</v>
      </c>
      <c r="P2144" t="s">
        <v>1628</v>
      </c>
      <c r="Q2144">
        <f>LEN(AMAZON_FASHION_5__2[[#This Row],[reviewText]])</f>
        <v>86</v>
      </c>
      <c r="R2144" t="str">
        <f>IF(AMAZON_FASHION_5__2[[#This Row],[overall]]&gt;=4,"Positive",IF(AMAZON_FASHION_5__2[[#This Row],[overall]]&lt;=2,"Negative","Neutral"))</f>
        <v>Positive</v>
      </c>
      <c r="S21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45" spans="1:19" x14ac:dyDescent="0.25">
      <c r="A2145">
        <v>5</v>
      </c>
      <c r="B2145" t="b">
        <v>0</v>
      </c>
      <c r="C2145" s="1">
        <v>42874</v>
      </c>
      <c r="D2145">
        <f>YEAR(AMAZON_FASHION_5__2[[#This Row],[reviewDate]])</f>
        <v>2017</v>
      </c>
      <c r="E2145" s="1" t="str">
        <f>TEXT(AMAZON_FASHION_5__2[[#This Row],[reviewDate]], "mmmm")</f>
        <v>May</v>
      </c>
      <c r="F2145" t="s">
        <v>808</v>
      </c>
      <c r="G2145" t="s">
        <v>1501</v>
      </c>
      <c r="H2145" t="s">
        <v>1489</v>
      </c>
      <c r="I2145" t="s">
        <v>336</v>
      </c>
      <c r="J2145" t="s">
        <v>810</v>
      </c>
      <c r="K2145" t="s">
        <v>811</v>
      </c>
      <c r="L2145" t="s">
        <v>812</v>
      </c>
      <c r="M2145">
        <v>1495152000</v>
      </c>
      <c r="N2145" t="s">
        <v>1628</v>
      </c>
      <c r="O2145" t="s">
        <v>1628</v>
      </c>
      <c r="P2145">
        <v>2</v>
      </c>
      <c r="Q2145">
        <f>LEN(AMAZON_FASHION_5__2[[#This Row],[reviewText]])</f>
        <v>109</v>
      </c>
      <c r="R2145" t="str">
        <f>IF(AMAZON_FASHION_5__2[[#This Row],[overall]]&gt;=4,"Positive",IF(AMAZON_FASHION_5__2[[#This Row],[overall]]&lt;=2,"Negative","Neutral"))</f>
        <v>Positive</v>
      </c>
      <c r="S21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46" spans="1:19" x14ac:dyDescent="0.25">
      <c r="A2146">
        <v>5</v>
      </c>
      <c r="B2146" t="b">
        <v>0</v>
      </c>
      <c r="C2146" s="1">
        <v>42874</v>
      </c>
      <c r="D2146">
        <f>YEAR(AMAZON_FASHION_5__2[[#This Row],[reviewDate]])</f>
        <v>2017</v>
      </c>
      <c r="E2146" s="1" t="str">
        <f>TEXT(AMAZON_FASHION_5__2[[#This Row],[reviewDate]], "mmmm")</f>
        <v>May</v>
      </c>
      <c r="F2146" t="s">
        <v>808</v>
      </c>
      <c r="G2146" t="s">
        <v>1501</v>
      </c>
      <c r="H2146" t="s">
        <v>477</v>
      </c>
      <c r="I2146" t="s">
        <v>396</v>
      </c>
      <c r="J2146" t="s">
        <v>810</v>
      </c>
      <c r="K2146" t="s">
        <v>813</v>
      </c>
      <c r="L2146" t="s">
        <v>814</v>
      </c>
      <c r="M2146">
        <v>1495152000</v>
      </c>
      <c r="N2146" t="s">
        <v>1628</v>
      </c>
      <c r="O2146" t="s">
        <v>1628</v>
      </c>
      <c r="P2146">
        <v>4</v>
      </c>
      <c r="Q2146">
        <f>LEN(AMAZON_FASHION_5__2[[#This Row],[reviewText]])</f>
        <v>274</v>
      </c>
      <c r="R2146" t="str">
        <f>IF(AMAZON_FASHION_5__2[[#This Row],[overall]]&gt;=4,"Positive",IF(AMAZON_FASHION_5__2[[#This Row],[overall]]&lt;=2,"Negative","Neutral"))</f>
        <v>Positive</v>
      </c>
      <c r="S21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47" spans="1:19" x14ac:dyDescent="0.25">
      <c r="A2147">
        <v>4</v>
      </c>
      <c r="B2147" t="b">
        <v>1</v>
      </c>
      <c r="C2147" s="1">
        <v>42873</v>
      </c>
      <c r="D2147">
        <f>YEAR(AMAZON_FASHION_5__2[[#This Row],[reviewDate]])</f>
        <v>2017</v>
      </c>
      <c r="E2147" s="1" t="str">
        <f>TEXT(AMAZON_FASHION_5__2[[#This Row],[reviewDate]], "mmmm")</f>
        <v>May</v>
      </c>
      <c r="F2147" t="s">
        <v>815</v>
      </c>
      <c r="G2147" t="s">
        <v>1501</v>
      </c>
      <c r="H2147" t="s">
        <v>201</v>
      </c>
      <c r="I2147" t="s">
        <v>198</v>
      </c>
      <c r="J2147" t="s">
        <v>816</v>
      </c>
      <c r="K2147" t="s">
        <v>817</v>
      </c>
      <c r="L2147" t="s">
        <v>818</v>
      </c>
      <c r="M2147">
        <v>1495065600</v>
      </c>
      <c r="N2147" t="s">
        <v>1628</v>
      </c>
      <c r="O2147" t="s">
        <v>1628</v>
      </c>
      <c r="P2147" t="s">
        <v>1628</v>
      </c>
      <c r="Q2147">
        <f>LEN(AMAZON_FASHION_5__2[[#This Row],[reviewText]])</f>
        <v>20</v>
      </c>
      <c r="R2147" t="str">
        <f>IF(AMAZON_FASHION_5__2[[#This Row],[overall]]&gt;=4,"Positive",IF(AMAZON_FASHION_5__2[[#This Row],[overall]]&lt;=2,"Negative","Neutral"))</f>
        <v>Positive</v>
      </c>
      <c r="S21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48" spans="1:19" x14ac:dyDescent="0.25">
      <c r="A2148">
        <v>4</v>
      </c>
      <c r="B2148" t="b">
        <v>1</v>
      </c>
      <c r="C2148" s="1">
        <v>42870</v>
      </c>
      <c r="D2148">
        <f>YEAR(AMAZON_FASHION_5__2[[#This Row],[reviewDate]])</f>
        <v>2017</v>
      </c>
      <c r="E2148" s="1" t="str">
        <f>TEXT(AMAZON_FASHION_5__2[[#This Row],[reviewDate]], "mmmm")</f>
        <v>May</v>
      </c>
      <c r="F2148" t="s">
        <v>819</v>
      </c>
      <c r="G2148" t="s">
        <v>1501</v>
      </c>
      <c r="H2148" t="s">
        <v>201</v>
      </c>
      <c r="I2148" t="s">
        <v>524</v>
      </c>
      <c r="J2148" t="s">
        <v>820</v>
      </c>
      <c r="K2148" t="s">
        <v>821</v>
      </c>
      <c r="L2148" t="s">
        <v>103</v>
      </c>
      <c r="M2148">
        <v>1494806400</v>
      </c>
      <c r="N2148" t="s">
        <v>1628</v>
      </c>
      <c r="O2148" t="s">
        <v>1628</v>
      </c>
      <c r="P2148" t="s">
        <v>1628</v>
      </c>
      <c r="Q2148">
        <f>LEN(AMAZON_FASHION_5__2[[#This Row],[reviewText]])</f>
        <v>40</v>
      </c>
      <c r="R2148" t="str">
        <f>IF(AMAZON_FASHION_5__2[[#This Row],[overall]]&gt;=4,"Positive",IF(AMAZON_FASHION_5__2[[#This Row],[overall]]&lt;=2,"Negative","Neutral"))</f>
        <v>Positive</v>
      </c>
      <c r="S21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49" spans="1:19" x14ac:dyDescent="0.25">
      <c r="A2149">
        <v>3</v>
      </c>
      <c r="B2149" t="b">
        <v>1</v>
      </c>
      <c r="C2149" s="1">
        <v>42865</v>
      </c>
      <c r="D2149">
        <f>YEAR(AMAZON_FASHION_5__2[[#This Row],[reviewDate]])</f>
        <v>2017</v>
      </c>
      <c r="E2149" s="1" t="str">
        <f>TEXT(AMAZON_FASHION_5__2[[#This Row],[reviewDate]], "mmmm")</f>
        <v>May</v>
      </c>
      <c r="F2149" t="s">
        <v>822</v>
      </c>
      <c r="G2149" t="s">
        <v>1501</v>
      </c>
      <c r="H2149" t="s">
        <v>210</v>
      </c>
      <c r="I2149" t="s">
        <v>198</v>
      </c>
      <c r="J2149" t="s">
        <v>823</v>
      </c>
      <c r="K2149" t="s">
        <v>824</v>
      </c>
      <c r="L2149" t="s">
        <v>825</v>
      </c>
      <c r="M2149">
        <v>1494374400</v>
      </c>
      <c r="N2149" t="s">
        <v>1628</v>
      </c>
      <c r="O2149" t="s">
        <v>1628</v>
      </c>
      <c r="P2149" t="s">
        <v>1628</v>
      </c>
      <c r="Q2149">
        <f>LEN(AMAZON_FASHION_5__2[[#This Row],[reviewText]])</f>
        <v>170</v>
      </c>
      <c r="R2149" t="str">
        <f>IF(AMAZON_FASHION_5__2[[#This Row],[overall]]&gt;=4,"Positive",IF(AMAZON_FASHION_5__2[[#This Row],[overall]]&lt;=2,"Negative","Neutral"))</f>
        <v>Neutral</v>
      </c>
      <c r="S21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50" spans="1:19" x14ac:dyDescent="0.25">
      <c r="A2150">
        <v>5</v>
      </c>
      <c r="B2150" t="b">
        <v>1</v>
      </c>
      <c r="C2150" s="1">
        <v>42862</v>
      </c>
      <c r="D2150">
        <f>YEAR(AMAZON_FASHION_5__2[[#This Row],[reviewDate]])</f>
        <v>2017</v>
      </c>
      <c r="E2150" s="1" t="str">
        <f>TEXT(AMAZON_FASHION_5__2[[#This Row],[reviewDate]], "mmmm")</f>
        <v>May</v>
      </c>
      <c r="F2150" t="s">
        <v>826</v>
      </c>
      <c r="G2150" t="s">
        <v>1501</v>
      </c>
      <c r="H2150" t="s">
        <v>320</v>
      </c>
      <c r="I2150" t="s">
        <v>827</v>
      </c>
      <c r="J2150" t="s">
        <v>828</v>
      </c>
      <c r="K2150" t="s">
        <v>829</v>
      </c>
      <c r="L2150" t="s">
        <v>830</v>
      </c>
      <c r="M2150">
        <v>1494115200</v>
      </c>
      <c r="N2150" t="s">
        <v>1628</v>
      </c>
      <c r="O2150" t="s">
        <v>1628</v>
      </c>
      <c r="P2150" t="s">
        <v>1628</v>
      </c>
      <c r="Q2150">
        <f>LEN(AMAZON_FASHION_5__2[[#This Row],[reviewText]])</f>
        <v>193</v>
      </c>
      <c r="R2150" t="str">
        <f>IF(AMAZON_FASHION_5__2[[#This Row],[overall]]&gt;=4,"Positive",IF(AMAZON_FASHION_5__2[[#This Row],[overall]]&lt;=2,"Negative","Neutral"))</f>
        <v>Positive</v>
      </c>
      <c r="S21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51" spans="1:19" x14ac:dyDescent="0.25">
      <c r="A2151">
        <v>5</v>
      </c>
      <c r="B2151" t="b">
        <v>1</v>
      </c>
      <c r="C2151" s="1">
        <v>42861</v>
      </c>
      <c r="D2151">
        <f>YEAR(AMAZON_FASHION_5__2[[#This Row],[reviewDate]])</f>
        <v>2017</v>
      </c>
      <c r="E2151" s="1" t="str">
        <f>TEXT(AMAZON_FASHION_5__2[[#This Row],[reviewDate]], "mmmm")</f>
        <v>May</v>
      </c>
      <c r="F2151" t="s">
        <v>831</v>
      </c>
      <c r="G2151" t="s">
        <v>1501</v>
      </c>
      <c r="H2151" t="s">
        <v>717</v>
      </c>
      <c r="I2151" t="s">
        <v>336</v>
      </c>
      <c r="J2151" t="s">
        <v>832</v>
      </c>
      <c r="K2151" t="s">
        <v>833</v>
      </c>
      <c r="L2151" t="s">
        <v>834</v>
      </c>
      <c r="M2151">
        <v>1494028800</v>
      </c>
      <c r="N2151" t="s">
        <v>1628</v>
      </c>
      <c r="O2151" t="s">
        <v>1628</v>
      </c>
      <c r="P2151" t="s">
        <v>1628</v>
      </c>
      <c r="Q2151">
        <f>LEN(AMAZON_FASHION_5__2[[#This Row],[reviewText]])</f>
        <v>126</v>
      </c>
      <c r="R2151" t="str">
        <f>IF(AMAZON_FASHION_5__2[[#This Row],[overall]]&gt;=4,"Positive",IF(AMAZON_FASHION_5__2[[#This Row],[overall]]&lt;=2,"Negative","Neutral"))</f>
        <v>Positive</v>
      </c>
      <c r="S21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52" spans="1:19" x14ac:dyDescent="0.25">
      <c r="A2152">
        <v>5</v>
      </c>
      <c r="B2152" t="b">
        <v>1</v>
      </c>
      <c r="C2152" s="1">
        <v>42860</v>
      </c>
      <c r="D2152">
        <f>YEAR(AMAZON_FASHION_5__2[[#This Row],[reviewDate]])</f>
        <v>2017</v>
      </c>
      <c r="E2152" s="1" t="str">
        <f>TEXT(AMAZON_FASHION_5__2[[#This Row],[reviewDate]], "mmmm")</f>
        <v>May</v>
      </c>
      <c r="F2152" t="s">
        <v>835</v>
      </c>
      <c r="G2152" t="s">
        <v>1501</v>
      </c>
      <c r="H2152" t="s">
        <v>230</v>
      </c>
      <c r="I2152" t="s">
        <v>1476</v>
      </c>
      <c r="J2152" t="s">
        <v>836</v>
      </c>
      <c r="K2152" t="s">
        <v>837</v>
      </c>
      <c r="L2152" t="s">
        <v>838</v>
      </c>
      <c r="M2152">
        <v>1493942400</v>
      </c>
      <c r="N2152" t="s">
        <v>1628</v>
      </c>
      <c r="O2152" t="s">
        <v>1628</v>
      </c>
      <c r="P2152" t="s">
        <v>1628</v>
      </c>
      <c r="Q2152">
        <f>LEN(AMAZON_FASHION_5__2[[#This Row],[reviewText]])</f>
        <v>110</v>
      </c>
      <c r="R2152" t="str">
        <f>IF(AMAZON_FASHION_5__2[[#This Row],[overall]]&gt;=4,"Positive",IF(AMAZON_FASHION_5__2[[#This Row],[overall]]&lt;=2,"Negative","Neutral"))</f>
        <v>Positive</v>
      </c>
      <c r="S21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53" spans="1:19" x14ac:dyDescent="0.25">
      <c r="A2153">
        <v>5</v>
      </c>
      <c r="B2153" t="b">
        <v>1</v>
      </c>
      <c r="C2153" s="1">
        <v>42858</v>
      </c>
      <c r="D2153">
        <f>YEAR(AMAZON_FASHION_5__2[[#This Row],[reviewDate]])</f>
        <v>2017</v>
      </c>
      <c r="E2153" s="1" t="str">
        <f>TEXT(AMAZON_FASHION_5__2[[#This Row],[reviewDate]], "mmmm")</f>
        <v>May</v>
      </c>
      <c r="F2153" t="s">
        <v>839</v>
      </c>
      <c r="G2153" t="s">
        <v>1501</v>
      </c>
      <c r="H2153" t="s">
        <v>205</v>
      </c>
      <c r="I2153" t="s">
        <v>198</v>
      </c>
      <c r="J2153" t="s">
        <v>840</v>
      </c>
      <c r="K2153" t="s">
        <v>841</v>
      </c>
      <c r="L2153" t="s">
        <v>17</v>
      </c>
      <c r="M2153">
        <v>1493769600</v>
      </c>
      <c r="N2153" t="s">
        <v>1628</v>
      </c>
      <c r="O2153" t="s">
        <v>1628</v>
      </c>
      <c r="P2153" t="s">
        <v>1628</v>
      </c>
      <c r="Q2153">
        <f>LEN(AMAZON_FASHION_5__2[[#This Row],[reviewText]])</f>
        <v>42</v>
      </c>
      <c r="R2153" t="str">
        <f>IF(AMAZON_FASHION_5__2[[#This Row],[overall]]&gt;=4,"Positive",IF(AMAZON_FASHION_5__2[[#This Row],[overall]]&lt;=2,"Negative","Neutral"))</f>
        <v>Positive</v>
      </c>
      <c r="S21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54" spans="1:19" x14ac:dyDescent="0.25">
      <c r="A2154">
        <v>5</v>
      </c>
      <c r="B2154" t="b">
        <v>1</v>
      </c>
      <c r="C2154" s="1">
        <v>42858</v>
      </c>
      <c r="D2154">
        <f>YEAR(AMAZON_FASHION_5__2[[#This Row],[reviewDate]])</f>
        <v>2017</v>
      </c>
      <c r="E2154" s="1" t="str">
        <f>TEXT(AMAZON_FASHION_5__2[[#This Row],[reviewDate]], "mmmm")</f>
        <v>May</v>
      </c>
      <c r="F2154" t="s">
        <v>842</v>
      </c>
      <c r="G2154" t="s">
        <v>1501</v>
      </c>
      <c r="H2154" t="s">
        <v>230</v>
      </c>
      <c r="I2154" t="s">
        <v>198</v>
      </c>
      <c r="J2154" t="s">
        <v>843</v>
      </c>
      <c r="K2154" t="s">
        <v>844</v>
      </c>
      <c r="L2154" t="s">
        <v>17</v>
      </c>
      <c r="M2154">
        <v>1493769600</v>
      </c>
      <c r="N2154" t="s">
        <v>1628</v>
      </c>
      <c r="O2154" t="s">
        <v>1628</v>
      </c>
      <c r="P2154" t="s">
        <v>1628</v>
      </c>
      <c r="Q2154">
        <f>LEN(AMAZON_FASHION_5__2[[#This Row],[reviewText]])</f>
        <v>12</v>
      </c>
      <c r="R2154" t="str">
        <f>IF(AMAZON_FASHION_5__2[[#This Row],[overall]]&gt;=4,"Positive",IF(AMAZON_FASHION_5__2[[#This Row],[overall]]&lt;=2,"Negative","Neutral"))</f>
        <v>Positive</v>
      </c>
      <c r="S21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55" spans="1:19" x14ac:dyDescent="0.25">
      <c r="A2155">
        <v>4</v>
      </c>
      <c r="B2155" t="b">
        <v>1</v>
      </c>
      <c r="C2155" s="1">
        <v>42857</v>
      </c>
      <c r="D2155">
        <f>YEAR(AMAZON_FASHION_5__2[[#This Row],[reviewDate]])</f>
        <v>2017</v>
      </c>
      <c r="E2155" s="1" t="str">
        <f>TEXT(AMAZON_FASHION_5__2[[#This Row],[reviewDate]], "mmmm")</f>
        <v>May</v>
      </c>
      <c r="F2155" t="s">
        <v>845</v>
      </c>
      <c r="G2155" t="s">
        <v>1501</v>
      </c>
      <c r="H2155" t="s">
        <v>320</v>
      </c>
      <c r="I2155" t="s">
        <v>827</v>
      </c>
      <c r="J2155" t="s">
        <v>846</v>
      </c>
      <c r="K2155" t="s">
        <v>847</v>
      </c>
      <c r="L2155" t="s">
        <v>812</v>
      </c>
      <c r="M2155">
        <v>1493683200</v>
      </c>
      <c r="N2155" t="s">
        <v>1628</v>
      </c>
      <c r="O2155" t="s">
        <v>1628</v>
      </c>
      <c r="P2155" t="s">
        <v>1628</v>
      </c>
      <c r="Q2155">
        <f>LEN(AMAZON_FASHION_5__2[[#This Row],[reviewText]])</f>
        <v>86</v>
      </c>
      <c r="R2155" t="str">
        <f>IF(AMAZON_FASHION_5__2[[#This Row],[overall]]&gt;=4,"Positive",IF(AMAZON_FASHION_5__2[[#This Row],[overall]]&lt;=2,"Negative","Neutral"))</f>
        <v>Positive</v>
      </c>
      <c r="S21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56" spans="1:19" x14ac:dyDescent="0.25">
      <c r="A2156">
        <v>5</v>
      </c>
      <c r="B2156" t="b">
        <v>1</v>
      </c>
      <c r="C2156" s="1">
        <v>42856</v>
      </c>
      <c r="D2156">
        <f>YEAR(AMAZON_FASHION_5__2[[#This Row],[reviewDate]])</f>
        <v>2017</v>
      </c>
      <c r="E2156" s="1" t="str">
        <f>TEXT(AMAZON_FASHION_5__2[[#This Row],[reviewDate]], "mmmm")</f>
        <v>May</v>
      </c>
      <c r="F2156" t="s">
        <v>848</v>
      </c>
      <c r="G2156" t="s">
        <v>1501</v>
      </c>
      <c r="H2156" t="s">
        <v>320</v>
      </c>
      <c r="I2156" t="s">
        <v>849</v>
      </c>
      <c r="J2156" t="s">
        <v>850</v>
      </c>
      <c r="K2156" t="s">
        <v>851</v>
      </c>
      <c r="L2156" t="s">
        <v>17</v>
      </c>
      <c r="M2156">
        <v>1493596800</v>
      </c>
      <c r="N2156" t="s">
        <v>1628</v>
      </c>
      <c r="O2156" t="s">
        <v>1628</v>
      </c>
      <c r="P2156" t="s">
        <v>1628</v>
      </c>
      <c r="Q2156">
        <f>LEN(AMAZON_FASHION_5__2[[#This Row],[reviewText]])</f>
        <v>89</v>
      </c>
      <c r="R2156" t="str">
        <f>IF(AMAZON_FASHION_5__2[[#This Row],[overall]]&gt;=4,"Positive",IF(AMAZON_FASHION_5__2[[#This Row],[overall]]&lt;=2,"Negative","Neutral"))</f>
        <v>Positive</v>
      </c>
      <c r="S21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57" spans="1:19" x14ac:dyDescent="0.25">
      <c r="A2157">
        <v>5</v>
      </c>
      <c r="B2157" t="b">
        <v>1</v>
      </c>
      <c r="C2157" s="1">
        <v>42853</v>
      </c>
      <c r="D2157">
        <f>YEAR(AMAZON_FASHION_5__2[[#This Row],[reviewDate]])</f>
        <v>2017</v>
      </c>
      <c r="E2157" s="1" t="str">
        <f>TEXT(AMAZON_FASHION_5__2[[#This Row],[reviewDate]], "mmmm")</f>
        <v>April</v>
      </c>
      <c r="F2157" t="s">
        <v>852</v>
      </c>
      <c r="G2157" t="s">
        <v>1501</v>
      </c>
      <c r="H2157" t="s">
        <v>235</v>
      </c>
      <c r="I2157" t="s">
        <v>211</v>
      </c>
      <c r="J2157" t="s">
        <v>853</v>
      </c>
      <c r="K2157" t="s">
        <v>854</v>
      </c>
      <c r="L2157" t="s">
        <v>17</v>
      </c>
      <c r="M2157">
        <v>1493337600</v>
      </c>
      <c r="N2157" t="s">
        <v>1628</v>
      </c>
      <c r="O2157" t="s">
        <v>1628</v>
      </c>
      <c r="P2157" t="s">
        <v>1628</v>
      </c>
      <c r="Q2157">
        <f>LEN(AMAZON_FASHION_5__2[[#This Row],[reviewText]])</f>
        <v>12</v>
      </c>
      <c r="R2157" t="str">
        <f>IF(AMAZON_FASHION_5__2[[#This Row],[overall]]&gt;=4,"Positive",IF(AMAZON_FASHION_5__2[[#This Row],[overall]]&lt;=2,"Negative","Neutral"))</f>
        <v>Positive</v>
      </c>
      <c r="S21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58" spans="1:19" x14ac:dyDescent="0.25">
      <c r="A2158">
        <v>4</v>
      </c>
      <c r="B2158" t="b">
        <v>1</v>
      </c>
      <c r="C2158" s="1">
        <v>42852</v>
      </c>
      <c r="D2158">
        <f>YEAR(AMAZON_FASHION_5__2[[#This Row],[reviewDate]])</f>
        <v>2017</v>
      </c>
      <c r="E2158" s="1" t="str">
        <f>TEXT(AMAZON_FASHION_5__2[[#This Row],[reviewDate]], "mmmm")</f>
        <v>April</v>
      </c>
      <c r="F2158" t="s">
        <v>855</v>
      </c>
      <c r="G2158" t="s">
        <v>1501</v>
      </c>
      <c r="H2158" t="s">
        <v>1489</v>
      </c>
      <c r="I2158" t="s">
        <v>336</v>
      </c>
      <c r="J2158" t="s">
        <v>63</v>
      </c>
      <c r="K2158" t="s">
        <v>856</v>
      </c>
      <c r="L2158" t="s">
        <v>103</v>
      </c>
      <c r="M2158">
        <v>1493251200</v>
      </c>
      <c r="N2158" t="s">
        <v>1628</v>
      </c>
      <c r="O2158" t="s">
        <v>1628</v>
      </c>
      <c r="P2158" t="s">
        <v>1628</v>
      </c>
      <c r="Q2158">
        <f>LEN(AMAZON_FASHION_5__2[[#This Row],[reviewText]])</f>
        <v>58</v>
      </c>
      <c r="R2158" t="str">
        <f>IF(AMAZON_FASHION_5__2[[#This Row],[overall]]&gt;=4,"Positive",IF(AMAZON_FASHION_5__2[[#This Row],[overall]]&lt;=2,"Negative","Neutral"))</f>
        <v>Positive</v>
      </c>
      <c r="S21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59" spans="1:19" x14ac:dyDescent="0.25">
      <c r="A2159">
        <v>4</v>
      </c>
      <c r="B2159" t="b">
        <v>1</v>
      </c>
      <c r="C2159" s="1">
        <v>42852</v>
      </c>
      <c r="D2159">
        <f>YEAR(AMAZON_FASHION_5__2[[#This Row],[reviewDate]])</f>
        <v>2017</v>
      </c>
      <c r="E2159" s="1" t="str">
        <f>TEXT(AMAZON_FASHION_5__2[[#This Row],[reviewDate]], "mmmm")</f>
        <v>April</v>
      </c>
      <c r="F2159" t="s">
        <v>857</v>
      </c>
      <c r="G2159" t="s">
        <v>1501</v>
      </c>
      <c r="H2159" t="s">
        <v>1478</v>
      </c>
      <c r="I2159" t="s">
        <v>336</v>
      </c>
      <c r="J2159" t="s">
        <v>859</v>
      </c>
      <c r="K2159" t="s">
        <v>860</v>
      </c>
      <c r="L2159" t="s">
        <v>861</v>
      </c>
      <c r="M2159">
        <v>1493251200</v>
      </c>
      <c r="N2159" t="s">
        <v>1628</v>
      </c>
      <c r="O2159" t="s">
        <v>1628</v>
      </c>
      <c r="P2159" t="s">
        <v>1628</v>
      </c>
      <c r="Q2159">
        <f>LEN(AMAZON_FASHION_5__2[[#This Row],[reviewText]])</f>
        <v>199</v>
      </c>
      <c r="R2159" t="str">
        <f>IF(AMAZON_FASHION_5__2[[#This Row],[overall]]&gt;=4,"Positive",IF(AMAZON_FASHION_5__2[[#This Row],[overall]]&lt;=2,"Negative","Neutral"))</f>
        <v>Positive</v>
      </c>
      <c r="S21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60" spans="1:19" x14ac:dyDescent="0.25">
      <c r="A2160">
        <v>5</v>
      </c>
      <c r="B2160" t="b">
        <v>1</v>
      </c>
      <c r="C2160" s="1">
        <v>42851</v>
      </c>
      <c r="D2160">
        <f>YEAR(AMAZON_FASHION_5__2[[#This Row],[reviewDate]])</f>
        <v>2017</v>
      </c>
      <c r="E2160" s="1" t="str">
        <f>TEXT(AMAZON_FASHION_5__2[[#This Row],[reviewDate]], "mmmm")</f>
        <v>April</v>
      </c>
      <c r="F2160" t="s">
        <v>862</v>
      </c>
      <c r="G2160" t="s">
        <v>1501</v>
      </c>
      <c r="H2160" t="s">
        <v>235</v>
      </c>
      <c r="I2160" t="s">
        <v>198</v>
      </c>
      <c r="J2160" t="s">
        <v>863</v>
      </c>
      <c r="K2160" t="s">
        <v>864</v>
      </c>
      <c r="L2160" t="s">
        <v>17</v>
      </c>
      <c r="M2160">
        <v>1493164800</v>
      </c>
      <c r="N2160" t="s">
        <v>1628</v>
      </c>
      <c r="O2160" t="s">
        <v>1628</v>
      </c>
      <c r="P2160" t="s">
        <v>1628</v>
      </c>
      <c r="Q2160">
        <f>LEN(AMAZON_FASHION_5__2[[#This Row],[reviewText]])</f>
        <v>28</v>
      </c>
      <c r="R2160" t="str">
        <f>IF(AMAZON_FASHION_5__2[[#This Row],[overall]]&gt;=4,"Positive",IF(AMAZON_FASHION_5__2[[#This Row],[overall]]&lt;=2,"Negative","Neutral"))</f>
        <v>Positive</v>
      </c>
      <c r="S21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61" spans="1:19" x14ac:dyDescent="0.25">
      <c r="A2161">
        <v>5</v>
      </c>
      <c r="B2161" t="b">
        <v>1</v>
      </c>
      <c r="C2161" s="1">
        <v>42850</v>
      </c>
      <c r="D2161">
        <f>YEAR(AMAZON_FASHION_5__2[[#This Row],[reviewDate]])</f>
        <v>2017</v>
      </c>
      <c r="E2161" s="1" t="str">
        <f>TEXT(AMAZON_FASHION_5__2[[#This Row],[reviewDate]], "mmmm")</f>
        <v>April</v>
      </c>
      <c r="F2161" t="s">
        <v>865</v>
      </c>
      <c r="G2161" t="s">
        <v>1501</v>
      </c>
      <c r="H2161" t="s">
        <v>1488</v>
      </c>
      <c r="I2161" t="s">
        <v>336</v>
      </c>
      <c r="J2161" t="s">
        <v>866</v>
      </c>
      <c r="K2161" t="s">
        <v>867</v>
      </c>
      <c r="L2161" t="s">
        <v>868</v>
      </c>
      <c r="M2161">
        <v>1493078400</v>
      </c>
      <c r="N2161" t="s">
        <v>1628</v>
      </c>
      <c r="O2161" t="s">
        <v>1628</v>
      </c>
      <c r="P2161" t="s">
        <v>1628</v>
      </c>
      <c r="Q2161">
        <f>LEN(AMAZON_FASHION_5__2[[#This Row],[reviewText]])</f>
        <v>235</v>
      </c>
      <c r="R2161" t="str">
        <f>IF(AMAZON_FASHION_5__2[[#This Row],[overall]]&gt;=4,"Positive",IF(AMAZON_FASHION_5__2[[#This Row],[overall]]&lt;=2,"Negative","Neutral"))</f>
        <v>Positive</v>
      </c>
      <c r="S21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62" spans="1:19" x14ac:dyDescent="0.25">
      <c r="A2162">
        <v>4</v>
      </c>
      <c r="B2162" t="b">
        <v>1</v>
      </c>
      <c r="C2162" s="1">
        <v>42849</v>
      </c>
      <c r="D2162">
        <f>YEAR(AMAZON_FASHION_5__2[[#This Row],[reviewDate]])</f>
        <v>2017</v>
      </c>
      <c r="E2162" s="1" t="str">
        <f>TEXT(AMAZON_FASHION_5__2[[#This Row],[reviewDate]], "mmmm")</f>
        <v>April</v>
      </c>
      <c r="F2162" t="s">
        <v>869</v>
      </c>
      <c r="G2162" t="s">
        <v>1501</v>
      </c>
      <c r="H2162" t="s">
        <v>201</v>
      </c>
      <c r="I2162" t="s">
        <v>198</v>
      </c>
      <c r="J2162" t="s">
        <v>870</v>
      </c>
      <c r="K2162" t="s">
        <v>871</v>
      </c>
      <c r="L2162" t="s">
        <v>872</v>
      </c>
      <c r="M2162">
        <v>1492992000</v>
      </c>
      <c r="N2162" t="s">
        <v>1628</v>
      </c>
      <c r="O2162" t="s">
        <v>1628</v>
      </c>
      <c r="P2162" t="s">
        <v>1628</v>
      </c>
      <c r="Q2162">
        <f>LEN(AMAZON_FASHION_5__2[[#This Row],[reviewText]])</f>
        <v>140</v>
      </c>
      <c r="R2162" t="str">
        <f>IF(AMAZON_FASHION_5__2[[#This Row],[overall]]&gt;=4,"Positive",IF(AMAZON_FASHION_5__2[[#This Row],[overall]]&lt;=2,"Negative","Neutral"))</f>
        <v>Positive</v>
      </c>
      <c r="S21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63" spans="1:19" x14ac:dyDescent="0.25">
      <c r="A2163">
        <v>5</v>
      </c>
      <c r="B2163" t="b">
        <v>1</v>
      </c>
      <c r="C2163" s="1">
        <v>42849</v>
      </c>
      <c r="D2163">
        <f>YEAR(AMAZON_FASHION_5__2[[#This Row],[reviewDate]])</f>
        <v>2017</v>
      </c>
      <c r="E2163" s="1" t="str">
        <f>TEXT(AMAZON_FASHION_5__2[[#This Row],[reviewDate]], "mmmm")</f>
        <v>April</v>
      </c>
      <c r="F2163" t="s">
        <v>873</v>
      </c>
      <c r="G2163" t="s">
        <v>1501</v>
      </c>
      <c r="H2163" t="s">
        <v>197</v>
      </c>
      <c r="I2163" t="s">
        <v>524</v>
      </c>
      <c r="J2163" t="s">
        <v>63</v>
      </c>
      <c r="K2163" t="s">
        <v>874</v>
      </c>
      <c r="L2163" t="s">
        <v>17</v>
      </c>
      <c r="M2163">
        <v>1492992000</v>
      </c>
      <c r="N2163" t="s">
        <v>1628</v>
      </c>
      <c r="O2163" t="s">
        <v>1628</v>
      </c>
      <c r="P2163" t="s">
        <v>1628</v>
      </c>
      <c r="Q2163">
        <f>LEN(AMAZON_FASHION_5__2[[#This Row],[reviewText]])</f>
        <v>39</v>
      </c>
      <c r="R2163" t="str">
        <f>IF(AMAZON_FASHION_5__2[[#This Row],[overall]]&gt;=4,"Positive",IF(AMAZON_FASHION_5__2[[#This Row],[overall]]&lt;=2,"Negative","Neutral"))</f>
        <v>Positive</v>
      </c>
      <c r="S21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64" spans="1:19" x14ac:dyDescent="0.25">
      <c r="A2164">
        <v>5</v>
      </c>
      <c r="B2164" t="b">
        <v>1</v>
      </c>
      <c r="C2164" s="1">
        <v>42845</v>
      </c>
      <c r="D2164">
        <f>YEAR(AMAZON_FASHION_5__2[[#This Row],[reviewDate]])</f>
        <v>2017</v>
      </c>
      <c r="E2164" s="1" t="str">
        <f>TEXT(AMAZON_FASHION_5__2[[#This Row],[reviewDate]], "mmmm")</f>
        <v>April</v>
      </c>
      <c r="F2164" t="s">
        <v>875</v>
      </c>
      <c r="G2164" t="s">
        <v>1501</v>
      </c>
      <c r="H2164" t="s">
        <v>230</v>
      </c>
      <c r="I2164" t="s">
        <v>198</v>
      </c>
      <c r="J2164" t="s">
        <v>63</v>
      </c>
      <c r="K2164" t="s">
        <v>715</v>
      </c>
      <c r="L2164" t="s">
        <v>17</v>
      </c>
      <c r="M2164">
        <v>1492646400</v>
      </c>
      <c r="N2164" t="s">
        <v>1628</v>
      </c>
      <c r="O2164" t="s">
        <v>1628</v>
      </c>
      <c r="P2164" t="s">
        <v>1628</v>
      </c>
      <c r="Q2164">
        <f>LEN(AMAZON_FASHION_5__2[[#This Row],[reviewText]])</f>
        <v>7</v>
      </c>
      <c r="R2164" t="str">
        <f>IF(AMAZON_FASHION_5__2[[#This Row],[overall]]&gt;=4,"Positive",IF(AMAZON_FASHION_5__2[[#This Row],[overall]]&lt;=2,"Negative","Neutral"))</f>
        <v>Positive</v>
      </c>
      <c r="S21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65" spans="1:19" x14ac:dyDescent="0.25">
      <c r="A2165">
        <v>5</v>
      </c>
      <c r="B2165" t="b">
        <v>1</v>
      </c>
      <c r="C2165" s="1">
        <v>42844</v>
      </c>
      <c r="D2165">
        <f>YEAR(AMAZON_FASHION_5__2[[#This Row],[reviewDate]])</f>
        <v>2017</v>
      </c>
      <c r="E2165" s="1" t="str">
        <f>TEXT(AMAZON_FASHION_5__2[[#This Row],[reviewDate]], "mmmm")</f>
        <v>April</v>
      </c>
      <c r="F2165" t="s">
        <v>876</v>
      </c>
      <c r="G2165" t="s">
        <v>1501</v>
      </c>
      <c r="H2165" t="s">
        <v>210</v>
      </c>
      <c r="I2165" t="s">
        <v>198</v>
      </c>
      <c r="J2165" t="s">
        <v>63</v>
      </c>
      <c r="K2165" t="s">
        <v>877</v>
      </c>
      <c r="L2165" t="s">
        <v>17</v>
      </c>
      <c r="M2165">
        <v>1492560000</v>
      </c>
      <c r="N2165" t="s">
        <v>1628</v>
      </c>
      <c r="O2165" t="s">
        <v>1628</v>
      </c>
      <c r="P2165" t="s">
        <v>1628</v>
      </c>
      <c r="Q2165">
        <f>LEN(AMAZON_FASHION_5__2[[#This Row],[reviewText]])</f>
        <v>9</v>
      </c>
      <c r="R2165" t="str">
        <f>IF(AMAZON_FASHION_5__2[[#This Row],[overall]]&gt;=4,"Positive",IF(AMAZON_FASHION_5__2[[#This Row],[overall]]&lt;=2,"Negative","Neutral"))</f>
        <v>Positive</v>
      </c>
      <c r="S21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66" spans="1:19" x14ac:dyDescent="0.25">
      <c r="A2166">
        <v>5</v>
      </c>
      <c r="B2166" t="b">
        <v>0</v>
      </c>
      <c r="C2166" s="1">
        <v>42843</v>
      </c>
      <c r="D2166">
        <f>YEAR(AMAZON_FASHION_5__2[[#This Row],[reviewDate]])</f>
        <v>2017</v>
      </c>
      <c r="E2166" s="1" t="str">
        <f>TEXT(AMAZON_FASHION_5__2[[#This Row],[reviewDate]], "mmmm")</f>
        <v>April</v>
      </c>
      <c r="F2166" t="s">
        <v>878</v>
      </c>
      <c r="G2166" t="s">
        <v>1501</v>
      </c>
      <c r="H2166" t="s">
        <v>201</v>
      </c>
      <c r="I2166" t="s">
        <v>198</v>
      </c>
      <c r="J2166" t="s">
        <v>879</v>
      </c>
      <c r="K2166" t="s">
        <v>880</v>
      </c>
      <c r="L2166" t="s">
        <v>881</v>
      </c>
      <c r="M2166">
        <v>1492473600</v>
      </c>
      <c r="N2166" t="s">
        <v>1628</v>
      </c>
      <c r="O2166" t="s">
        <v>1628</v>
      </c>
      <c r="P2166" t="s">
        <v>1628</v>
      </c>
      <c r="Q2166">
        <f>LEN(AMAZON_FASHION_5__2[[#This Row],[reviewText]])</f>
        <v>115</v>
      </c>
      <c r="R2166" t="str">
        <f>IF(AMAZON_FASHION_5__2[[#This Row],[overall]]&gt;=4,"Positive",IF(AMAZON_FASHION_5__2[[#This Row],[overall]]&lt;=2,"Negative","Neutral"))</f>
        <v>Positive</v>
      </c>
      <c r="S21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67" spans="1:19" x14ac:dyDescent="0.25">
      <c r="A2167">
        <v>5</v>
      </c>
      <c r="B2167" t="b">
        <v>1</v>
      </c>
      <c r="C2167" s="1">
        <v>42842</v>
      </c>
      <c r="D2167">
        <f>YEAR(AMAZON_FASHION_5__2[[#This Row],[reviewDate]])</f>
        <v>2017</v>
      </c>
      <c r="E2167" s="1" t="str">
        <f>TEXT(AMAZON_FASHION_5__2[[#This Row],[reviewDate]], "mmmm")</f>
        <v>April</v>
      </c>
      <c r="F2167" t="s">
        <v>882</v>
      </c>
      <c r="G2167" t="s">
        <v>1501</v>
      </c>
      <c r="H2167" t="s">
        <v>230</v>
      </c>
      <c r="I2167" t="s">
        <v>198</v>
      </c>
      <c r="J2167" t="s">
        <v>883</v>
      </c>
      <c r="K2167" t="s">
        <v>884</v>
      </c>
      <c r="L2167" t="s">
        <v>543</v>
      </c>
      <c r="M2167">
        <v>1492387200</v>
      </c>
      <c r="N2167" t="s">
        <v>1628</v>
      </c>
      <c r="O2167" t="s">
        <v>1628</v>
      </c>
      <c r="P2167" t="s">
        <v>1628</v>
      </c>
      <c r="Q2167">
        <f>LEN(AMAZON_FASHION_5__2[[#This Row],[reviewText]])</f>
        <v>62</v>
      </c>
      <c r="R2167" t="str">
        <f>IF(AMAZON_FASHION_5__2[[#This Row],[overall]]&gt;=4,"Positive",IF(AMAZON_FASHION_5__2[[#This Row],[overall]]&lt;=2,"Negative","Neutral"))</f>
        <v>Positive</v>
      </c>
      <c r="S21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68" spans="1:19" x14ac:dyDescent="0.25">
      <c r="A2168">
        <v>5</v>
      </c>
      <c r="B2168" t="b">
        <v>1</v>
      </c>
      <c r="C2168" s="1">
        <v>42840</v>
      </c>
      <c r="D2168">
        <f>YEAR(AMAZON_FASHION_5__2[[#This Row],[reviewDate]])</f>
        <v>2017</v>
      </c>
      <c r="E2168" s="1" t="str">
        <f>TEXT(AMAZON_FASHION_5__2[[#This Row],[reviewDate]], "mmmm")</f>
        <v>April</v>
      </c>
      <c r="F2168" t="s">
        <v>885</v>
      </c>
      <c r="G2168" t="s">
        <v>1501</v>
      </c>
      <c r="H2168" t="s">
        <v>261</v>
      </c>
      <c r="I2168" t="s">
        <v>1455</v>
      </c>
      <c r="J2168" t="s">
        <v>886</v>
      </c>
      <c r="K2168" t="s">
        <v>887</v>
      </c>
      <c r="L2168" t="s">
        <v>247</v>
      </c>
      <c r="M2168">
        <v>1492214400</v>
      </c>
      <c r="N2168" t="s">
        <v>1628</v>
      </c>
      <c r="O2168" t="s">
        <v>1628</v>
      </c>
      <c r="P2168" t="s">
        <v>1628</v>
      </c>
      <c r="Q2168">
        <f>LEN(AMAZON_FASHION_5__2[[#This Row],[reviewText]])</f>
        <v>112</v>
      </c>
      <c r="R2168" t="str">
        <f>IF(AMAZON_FASHION_5__2[[#This Row],[overall]]&gt;=4,"Positive",IF(AMAZON_FASHION_5__2[[#This Row],[overall]]&lt;=2,"Negative","Neutral"))</f>
        <v>Positive</v>
      </c>
      <c r="S21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69" spans="1:19" x14ac:dyDescent="0.25">
      <c r="A2169">
        <v>5</v>
      </c>
      <c r="B2169" t="b">
        <v>1</v>
      </c>
      <c r="C2169" s="1">
        <v>42839</v>
      </c>
      <c r="D2169">
        <f>YEAR(AMAZON_FASHION_5__2[[#This Row],[reviewDate]])</f>
        <v>2017</v>
      </c>
      <c r="E2169" s="1" t="str">
        <f>TEXT(AMAZON_FASHION_5__2[[#This Row],[reviewDate]], "mmmm")</f>
        <v>April</v>
      </c>
      <c r="F2169" t="s">
        <v>888</v>
      </c>
      <c r="G2169" t="s">
        <v>1501</v>
      </c>
      <c r="H2169" t="s">
        <v>235</v>
      </c>
      <c r="I2169" t="s">
        <v>198</v>
      </c>
      <c r="J2169" t="s">
        <v>63</v>
      </c>
      <c r="K2169" t="s">
        <v>889</v>
      </c>
      <c r="L2169" t="s">
        <v>17</v>
      </c>
      <c r="M2169">
        <v>1492128000</v>
      </c>
      <c r="N2169" t="s">
        <v>1628</v>
      </c>
      <c r="O2169" t="s">
        <v>1628</v>
      </c>
      <c r="P2169" t="s">
        <v>1628</v>
      </c>
      <c r="Q2169">
        <f>LEN(AMAZON_FASHION_5__2[[#This Row],[reviewText]])</f>
        <v>38</v>
      </c>
      <c r="R2169" t="str">
        <f>IF(AMAZON_FASHION_5__2[[#This Row],[overall]]&gt;=4,"Positive",IF(AMAZON_FASHION_5__2[[#This Row],[overall]]&lt;=2,"Negative","Neutral"))</f>
        <v>Positive</v>
      </c>
      <c r="S21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70" spans="1:19" x14ac:dyDescent="0.25">
      <c r="A2170">
        <v>4</v>
      </c>
      <c r="B2170" t="b">
        <v>1</v>
      </c>
      <c r="C2170" s="1">
        <v>42836</v>
      </c>
      <c r="D2170">
        <f>YEAR(AMAZON_FASHION_5__2[[#This Row],[reviewDate]])</f>
        <v>2017</v>
      </c>
      <c r="E2170" s="1" t="str">
        <f>TEXT(AMAZON_FASHION_5__2[[#This Row],[reviewDate]], "mmmm")</f>
        <v>April</v>
      </c>
      <c r="F2170" t="s">
        <v>890</v>
      </c>
      <c r="G2170" t="s">
        <v>1501</v>
      </c>
      <c r="H2170" t="s">
        <v>284</v>
      </c>
      <c r="I2170" t="s">
        <v>198</v>
      </c>
      <c r="J2170" t="s">
        <v>891</v>
      </c>
      <c r="K2170" t="s">
        <v>892</v>
      </c>
      <c r="L2170" t="s">
        <v>893</v>
      </c>
      <c r="M2170">
        <v>1491868800</v>
      </c>
      <c r="N2170" t="s">
        <v>1628</v>
      </c>
      <c r="O2170" t="s">
        <v>1628</v>
      </c>
      <c r="P2170" t="s">
        <v>1628</v>
      </c>
      <c r="Q2170">
        <f>LEN(AMAZON_FASHION_5__2[[#This Row],[reviewText]])</f>
        <v>67</v>
      </c>
      <c r="R2170" t="str">
        <f>IF(AMAZON_FASHION_5__2[[#This Row],[overall]]&gt;=4,"Positive",IF(AMAZON_FASHION_5__2[[#This Row],[overall]]&lt;=2,"Negative","Neutral"))</f>
        <v>Positive</v>
      </c>
      <c r="S21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71" spans="1:19" x14ac:dyDescent="0.25">
      <c r="A2171">
        <v>5</v>
      </c>
      <c r="B2171" t="b">
        <v>1</v>
      </c>
      <c r="C2171" s="1">
        <v>42836</v>
      </c>
      <c r="D2171">
        <f>YEAR(AMAZON_FASHION_5__2[[#This Row],[reviewDate]])</f>
        <v>2017</v>
      </c>
      <c r="E2171" s="1" t="str">
        <f>TEXT(AMAZON_FASHION_5__2[[#This Row],[reviewDate]], "mmmm")</f>
        <v>April</v>
      </c>
      <c r="F2171" t="s">
        <v>894</v>
      </c>
      <c r="G2171" t="s">
        <v>1501</v>
      </c>
      <c r="H2171" t="s">
        <v>1500</v>
      </c>
      <c r="I2171" t="s">
        <v>336</v>
      </c>
      <c r="J2171" t="s">
        <v>896</v>
      </c>
      <c r="K2171" t="s">
        <v>897</v>
      </c>
      <c r="L2171" t="s">
        <v>17</v>
      </c>
      <c r="M2171">
        <v>1491868800</v>
      </c>
      <c r="N2171" t="s">
        <v>1628</v>
      </c>
      <c r="O2171" t="s">
        <v>1628</v>
      </c>
      <c r="P2171" t="s">
        <v>1628</v>
      </c>
      <c r="Q2171">
        <f>LEN(AMAZON_FASHION_5__2[[#This Row],[reviewText]])</f>
        <v>13</v>
      </c>
      <c r="R2171" t="str">
        <f>IF(AMAZON_FASHION_5__2[[#This Row],[overall]]&gt;=4,"Positive",IF(AMAZON_FASHION_5__2[[#This Row],[overall]]&lt;=2,"Negative","Neutral"))</f>
        <v>Positive</v>
      </c>
      <c r="S21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72" spans="1:19" x14ac:dyDescent="0.25">
      <c r="A2172">
        <v>5</v>
      </c>
      <c r="B2172" t="b">
        <v>1</v>
      </c>
      <c r="C2172" s="1">
        <v>42835</v>
      </c>
      <c r="D2172">
        <f>YEAR(AMAZON_FASHION_5__2[[#This Row],[reviewDate]])</f>
        <v>2017</v>
      </c>
      <c r="E2172" s="1" t="str">
        <f>TEXT(AMAZON_FASHION_5__2[[#This Row],[reviewDate]], "mmmm")</f>
        <v>April</v>
      </c>
      <c r="F2172" t="s">
        <v>898</v>
      </c>
      <c r="G2172" t="s">
        <v>1501</v>
      </c>
      <c r="H2172" t="s">
        <v>235</v>
      </c>
      <c r="I2172" t="s">
        <v>411</v>
      </c>
      <c r="J2172" t="s">
        <v>899</v>
      </c>
      <c r="K2172" t="s">
        <v>900</v>
      </c>
      <c r="L2172" t="s">
        <v>901</v>
      </c>
      <c r="M2172">
        <v>1491782400</v>
      </c>
      <c r="N2172" t="s">
        <v>1628</v>
      </c>
      <c r="O2172" t="s">
        <v>1628</v>
      </c>
      <c r="P2172" t="s">
        <v>1628</v>
      </c>
      <c r="Q2172">
        <f>LEN(AMAZON_FASHION_5__2[[#This Row],[reviewText]])</f>
        <v>49</v>
      </c>
      <c r="R2172" t="str">
        <f>IF(AMAZON_FASHION_5__2[[#This Row],[overall]]&gt;=4,"Positive",IF(AMAZON_FASHION_5__2[[#This Row],[overall]]&lt;=2,"Negative","Neutral"))</f>
        <v>Positive</v>
      </c>
      <c r="S21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73" spans="1:19" x14ac:dyDescent="0.25">
      <c r="A2173">
        <v>5</v>
      </c>
      <c r="B2173" t="b">
        <v>1</v>
      </c>
      <c r="C2173" s="1">
        <v>42835</v>
      </c>
      <c r="D2173">
        <f>YEAR(AMAZON_FASHION_5__2[[#This Row],[reviewDate]])</f>
        <v>2017</v>
      </c>
      <c r="E2173" s="1" t="str">
        <f>TEXT(AMAZON_FASHION_5__2[[#This Row],[reviewDate]], "mmmm")</f>
        <v>April</v>
      </c>
      <c r="F2173" t="s">
        <v>902</v>
      </c>
      <c r="G2173" t="s">
        <v>1501</v>
      </c>
      <c r="H2173" t="s">
        <v>205</v>
      </c>
      <c r="I2173" t="s">
        <v>396</v>
      </c>
      <c r="J2173" t="s">
        <v>903</v>
      </c>
      <c r="K2173" t="s">
        <v>904</v>
      </c>
      <c r="L2173" t="s">
        <v>905</v>
      </c>
      <c r="M2173">
        <v>1491782400</v>
      </c>
      <c r="N2173" t="s">
        <v>1628</v>
      </c>
      <c r="O2173" t="s">
        <v>1628</v>
      </c>
      <c r="P2173" t="s">
        <v>1628</v>
      </c>
      <c r="Q2173">
        <f>LEN(AMAZON_FASHION_5__2[[#This Row],[reviewText]])</f>
        <v>17</v>
      </c>
      <c r="R2173" t="str">
        <f>IF(AMAZON_FASHION_5__2[[#This Row],[overall]]&gt;=4,"Positive",IF(AMAZON_FASHION_5__2[[#This Row],[overall]]&lt;=2,"Negative","Neutral"))</f>
        <v>Positive</v>
      </c>
      <c r="S21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74" spans="1:19" x14ac:dyDescent="0.25">
      <c r="A2174">
        <v>4</v>
      </c>
      <c r="B2174" t="b">
        <v>1</v>
      </c>
      <c r="C2174" s="1">
        <v>42835</v>
      </c>
      <c r="D2174">
        <f>YEAR(AMAZON_FASHION_5__2[[#This Row],[reviewDate]])</f>
        <v>2017</v>
      </c>
      <c r="E2174" s="1" t="str">
        <f>TEXT(AMAZON_FASHION_5__2[[#This Row],[reviewDate]], "mmmm")</f>
        <v>April</v>
      </c>
      <c r="F2174" t="s">
        <v>906</v>
      </c>
      <c r="G2174" t="s">
        <v>1501</v>
      </c>
      <c r="H2174" t="s">
        <v>284</v>
      </c>
      <c r="I2174" t="s">
        <v>411</v>
      </c>
      <c r="J2174" t="s">
        <v>907</v>
      </c>
      <c r="K2174" t="s">
        <v>908</v>
      </c>
      <c r="L2174" t="s">
        <v>909</v>
      </c>
      <c r="M2174">
        <v>1491782400</v>
      </c>
      <c r="N2174" t="s">
        <v>1628</v>
      </c>
      <c r="O2174" t="s">
        <v>1628</v>
      </c>
      <c r="P2174" t="s">
        <v>1628</v>
      </c>
      <c r="Q2174">
        <f>LEN(AMAZON_FASHION_5__2[[#This Row],[reviewText]])</f>
        <v>177</v>
      </c>
      <c r="R2174" t="str">
        <f>IF(AMAZON_FASHION_5__2[[#This Row],[overall]]&gt;=4,"Positive",IF(AMAZON_FASHION_5__2[[#This Row],[overall]]&lt;=2,"Negative","Neutral"))</f>
        <v>Positive</v>
      </c>
      <c r="S21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75" spans="1:19" x14ac:dyDescent="0.25">
      <c r="A2175">
        <v>5</v>
      </c>
      <c r="B2175" t="b">
        <v>1</v>
      </c>
      <c r="C2175" s="1">
        <v>42833</v>
      </c>
      <c r="D2175">
        <f>YEAR(AMAZON_FASHION_5__2[[#This Row],[reviewDate]])</f>
        <v>2017</v>
      </c>
      <c r="E2175" s="1" t="str">
        <f>TEXT(AMAZON_FASHION_5__2[[#This Row],[reviewDate]], "mmmm")</f>
        <v>April</v>
      </c>
      <c r="F2175" t="s">
        <v>910</v>
      </c>
      <c r="G2175" t="s">
        <v>1501</v>
      </c>
      <c r="H2175" t="s">
        <v>230</v>
      </c>
      <c r="I2175" t="s">
        <v>198</v>
      </c>
      <c r="J2175" t="s">
        <v>63</v>
      </c>
      <c r="K2175" t="s">
        <v>911</v>
      </c>
      <c r="L2175" t="s">
        <v>912</v>
      </c>
      <c r="M2175">
        <v>1491609600</v>
      </c>
      <c r="N2175" t="s">
        <v>1628</v>
      </c>
      <c r="O2175" t="s">
        <v>1628</v>
      </c>
      <c r="P2175" t="s">
        <v>1628</v>
      </c>
      <c r="Q2175">
        <f>LEN(AMAZON_FASHION_5__2[[#This Row],[reviewText]])</f>
        <v>163</v>
      </c>
      <c r="R2175" t="str">
        <f>IF(AMAZON_FASHION_5__2[[#This Row],[overall]]&gt;=4,"Positive",IF(AMAZON_FASHION_5__2[[#This Row],[overall]]&lt;=2,"Negative","Neutral"))</f>
        <v>Positive</v>
      </c>
      <c r="S21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76" spans="1:19" x14ac:dyDescent="0.25">
      <c r="A2176">
        <v>4</v>
      </c>
      <c r="B2176" t="b">
        <v>1</v>
      </c>
      <c r="C2176" s="1">
        <v>42830</v>
      </c>
      <c r="D2176">
        <f>YEAR(AMAZON_FASHION_5__2[[#This Row],[reviewDate]])</f>
        <v>2017</v>
      </c>
      <c r="E2176" s="1" t="str">
        <f>TEXT(AMAZON_FASHION_5__2[[#This Row],[reviewDate]], "mmmm")</f>
        <v>April</v>
      </c>
      <c r="F2176" t="s">
        <v>913</v>
      </c>
      <c r="G2176" t="s">
        <v>1501</v>
      </c>
      <c r="H2176" t="s">
        <v>477</v>
      </c>
      <c r="I2176" t="s">
        <v>198</v>
      </c>
      <c r="J2176" t="s">
        <v>63</v>
      </c>
      <c r="K2176" t="s">
        <v>914</v>
      </c>
      <c r="L2176" t="s">
        <v>103</v>
      </c>
      <c r="M2176">
        <v>1491350400</v>
      </c>
      <c r="N2176" t="s">
        <v>1628</v>
      </c>
      <c r="O2176" t="s">
        <v>1628</v>
      </c>
      <c r="P2176" t="s">
        <v>1628</v>
      </c>
      <c r="Q2176">
        <f>LEN(AMAZON_FASHION_5__2[[#This Row],[reviewText]])</f>
        <v>17</v>
      </c>
      <c r="R2176" t="str">
        <f>IF(AMAZON_FASHION_5__2[[#This Row],[overall]]&gt;=4,"Positive",IF(AMAZON_FASHION_5__2[[#This Row],[overall]]&lt;=2,"Negative","Neutral"))</f>
        <v>Positive</v>
      </c>
      <c r="S21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77" spans="1:19" x14ac:dyDescent="0.25">
      <c r="A2177">
        <v>5</v>
      </c>
      <c r="B2177" t="b">
        <v>1</v>
      </c>
      <c r="C2177" s="1">
        <v>42830</v>
      </c>
      <c r="D2177">
        <f>YEAR(AMAZON_FASHION_5__2[[#This Row],[reviewDate]])</f>
        <v>2017</v>
      </c>
      <c r="E2177" s="1" t="str">
        <f>TEXT(AMAZON_FASHION_5__2[[#This Row],[reviewDate]], "mmmm")</f>
        <v>April</v>
      </c>
      <c r="F2177" t="s">
        <v>915</v>
      </c>
      <c r="G2177" t="s">
        <v>1501</v>
      </c>
      <c r="H2177" t="s">
        <v>210</v>
      </c>
      <c r="I2177" t="s">
        <v>198</v>
      </c>
      <c r="J2177" t="s">
        <v>916</v>
      </c>
      <c r="K2177" t="s">
        <v>917</v>
      </c>
      <c r="L2177" t="s">
        <v>17</v>
      </c>
      <c r="M2177">
        <v>1491350400</v>
      </c>
      <c r="N2177" t="s">
        <v>1628</v>
      </c>
      <c r="O2177" t="s">
        <v>1628</v>
      </c>
      <c r="P2177" t="s">
        <v>1628</v>
      </c>
      <c r="Q2177">
        <f>LEN(AMAZON_FASHION_5__2[[#This Row],[reviewText]])</f>
        <v>30</v>
      </c>
      <c r="R2177" t="str">
        <f>IF(AMAZON_FASHION_5__2[[#This Row],[overall]]&gt;=4,"Positive",IF(AMAZON_FASHION_5__2[[#This Row],[overall]]&lt;=2,"Negative","Neutral"))</f>
        <v>Positive</v>
      </c>
      <c r="S21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78" spans="1:19" x14ac:dyDescent="0.25">
      <c r="A2178">
        <v>5</v>
      </c>
      <c r="B2178" t="b">
        <v>1</v>
      </c>
      <c r="C2178" s="1">
        <v>42829</v>
      </c>
      <c r="D2178">
        <f>YEAR(AMAZON_FASHION_5__2[[#This Row],[reviewDate]])</f>
        <v>2017</v>
      </c>
      <c r="E2178" s="1" t="str">
        <f>TEXT(AMAZON_FASHION_5__2[[#This Row],[reviewDate]], "mmmm")</f>
        <v>April</v>
      </c>
      <c r="F2178" t="s">
        <v>918</v>
      </c>
      <c r="G2178" t="s">
        <v>1501</v>
      </c>
      <c r="H2178" t="s">
        <v>477</v>
      </c>
      <c r="I2178" t="s">
        <v>827</v>
      </c>
      <c r="J2178" t="s">
        <v>919</v>
      </c>
      <c r="K2178" t="s">
        <v>920</v>
      </c>
      <c r="L2178" t="s">
        <v>17</v>
      </c>
      <c r="M2178">
        <v>1491264000</v>
      </c>
      <c r="N2178" t="s">
        <v>1628</v>
      </c>
      <c r="O2178" t="s">
        <v>1628</v>
      </c>
      <c r="P2178" t="s">
        <v>1628</v>
      </c>
      <c r="Q2178">
        <f>LEN(AMAZON_FASHION_5__2[[#This Row],[reviewText]])</f>
        <v>38</v>
      </c>
      <c r="R2178" t="str">
        <f>IF(AMAZON_FASHION_5__2[[#This Row],[overall]]&gt;=4,"Positive",IF(AMAZON_FASHION_5__2[[#This Row],[overall]]&lt;=2,"Negative","Neutral"))</f>
        <v>Positive</v>
      </c>
      <c r="S21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79" spans="1:19" x14ac:dyDescent="0.25">
      <c r="A2179">
        <v>5</v>
      </c>
      <c r="B2179" t="b">
        <v>1</v>
      </c>
      <c r="C2179" s="1">
        <v>42827</v>
      </c>
      <c r="D2179">
        <f>YEAR(AMAZON_FASHION_5__2[[#This Row],[reviewDate]])</f>
        <v>2017</v>
      </c>
      <c r="E2179" s="1" t="str">
        <f>TEXT(AMAZON_FASHION_5__2[[#This Row],[reviewDate]], "mmmm")</f>
        <v>April</v>
      </c>
      <c r="F2179" t="s">
        <v>921</v>
      </c>
      <c r="G2179" t="s">
        <v>1501</v>
      </c>
      <c r="H2179" t="s">
        <v>205</v>
      </c>
      <c r="I2179" t="s">
        <v>344</v>
      </c>
      <c r="J2179" t="s">
        <v>922</v>
      </c>
      <c r="K2179" t="s">
        <v>923</v>
      </c>
      <c r="L2179" t="s">
        <v>17</v>
      </c>
      <c r="M2179">
        <v>1491091200</v>
      </c>
      <c r="N2179" t="s">
        <v>1628</v>
      </c>
      <c r="O2179" t="s">
        <v>1628</v>
      </c>
      <c r="P2179" t="s">
        <v>1628</v>
      </c>
      <c r="Q2179">
        <f>LEN(AMAZON_FASHION_5__2[[#This Row],[reviewText]])</f>
        <v>39</v>
      </c>
      <c r="R2179" t="str">
        <f>IF(AMAZON_FASHION_5__2[[#This Row],[overall]]&gt;=4,"Positive",IF(AMAZON_FASHION_5__2[[#This Row],[overall]]&lt;=2,"Negative","Neutral"))</f>
        <v>Positive</v>
      </c>
      <c r="S21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80" spans="1:19" x14ac:dyDescent="0.25">
      <c r="A2180">
        <v>4</v>
      </c>
      <c r="B2180" t="b">
        <v>1</v>
      </c>
      <c r="C2180" s="1">
        <v>42824</v>
      </c>
      <c r="D2180">
        <f>YEAR(AMAZON_FASHION_5__2[[#This Row],[reviewDate]])</f>
        <v>2017</v>
      </c>
      <c r="E2180" s="1" t="str">
        <f>TEXT(AMAZON_FASHION_5__2[[#This Row],[reviewDate]], "mmmm")</f>
        <v>March</v>
      </c>
      <c r="F2180" t="s">
        <v>924</v>
      </c>
      <c r="G2180" t="s">
        <v>1501</v>
      </c>
      <c r="H2180" t="s">
        <v>205</v>
      </c>
      <c r="I2180" t="s">
        <v>198</v>
      </c>
      <c r="J2180" t="s">
        <v>925</v>
      </c>
      <c r="K2180" t="s">
        <v>926</v>
      </c>
      <c r="L2180" t="s">
        <v>927</v>
      </c>
      <c r="M2180">
        <v>1490832000</v>
      </c>
      <c r="N2180" t="s">
        <v>1628</v>
      </c>
      <c r="O2180" t="s">
        <v>1628</v>
      </c>
      <c r="P2180" t="s">
        <v>1628</v>
      </c>
      <c r="Q2180">
        <f>LEN(AMAZON_FASHION_5__2[[#This Row],[reviewText]])</f>
        <v>87</v>
      </c>
      <c r="R2180" t="str">
        <f>IF(AMAZON_FASHION_5__2[[#This Row],[overall]]&gt;=4,"Positive",IF(AMAZON_FASHION_5__2[[#This Row],[overall]]&lt;=2,"Negative","Neutral"))</f>
        <v>Positive</v>
      </c>
      <c r="S21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81" spans="1:19" x14ac:dyDescent="0.25">
      <c r="A2181">
        <v>5</v>
      </c>
      <c r="B2181" t="b">
        <v>1</v>
      </c>
      <c r="C2181" s="1">
        <v>42823</v>
      </c>
      <c r="D2181">
        <f>YEAR(AMAZON_FASHION_5__2[[#This Row],[reviewDate]])</f>
        <v>2017</v>
      </c>
      <c r="E2181" s="1" t="str">
        <f>TEXT(AMAZON_FASHION_5__2[[#This Row],[reviewDate]], "mmmm")</f>
        <v>March</v>
      </c>
      <c r="F2181" t="s">
        <v>928</v>
      </c>
      <c r="G2181" t="s">
        <v>1501</v>
      </c>
      <c r="H2181" t="s">
        <v>235</v>
      </c>
      <c r="I2181" t="s">
        <v>411</v>
      </c>
      <c r="J2181" t="s">
        <v>929</v>
      </c>
      <c r="K2181" t="s">
        <v>930</v>
      </c>
      <c r="L2181" t="s">
        <v>931</v>
      </c>
      <c r="M2181">
        <v>1490745600</v>
      </c>
      <c r="N2181" t="s">
        <v>1628</v>
      </c>
      <c r="O2181" t="s">
        <v>1628</v>
      </c>
      <c r="P2181" t="s">
        <v>1628</v>
      </c>
      <c r="Q2181">
        <f>LEN(AMAZON_FASHION_5__2[[#This Row],[reviewText]])</f>
        <v>120</v>
      </c>
      <c r="R2181" t="str">
        <f>IF(AMAZON_FASHION_5__2[[#This Row],[overall]]&gt;=4,"Positive",IF(AMAZON_FASHION_5__2[[#This Row],[overall]]&lt;=2,"Negative","Neutral"))</f>
        <v>Positive</v>
      </c>
      <c r="S21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82" spans="1:19" x14ac:dyDescent="0.25">
      <c r="A2182">
        <v>2</v>
      </c>
      <c r="B2182" t="b">
        <v>1</v>
      </c>
      <c r="C2182" s="1">
        <v>42820</v>
      </c>
      <c r="D2182">
        <f>YEAR(AMAZON_FASHION_5__2[[#This Row],[reviewDate]])</f>
        <v>2017</v>
      </c>
      <c r="E2182" s="1" t="str">
        <f>TEXT(AMAZON_FASHION_5__2[[#This Row],[reviewDate]], "mmmm")</f>
        <v>March</v>
      </c>
      <c r="F2182" t="s">
        <v>932</v>
      </c>
      <c r="G2182" t="s">
        <v>1501</v>
      </c>
      <c r="H2182" t="s">
        <v>477</v>
      </c>
      <c r="I2182" t="s">
        <v>211</v>
      </c>
      <c r="J2182" t="s">
        <v>933</v>
      </c>
      <c r="K2182" t="s">
        <v>934</v>
      </c>
      <c r="L2182" t="s">
        <v>935</v>
      </c>
      <c r="M2182">
        <v>1490486400</v>
      </c>
      <c r="N2182" t="s">
        <v>1628</v>
      </c>
      <c r="O2182" t="s">
        <v>1628</v>
      </c>
      <c r="P2182" t="s">
        <v>1628</v>
      </c>
      <c r="Q2182">
        <f>LEN(AMAZON_FASHION_5__2[[#This Row],[reviewText]])</f>
        <v>178</v>
      </c>
      <c r="R2182" t="str">
        <f>IF(AMAZON_FASHION_5__2[[#This Row],[overall]]&gt;=4,"Positive",IF(AMAZON_FASHION_5__2[[#This Row],[overall]]&lt;=2,"Negative","Neutral"))</f>
        <v>Negative</v>
      </c>
      <c r="S21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83" spans="1:19" x14ac:dyDescent="0.25">
      <c r="A2183">
        <v>1</v>
      </c>
      <c r="B2183" t="b">
        <v>1</v>
      </c>
      <c r="C2183" s="1">
        <v>42819</v>
      </c>
      <c r="D2183">
        <f>YEAR(AMAZON_FASHION_5__2[[#This Row],[reviewDate]])</f>
        <v>2017</v>
      </c>
      <c r="E2183" s="1" t="str">
        <f>TEXT(AMAZON_FASHION_5__2[[#This Row],[reviewDate]], "mmmm")</f>
        <v>March</v>
      </c>
      <c r="F2183" t="s">
        <v>936</v>
      </c>
      <c r="G2183" t="s">
        <v>1501</v>
      </c>
      <c r="H2183" t="s">
        <v>1488</v>
      </c>
      <c r="I2183" t="s">
        <v>336</v>
      </c>
      <c r="J2183" t="s">
        <v>937</v>
      </c>
      <c r="K2183" t="s">
        <v>938</v>
      </c>
      <c r="L2183" t="s">
        <v>65</v>
      </c>
      <c r="M2183">
        <v>1490400000</v>
      </c>
      <c r="N2183" t="s">
        <v>1628</v>
      </c>
      <c r="O2183" t="s">
        <v>1628</v>
      </c>
      <c r="P2183" t="s">
        <v>1628</v>
      </c>
      <c r="Q2183">
        <f>LEN(AMAZON_FASHION_5__2[[#This Row],[reviewText]])</f>
        <v>84</v>
      </c>
      <c r="R2183" t="str">
        <f>IF(AMAZON_FASHION_5__2[[#This Row],[overall]]&gt;=4,"Positive",IF(AMAZON_FASHION_5__2[[#This Row],[overall]]&lt;=2,"Negative","Neutral"))</f>
        <v>Negative</v>
      </c>
      <c r="S21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84" spans="1:19" x14ac:dyDescent="0.25">
      <c r="A2184">
        <v>5</v>
      </c>
      <c r="B2184" t="b">
        <v>1</v>
      </c>
      <c r="C2184" s="1">
        <v>42818</v>
      </c>
      <c r="D2184">
        <f>YEAR(AMAZON_FASHION_5__2[[#This Row],[reviewDate]])</f>
        <v>2017</v>
      </c>
      <c r="E2184" s="1" t="str">
        <f>TEXT(AMAZON_FASHION_5__2[[#This Row],[reviewDate]], "mmmm")</f>
        <v>March</v>
      </c>
      <c r="F2184" t="s">
        <v>939</v>
      </c>
      <c r="G2184" t="s">
        <v>1501</v>
      </c>
      <c r="H2184" t="s">
        <v>235</v>
      </c>
      <c r="I2184" t="s">
        <v>198</v>
      </c>
      <c r="J2184" t="s">
        <v>63</v>
      </c>
      <c r="K2184" t="s">
        <v>940</v>
      </c>
      <c r="L2184" t="s">
        <v>17</v>
      </c>
      <c r="M2184">
        <v>1490313600</v>
      </c>
      <c r="N2184" t="s">
        <v>1628</v>
      </c>
      <c r="O2184" t="s">
        <v>1628</v>
      </c>
      <c r="P2184" t="s">
        <v>1628</v>
      </c>
      <c r="Q2184">
        <f>LEN(AMAZON_FASHION_5__2[[#This Row],[reviewText]])</f>
        <v>10</v>
      </c>
      <c r="R2184" t="str">
        <f>IF(AMAZON_FASHION_5__2[[#This Row],[overall]]&gt;=4,"Positive",IF(AMAZON_FASHION_5__2[[#This Row],[overall]]&lt;=2,"Negative","Neutral"))</f>
        <v>Positive</v>
      </c>
      <c r="S21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85" spans="1:19" x14ac:dyDescent="0.25">
      <c r="A2185">
        <v>5</v>
      </c>
      <c r="B2185" t="b">
        <v>1</v>
      </c>
      <c r="C2185" s="1">
        <v>42818</v>
      </c>
      <c r="D2185">
        <f>YEAR(AMAZON_FASHION_5__2[[#This Row],[reviewDate]])</f>
        <v>2017</v>
      </c>
      <c r="E2185" s="1" t="str">
        <f>TEXT(AMAZON_FASHION_5__2[[#This Row],[reviewDate]], "mmmm")</f>
        <v>March</v>
      </c>
      <c r="F2185" t="s">
        <v>941</v>
      </c>
      <c r="G2185" t="s">
        <v>1501</v>
      </c>
      <c r="H2185" t="s">
        <v>210</v>
      </c>
      <c r="I2185" t="s">
        <v>198</v>
      </c>
      <c r="J2185" t="s">
        <v>942</v>
      </c>
      <c r="K2185" t="s">
        <v>943</v>
      </c>
      <c r="L2185" t="s">
        <v>944</v>
      </c>
      <c r="M2185">
        <v>1490313600</v>
      </c>
      <c r="N2185" t="s">
        <v>1628</v>
      </c>
      <c r="O2185" t="s">
        <v>1628</v>
      </c>
      <c r="P2185" t="s">
        <v>1628</v>
      </c>
      <c r="Q2185">
        <f>LEN(AMAZON_FASHION_5__2[[#This Row],[reviewText]])</f>
        <v>225</v>
      </c>
      <c r="R2185" t="str">
        <f>IF(AMAZON_FASHION_5__2[[#This Row],[overall]]&gt;=4,"Positive",IF(AMAZON_FASHION_5__2[[#This Row],[overall]]&lt;=2,"Negative","Neutral"))</f>
        <v>Positive</v>
      </c>
      <c r="S21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86" spans="1:19" x14ac:dyDescent="0.25">
      <c r="A2186">
        <v>5</v>
      </c>
      <c r="B2186" t="b">
        <v>1</v>
      </c>
      <c r="C2186" s="1">
        <v>42817</v>
      </c>
      <c r="D2186">
        <f>YEAR(AMAZON_FASHION_5__2[[#This Row],[reviewDate]])</f>
        <v>2017</v>
      </c>
      <c r="E2186" s="1" t="str">
        <f>TEXT(AMAZON_FASHION_5__2[[#This Row],[reviewDate]], "mmmm")</f>
        <v>March</v>
      </c>
      <c r="F2186" t="s">
        <v>945</v>
      </c>
      <c r="G2186" t="s">
        <v>1501</v>
      </c>
      <c r="H2186" t="s">
        <v>230</v>
      </c>
      <c r="I2186" t="s">
        <v>574</v>
      </c>
      <c r="J2186" t="s">
        <v>946</v>
      </c>
      <c r="K2186" t="s">
        <v>947</v>
      </c>
      <c r="L2186" t="s">
        <v>948</v>
      </c>
      <c r="M2186">
        <v>1490227200</v>
      </c>
      <c r="N2186" t="s">
        <v>1628</v>
      </c>
      <c r="O2186" t="s">
        <v>1628</v>
      </c>
      <c r="P2186">
        <v>3</v>
      </c>
      <c r="Q2186">
        <f>LEN(AMAZON_FASHION_5__2[[#This Row],[reviewText]])</f>
        <v>401</v>
      </c>
      <c r="R2186" t="str">
        <f>IF(AMAZON_FASHION_5__2[[#This Row],[overall]]&gt;=4,"Positive",IF(AMAZON_FASHION_5__2[[#This Row],[overall]]&lt;=2,"Negative","Neutral"))</f>
        <v>Positive</v>
      </c>
      <c r="S21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87" spans="1:19" x14ac:dyDescent="0.25">
      <c r="A2187">
        <v>5</v>
      </c>
      <c r="B2187" t="b">
        <v>1</v>
      </c>
      <c r="C2187" s="1">
        <v>42815</v>
      </c>
      <c r="D2187">
        <f>YEAR(AMAZON_FASHION_5__2[[#This Row],[reviewDate]])</f>
        <v>2017</v>
      </c>
      <c r="E2187" s="1" t="str">
        <f>TEXT(AMAZON_FASHION_5__2[[#This Row],[reviewDate]], "mmmm")</f>
        <v>March</v>
      </c>
      <c r="F2187" t="s">
        <v>949</v>
      </c>
      <c r="G2187" t="s">
        <v>1501</v>
      </c>
      <c r="H2187" t="s">
        <v>210</v>
      </c>
      <c r="I2187" t="s">
        <v>419</v>
      </c>
      <c r="J2187" t="s">
        <v>950</v>
      </c>
      <c r="K2187" t="s">
        <v>951</v>
      </c>
      <c r="L2187" t="s">
        <v>543</v>
      </c>
      <c r="M2187">
        <v>1490054400</v>
      </c>
      <c r="N2187" t="s">
        <v>1628</v>
      </c>
      <c r="O2187" t="s">
        <v>1628</v>
      </c>
      <c r="P2187" t="s">
        <v>1628</v>
      </c>
      <c r="Q2187">
        <f>LEN(AMAZON_FASHION_5__2[[#This Row],[reviewText]])</f>
        <v>110</v>
      </c>
      <c r="R2187" t="str">
        <f>IF(AMAZON_FASHION_5__2[[#This Row],[overall]]&gt;=4,"Positive",IF(AMAZON_FASHION_5__2[[#This Row],[overall]]&lt;=2,"Negative","Neutral"))</f>
        <v>Positive</v>
      </c>
      <c r="S21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88" spans="1:19" x14ac:dyDescent="0.25">
      <c r="A2188">
        <v>4</v>
      </c>
      <c r="B2188" t="b">
        <v>1</v>
      </c>
      <c r="C2188" s="1">
        <v>42814</v>
      </c>
      <c r="D2188">
        <f>YEAR(AMAZON_FASHION_5__2[[#This Row],[reviewDate]])</f>
        <v>2017</v>
      </c>
      <c r="E2188" s="1" t="str">
        <f>TEXT(AMAZON_FASHION_5__2[[#This Row],[reviewDate]], "mmmm")</f>
        <v>March</v>
      </c>
      <c r="F2188" t="s">
        <v>952</v>
      </c>
      <c r="G2188" t="s">
        <v>1501</v>
      </c>
      <c r="H2188" t="s">
        <v>477</v>
      </c>
      <c r="I2188" t="s">
        <v>344</v>
      </c>
      <c r="J2188" t="s">
        <v>953</v>
      </c>
      <c r="K2188" t="s">
        <v>954</v>
      </c>
      <c r="L2188" t="s">
        <v>955</v>
      </c>
      <c r="M2188">
        <v>1489968000</v>
      </c>
      <c r="N2188" t="s">
        <v>1628</v>
      </c>
      <c r="O2188" t="s">
        <v>1628</v>
      </c>
      <c r="P2188" t="s">
        <v>1628</v>
      </c>
      <c r="Q2188">
        <f>LEN(AMAZON_FASHION_5__2[[#This Row],[reviewText]])</f>
        <v>23</v>
      </c>
      <c r="R2188" t="str">
        <f>IF(AMAZON_FASHION_5__2[[#This Row],[overall]]&gt;=4,"Positive",IF(AMAZON_FASHION_5__2[[#This Row],[overall]]&lt;=2,"Negative","Neutral"))</f>
        <v>Positive</v>
      </c>
      <c r="S21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89" spans="1:19" x14ac:dyDescent="0.25">
      <c r="A2189">
        <v>5</v>
      </c>
      <c r="B2189" t="b">
        <v>1</v>
      </c>
      <c r="C2189" s="1">
        <v>42812</v>
      </c>
      <c r="D2189">
        <f>YEAR(AMAZON_FASHION_5__2[[#This Row],[reviewDate]])</f>
        <v>2017</v>
      </c>
      <c r="E2189" s="1" t="str">
        <f>TEXT(AMAZON_FASHION_5__2[[#This Row],[reviewDate]], "mmmm")</f>
        <v>March</v>
      </c>
      <c r="F2189" t="s">
        <v>956</v>
      </c>
      <c r="G2189" t="s">
        <v>1501</v>
      </c>
      <c r="H2189" t="s">
        <v>201</v>
      </c>
      <c r="I2189" t="s">
        <v>198</v>
      </c>
      <c r="J2189" t="s">
        <v>957</v>
      </c>
      <c r="K2189" t="s">
        <v>958</v>
      </c>
      <c r="L2189" t="s">
        <v>17</v>
      </c>
      <c r="M2189">
        <v>1489795200</v>
      </c>
      <c r="N2189" t="s">
        <v>1628</v>
      </c>
      <c r="O2189" t="s">
        <v>1628</v>
      </c>
      <c r="P2189" t="s">
        <v>1628</v>
      </c>
      <c r="Q2189">
        <f>LEN(AMAZON_FASHION_5__2[[#This Row],[reviewText]])</f>
        <v>40</v>
      </c>
      <c r="R2189" t="str">
        <f>IF(AMAZON_FASHION_5__2[[#This Row],[overall]]&gt;=4,"Positive",IF(AMAZON_FASHION_5__2[[#This Row],[overall]]&lt;=2,"Negative","Neutral"))</f>
        <v>Positive</v>
      </c>
      <c r="S21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90" spans="1:19" x14ac:dyDescent="0.25">
      <c r="A2190">
        <v>5</v>
      </c>
      <c r="B2190" t="b">
        <v>1</v>
      </c>
      <c r="C2190" s="1">
        <v>42812</v>
      </c>
      <c r="D2190">
        <f>YEAR(AMAZON_FASHION_5__2[[#This Row],[reviewDate]])</f>
        <v>2017</v>
      </c>
      <c r="E2190" s="1" t="str">
        <f>TEXT(AMAZON_FASHION_5__2[[#This Row],[reviewDate]], "mmmm")</f>
        <v>March</v>
      </c>
      <c r="F2190" t="s">
        <v>959</v>
      </c>
      <c r="G2190" t="s">
        <v>1501</v>
      </c>
      <c r="H2190" t="s">
        <v>201</v>
      </c>
      <c r="I2190" t="s">
        <v>419</v>
      </c>
      <c r="J2190" t="s">
        <v>960</v>
      </c>
      <c r="K2190" t="s">
        <v>961</v>
      </c>
      <c r="L2190" t="s">
        <v>962</v>
      </c>
      <c r="M2190">
        <v>1489795200</v>
      </c>
      <c r="N2190" t="s">
        <v>1628</v>
      </c>
      <c r="O2190" t="s">
        <v>1628</v>
      </c>
      <c r="P2190">
        <v>8</v>
      </c>
      <c r="Q2190">
        <f>LEN(AMAZON_FASHION_5__2[[#This Row],[reviewText]])</f>
        <v>267</v>
      </c>
      <c r="R2190" t="str">
        <f>IF(AMAZON_FASHION_5__2[[#This Row],[overall]]&gt;=4,"Positive",IF(AMAZON_FASHION_5__2[[#This Row],[overall]]&lt;=2,"Negative","Neutral"))</f>
        <v>Positive</v>
      </c>
      <c r="S21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91" spans="1:19" x14ac:dyDescent="0.25">
      <c r="A2191">
        <v>3</v>
      </c>
      <c r="B2191" t="b">
        <v>1</v>
      </c>
      <c r="C2191" s="1">
        <v>42811</v>
      </c>
      <c r="D2191">
        <f>YEAR(AMAZON_FASHION_5__2[[#This Row],[reviewDate]])</f>
        <v>2017</v>
      </c>
      <c r="E2191" s="1" t="str">
        <f>TEXT(AMAZON_FASHION_5__2[[#This Row],[reviewDate]], "mmmm")</f>
        <v>March</v>
      </c>
      <c r="F2191" t="s">
        <v>963</v>
      </c>
      <c r="G2191" t="s">
        <v>1501</v>
      </c>
      <c r="H2191" t="s">
        <v>477</v>
      </c>
      <c r="I2191" t="s">
        <v>344</v>
      </c>
      <c r="J2191" t="s">
        <v>1076</v>
      </c>
      <c r="K2191" t="s">
        <v>965</v>
      </c>
      <c r="L2191" t="s">
        <v>966</v>
      </c>
      <c r="M2191">
        <v>1489708800</v>
      </c>
      <c r="N2191" t="s">
        <v>1628</v>
      </c>
      <c r="O2191" t="s">
        <v>1628</v>
      </c>
      <c r="P2191" t="s">
        <v>1628</v>
      </c>
      <c r="Q2191">
        <f>LEN(AMAZON_FASHION_5__2[[#This Row],[reviewText]])</f>
        <v>143</v>
      </c>
      <c r="R2191" t="str">
        <f>IF(AMAZON_FASHION_5__2[[#This Row],[overall]]&gt;=4,"Positive",IF(AMAZON_FASHION_5__2[[#This Row],[overall]]&lt;=2,"Negative","Neutral"))</f>
        <v>Neutral</v>
      </c>
      <c r="S21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92" spans="1:19" x14ac:dyDescent="0.25">
      <c r="A2192">
        <v>4</v>
      </c>
      <c r="B2192" t="b">
        <v>1</v>
      </c>
      <c r="C2192" s="1">
        <v>42809</v>
      </c>
      <c r="D2192">
        <f>YEAR(AMAZON_FASHION_5__2[[#This Row],[reviewDate]])</f>
        <v>2017</v>
      </c>
      <c r="E2192" s="1" t="str">
        <f>TEXT(AMAZON_FASHION_5__2[[#This Row],[reviewDate]], "mmmm")</f>
        <v>March</v>
      </c>
      <c r="F2192" t="s">
        <v>967</v>
      </c>
      <c r="G2192" t="s">
        <v>1501</v>
      </c>
      <c r="H2192" t="s">
        <v>201</v>
      </c>
      <c r="I2192" t="s">
        <v>524</v>
      </c>
      <c r="J2192" t="s">
        <v>968</v>
      </c>
      <c r="K2192" t="s">
        <v>969</v>
      </c>
      <c r="L2192" t="s">
        <v>970</v>
      </c>
      <c r="M2192">
        <v>1489536000</v>
      </c>
      <c r="N2192" t="s">
        <v>1628</v>
      </c>
      <c r="O2192" t="s">
        <v>1628</v>
      </c>
      <c r="P2192" t="s">
        <v>1628</v>
      </c>
      <c r="Q2192">
        <f>LEN(AMAZON_FASHION_5__2[[#This Row],[reviewText]])</f>
        <v>118</v>
      </c>
      <c r="R2192" t="str">
        <f>IF(AMAZON_FASHION_5__2[[#This Row],[overall]]&gt;=4,"Positive",IF(AMAZON_FASHION_5__2[[#This Row],[overall]]&lt;=2,"Negative","Neutral"))</f>
        <v>Positive</v>
      </c>
      <c r="S21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93" spans="1:19" x14ac:dyDescent="0.25">
      <c r="A2193">
        <v>3</v>
      </c>
      <c r="B2193" t="b">
        <v>1</v>
      </c>
      <c r="C2193" s="1">
        <v>42809</v>
      </c>
      <c r="D2193">
        <f>YEAR(AMAZON_FASHION_5__2[[#This Row],[reviewDate]])</f>
        <v>2017</v>
      </c>
      <c r="E2193" s="1" t="str">
        <f>TEXT(AMAZON_FASHION_5__2[[#This Row],[reviewDate]], "mmmm")</f>
        <v>March</v>
      </c>
      <c r="F2193" t="s">
        <v>971</v>
      </c>
      <c r="G2193" t="s">
        <v>1501</v>
      </c>
      <c r="H2193" t="s">
        <v>235</v>
      </c>
      <c r="I2193" t="s">
        <v>411</v>
      </c>
      <c r="J2193" t="s">
        <v>972</v>
      </c>
      <c r="K2193" t="s">
        <v>973</v>
      </c>
      <c r="L2193" t="s">
        <v>974</v>
      </c>
      <c r="M2193">
        <v>1489536000</v>
      </c>
      <c r="N2193" t="s">
        <v>1628</v>
      </c>
      <c r="O2193" t="s">
        <v>1628</v>
      </c>
      <c r="P2193">
        <v>2</v>
      </c>
      <c r="Q2193">
        <f>LEN(AMAZON_FASHION_5__2[[#This Row],[reviewText]])</f>
        <v>150</v>
      </c>
      <c r="R2193" t="str">
        <f>IF(AMAZON_FASHION_5__2[[#This Row],[overall]]&gt;=4,"Positive",IF(AMAZON_FASHION_5__2[[#This Row],[overall]]&lt;=2,"Negative","Neutral"))</f>
        <v>Neutral</v>
      </c>
      <c r="S21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94" spans="1:19" x14ac:dyDescent="0.25">
      <c r="A2194">
        <v>5</v>
      </c>
      <c r="B2194" t="b">
        <v>1</v>
      </c>
      <c r="C2194" s="1">
        <v>42809</v>
      </c>
      <c r="D2194">
        <f>YEAR(AMAZON_FASHION_5__2[[#This Row],[reviewDate]])</f>
        <v>2017</v>
      </c>
      <c r="E2194" s="1" t="str">
        <f>TEXT(AMAZON_FASHION_5__2[[#This Row],[reviewDate]], "mmmm")</f>
        <v>March</v>
      </c>
      <c r="F2194" t="s">
        <v>975</v>
      </c>
      <c r="G2194" t="s">
        <v>1501</v>
      </c>
      <c r="H2194" t="s">
        <v>201</v>
      </c>
      <c r="I2194" t="s">
        <v>524</v>
      </c>
      <c r="J2194" t="s">
        <v>976</v>
      </c>
      <c r="K2194" t="s">
        <v>977</v>
      </c>
      <c r="L2194" t="s">
        <v>17</v>
      </c>
      <c r="M2194">
        <v>1489536000</v>
      </c>
      <c r="N2194" t="s">
        <v>1628</v>
      </c>
      <c r="O2194" t="s">
        <v>1628</v>
      </c>
      <c r="P2194" t="s">
        <v>1628</v>
      </c>
      <c r="Q2194">
        <f>LEN(AMAZON_FASHION_5__2[[#This Row],[reviewText]])</f>
        <v>40</v>
      </c>
      <c r="R2194" t="str">
        <f>IF(AMAZON_FASHION_5__2[[#This Row],[overall]]&gt;=4,"Positive",IF(AMAZON_FASHION_5__2[[#This Row],[overall]]&lt;=2,"Negative","Neutral"))</f>
        <v>Positive</v>
      </c>
      <c r="S21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95" spans="1:19" x14ac:dyDescent="0.25">
      <c r="A2195">
        <v>5</v>
      </c>
      <c r="B2195" t="b">
        <v>1</v>
      </c>
      <c r="C2195" s="1">
        <v>42808</v>
      </c>
      <c r="D2195">
        <f>YEAR(AMAZON_FASHION_5__2[[#This Row],[reviewDate]])</f>
        <v>2017</v>
      </c>
      <c r="E2195" s="1" t="str">
        <f>TEXT(AMAZON_FASHION_5__2[[#This Row],[reviewDate]], "mmmm")</f>
        <v>March</v>
      </c>
      <c r="F2195" t="s">
        <v>978</v>
      </c>
      <c r="G2195" t="s">
        <v>1501</v>
      </c>
      <c r="H2195" t="s">
        <v>205</v>
      </c>
      <c r="I2195" t="s">
        <v>827</v>
      </c>
      <c r="J2195" t="s">
        <v>979</v>
      </c>
      <c r="K2195" t="s">
        <v>980</v>
      </c>
      <c r="L2195" t="s">
        <v>17</v>
      </c>
      <c r="M2195">
        <v>1489449600</v>
      </c>
      <c r="N2195" t="s">
        <v>1628</v>
      </c>
      <c r="O2195" t="s">
        <v>1628</v>
      </c>
      <c r="P2195" t="s">
        <v>1628</v>
      </c>
      <c r="Q2195">
        <f>LEN(AMAZON_FASHION_5__2[[#This Row],[reviewText]])</f>
        <v>33</v>
      </c>
      <c r="R2195" t="str">
        <f>IF(AMAZON_FASHION_5__2[[#This Row],[overall]]&gt;=4,"Positive",IF(AMAZON_FASHION_5__2[[#This Row],[overall]]&lt;=2,"Negative","Neutral"))</f>
        <v>Positive</v>
      </c>
      <c r="S21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96" spans="1:19" x14ac:dyDescent="0.25">
      <c r="A2196">
        <v>5</v>
      </c>
      <c r="B2196" t="b">
        <v>1</v>
      </c>
      <c r="C2196" s="1">
        <v>42807</v>
      </c>
      <c r="D2196">
        <f>YEAR(AMAZON_FASHION_5__2[[#This Row],[reviewDate]])</f>
        <v>2017</v>
      </c>
      <c r="E2196" s="1" t="str">
        <f>TEXT(AMAZON_FASHION_5__2[[#This Row],[reviewDate]], "mmmm")</f>
        <v>March</v>
      </c>
      <c r="F2196" t="s">
        <v>981</v>
      </c>
      <c r="G2196" t="s">
        <v>1501</v>
      </c>
      <c r="H2196" t="s">
        <v>210</v>
      </c>
      <c r="I2196" t="s">
        <v>524</v>
      </c>
      <c r="J2196" t="s">
        <v>982</v>
      </c>
      <c r="K2196" t="s">
        <v>983</v>
      </c>
      <c r="L2196" t="s">
        <v>984</v>
      </c>
      <c r="M2196">
        <v>1489363200</v>
      </c>
      <c r="N2196" t="s">
        <v>1628</v>
      </c>
      <c r="O2196" t="s">
        <v>1628</v>
      </c>
      <c r="P2196" t="s">
        <v>1628</v>
      </c>
      <c r="Q2196">
        <f>LEN(AMAZON_FASHION_5__2[[#This Row],[reviewText]])</f>
        <v>297</v>
      </c>
      <c r="R2196" t="str">
        <f>IF(AMAZON_FASHION_5__2[[#This Row],[overall]]&gt;=4,"Positive",IF(AMAZON_FASHION_5__2[[#This Row],[overall]]&lt;=2,"Negative","Neutral"))</f>
        <v>Positive</v>
      </c>
      <c r="S21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97" spans="1:19" x14ac:dyDescent="0.25">
      <c r="A2197">
        <v>5</v>
      </c>
      <c r="B2197" t="b">
        <v>1</v>
      </c>
      <c r="C2197" s="1">
        <v>42806</v>
      </c>
      <c r="D2197">
        <f>YEAR(AMAZON_FASHION_5__2[[#This Row],[reviewDate]])</f>
        <v>2017</v>
      </c>
      <c r="E2197" s="1" t="str">
        <f>TEXT(AMAZON_FASHION_5__2[[#This Row],[reviewDate]], "mmmm")</f>
        <v>March</v>
      </c>
      <c r="F2197" t="s">
        <v>985</v>
      </c>
      <c r="G2197" t="s">
        <v>1501</v>
      </c>
      <c r="H2197" t="s">
        <v>235</v>
      </c>
      <c r="I2197" t="s">
        <v>198</v>
      </c>
      <c r="J2197" t="s">
        <v>986</v>
      </c>
      <c r="K2197" t="s">
        <v>987</v>
      </c>
      <c r="L2197" t="s">
        <v>988</v>
      </c>
      <c r="M2197">
        <v>1489276800</v>
      </c>
      <c r="N2197" t="s">
        <v>1628</v>
      </c>
      <c r="O2197" t="s">
        <v>1628</v>
      </c>
      <c r="P2197" t="s">
        <v>1628</v>
      </c>
      <c r="Q2197">
        <f>LEN(AMAZON_FASHION_5__2[[#This Row],[reviewText]])</f>
        <v>81</v>
      </c>
      <c r="R2197" t="str">
        <f>IF(AMAZON_FASHION_5__2[[#This Row],[overall]]&gt;=4,"Positive",IF(AMAZON_FASHION_5__2[[#This Row],[overall]]&lt;=2,"Negative","Neutral"))</f>
        <v>Positive</v>
      </c>
      <c r="S21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98" spans="1:19" x14ac:dyDescent="0.25">
      <c r="A2198">
        <v>5</v>
      </c>
      <c r="B2198" t="b">
        <v>1</v>
      </c>
      <c r="C2198" s="1">
        <v>42802</v>
      </c>
      <c r="D2198">
        <f>YEAR(AMAZON_FASHION_5__2[[#This Row],[reviewDate]])</f>
        <v>2017</v>
      </c>
      <c r="E2198" s="1" t="str">
        <f>TEXT(AMAZON_FASHION_5__2[[#This Row],[reviewDate]], "mmmm")</f>
        <v>March</v>
      </c>
      <c r="F2198" t="s">
        <v>989</v>
      </c>
      <c r="G2198" t="s">
        <v>1501</v>
      </c>
      <c r="H2198" t="s">
        <v>477</v>
      </c>
      <c r="I2198" t="s">
        <v>198</v>
      </c>
      <c r="J2198" t="s">
        <v>990</v>
      </c>
      <c r="K2198" t="s">
        <v>991</v>
      </c>
      <c r="L2198" t="s">
        <v>17</v>
      </c>
      <c r="M2198">
        <v>1488931200</v>
      </c>
      <c r="N2198" t="s">
        <v>1628</v>
      </c>
      <c r="O2198" t="s">
        <v>1628</v>
      </c>
      <c r="P2198" t="s">
        <v>1628</v>
      </c>
      <c r="Q2198">
        <f>LEN(AMAZON_FASHION_5__2[[#This Row],[reviewText]])</f>
        <v>13</v>
      </c>
      <c r="R2198" t="str">
        <f>IF(AMAZON_FASHION_5__2[[#This Row],[overall]]&gt;=4,"Positive",IF(AMAZON_FASHION_5__2[[#This Row],[overall]]&lt;=2,"Negative","Neutral"))</f>
        <v>Positive</v>
      </c>
      <c r="S21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199" spans="1:19" x14ac:dyDescent="0.25">
      <c r="A2199">
        <v>4</v>
      </c>
      <c r="B2199" t="b">
        <v>1</v>
      </c>
      <c r="C2199" s="1">
        <v>42802</v>
      </c>
      <c r="D2199">
        <f>YEAR(AMAZON_FASHION_5__2[[#This Row],[reviewDate]])</f>
        <v>2017</v>
      </c>
      <c r="E2199" s="1" t="str">
        <f>TEXT(AMAZON_FASHION_5__2[[#This Row],[reviewDate]], "mmmm")</f>
        <v>March</v>
      </c>
      <c r="F2199" t="s">
        <v>992</v>
      </c>
      <c r="G2199" t="s">
        <v>1501</v>
      </c>
      <c r="H2199" t="s">
        <v>205</v>
      </c>
      <c r="I2199" t="s">
        <v>827</v>
      </c>
      <c r="J2199" t="s">
        <v>63</v>
      </c>
      <c r="K2199" t="s">
        <v>993</v>
      </c>
      <c r="L2199" t="s">
        <v>994</v>
      </c>
      <c r="M2199">
        <v>1488931200</v>
      </c>
      <c r="N2199" t="s">
        <v>1628</v>
      </c>
      <c r="O2199" t="s">
        <v>1628</v>
      </c>
      <c r="P2199" t="s">
        <v>1628</v>
      </c>
      <c r="Q2199">
        <f>LEN(AMAZON_FASHION_5__2[[#This Row],[reviewText]])</f>
        <v>182</v>
      </c>
      <c r="R2199" t="str">
        <f>IF(AMAZON_FASHION_5__2[[#This Row],[overall]]&gt;=4,"Positive",IF(AMAZON_FASHION_5__2[[#This Row],[overall]]&lt;=2,"Negative","Neutral"))</f>
        <v>Positive</v>
      </c>
      <c r="S21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00" spans="1:19" x14ac:dyDescent="0.25">
      <c r="A2200">
        <v>4</v>
      </c>
      <c r="B2200" t="b">
        <v>1</v>
      </c>
      <c r="C2200" s="1">
        <v>42802</v>
      </c>
      <c r="D2200">
        <f>YEAR(AMAZON_FASHION_5__2[[#This Row],[reviewDate]])</f>
        <v>2017</v>
      </c>
      <c r="E2200" s="1" t="str">
        <f>TEXT(AMAZON_FASHION_5__2[[#This Row],[reviewDate]], "mmmm")</f>
        <v>March</v>
      </c>
      <c r="F2200" t="s">
        <v>992</v>
      </c>
      <c r="G2200" t="s">
        <v>1501</v>
      </c>
      <c r="H2200" t="s">
        <v>205</v>
      </c>
      <c r="I2200" t="s">
        <v>344</v>
      </c>
      <c r="J2200" t="s">
        <v>63</v>
      </c>
      <c r="K2200" t="s">
        <v>993</v>
      </c>
      <c r="L2200" t="s">
        <v>994</v>
      </c>
      <c r="M2200">
        <v>1488931200</v>
      </c>
      <c r="N2200" t="s">
        <v>1628</v>
      </c>
      <c r="O2200" t="s">
        <v>1628</v>
      </c>
      <c r="P2200" t="s">
        <v>1628</v>
      </c>
      <c r="Q2200">
        <f>LEN(AMAZON_FASHION_5__2[[#This Row],[reviewText]])</f>
        <v>182</v>
      </c>
      <c r="R2200" t="str">
        <f>IF(AMAZON_FASHION_5__2[[#This Row],[overall]]&gt;=4,"Positive",IF(AMAZON_FASHION_5__2[[#This Row],[overall]]&lt;=2,"Negative","Neutral"))</f>
        <v>Positive</v>
      </c>
      <c r="S22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01" spans="1:19" x14ac:dyDescent="0.25">
      <c r="A2201">
        <v>5</v>
      </c>
      <c r="B2201" t="b">
        <v>1</v>
      </c>
      <c r="C2201" s="1">
        <v>42800</v>
      </c>
      <c r="D2201">
        <f>YEAR(AMAZON_FASHION_5__2[[#This Row],[reviewDate]])</f>
        <v>2017</v>
      </c>
      <c r="E2201" s="1" t="str">
        <f>TEXT(AMAZON_FASHION_5__2[[#This Row],[reviewDate]], "mmmm")</f>
        <v>March</v>
      </c>
      <c r="F2201" t="s">
        <v>995</v>
      </c>
      <c r="G2201" t="s">
        <v>1501</v>
      </c>
      <c r="H2201" t="s">
        <v>230</v>
      </c>
      <c r="I2201" t="s">
        <v>198</v>
      </c>
      <c r="J2201" t="s">
        <v>996</v>
      </c>
      <c r="K2201" t="s">
        <v>997</v>
      </c>
      <c r="L2201" t="s">
        <v>17</v>
      </c>
      <c r="M2201">
        <v>1488758400</v>
      </c>
      <c r="N2201" t="s">
        <v>1628</v>
      </c>
      <c r="O2201" t="s">
        <v>1628</v>
      </c>
      <c r="P2201" t="s">
        <v>1628</v>
      </c>
      <c r="Q2201">
        <f>LEN(AMAZON_FASHION_5__2[[#This Row],[reviewText]])</f>
        <v>10</v>
      </c>
      <c r="R2201" t="str">
        <f>IF(AMAZON_FASHION_5__2[[#This Row],[overall]]&gt;=4,"Positive",IF(AMAZON_FASHION_5__2[[#This Row],[overall]]&lt;=2,"Negative","Neutral"))</f>
        <v>Positive</v>
      </c>
      <c r="S22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02" spans="1:19" x14ac:dyDescent="0.25">
      <c r="A2202">
        <v>5</v>
      </c>
      <c r="B2202" t="b">
        <v>0</v>
      </c>
      <c r="C2202" s="1">
        <v>42792</v>
      </c>
      <c r="D2202">
        <f>YEAR(AMAZON_FASHION_5__2[[#This Row],[reviewDate]])</f>
        <v>2017</v>
      </c>
      <c r="E2202" s="1" t="str">
        <f>TEXT(AMAZON_FASHION_5__2[[#This Row],[reviewDate]], "mmmm")</f>
        <v>February</v>
      </c>
      <c r="F2202" t="s">
        <v>998</v>
      </c>
      <c r="G2202" t="s">
        <v>1501</v>
      </c>
      <c r="H2202" t="s">
        <v>261</v>
      </c>
      <c r="I2202" t="s">
        <v>1455</v>
      </c>
      <c r="J2202" t="s">
        <v>999</v>
      </c>
      <c r="K2202" t="s">
        <v>1000</v>
      </c>
      <c r="L2202" t="s">
        <v>1001</v>
      </c>
      <c r="M2202">
        <v>1488067200</v>
      </c>
      <c r="N2202" t="s">
        <v>1628</v>
      </c>
      <c r="O2202" t="s">
        <v>1628</v>
      </c>
      <c r="P2202" t="s">
        <v>1628</v>
      </c>
      <c r="Q2202">
        <f>LEN(AMAZON_FASHION_5__2[[#This Row],[reviewText]])</f>
        <v>206</v>
      </c>
      <c r="R2202" t="str">
        <f>IF(AMAZON_FASHION_5__2[[#This Row],[overall]]&gt;=4,"Positive",IF(AMAZON_FASHION_5__2[[#This Row],[overall]]&lt;=2,"Negative","Neutral"))</f>
        <v>Positive</v>
      </c>
      <c r="S22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03" spans="1:19" x14ac:dyDescent="0.25">
      <c r="A2203">
        <v>4</v>
      </c>
      <c r="B2203" t="b">
        <v>1</v>
      </c>
      <c r="C2203" s="1">
        <v>42790</v>
      </c>
      <c r="D2203">
        <f>YEAR(AMAZON_FASHION_5__2[[#This Row],[reviewDate]])</f>
        <v>2017</v>
      </c>
      <c r="E2203" s="1" t="str">
        <f>TEXT(AMAZON_FASHION_5__2[[#This Row],[reviewDate]], "mmmm")</f>
        <v>February</v>
      </c>
      <c r="F2203" t="s">
        <v>1002</v>
      </c>
      <c r="G2203" t="s">
        <v>1501</v>
      </c>
      <c r="H2203" t="s">
        <v>197</v>
      </c>
      <c r="I2203" t="s">
        <v>198</v>
      </c>
      <c r="J2203" t="s">
        <v>1003</v>
      </c>
      <c r="K2203" t="s">
        <v>1004</v>
      </c>
      <c r="L2203" t="s">
        <v>1005</v>
      </c>
      <c r="M2203">
        <v>1487894400</v>
      </c>
      <c r="N2203" t="s">
        <v>1628</v>
      </c>
      <c r="O2203" t="s">
        <v>1628</v>
      </c>
      <c r="P2203" t="s">
        <v>1628</v>
      </c>
      <c r="Q2203">
        <f>LEN(AMAZON_FASHION_5__2[[#This Row],[reviewText]])</f>
        <v>171</v>
      </c>
      <c r="R2203" t="str">
        <f>IF(AMAZON_FASHION_5__2[[#This Row],[overall]]&gt;=4,"Positive",IF(AMAZON_FASHION_5__2[[#This Row],[overall]]&lt;=2,"Negative","Neutral"))</f>
        <v>Positive</v>
      </c>
      <c r="S22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04" spans="1:19" x14ac:dyDescent="0.25">
      <c r="A2204">
        <v>5</v>
      </c>
      <c r="B2204" t="b">
        <v>1</v>
      </c>
      <c r="C2204" s="1">
        <v>42790</v>
      </c>
      <c r="D2204">
        <f>YEAR(AMAZON_FASHION_5__2[[#This Row],[reviewDate]])</f>
        <v>2017</v>
      </c>
      <c r="E2204" s="1" t="str">
        <f>TEXT(AMAZON_FASHION_5__2[[#This Row],[reviewDate]], "mmmm")</f>
        <v>February</v>
      </c>
      <c r="F2204" t="s">
        <v>1006</v>
      </c>
      <c r="G2204" t="s">
        <v>1501</v>
      </c>
      <c r="H2204" t="s">
        <v>197</v>
      </c>
      <c r="I2204" t="s">
        <v>198</v>
      </c>
      <c r="J2204" t="s">
        <v>1007</v>
      </c>
      <c r="K2204" t="s">
        <v>1008</v>
      </c>
      <c r="L2204" t="s">
        <v>17</v>
      </c>
      <c r="M2204">
        <v>1487894400</v>
      </c>
      <c r="N2204" t="s">
        <v>1628</v>
      </c>
      <c r="O2204" t="s">
        <v>1628</v>
      </c>
      <c r="P2204" t="s">
        <v>1628</v>
      </c>
      <c r="Q2204">
        <f>LEN(AMAZON_FASHION_5__2[[#This Row],[reviewText]])</f>
        <v>12</v>
      </c>
      <c r="R2204" t="str">
        <f>IF(AMAZON_FASHION_5__2[[#This Row],[overall]]&gt;=4,"Positive",IF(AMAZON_FASHION_5__2[[#This Row],[overall]]&lt;=2,"Negative","Neutral"))</f>
        <v>Positive</v>
      </c>
      <c r="S22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05" spans="1:19" x14ac:dyDescent="0.25">
      <c r="A2205">
        <v>4</v>
      </c>
      <c r="B2205" t="b">
        <v>1</v>
      </c>
      <c r="C2205" s="1">
        <v>42787</v>
      </c>
      <c r="D2205">
        <f>YEAR(AMAZON_FASHION_5__2[[#This Row],[reviewDate]])</f>
        <v>2017</v>
      </c>
      <c r="E2205" s="1" t="str">
        <f>TEXT(AMAZON_FASHION_5__2[[#This Row],[reviewDate]], "mmmm")</f>
        <v>February</v>
      </c>
      <c r="F2205" t="s">
        <v>1009</v>
      </c>
      <c r="G2205" t="s">
        <v>1501</v>
      </c>
      <c r="H2205" t="s">
        <v>201</v>
      </c>
      <c r="I2205" t="s">
        <v>642</v>
      </c>
      <c r="J2205" t="s">
        <v>1010</v>
      </c>
      <c r="K2205" t="s">
        <v>1011</v>
      </c>
      <c r="L2205" t="s">
        <v>1012</v>
      </c>
      <c r="M2205">
        <v>1487635200</v>
      </c>
      <c r="N2205" t="s">
        <v>1628</v>
      </c>
      <c r="O2205" t="s">
        <v>1628</v>
      </c>
      <c r="P2205" t="s">
        <v>1628</v>
      </c>
      <c r="Q2205">
        <f>LEN(AMAZON_FASHION_5__2[[#This Row],[reviewText]])</f>
        <v>126</v>
      </c>
      <c r="R2205" t="str">
        <f>IF(AMAZON_FASHION_5__2[[#This Row],[overall]]&gt;=4,"Positive",IF(AMAZON_FASHION_5__2[[#This Row],[overall]]&lt;=2,"Negative","Neutral"))</f>
        <v>Positive</v>
      </c>
      <c r="S22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06" spans="1:19" x14ac:dyDescent="0.25">
      <c r="A2206">
        <v>5</v>
      </c>
      <c r="B2206" t="b">
        <v>1</v>
      </c>
      <c r="C2206" s="1">
        <v>42787</v>
      </c>
      <c r="D2206">
        <f>YEAR(AMAZON_FASHION_5__2[[#This Row],[reviewDate]])</f>
        <v>2017</v>
      </c>
      <c r="E2206" s="1" t="str">
        <f>TEXT(AMAZON_FASHION_5__2[[#This Row],[reviewDate]], "mmmm")</f>
        <v>February</v>
      </c>
      <c r="F2206" t="s">
        <v>1013</v>
      </c>
      <c r="G2206" t="s">
        <v>1501</v>
      </c>
      <c r="H2206" t="s">
        <v>210</v>
      </c>
      <c r="I2206" t="s">
        <v>198</v>
      </c>
      <c r="J2206" t="s">
        <v>1014</v>
      </c>
      <c r="K2206" t="s">
        <v>1015</v>
      </c>
      <c r="L2206" t="s">
        <v>17</v>
      </c>
      <c r="M2206">
        <v>1487635200</v>
      </c>
      <c r="N2206" t="s">
        <v>1628</v>
      </c>
      <c r="O2206" t="s">
        <v>1628</v>
      </c>
      <c r="P2206" t="s">
        <v>1628</v>
      </c>
      <c r="Q2206">
        <f>LEN(AMAZON_FASHION_5__2[[#This Row],[reviewText]])</f>
        <v>56</v>
      </c>
      <c r="R2206" t="str">
        <f>IF(AMAZON_FASHION_5__2[[#This Row],[overall]]&gt;=4,"Positive",IF(AMAZON_FASHION_5__2[[#This Row],[overall]]&lt;=2,"Negative","Neutral"))</f>
        <v>Positive</v>
      </c>
      <c r="S22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07" spans="1:19" x14ac:dyDescent="0.25">
      <c r="A2207">
        <v>3</v>
      </c>
      <c r="B2207" t="b">
        <v>1</v>
      </c>
      <c r="C2207" s="1">
        <v>42782</v>
      </c>
      <c r="D2207">
        <f>YEAR(AMAZON_FASHION_5__2[[#This Row],[reviewDate]])</f>
        <v>2017</v>
      </c>
      <c r="E2207" s="1" t="str">
        <f>TEXT(AMAZON_FASHION_5__2[[#This Row],[reviewDate]], "mmmm")</f>
        <v>February</v>
      </c>
      <c r="F2207" t="s">
        <v>1016</v>
      </c>
      <c r="G2207" t="s">
        <v>1501</v>
      </c>
      <c r="H2207" t="s">
        <v>197</v>
      </c>
      <c r="I2207" t="s">
        <v>524</v>
      </c>
      <c r="J2207" t="s">
        <v>63</v>
      </c>
      <c r="K2207" t="s">
        <v>1017</v>
      </c>
      <c r="L2207" t="s">
        <v>1018</v>
      </c>
      <c r="M2207">
        <v>1487203200</v>
      </c>
      <c r="N2207" t="s">
        <v>1628</v>
      </c>
      <c r="O2207" t="s">
        <v>1628</v>
      </c>
      <c r="P2207" t="s">
        <v>1628</v>
      </c>
      <c r="Q2207">
        <f>LEN(AMAZON_FASHION_5__2[[#This Row],[reviewText]])</f>
        <v>198</v>
      </c>
      <c r="R2207" t="str">
        <f>IF(AMAZON_FASHION_5__2[[#This Row],[overall]]&gt;=4,"Positive",IF(AMAZON_FASHION_5__2[[#This Row],[overall]]&lt;=2,"Negative","Neutral"))</f>
        <v>Neutral</v>
      </c>
      <c r="S22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08" spans="1:19" x14ac:dyDescent="0.25">
      <c r="A2208">
        <v>5</v>
      </c>
      <c r="B2208" t="b">
        <v>1</v>
      </c>
      <c r="C2208" s="1">
        <v>42781</v>
      </c>
      <c r="D2208">
        <f>YEAR(AMAZON_FASHION_5__2[[#This Row],[reviewDate]])</f>
        <v>2017</v>
      </c>
      <c r="E2208" s="1" t="str">
        <f>TEXT(AMAZON_FASHION_5__2[[#This Row],[reviewDate]], "mmmm")</f>
        <v>February</v>
      </c>
      <c r="F2208" t="s">
        <v>1019</v>
      </c>
      <c r="G2208" t="s">
        <v>1501</v>
      </c>
      <c r="H2208" t="s">
        <v>235</v>
      </c>
      <c r="I2208" t="s">
        <v>827</v>
      </c>
      <c r="J2208" t="s">
        <v>1020</v>
      </c>
      <c r="K2208" t="s">
        <v>1021</v>
      </c>
      <c r="L2208" t="s">
        <v>1022</v>
      </c>
      <c r="M2208">
        <v>1487116800</v>
      </c>
      <c r="N2208" t="s">
        <v>1628</v>
      </c>
      <c r="O2208" t="s">
        <v>1628</v>
      </c>
      <c r="P2208">
        <v>5</v>
      </c>
      <c r="Q2208">
        <f>LEN(AMAZON_FASHION_5__2[[#This Row],[reviewText]])</f>
        <v>388</v>
      </c>
      <c r="R2208" t="str">
        <f>IF(AMAZON_FASHION_5__2[[#This Row],[overall]]&gt;=4,"Positive",IF(AMAZON_FASHION_5__2[[#This Row],[overall]]&lt;=2,"Negative","Neutral"))</f>
        <v>Positive</v>
      </c>
      <c r="S22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09" spans="1:19" x14ac:dyDescent="0.25">
      <c r="A2209">
        <v>5</v>
      </c>
      <c r="B2209" t="b">
        <v>1</v>
      </c>
      <c r="C2209" s="1">
        <v>42779</v>
      </c>
      <c r="D2209">
        <f>YEAR(AMAZON_FASHION_5__2[[#This Row],[reviewDate]])</f>
        <v>2017</v>
      </c>
      <c r="E2209" s="1" t="str">
        <f>TEXT(AMAZON_FASHION_5__2[[#This Row],[reviewDate]], "mmmm")</f>
        <v>February</v>
      </c>
      <c r="F2209" t="s">
        <v>1023</v>
      </c>
      <c r="G2209" t="s">
        <v>1501</v>
      </c>
      <c r="H2209" t="s">
        <v>205</v>
      </c>
      <c r="I2209" t="s">
        <v>198</v>
      </c>
      <c r="J2209" t="s">
        <v>1024</v>
      </c>
      <c r="K2209" t="s">
        <v>1025</v>
      </c>
      <c r="L2209" t="s">
        <v>1026</v>
      </c>
      <c r="M2209">
        <v>1486944000</v>
      </c>
      <c r="N2209" t="s">
        <v>1628</v>
      </c>
      <c r="O2209" t="s">
        <v>1628</v>
      </c>
      <c r="P2209" t="s">
        <v>1628</v>
      </c>
      <c r="Q2209">
        <f>LEN(AMAZON_FASHION_5__2[[#This Row],[reviewText]])</f>
        <v>87</v>
      </c>
      <c r="R2209" t="str">
        <f>IF(AMAZON_FASHION_5__2[[#This Row],[overall]]&gt;=4,"Positive",IF(AMAZON_FASHION_5__2[[#This Row],[overall]]&lt;=2,"Negative","Neutral"))</f>
        <v>Positive</v>
      </c>
      <c r="S22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10" spans="1:19" x14ac:dyDescent="0.25">
      <c r="A2210">
        <v>5</v>
      </c>
      <c r="B2210" t="b">
        <v>1</v>
      </c>
      <c r="C2210" s="1">
        <v>42778</v>
      </c>
      <c r="D2210">
        <f>YEAR(AMAZON_FASHION_5__2[[#This Row],[reviewDate]])</f>
        <v>2017</v>
      </c>
      <c r="E2210" s="1" t="str">
        <f>TEXT(AMAZON_FASHION_5__2[[#This Row],[reviewDate]], "mmmm")</f>
        <v>February</v>
      </c>
      <c r="F2210" t="s">
        <v>1027</v>
      </c>
      <c r="G2210" t="s">
        <v>1501</v>
      </c>
      <c r="H2210" t="s">
        <v>201</v>
      </c>
      <c r="I2210" t="s">
        <v>198</v>
      </c>
      <c r="J2210" t="s">
        <v>1028</v>
      </c>
      <c r="K2210" t="s">
        <v>1029</v>
      </c>
      <c r="L2210" t="s">
        <v>1030</v>
      </c>
      <c r="M2210">
        <v>1486857600</v>
      </c>
      <c r="N2210" t="s">
        <v>1628</v>
      </c>
      <c r="O2210" t="s">
        <v>1628</v>
      </c>
      <c r="P2210" t="s">
        <v>1628</v>
      </c>
      <c r="Q2210">
        <f>LEN(AMAZON_FASHION_5__2[[#This Row],[reviewText]])</f>
        <v>140</v>
      </c>
      <c r="R2210" t="str">
        <f>IF(AMAZON_FASHION_5__2[[#This Row],[overall]]&gt;=4,"Positive",IF(AMAZON_FASHION_5__2[[#This Row],[overall]]&lt;=2,"Negative","Neutral"))</f>
        <v>Positive</v>
      </c>
      <c r="S22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11" spans="1:19" x14ac:dyDescent="0.25">
      <c r="A2211">
        <v>5</v>
      </c>
      <c r="B2211" t="b">
        <v>1</v>
      </c>
      <c r="C2211" s="1">
        <v>42777</v>
      </c>
      <c r="D2211">
        <f>YEAR(AMAZON_FASHION_5__2[[#This Row],[reviewDate]])</f>
        <v>2017</v>
      </c>
      <c r="E2211" s="1" t="str">
        <f>TEXT(AMAZON_FASHION_5__2[[#This Row],[reviewDate]], "mmmm")</f>
        <v>February</v>
      </c>
      <c r="F2211" t="s">
        <v>1031</v>
      </c>
      <c r="G2211" t="s">
        <v>1501</v>
      </c>
      <c r="H2211" t="s">
        <v>320</v>
      </c>
      <c r="I2211" t="s">
        <v>198</v>
      </c>
      <c r="J2211" t="s">
        <v>1032</v>
      </c>
      <c r="K2211" t="s">
        <v>1033</v>
      </c>
      <c r="L2211" t="s">
        <v>17</v>
      </c>
      <c r="M2211">
        <v>1486771200</v>
      </c>
      <c r="N2211" t="s">
        <v>1628</v>
      </c>
      <c r="O2211" t="s">
        <v>1628</v>
      </c>
      <c r="P2211" t="s">
        <v>1628</v>
      </c>
      <c r="Q2211">
        <f>LEN(AMAZON_FASHION_5__2[[#This Row],[reviewText]])</f>
        <v>28</v>
      </c>
      <c r="R2211" t="str">
        <f>IF(AMAZON_FASHION_5__2[[#This Row],[overall]]&gt;=4,"Positive",IF(AMAZON_FASHION_5__2[[#This Row],[overall]]&lt;=2,"Negative","Neutral"))</f>
        <v>Positive</v>
      </c>
      <c r="S22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12" spans="1:19" x14ac:dyDescent="0.25">
      <c r="A2212">
        <v>4</v>
      </c>
      <c r="B2212" t="b">
        <v>1</v>
      </c>
      <c r="C2212" s="1">
        <v>42774</v>
      </c>
      <c r="D2212">
        <f>YEAR(AMAZON_FASHION_5__2[[#This Row],[reviewDate]])</f>
        <v>2017</v>
      </c>
      <c r="E2212" s="1" t="str">
        <f>TEXT(AMAZON_FASHION_5__2[[#This Row],[reviewDate]], "mmmm")</f>
        <v>February</v>
      </c>
      <c r="F2212" t="s">
        <v>1034</v>
      </c>
      <c r="G2212" t="s">
        <v>1501</v>
      </c>
      <c r="H2212" t="s">
        <v>201</v>
      </c>
      <c r="I2212" t="s">
        <v>827</v>
      </c>
      <c r="J2212" t="s">
        <v>1035</v>
      </c>
      <c r="K2212" t="s">
        <v>1036</v>
      </c>
      <c r="L2212" t="s">
        <v>1037</v>
      </c>
      <c r="M2212">
        <v>1486512000</v>
      </c>
      <c r="N2212" t="s">
        <v>1628</v>
      </c>
      <c r="O2212" t="s">
        <v>1628</v>
      </c>
      <c r="P2212">
        <v>4</v>
      </c>
      <c r="Q2212">
        <f>LEN(AMAZON_FASHION_5__2[[#This Row],[reviewText]])</f>
        <v>570</v>
      </c>
      <c r="R2212" t="str">
        <f>IF(AMAZON_FASHION_5__2[[#This Row],[overall]]&gt;=4,"Positive",IF(AMAZON_FASHION_5__2[[#This Row],[overall]]&lt;=2,"Negative","Neutral"))</f>
        <v>Positive</v>
      </c>
      <c r="S22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13" spans="1:19" x14ac:dyDescent="0.25">
      <c r="A2213">
        <v>4</v>
      </c>
      <c r="B2213" t="b">
        <v>1</v>
      </c>
      <c r="C2213" s="1">
        <v>42772</v>
      </c>
      <c r="D2213">
        <f>YEAR(AMAZON_FASHION_5__2[[#This Row],[reviewDate]])</f>
        <v>2017</v>
      </c>
      <c r="E2213" s="1" t="str">
        <f>TEXT(AMAZON_FASHION_5__2[[#This Row],[reviewDate]], "mmmm")</f>
        <v>February</v>
      </c>
      <c r="F2213" t="s">
        <v>1038</v>
      </c>
      <c r="G2213" t="s">
        <v>1501</v>
      </c>
      <c r="H2213" t="s">
        <v>201</v>
      </c>
      <c r="I2213" t="s">
        <v>236</v>
      </c>
      <c r="J2213" t="s">
        <v>1039</v>
      </c>
      <c r="K2213" t="s">
        <v>1040</v>
      </c>
      <c r="L2213" t="s">
        <v>1041</v>
      </c>
      <c r="M2213">
        <v>1486339200</v>
      </c>
      <c r="N2213" t="s">
        <v>1628</v>
      </c>
      <c r="O2213" t="s">
        <v>1628</v>
      </c>
      <c r="P2213" t="s">
        <v>1628</v>
      </c>
      <c r="Q2213">
        <f>LEN(AMAZON_FASHION_5__2[[#This Row],[reviewText]])</f>
        <v>316</v>
      </c>
      <c r="R2213" t="str">
        <f>IF(AMAZON_FASHION_5__2[[#This Row],[overall]]&gt;=4,"Positive",IF(AMAZON_FASHION_5__2[[#This Row],[overall]]&lt;=2,"Negative","Neutral"))</f>
        <v>Positive</v>
      </c>
      <c r="S22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14" spans="1:19" x14ac:dyDescent="0.25">
      <c r="A2214">
        <v>2</v>
      </c>
      <c r="B2214" t="b">
        <v>1</v>
      </c>
      <c r="C2214" s="1">
        <v>42768</v>
      </c>
      <c r="D2214">
        <f>YEAR(AMAZON_FASHION_5__2[[#This Row],[reviewDate]])</f>
        <v>2017</v>
      </c>
      <c r="E2214" s="1" t="str">
        <f>TEXT(AMAZON_FASHION_5__2[[#This Row],[reviewDate]], "mmmm")</f>
        <v>February</v>
      </c>
      <c r="F2214" t="s">
        <v>1042</v>
      </c>
      <c r="G2214" t="s">
        <v>1501</v>
      </c>
      <c r="H2214" t="s">
        <v>205</v>
      </c>
      <c r="I2214" t="s">
        <v>344</v>
      </c>
      <c r="J2214" t="s">
        <v>63</v>
      </c>
      <c r="K2214" t="s">
        <v>1043</v>
      </c>
      <c r="L2214" t="s">
        <v>1044</v>
      </c>
      <c r="M2214">
        <v>1485993600</v>
      </c>
      <c r="N2214" t="s">
        <v>1628</v>
      </c>
      <c r="O2214" t="s">
        <v>1628</v>
      </c>
      <c r="P2214" t="s">
        <v>1628</v>
      </c>
      <c r="Q2214">
        <f>LEN(AMAZON_FASHION_5__2[[#This Row],[reviewText]])</f>
        <v>107</v>
      </c>
      <c r="R2214" t="str">
        <f>IF(AMAZON_FASHION_5__2[[#This Row],[overall]]&gt;=4,"Positive",IF(AMAZON_FASHION_5__2[[#This Row],[overall]]&lt;=2,"Negative","Neutral"))</f>
        <v>Negative</v>
      </c>
      <c r="S22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15" spans="1:19" x14ac:dyDescent="0.25">
      <c r="A2215">
        <v>5</v>
      </c>
      <c r="B2215" t="b">
        <v>1</v>
      </c>
      <c r="C2215" s="1">
        <v>42767</v>
      </c>
      <c r="D2215">
        <f>YEAR(AMAZON_FASHION_5__2[[#This Row],[reviewDate]])</f>
        <v>2017</v>
      </c>
      <c r="E2215" s="1" t="str">
        <f>TEXT(AMAZON_FASHION_5__2[[#This Row],[reviewDate]], "mmmm")</f>
        <v>February</v>
      </c>
      <c r="F2215" t="s">
        <v>158</v>
      </c>
      <c r="G2215" t="s">
        <v>1501</v>
      </c>
      <c r="H2215" t="s">
        <v>320</v>
      </c>
      <c r="I2215" t="s">
        <v>198</v>
      </c>
      <c r="J2215" t="s">
        <v>160</v>
      </c>
      <c r="K2215" t="s">
        <v>1045</v>
      </c>
      <c r="L2215" t="s">
        <v>1046</v>
      </c>
      <c r="M2215">
        <v>1485907200</v>
      </c>
      <c r="N2215" t="s">
        <v>1628</v>
      </c>
      <c r="O2215" t="s">
        <v>1628</v>
      </c>
      <c r="P2215" t="s">
        <v>1628</v>
      </c>
      <c r="Q2215">
        <f>LEN(AMAZON_FASHION_5__2[[#This Row],[reviewText]])</f>
        <v>122</v>
      </c>
      <c r="R2215" t="str">
        <f>IF(AMAZON_FASHION_5__2[[#This Row],[overall]]&gt;=4,"Positive",IF(AMAZON_FASHION_5__2[[#This Row],[overall]]&lt;=2,"Negative","Neutral"))</f>
        <v>Positive</v>
      </c>
      <c r="S22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16" spans="1:19" x14ac:dyDescent="0.25">
      <c r="A2216">
        <v>3</v>
      </c>
      <c r="B2216" t="b">
        <v>1</v>
      </c>
      <c r="C2216" s="1">
        <v>42766</v>
      </c>
      <c r="D2216">
        <f>YEAR(AMAZON_FASHION_5__2[[#This Row],[reviewDate]])</f>
        <v>2017</v>
      </c>
      <c r="E2216" s="1" t="str">
        <f>TEXT(AMAZON_FASHION_5__2[[#This Row],[reviewDate]], "mmmm")</f>
        <v>January</v>
      </c>
      <c r="F2216" t="s">
        <v>1047</v>
      </c>
      <c r="G2216" t="s">
        <v>1501</v>
      </c>
      <c r="H2216" t="s">
        <v>235</v>
      </c>
      <c r="I2216" t="s">
        <v>419</v>
      </c>
      <c r="J2216" t="s">
        <v>1048</v>
      </c>
      <c r="K2216" t="s">
        <v>1049</v>
      </c>
      <c r="L2216" t="s">
        <v>101</v>
      </c>
      <c r="M2216">
        <v>1485820800</v>
      </c>
      <c r="N2216" t="s">
        <v>1628</v>
      </c>
      <c r="O2216" t="s">
        <v>1628</v>
      </c>
      <c r="P2216">
        <v>3</v>
      </c>
      <c r="Q2216">
        <f>LEN(AMAZON_FASHION_5__2[[#This Row],[reviewText]])</f>
        <v>7</v>
      </c>
      <c r="R2216" t="str">
        <f>IF(AMAZON_FASHION_5__2[[#This Row],[overall]]&gt;=4,"Positive",IF(AMAZON_FASHION_5__2[[#This Row],[overall]]&lt;=2,"Negative","Neutral"))</f>
        <v>Neutral</v>
      </c>
      <c r="S22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17" spans="1:19" x14ac:dyDescent="0.25">
      <c r="A2217">
        <v>5</v>
      </c>
      <c r="B2217" t="b">
        <v>1</v>
      </c>
      <c r="C2217" s="1">
        <v>42760</v>
      </c>
      <c r="D2217">
        <f>YEAR(AMAZON_FASHION_5__2[[#This Row],[reviewDate]])</f>
        <v>2017</v>
      </c>
      <c r="E2217" s="1" t="str">
        <f>TEXT(AMAZON_FASHION_5__2[[#This Row],[reviewDate]], "mmmm")</f>
        <v>January</v>
      </c>
      <c r="F2217" t="s">
        <v>1050</v>
      </c>
      <c r="G2217" t="s">
        <v>1501</v>
      </c>
      <c r="H2217" t="s">
        <v>197</v>
      </c>
      <c r="I2217" t="s">
        <v>524</v>
      </c>
      <c r="J2217" t="s">
        <v>63</v>
      </c>
      <c r="K2217" t="s">
        <v>1051</v>
      </c>
      <c r="L2217" t="s">
        <v>1052</v>
      </c>
      <c r="M2217">
        <v>1485302400</v>
      </c>
      <c r="N2217" t="s">
        <v>1628</v>
      </c>
      <c r="O2217" t="s">
        <v>1628</v>
      </c>
      <c r="P2217" t="s">
        <v>1628</v>
      </c>
      <c r="Q2217">
        <f>LEN(AMAZON_FASHION_5__2[[#This Row],[reviewText]])</f>
        <v>521</v>
      </c>
      <c r="R2217" t="str">
        <f>IF(AMAZON_FASHION_5__2[[#This Row],[overall]]&gt;=4,"Positive",IF(AMAZON_FASHION_5__2[[#This Row],[overall]]&lt;=2,"Negative","Neutral"))</f>
        <v>Positive</v>
      </c>
      <c r="S22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18" spans="1:19" x14ac:dyDescent="0.25">
      <c r="A2218">
        <v>5</v>
      </c>
      <c r="B2218" t="b">
        <v>1</v>
      </c>
      <c r="C2218" s="1">
        <v>42757</v>
      </c>
      <c r="D2218">
        <f>YEAR(AMAZON_FASHION_5__2[[#This Row],[reviewDate]])</f>
        <v>2017</v>
      </c>
      <c r="E2218" s="1" t="str">
        <f>TEXT(AMAZON_FASHION_5__2[[#This Row],[reviewDate]], "mmmm")</f>
        <v>January</v>
      </c>
      <c r="F2218" t="s">
        <v>1053</v>
      </c>
      <c r="G2218" t="s">
        <v>1501</v>
      </c>
      <c r="H2218" t="s">
        <v>205</v>
      </c>
      <c r="I2218" t="s">
        <v>827</v>
      </c>
      <c r="J2218" t="s">
        <v>1054</v>
      </c>
      <c r="K2218" t="s">
        <v>1055</v>
      </c>
      <c r="L2218" t="s">
        <v>1056</v>
      </c>
      <c r="M2218">
        <v>1485043200</v>
      </c>
      <c r="N2218" t="s">
        <v>1628</v>
      </c>
      <c r="O2218" t="s">
        <v>1628</v>
      </c>
      <c r="P2218" t="s">
        <v>1628</v>
      </c>
      <c r="Q2218">
        <f>LEN(AMAZON_FASHION_5__2[[#This Row],[reviewText]])</f>
        <v>90</v>
      </c>
      <c r="R2218" t="str">
        <f>IF(AMAZON_FASHION_5__2[[#This Row],[overall]]&gt;=4,"Positive",IF(AMAZON_FASHION_5__2[[#This Row],[overall]]&lt;=2,"Negative","Neutral"))</f>
        <v>Positive</v>
      </c>
      <c r="S22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19" spans="1:19" x14ac:dyDescent="0.25">
      <c r="A2219">
        <v>5</v>
      </c>
      <c r="B2219" t="b">
        <v>1</v>
      </c>
      <c r="C2219" s="1">
        <v>42755</v>
      </c>
      <c r="D2219">
        <f>YEAR(AMAZON_FASHION_5__2[[#This Row],[reviewDate]])</f>
        <v>2017</v>
      </c>
      <c r="E2219" s="1" t="str">
        <f>TEXT(AMAZON_FASHION_5__2[[#This Row],[reviewDate]], "mmmm")</f>
        <v>January</v>
      </c>
      <c r="F2219" t="s">
        <v>1057</v>
      </c>
      <c r="G2219" t="s">
        <v>1501</v>
      </c>
      <c r="H2219" t="s">
        <v>210</v>
      </c>
      <c r="I2219" t="s">
        <v>524</v>
      </c>
      <c r="J2219" t="s">
        <v>1058</v>
      </c>
      <c r="K2219" t="s">
        <v>1059</v>
      </c>
      <c r="L2219" t="s">
        <v>1060</v>
      </c>
      <c r="M2219">
        <v>1484870400</v>
      </c>
      <c r="N2219" t="s">
        <v>1628</v>
      </c>
      <c r="O2219" t="s">
        <v>1628</v>
      </c>
      <c r="P2219" t="s">
        <v>1628</v>
      </c>
      <c r="Q2219">
        <f>LEN(AMAZON_FASHION_5__2[[#This Row],[reviewText]])</f>
        <v>40</v>
      </c>
      <c r="R2219" t="str">
        <f>IF(AMAZON_FASHION_5__2[[#This Row],[overall]]&gt;=4,"Positive",IF(AMAZON_FASHION_5__2[[#This Row],[overall]]&lt;=2,"Negative","Neutral"))</f>
        <v>Positive</v>
      </c>
      <c r="S22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20" spans="1:19" x14ac:dyDescent="0.25">
      <c r="A2220">
        <v>5</v>
      </c>
      <c r="B2220" t="b">
        <v>1</v>
      </c>
      <c r="C2220" s="1">
        <v>42753</v>
      </c>
      <c r="D2220">
        <f>YEAR(AMAZON_FASHION_5__2[[#This Row],[reviewDate]])</f>
        <v>2017</v>
      </c>
      <c r="E2220" s="1" t="str">
        <f>TEXT(AMAZON_FASHION_5__2[[#This Row],[reviewDate]], "mmmm")</f>
        <v>January</v>
      </c>
      <c r="F2220" t="s">
        <v>1061</v>
      </c>
      <c r="G2220" t="s">
        <v>1501</v>
      </c>
      <c r="H2220" t="s">
        <v>230</v>
      </c>
      <c r="I2220" t="s">
        <v>1476</v>
      </c>
      <c r="J2220" t="s">
        <v>1062</v>
      </c>
      <c r="K2220" t="s">
        <v>1063</v>
      </c>
      <c r="L2220" t="s">
        <v>1064</v>
      </c>
      <c r="M2220">
        <v>1484697600</v>
      </c>
      <c r="N2220" t="s">
        <v>1628</v>
      </c>
      <c r="O2220" t="s">
        <v>1628</v>
      </c>
      <c r="P2220" t="s">
        <v>1628</v>
      </c>
      <c r="Q2220">
        <f>LEN(AMAZON_FASHION_5__2[[#This Row],[reviewText]])</f>
        <v>105</v>
      </c>
      <c r="R2220" t="str">
        <f>IF(AMAZON_FASHION_5__2[[#This Row],[overall]]&gt;=4,"Positive",IF(AMAZON_FASHION_5__2[[#This Row],[overall]]&lt;=2,"Negative","Neutral"))</f>
        <v>Positive</v>
      </c>
      <c r="S22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21" spans="1:19" x14ac:dyDescent="0.25">
      <c r="A2221">
        <v>2</v>
      </c>
      <c r="B2221" t="b">
        <v>1</v>
      </c>
      <c r="C2221" s="1">
        <v>42753</v>
      </c>
      <c r="D2221">
        <f>YEAR(AMAZON_FASHION_5__2[[#This Row],[reviewDate]])</f>
        <v>2017</v>
      </c>
      <c r="E2221" s="1" t="str">
        <f>TEXT(AMAZON_FASHION_5__2[[#This Row],[reviewDate]], "mmmm")</f>
        <v>January</v>
      </c>
      <c r="F2221" t="s">
        <v>1065</v>
      </c>
      <c r="G2221" t="s">
        <v>1501</v>
      </c>
      <c r="H2221" t="s">
        <v>230</v>
      </c>
      <c r="I2221" t="s">
        <v>198</v>
      </c>
      <c r="J2221" t="s">
        <v>1066</v>
      </c>
      <c r="K2221" t="s">
        <v>1067</v>
      </c>
      <c r="L2221" t="s">
        <v>1068</v>
      </c>
      <c r="M2221">
        <v>1484697600</v>
      </c>
      <c r="N2221" t="s">
        <v>1628</v>
      </c>
      <c r="O2221" t="s">
        <v>1628</v>
      </c>
      <c r="P2221" t="s">
        <v>1628</v>
      </c>
      <c r="Q2221">
        <f>LEN(AMAZON_FASHION_5__2[[#This Row],[reviewText]])</f>
        <v>118</v>
      </c>
      <c r="R2221" t="str">
        <f>IF(AMAZON_FASHION_5__2[[#This Row],[overall]]&gt;=4,"Positive",IF(AMAZON_FASHION_5__2[[#This Row],[overall]]&lt;=2,"Negative","Neutral"))</f>
        <v>Negative</v>
      </c>
      <c r="S22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22" spans="1:19" x14ac:dyDescent="0.25">
      <c r="A2222">
        <v>5</v>
      </c>
      <c r="B2222" t="b">
        <v>1</v>
      </c>
      <c r="C2222" s="1">
        <v>42753</v>
      </c>
      <c r="D2222">
        <f>YEAR(AMAZON_FASHION_5__2[[#This Row],[reviewDate]])</f>
        <v>2017</v>
      </c>
      <c r="E2222" s="1" t="str">
        <f>TEXT(AMAZON_FASHION_5__2[[#This Row],[reviewDate]], "mmmm")</f>
        <v>January</v>
      </c>
      <c r="F2222" t="s">
        <v>1069</v>
      </c>
      <c r="G2222" t="s">
        <v>1501</v>
      </c>
      <c r="H2222" t="s">
        <v>197</v>
      </c>
      <c r="I2222" t="s">
        <v>211</v>
      </c>
      <c r="J2222" t="s">
        <v>1070</v>
      </c>
      <c r="K2222" t="s">
        <v>1071</v>
      </c>
      <c r="L2222" t="s">
        <v>1072</v>
      </c>
      <c r="M2222">
        <v>1484697600</v>
      </c>
      <c r="N2222" t="s">
        <v>1628</v>
      </c>
      <c r="O2222" t="s">
        <v>1628</v>
      </c>
      <c r="P2222" t="s">
        <v>1628</v>
      </c>
      <c r="Q2222">
        <f>LEN(AMAZON_FASHION_5__2[[#This Row],[reviewText]])</f>
        <v>88</v>
      </c>
      <c r="R2222" t="str">
        <f>IF(AMAZON_FASHION_5__2[[#This Row],[overall]]&gt;=4,"Positive",IF(AMAZON_FASHION_5__2[[#This Row],[overall]]&lt;=2,"Negative","Neutral"))</f>
        <v>Positive</v>
      </c>
      <c r="S22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23" spans="1:19" x14ac:dyDescent="0.25">
      <c r="A2223">
        <v>5</v>
      </c>
      <c r="B2223" t="b">
        <v>1</v>
      </c>
      <c r="C2223" s="1">
        <v>42753</v>
      </c>
      <c r="D2223">
        <f>YEAR(AMAZON_FASHION_5__2[[#This Row],[reviewDate]])</f>
        <v>2017</v>
      </c>
      <c r="E2223" s="1" t="str">
        <f>TEXT(AMAZON_FASHION_5__2[[#This Row],[reviewDate]], "mmmm")</f>
        <v>January</v>
      </c>
      <c r="F2223" t="s">
        <v>1073</v>
      </c>
      <c r="G2223" t="s">
        <v>1501</v>
      </c>
      <c r="H2223" t="s">
        <v>235</v>
      </c>
      <c r="I2223" t="s">
        <v>99</v>
      </c>
      <c r="J2223" t="s">
        <v>63</v>
      </c>
      <c r="K2223" t="s">
        <v>1074</v>
      </c>
      <c r="L2223" t="s">
        <v>17</v>
      </c>
      <c r="M2223">
        <v>1484697600</v>
      </c>
      <c r="N2223" t="s">
        <v>1628</v>
      </c>
      <c r="O2223" t="s">
        <v>1628</v>
      </c>
      <c r="P2223" t="s">
        <v>1628</v>
      </c>
      <c r="Q2223">
        <f>LEN(AMAZON_FASHION_5__2[[#This Row],[reviewText]])</f>
        <v>11</v>
      </c>
      <c r="R2223" t="str">
        <f>IF(AMAZON_FASHION_5__2[[#This Row],[overall]]&gt;=4,"Positive",IF(AMAZON_FASHION_5__2[[#This Row],[overall]]&lt;=2,"Negative","Neutral"))</f>
        <v>Positive</v>
      </c>
      <c r="S22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24" spans="1:19" x14ac:dyDescent="0.25">
      <c r="A2224">
        <v>4</v>
      </c>
      <c r="B2224" t="b">
        <v>1</v>
      </c>
      <c r="C2224" s="1">
        <v>42753</v>
      </c>
      <c r="D2224">
        <f>YEAR(AMAZON_FASHION_5__2[[#This Row],[reviewDate]])</f>
        <v>2017</v>
      </c>
      <c r="E2224" s="1" t="str">
        <f>TEXT(AMAZON_FASHION_5__2[[#This Row],[reviewDate]], "mmmm")</f>
        <v>January</v>
      </c>
      <c r="F2224" t="s">
        <v>1075</v>
      </c>
      <c r="G2224" t="s">
        <v>1501</v>
      </c>
      <c r="H2224" t="s">
        <v>201</v>
      </c>
      <c r="I2224" t="s">
        <v>198</v>
      </c>
      <c r="J2224" t="s">
        <v>1076</v>
      </c>
      <c r="K2224" t="s">
        <v>1077</v>
      </c>
      <c r="L2224" t="s">
        <v>1078</v>
      </c>
      <c r="M2224">
        <v>1484697600</v>
      </c>
      <c r="N2224" t="s">
        <v>1628</v>
      </c>
      <c r="O2224" t="s">
        <v>1628</v>
      </c>
      <c r="P2224" t="s">
        <v>1628</v>
      </c>
      <c r="Q2224">
        <f>LEN(AMAZON_FASHION_5__2[[#This Row],[reviewText]])</f>
        <v>316</v>
      </c>
      <c r="R2224" t="str">
        <f>IF(AMAZON_FASHION_5__2[[#This Row],[overall]]&gt;=4,"Positive",IF(AMAZON_FASHION_5__2[[#This Row],[overall]]&lt;=2,"Negative","Neutral"))</f>
        <v>Positive</v>
      </c>
      <c r="S22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25" spans="1:19" x14ac:dyDescent="0.25">
      <c r="A2225">
        <v>1</v>
      </c>
      <c r="B2225" t="b">
        <v>1</v>
      </c>
      <c r="C2225" s="1">
        <v>42750</v>
      </c>
      <c r="D2225">
        <f>YEAR(AMAZON_FASHION_5__2[[#This Row],[reviewDate]])</f>
        <v>2017</v>
      </c>
      <c r="E2225" s="1" t="str">
        <f>TEXT(AMAZON_FASHION_5__2[[#This Row],[reviewDate]], "mmmm")</f>
        <v>January</v>
      </c>
      <c r="F2225" t="s">
        <v>1079</v>
      </c>
      <c r="G2225" t="s">
        <v>1501</v>
      </c>
      <c r="H2225" t="s">
        <v>235</v>
      </c>
      <c r="I2225" t="s">
        <v>411</v>
      </c>
      <c r="J2225" t="s">
        <v>1080</v>
      </c>
      <c r="K2225" t="s">
        <v>1081</v>
      </c>
      <c r="L2225" t="s">
        <v>1082</v>
      </c>
      <c r="M2225">
        <v>1484438400</v>
      </c>
      <c r="N2225" t="s">
        <v>1628</v>
      </c>
      <c r="O2225" t="s">
        <v>1628</v>
      </c>
      <c r="P2225">
        <v>20</v>
      </c>
      <c r="Q2225">
        <f>LEN(AMAZON_FASHION_5__2[[#This Row],[reviewText]])</f>
        <v>69</v>
      </c>
      <c r="R2225" t="str">
        <f>IF(AMAZON_FASHION_5__2[[#This Row],[overall]]&gt;=4,"Positive",IF(AMAZON_FASHION_5__2[[#This Row],[overall]]&lt;=2,"Negative","Neutral"))</f>
        <v>Negative</v>
      </c>
      <c r="S22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26" spans="1:19" x14ac:dyDescent="0.25">
      <c r="A2226">
        <v>4</v>
      </c>
      <c r="B2226" t="b">
        <v>1</v>
      </c>
      <c r="C2226" s="1">
        <v>42748</v>
      </c>
      <c r="D2226">
        <f>YEAR(AMAZON_FASHION_5__2[[#This Row],[reviewDate]])</f>
        <v>2017</v>
      </c>
      <c r="E2226" s="1" t="str">
        <f>TEXT(AMAZON_FASHION_5__2[[#This Row],[reviewDate]], "mmmm")</f>
        <v>January</v>
      </c>
      <c r="F2226" t="s">
        <v>1083</v>
      </c>
      <c r="G2226" t="s">
        <v>1501</v>
      </c>
      <c r="H2226" t="s">
        <v>205</v>
      </c>
      <c r="I2226" t="s">
        <v>1084</v>
      </c>
      <c r="J2226" t="s">
        <v>63</v>
      </c>
      <c r="K2226" t="s">
        <v>1085</v>
      </c>
      <c r="L2226" t="s">
        <v>1086</v>
      </c>
      <c r="M2226">
        <v>1484265600</v>
      </c>
      <c r="N2226" t="s">
        <v>1628</v>
      </c>
      <c r="O2226" t="s">
        <v>1628</v>
      </c>
      <c r="P2226" t="s">
        <v>1628</v>
      </c>
      <c r="Q2226">
        <f>LEN(AMAZON_FASHION_5__2[[#This Row],[reviewText]])</f>
        <v>187</v>
      </c>
      <c r="R2226" t="str">
        <f>IF(AMAZON_FASHION_5__2[[#This Row],[overall]]&gt;=4,"Positive",IF(AMAZON_FASHION_5__2[[#This Row],[overall]]&lt;=2,"Negative","Neutral"))</f>
        <v>Positive</v>
      </c>
      <c r="S22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27" spans="1:19" x14ac:dyDescent="0.25">
      <c r="A2227">
        <v>5</v>
      </c>
      <c r="B2227" t="b">
        <v>1</v>
      </c>
      <c r="C2227" s="1">
        <v>42747</v>
      </c>
      <c r="D2227">
        <f>YEAR(AMAZON_FASHION_5__2[[#This Row],[reviewDate]])</f>
        <v>2017</v>
      </c>
      <c r="E2227" s="1" t="str">
        <f>TEXT(AMAZON_FASHION_5__2[[#This Row],[reviewDate]], "mmmm")</f>
        <v>January</v>
      </c>
      <c r="F2227" t="s">
        <v>1087</v>
      </c>
      <c r="G2227" t="s">
        <v>1501</v>
      </c>
      <c r="H2227" t="s">
        <v>230</v>
      </c>
      <c r="I2227" t="s">
        <v>507</v>
      </c>
      <c r="J2227" t="s">
        <v>1088</v>
      </c>
      <c r="K2227" t="s">
        <v>1089</v>
      </c>
      <c r="L2227" t="s">
        <v>1090</v>
      </c>
      <c r="M2227">
        <v>1484179200</v>
      </c>
      <c r="N2227" t="s">
        <v>1628</v>
      </c>
      <c r="O2227" t="s">
        <v>1628</v>
      </c>
      <c r="P2227" t="s">
        <v>1628</v>
      </c>
      <c r="Q2227">
        <f>LEN(AMAZON_FASHION_5__2[[#This Row],[reviewText]])</f>
        <v>216</v>
      </c>
      <c r="R2227" t="str">
        <f>IF(AMAZON_FASHION_5__2[[#This Row],[overall]]&gt;=4,"Positive",IF(AMAZON_FASHION_5__2[[#This Row],[overall]]&lt;=2,"Negative","Neutral"))</f>
        <v>Positive</v>
      </c>
      <c r="S22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28" spans="1:19" x14ac:dyDescent="0.25">
      <c r="A2228">
        <v>5</v>
      </c>
      <c r="B2228" t="b">
        <v>1</v>
      </c>
      <c r="C2228" s="1">
        <v>42747</v>
      </c>
      <c r="D2228">
        <f>YEAR(AMAZON_FASHION_5__2[[#This Row],[reviewDate]])</f>
        <v>2017</v>
      </c>
      <c r="E2228" s="1" t="str">
        <f>TEXT(AMAZON_FASHION_5__2[[#This Row],[reviewDate]], "mmmm")</f>
        <v>January</v>
      </c>
      <c r="F2228" t="s">
        <v>1091</v>
      </c>
      <c r="G2228" t="s">
        <v>1501</v>
      </c>
      <c r="H2228" t="s">
        <v>201</v>
      </c>
      <c r="I2228" t="s">
        <v>198</v>
      </c>
      <c r="J2228" t="s">
        <v>1092</v>
      </c>
      <c r="K2228" t="s">
        <v>1093</v>
      </c>
      <c r="L2228" t="s">
        <v>17</v>
      </c>
      <c r="M2228">
        <v>1484179200</v>
      </c>
      <c r="N2228" t="s">
        <v>1628</v>
      </c>
      <c r="O2228" t="s">
        <v>1628</v>
      </c>
      <c r="P2228" t="s">
        <v>1628</v>
      </c>
      <c r="Q2228">
        <f>LEN(AMAZON_FASHION_5__2[[#This Row],[reviewText]])</f>
        <v>20</v>
      </c>
      <c r="R2228" t="str">
        <f>IF(AMAZON_FASHION_5__2[[#This Row],[overall]]&gt;=4,"Positive",IF(AMAZON_FASHION_5__2[[#This Row],[overall]]&lt;=2,"Negative","Neutral"))</f>
        <v>Positive</v>
      </c>
      <c r="S22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29" spans="1:19" x14ac:dyDescent="0.25">
      <c r="A2229">
        <v>5</v>
      </c>
      <c r="B2229" t="b">
        <v>1</v>
      </c>
      <c r="C2229" s="1">
        <v>42745</v>
      </c>
      <c r="D2229">
        <f>YEAR(AMAZON_FASHION_5__2[[#This Row],[reviewDate]])</f>
        <v>2017</v>
      </c>
      <c r="E2229" s="1" t="str">
        <f>TEXT(AMAZON_FASHION_5__2[[#This Row],[reviewDate]], "mmmm")</f>
        <v>January</v>
      </c>
      <c r="F2229" t="s">
        <v>1094</v>
      </c>
      <c r="G2229" t="s">
        <v>1501</v>
      </c>
      <c r="H2229" t="s">
        <v>235</v>
      </c>
      <c r="I2229" t="s">
        <v>574</v>
      </c>
      <c r="J2229" t="s">
        <v>63</v>
      </c>
      <c r="K2229" t="s">
        <v>914</v>
      </c>
      <c r="L2229" t="s">
        <v>17</v>
      </c>
      <c r="M2229">
        <v>1484006400</v>
      </c>
      <c r="N2229" t="s">
        <v>1628</v>
      </c>
      <c r="O2229" t="s">
        <v>1628</v>
      </c>
      <c r="P2229" t="s">
        <v>1628</v>
      </c>
      <c r="Q2229">
        <f>LEN(AMAZON_FASHION_5__2[[#This Row],[reviewText]])</f>
        <v>17</v>
      </c>
      <c r="R2229" t="str">
        <f>IF(AMAZON_FASHION_5__2[[#This Row],[overall]]&gt;=4,"Positive",IF(AMAZON_FASHION_5__2[[#This Row],[overall]]&lt;=2,"Negative","Neutral"))</f>
        <v>Positive</v>
      </c>
      <c r="S22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30" spans="1:19" x14ac:dyDescent="0.25">
      <c r="A2230">
        <v>5</v>
      </c>
      <c r="B2230" t="b">
        <v>1</v>
      </c>
      <c r="C2230" s="1">
        <v>42742</v>
      </c>
      <c r="D2230">
        <f>YEAR(AMAZON_FASHION_5__2[[#This Row],[reviewDate]])</f>
        <v>2017</v>
      </c>
      <c r="E2230" s="1" t="str">
        <f>TEXT(AMAZON_FASHION_5__2[[#This Row],[reviewDate]], "mmmm")</f>
        <v>January</v>
      </c>
      <c r="F2230" t="s">
        <v>1095</v>
      </c>
      <c r="G2230" t="s">
        <v>1501</v>
      </c>
      <c r="H2230" t="s">
        <v>235</v>
      </c>
      <c r="I2230" t="s">
        <v>1084</v>
      </c>
      <c r="J2230" t="s">
        <v>63</v>
      </c>
      <c r="K2230" t="s">
        <v>1096</v>
      </c>
      <c r="L2230" t="s">
        <v>1097</v>
      </c>
      <c r="M2230">
        <v>1483747200</v>
      </c>
      <c r="N2230" t="s">
        <v>1628</v>
      </c>
      <c r="O2230" t="s">
        <v>1628</v>
      </c>
      <c r="P2230" t="s">
        <v>1628</v>
      </c>
      <c r="Q2230">
        <f>LEN(AMAZON_FASHION_5__2[[#This Row],[reviewText]])</f>
        <v>92</v>
      </c>
      <c r="R2230" t="str">
        <f>IF(AMAZON_FASHION_5__2[[#This Row],[overall]]&gt;=4,"Positive",IF(AMAZON_FASHION_5__2[[#This Row],[overall]]&lt;=2,"Negative","Neutral"))</f>
        <v>Positive</v>
      </c>
      <c r="S22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31" spans="1:19" x14ac:dyDescent="0.25">
      <c r="A2231">
        <v>5</v>
      </c>
      <c r="B2231" t="b">
        <v>1</v>
      </c>
      <c r="C2231" s="1">
        <v>42742</v>
      </c>
      <c r="D2231">
        <f>YEAR(AMAZON_FASHION_5__2[[#This Row],[reviewDate]])</f>
        <v>2017</v>
      </c>
      <c r="E2231" s="1" t="str">
        <f>TEXT(AMAZON_FASHION_5__2[[#This Row],[reviewDate]], "mmmm")</f>
        <v>January</v>
      </c>
      <c r="F2231" t="s">
        <v>1098</v>
      </c>
      <c r="G2231" t="s">
        <v>1501</v>
      </c>
      <c r="H2231" t="s">
        <v>320</v>
      </c>
      <c r="I2231" t="s">
        <v>1084</v>
      </c>
      <c r="J2231" t="s">
        <v>1099</v>
      </c>
      <c r="K2231" t="s">
        <v>1100</v>
      </c>
      <c r="L2231" t="s">
        <v>970</v>
      </c>
      <c r="M2231">
        <v>1483747200</v>
      </c>
      <c r="N2231" t="s">
        <v>1628</v>
      </c>
      <c r="O2231" t="s">
        <v>1628</v>
      </c>
      <c r="P2231" t="s">
        <v>1628</v>
      </c>
      <c r="Q2231">
        <f>LEN(AMAZON_FASHION_5__2[[#This Row],[reviewText]])</f>
        <v>182</v>
      </c>
      <c r="R2231" t="str">
        <f>IF(AMAZON_FASHION_5__2[[#This Row],[overall]]&gt;=4,"Positive",IF(AMAZON_FASHION_5__2[[#This Row],[overall]]&lt;=2,"Negative","Neutral"))</f>
        <v>Positive</v>
      </c>
      <c r="S22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32" spans="1:19" x14ac:dyDescent="0.25">
      <c r="A2232">
        <v>4</v>
      </c>
      <c r="B2232" t="b">
        <v>1</v>
      </c>
      <c r="C2232" s="1">
        <v>42741</v>
      </c>
      <c r="D2232">
        <f>YEAR(AMAZON_FASHION_5__2[[#This Row],[reviewDate]])</f>
        <v>2017</v>
      </c>
      <c r="E2232" s="1" t="str">
        <f>TEXT(AMAZON_FASHION_5__2[[#This Row],[reviewDate]], "mmmm")</f>
        <v>January</v>
      </c>
      <c r="F2232" t="s">
        <v>1101</v>
      </c>
      <c r="G2232" t="s">
        <v>1501</v>
      </c>
      <c r="H2232" t="s">
        <v>197</v>
      </c>
      <c r="I2232" t="s">
        <v>1084</v>
      </c>
      <c r="J2232" t="s">
        <v>63</v>
      </c>
      <c r="K2232" t="s">
        <v>1102</v>
      </c>
      <c r="L2232" t="s">
        <v>1103</v>
      </c>
      <c r="M2232">
        <v>1483660800</v>
      </c>
      <c r="N2232" t="s">
        <v>1628</v>
      </c>
      <c r="O2232" t="s">
        <v>1628</v>
      </c>
      <c r="P2232" t="s">
        <v>1628</v>
      </c>
      <c r="Q2232">
        <f>LEN(AMAZON_FASHION_5__2[[#This Row],[reviewText]])</f>
        <v>219</v>
      </c>
      <c r="R2232" t="str">
        <f>IF(AMAZON_FASHION_5__2[[#This Row],[overall]]&gt;=4,"Positive",IF(AMAZON_FASHION_5__2[[#This Row],[overall]]&lt;=2,"Negative","Neutral"))</f>
        <v>Positive</v>
      </c>
      <c r="S22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33" spans="1:19" x14ac:dyDescent="0.25">
      <c r="A2233">
        <v>1</v>
      </c>
      <c r="B2233" t="b">
        <v>1</v>
      </c>
      <c r="C2233" s="1">
        <v>42739</v>
      </c>
      <c r="D2233">
        <f>YEAR(AMAZON_FASHION_5__2[[#This Row],[reviewDate]])</f>
        <v>2017</v>
      </c>
      <c r="E2233" s="1" t="str">
        <f>TEXT(AMAZON_FASHION_5__2[[#This Row],[reviewDate]], "mmmm")</f>
        <v>January</v>
      </c>
      <c r="F2233" t="s">
        <v>1104</v>
      </c>
      <c r="G2233" t="s">
        <v>1501</v>
      </c>
      <c r="H2233" t="s">
        <v>205</v>
      </c>
      <c r="I2233" t="s">
        <v>211</v>
      </c>
      <c r="J2233" t="s">
        <v>1105</v>
      </c>
      <c r="K2233" t="s">
        <v>1106</v>
      </c>
      <c r="L2233" t="s">
        <v>1107</v>
      </c>
      <c r="M2233">
        <v>1483488000</v>
      </c>
      <c r="N2233" t="s">
        <v>1628</v>
      </c>
      <c r="O2233" t="s">
        <v>1628</v>
      </c>
      <c r="P2233" t="s">
        <v>1628</v>
      </c>
      <c r="Q2233">
        <f>LEN(AMAZON_FASHION_5__2[[#This Row],[reviewText]])</f>
        <v>258</v>
      </c>
      <c r="R2233" t="str">
        <f>IF(AMAZON_FASHION_5__2[[#This Row],[overall]]&gt;=4,"Positive",IF(AMAZON_FASHION_5__2[[#This Row],[overall]]&lt;=2,"Negative","Neutral"))</f>
        <v>Negative</v>
      </c>
      <c r="S22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34" spans="1:19" x14ac:dyDescent="0.25">
      <c r="A2234">
        <v>5</v>
      </c>
      <c r="B2234" t="b">
        <v>1</v>
      </c>
      <c r="C2234" s="1">
        <v>42739</v>
      </c>
      <c r="D2234">
        <f>YEAR(AMAZON_FASHION_5__2[[#This Row],[reviewDate]])</f>
        <v>2017</v>
      </c>
      <c r="E2234" s="1" t="str">
        <f>TEXT(AMAZON_FASHION_5__2[[#This Row],[reviewDate]], "mmmm")</f>
        <v>January</v>
      </c>
      <c r="F2234" t="s">
        <v>1108</v>
      </c>
      <c r="G2234" t="s">
        <v>1501</v>
      </c>
      <c r="H2234" t="s">
        <v>235</v>
      </c>
      <c r="I2234" t="s">
        <v>99</v>
      </c>
      <c r="J2234" t="s">
        <v>1109</v>
      </c>
      <c r="K2234" t="s">
        <v>1110</v>
      </c>
      <c r="L2234" t="s">
        <v>1111</v>
      </c>
      <c r="M2234">
        <v>1483488000</v>
      </c>
      <c r="N2234" t="s">
        <v>1628</v>
      </c>
      <c r="O2234" t="s">
        <v>1628</v>
      </c>
      <c r="P2234" t="s">
        <v>1628</v>
      </c>
      <c r="Q2234">
        <f>LEN(AMAZON_FASHION_5__2[[#This Row],[reviewText]])</f>
        <v>69</v>
      </c>
      <c r="R2234" t="str">
        <f>IF(AMAZON_FASHION_5__2[[#This Row],[overall]]&gt;=4,"Positive",IF(AMAZON_FASHION_5__2[[#This Row],[overall]]&lt;=2,"Negative","Neutral"))</f>
        <v>Positive</v>
      </c>
      <c r="S22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35" spans="1:19" x14ac:dyDescent="0.25">
      <c r="A2235">
        <v>5</v>
      </c>
      <c r="B2235" t="b">
        <v>1</v>
      </c>
      <c r="C2235" s="1">
        <v>42736</v>
      </c>
      <c r="D2235">
        <f>YEAR(AMAZON_FASHION_5__2[[#This Row],[reviewDate]])</f>
        <v>2017</v>
      </c>
      <c r="E2235" s="1" t="str">
        <f>TEXT(AMAZON_FASHION_5__2[[#This Row],[reviewDate]], "mmmm")</f>
        <v>January</v>
      </c>
      <c r="F2235" t="s">
        <v>1112</v>
      </c>
      <c r="G2235" t="s">
        <v>1501</v>
      </c>
      <c r="H2235" t="s">
        <v>197</v>
      </c>
      <c r="I2235" t="s">
        <v>1084</v>
      </c>
      <c r="J2235" t="s">
        <v>1113</v>
      </c>
      <c r="K2235" t="s">
        <v>1114</v>
      </c>
      <c r="L2235" t="s">
        <v>17</v>
      </c>
      <c r="M2235">
        <v>1483228800</v>
      </c>
      <c r="N2235" t="s">
        <v>1628</v>
      </c>
      <c r="O2235" t="s">
        <v>1628</v>
      </c>
      <c r="P2235" t="s">
        <v>1628</v>
      </c>
      <c r="Q2235">
        <f>LEN(AMAZON_FASHION_5__2[[#This Row],[reviewText]])</f>
        <v>32</v>
      </c>
      <c r="R2235" t="str">
        <f>IF(AMAZON_FASHION_5__2[[#This Row],[overall]]&gt;=4,"Positive",IF(AMAZON_FASHION_5__2[[#This Row],[overall]]&lt;=2,"Negative","Neutral"))</f>
        <v>Positive</v>
      </c>
      <c r="S22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36" spans="1:19" x14ac:dyDescent="0.25">
      <c r="A2236">
        <v>5</v>
      </c>
      <c r="B2236" t="b">
        <v>1</v>
      </c>
      <c r="C2236" s="1">
        <v>42736</v>
      </c>
      <c r="D2236">
        <f>YEAR(AMAZON_FASHION_5__2[[#This Row],[reviewDate]])</f>
        <v>2017</v>
      </c>
      <c r="E2236" s="1" t="str">
        <f>TEXT(AMAZON_FASHION_5__2[[#This Row],[reviewDate]], "mmmm")</f>
        <v>January</v>
      </c>
      <c r="F2236" t="s">
        <v>1115</v>
      </c>
      <c r="G2236" t="s">
        <v>1501</v>
      </c>
      <c r="H2236" t="s">
        <v>205</v>
      </c>
      <c r="I2236" t="s">
        <v>198</v>
      </c>
      <c r="J2236" t="s">
        <v>1116</v>
      </c>
      <c r="K2236" t="s">
        <v>1117</v>
      </c>
      <c r="L2236" t="s">
        <v>17</v>
      </c>
      <c r="M2236">
        <v>1483228800</v>
      </c>
      <c r="N2236" t="s">
        <v>1628</v>
      </c>
      <c r="O2236" t="s">
        <v>1628</v>
      </c>
      <c r="P2236" t="s">
        <v>1628</v>
      </c>
      <c r="Q2236">
        <f>LEN(AMAZON_FASHION_5__2[[#This Row],[reviewText]])</f>
        <v>36</v>
      </c>
      <c r="R2236" t="str">
        <f>IF(AMAZON_FASHION_5__2[[#This Row],[overall]]&gt;=4,"Positive",IF(AMAZON_FASHION_5__2[[#This Row],[overall]]&lt;=2,"Negative","Neutral"))</f>
        <v>Positive</v>
      </c>
      <c r="S22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37" spans="1:19" x14ac:dyDescent="0.25">
      <c r="A2237">
        <v>5</v>
      </c>
      <c r="B2237" t="b">
        <v>1</v>
      </c>
      <c r="C2237" s="1">
        <v>42735</v>
      </c>
      <c r="D2237">
        <f>YEAR(AMAZON_FASHION_5__2[[#This Row],[reviewDate]])</f>
        <v>2016</v>
      </c>
      <c r="E2237" s="1" t="str">
        <f>TEXT(AMAZON_FASHION_5__2[[#This Row],[reviewDate]], "mmmm")</f>
        <v>December</v>
      </c>
      <c r="F2237" t="s">
        <v>1118</v>
      </c>
      <c r="G2237" t="s">
        <v>1501</v>
      </c>
      <c r="H2237" t="s">
        <v>201</v>
      </c>
      <c r="I2237" t="s">
        <v>198</v>
      </c>
      <c r="J2237" t="s">
        <v>1119</v>
      </c>
      <c r="K2237" t="s">
        <v>1120</v>
      </c>
      <c r="L2237" t="s">
        <v>1121</v>
      </c>
      <c r="M2237">
        <v>1483142400</v>
      </c>
      <c r="N2237" t="s">
        <v>1628</v>
      </c>
      <c r="O2237" t="s">
        <v>1628</v>
      </c>
      <c r="P2237" t="s">
        <v>1628</v>
      </c>
      <c r="Q2237">
        <f>LEN(AMAZON_FASHION_5__2[[#This Row],[reviewText]])</f>
        <v>169</v>
      </c>
      <c r="R2237" t="str">
        <f>IF(AMAZON_FASHION_5__2[[#This Row],[overall]]&gt;=4,"Positive",IF(AMAZON_FASHION_5__2[[#This Row],[overall]]&lt;=2,"Negative","Neutral"))</f>
        <v>Positive</v>
      </c>
      <c r="S22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38" spans="1:19" x14ac:dyDescent="0.25">
      <c r="A2238">
        <v>5</v>
      </c>
      <c r="B2238" t="b">
        <v>1</v>
      </c>
      <c r="C2238" s="1">
        <v>42733</v>
      </c>
      <c r="D2238">
        <f>YEAR(AMAZON_FASHION_5__2[[#This Row],[reviewDate]])</f>
        <v>2016</v>
      </c>
      <c r="E2238" s="1" t="str">
        <f>TEXT(AMAZON_FASHION_5__2[[#This Row],[reviewDate]], "mmmm")</f>
        <v>December</v>
      </c>
      <c r="F2238" t="s">
        <v>1122</v>
      </c>
      <c r="G2238" t="s">
        <v>1501</v>
      </c>
      <c r="H2238" t="s">
        <v>201</v>
      </c>
      <c r="I2238" t="s">
        <v>198</v>
      </c>
      <c r="J2238" t="s">
        <v>1123</v>
      </c>
      <c r="K2238" t="s">
        <v>1124</v>
      </c>
      <c r="L2238" t="s">
        <v>17</v>
      </c>
      <c r="M2238">
        <v>1482969600</v>
      </c>
      <c r="N2238" t="s">
        <v>1628</v>
      </c>
      <c r="O2238" t="s">
        <v>1628</v>
      </c>
      <c r="P2238" t="s">
        <v>1628</v>
      </c>
      <c r="Q2238">
        <f>LEN(AMAZON_FASHION_5__2[[#This Row],[reviewText]])</f>
        <v>37</v>
      </c>
      <c r="R2238" t="str">
        <f>IF(AMAZON_FASHION_5__2[[#This Row],[overall]]&gt;=4,"Positive",IF(AMAZON_FASHION_5__2[[#This Row],[overall]]&lt;=2,"Negative","Neutral"))</f>
        <v>Positive</v>
      </c>
      <c r="S22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39" spans="1:19" x14ac:dyDescent="0.25">
      <c r="A2239">
        <v>5</v>
      </c>
      <c r="B2239" t="b">
        <v>1</v>
      </c>
      <c r="C2239" s="1">
        <v>42733</v>
      </c>
      <c r="D2239">
        <f>YEAR(AMAZON_FASHION_5__2[[#This Row],[reviewDate]])</f>
        <v>2016</v>
      </c>
      <c r="E2239" s="1" t="str">
        <f>TEXT(AMAZON_FASHION_5__2[[#This Row],[reviewDate]], "mmmm")</f>
        <v>December</v>
      </c>
      <c r="F2239" t="s">
        <v>1125</v>
      </c>
      <c r="G2239" t="s">
        <v>1501</v>
      </c>
      <c r="H2239" t="s">
        <v>210</v>
      </c>
      <c r="I2239" t="s">
        <v>1084</v>
      </c>
      <c r="J2239" t="s">
        <v>63</v>
      </c>
      <c r="K2239" t="s">
        <v>1126</v>
      </c>
      <c r="L2239" t="s">
        <v>17</v>
      </c>
      <c r="M2239">
        <v>1482969600</v>
      </c>
      <c r="N2239" t="s">
        <v>1628</v>
      </c>
      <c r="O2239" t="s">
        <v>1628</v>
      </c>
      <c r="P2239" t="s">
        <v>1628</v>
      </c>
      <c r="Q2239">
        <f>LEN(AMAZON_FASHION_5__2[[#This Row],[reviewText]])</f>
        <v>45</v>
      </c>
      <c r="R2239" t="str">
        <f>IF(AMAZON_FASHION_5__2[[#This Row],[overall]]&gt;=4,"Positive",IF(AMAZON_FASHION_5__2[[#This Row],[overall]]&lt;=2,"Negative","Neutral"))</f>
        <v>Positive</v>
      </c>
      <c r="S22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40" spans="1:19" x14ac:dyDescent="0.25">
      <c r="A2240">
        <v>5</v>
      </c>
      <c r="B2240" t="b">
        <v>1</v>
      </c>
      <c r="C2240" s="1">
        <v>42732</v>
      </c>
      <c r="D2240">
        <f>YEAR(AMAZON_FASHION_5__2[[#This Row],[reviewDate]])</f>
        <v>2016</v>
      </c>
      <c r="E2240" s="1" t="str">
        <f>TEXT(AMAZON_FASHION_5__2[[#This Row],[reviewDate]], "mmmm")</f>
        <v>December</v>
      </c>
      <c r="F2240" t="s">
        <v>1127</v>
      </c>
      <c r="G2240" t="s">
        <v>1501</v>
      </c>
      <c r="H2240" t="s">
        <v>201</v>
      </c>
      <c r="I2240" t="s">
        <v>198</v>
      </c>
      <c r="J2240" t="s">
        <v>63</v>
      </c>
      <c r="K2240" t="s">
        <v>483</v>
      </c>
      <c r="L2240" t="s">
        <v>1128</v>
      </c>
      <c r="M2240">
        <v>1482883200</v>
      </c>
      <c r="N2240" t="s">
        <v>1628</v>
      </c>
      <c r="O2240" t="s">
        <v>1628</v>
      </c>
      <c r="P2240" t="s">
        <v>1628</v>
      </c>
      <c r="Q2240">
        <f>LEN(AMAZON_FASHION_5__2[[#This Row],[reviewText]])</f>
        <v>8</v>
      </c>
      <c r="R2240" t="str">
        <f>IF(AMAZON_FASHION_5__2[[#This Row],[overall]]&gt;=4,"Positive",IF(AMAZON_FASHION_5__2[[#This Row],[overall]]&lt;=2,"Negative","Neutral"))</f>
        <v>Positive</v>
      </c>
      <c r="S22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41" spans="1:19" x14ac:dyDescent="0.25">
      <c r="A2241">
        <v>5</v>
      </c>
      <c r="B2241" t="b">
        <v>1</v>
      </c>
      <c r="C2241" s="1">
        <v>42732</v>
      </c>
      <c r="D2241">
        <f>YEAR(AMAZON_FASHION_5__2[[#This Row],[reviewDate]])</f>
        <v>2016</v>
      </c>
      <c r="E2241" s="1" t="str">
        <f>TEXT(AMAZON_FASHION_5__2[[#This Row],[reviewDate]], "mmmm")</f>
        <v>December</v>
      </c>
      <c r="F2241" t="s">
        <v>1129</v>
      </c>
      <c r="G2241" t="s">
        <v>1501</v>
      </c>
      <c r="H2241" t="s">
        <v>230</v>
      </c>
      <c r="I2241" t="s">
        <v>211</v>
      </c>
      <c r="J2241" t="s">
        <v>1130</v>
      </c>
      <c r="K2241" t="s">
        <v>1131</v>
      </c>
      <c r="L2241" t="s">
        <v>1132</v>
      </c>
      <c r="M2241">
        <v>1482883200</v>
      </c>
      <c r="N2241" t="s">
        <v>1628</v>
      </c>
      <c r="O2241" t="s">
        <v>1628</v>
      </c>
      <c r="P2241" t="s">
        <v>1628</v>
      </c>
      <c r="Q2241">
        <f>LEN(AMAZON_FASHION_5__2[[#This Row],[reviewText]])</f>
        <v>134</v>
      </c>
      <c r="R2241" t="str">
        <f>IF(AMAZON_FASHION_5__2[[#This Row],[overall]]&gt;=4,"Positive",IF(AMAZON_FASHION_5__2[[#This Row],[overall]]&lt;=2,"Negative","Neutral"))</f>
        <v>Positive</v>
      </c>
      <c r="S22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42" spans="1:19" x14ac:dyDescent="0.25">
      <c r="A2242">
        <v>5</v>
      </c>
      <c r="B2242" t="b">
        <v>1</v>
      </c>
      <c r="C2242" s="1">
        <v>42731</v>
      </c>
      <c r="D2242">
        <f>YEAR(AMAZON_FASHION_5__2[[#This Row],[reviewDate]])</f>
        <v>2016</v>
      </c>
      <c r="E2242" s="1" t="str">
        <f>TEXT(AMAZON_FASHION_5__2[[#This Row],[reviewDate]], "mmmm")</f>
        <v>December</v>
      </c>
      <c r="F2242" t="s">
        <v>1133</v>
      </c>
      <c r="G2242" t="s">
        <v>1501</v>
      </c>
      <c r="H2242" t="s">
        <v>205</v>
      </c>
      <c r="I2242" t="s">
        <v>198</v>
      </c>
      <c r="J2242" t="s">
        <v>1134</v>
      </c>
      <c r="K2242" t="s">
        <v>1135</v>
      </c>
      <c r="L2242" t="s">
        <v>17</v>
      </c>
      <c r="M2242">
        <v>1482796800</v>
      </c>
      <c r="N2242" t="s">
        <v>1628</v>
      </c>
      <c r="O2242" t="s">
        <v>1628</v>
      </c>
      <c r="P2242" t="s">
        <v>1628</v>
      </c>
      <c r="Q2242">
        <f>LEN(AMAZON_FASHION_5__2[[#This Row],[reviewText]])</f>
        <v>32</v>
      </c>
      <c r="R2242" t="str">
        <f>IF(AMAZON_FASHION_5__2[[#This Row],[overall]]&gt;=4,"Positive",IF(AMAZON_FASHION_5__2[[#This Row],[overall]]&lt;=2,"Negative","Neutral"))</f>
        <v>Positive</v>
      </c>
      <c r="S22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43" spans="1:19" x14ac:dyDescent="0.25">
      <c r="A2243">
        <v>2</v>
      </c>
      <c r="B2243" t="b">
        <v>1</v>
      </c>
      <c r="C2243" s="1">
        <v>42729</v>
      </c>
      <c r="D2243">
        <f>YEAR(AMAZON_FASHION_5__2[[#This Row],[reviewDate]])</f>
        <v>2016</v>
      </c>
      <c r="E2243" s="1" t="str">
        <f>TEXT(AMAZON_FASHION_5__2[[#This Row],[reviewDate]], "mmmm")</f>
        <v>December</v>
      </c>
      <c r="F2243" t="s">
        <v>1136</v>
      </c>
      <c r="G2243" t="s">
        <v>1501</v>
      </c>
      <c r="H2243" t="s">
        <v>477</v>
      </c>
      <c r="I2243" t="s">
        <v>396</v>
      </c>
      <c r="J2243" t="s">
        <v>1137</v>
      </c>
      <c r="K2243" t="s">
        <v>1138</v>
      </c>
      <c r="L2243" t="s">
        <v>1139</v>
      </c>
      <c r="M2243">
        <v>1482624000</v>
      </c>
      <c r="N2243" t="s">
        <v>1628</v>
      </c>
      <c r="O2243" t="s">
        <v>1628</v>
      </c>
      <c r="P2243">
        <v>2</v>
      </c>
      <c r="Q2243">
        <f>LEN(AMAZON_FASHION_5__2[[#This Row],[reviewText]])</f>
        <v>108</v>
      </c>
      <c r="R2243" t="str">
        <f>IF(AMAZON_FASHION_5__2[[#This Row],[overall]]&gt;=4,"Positive",IF(AMAZON_FASHION_5__2[[#This Row],[overall]]&lt;=2,"Negative","Neutral"))</f>
        <v>Negative</v>
      </c>
      <c r="S22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44" spans="1:19" x14ac:dyDescent="0.25">
      <c r="A2244">
        <v>5</v>
      </c>
      <c r="B2244" t="b">
        <v>1</v>
      </c>
      <c r="C2244" s="1">
        <v>42727</v>
      </c>
      <c r="D2244">
        <f>YEAR(AMAZON_FASHION_5__2[[#This Row],[reviewDate]])</f>
        <v>2016</v>
      </c>
      <c r="E2244" s="1" t="str">
        <f>TEXT(AMAZON_FASHION_5__2[[#This Row],[reviewDate]], "mmmm")</f>
        <v>December</v>
      </c>
      <c r="F2244" t="s">
        <v>1140</v>
      </c>
      <c r="G2244" t="s">
        <v>1501</v>
      </c>
      <c r="H2244" t="s">
        <v>477</v>
      </c>
      <c r="I2244" t="s">
        <v>574</v>
      </c>
      <c r="J2244" t="s">
        <v>1141</v>
      </c>
      <c r="K2244" t="s">
        <v>1142</v>
      </c>
      <c r="L2244" t="s">
        <v>1143</v>
      </c>
      <c r="M2244">
        <v>1482451200</v>
      </c>
      <c r="N2244" t="s">
        <v>1628</v>
      </c>
      <c r="O2244" t="s">
        <v>1628</v>
      </c>
      <c r="P2244" t="s">
        <v>1628</v>
      </c>
      <c r="Q2244">
        <f>LEN(AMAZON_FASHION_5__2[[#This Row],[reviewText]])</f>
        <v>198</v>
      </c>
      <c r="R2244" t="str">
        <f>IF(AMAZON_FASHION_5__2[[#This Row],[overall]]&gt;=4,"Positive",IF(AMAZON_FASHION_5__2[[#This Row],[overall]]&lt;=2,"Negative","Neutral"))</f>
        <v>Positive</v>
      </c>
      <c r="S22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45" spans="1:19" x14ac:dyDescent="0.25">
      <c r="A2245">
        <v>5</v>
      </c>
      <c r="B2245" t="b">
        <v>1</v>
      </c>
      <c r="C2245" s="1">
        <v>42726</v>
      </c>
      <c r="D2245">
        <f>YEAR(AMAZON_FASHION_5__2[[#This Row],[reviewDate]])</f>
        <v>2016</v>
      </c>
      <c r="E2245" s="1" t="str">
        <f>TEXT(AMAZON_FASHION_5__2[[#This Row],[reviewDate]], "mmmm")</f>
        <v>December</v>
      </c>
      <c r="F2245" t="s">
        <v>1144</v>
      </c>
      <c r="G2245" t="s">
        <v>1501</v>
      </c>
      <c r="H2245" t="s">
        <v>1145</v>
      </c>
      <c r="I2245" t="s">
        <v>411</v>
      </c>
      <c r="J2245" t="s">
        <v>63</v>
      </c>
      <c r="K2245" t="s">
        <v>1146</v>
      </c>
      <c r="L2245" t="s">
        <v>17</v>
      </c>
      <c r="M2245">
        <v>1482364800</v>
      </c>
      <c r="N2245" t="s">
        <v>1628</v>
      </c>
      <c r="O2245" t="s">
        <v>1628</v>
      </c>
      <c r="P2245" t="s">
        <v>1628</v>
      </c>
      <c r="Q2245">
        <f>LEN(AMAZON_FASHION_5__2[[#This Row],[reviewText]])</f>
        <v>105</v>
      </c>
      <c r="R2245" t="str">
        <f>IF(AMAZON_FASHION_5__2[[#This Row],[overall]]&gt;=4,"Positive",IF(AMAZON_FASHION_5__2[[#This Row],[overall]]&lt;=2,"Negative","Neutral"))</f>
        <v>Positive</v>
      </c>
      <c r="S22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46" spans="1:19" x14ac:dyDescent="0.25">
      <c r="A2246">
        <v>2</v>
      </c>
      <c r="B2246" t="b">
        <v>1</v>
      </c>
      <c r="C2246" s="1">
        <v>42720</v>
      </c>
      <c r="D2246">
        <f>YEAR(AMAZON_FASHION_5__2[[#This Row],[reviewDate]])</f>
        <v>2016</v>
      </c>
      <c r="E2246" s="1" t="str">
        <f>TEXT(AMAZON_FASHION_5__2[[#This Row],[reviewDate]], "mmmm")</f>
        <v>December</v>
      </c>
      <c r="F2246" t="s">
        <v>1147</v>
      </c>
      <c r="G2246" t="s">
        <v>1501</v>
      </c>
      <c r="H2246" t="s">
        <v>201</v>
      </c>
      <c r="I2246" t="s">
        <v>524</v>
      </c>
      <c r="J2246" t="s">
        <v>1148</v>
      </c>
      <c r="K2246" t="s">
        <v>1149</v>
      </c>
      <c r="L2246" t="s">
        <v>1150</v>
      </c>
      <c r="M2246">
        <v>1481846400</v>
      </c>
      <c r="N2246" t="s">
        <v>1628</v>
      </c>
      <c r="O2246" t="s">
        <v>1628</v>
      </c>
      <c r="P2246" t="s">
        <v>1628</v>
      </c>
      <c r="Q2246">
        <f>LEN(AMAZON_FASHION_5__2[[#This Row],[reviewText]])</f>
        <v>63</v>
      </c>
      <c r="R2246" t="str">
        <f>IF(AMAZON_FASHION_5__2[[#This Row],[overall]]&gt;=4,"Positive",IF(AMAZON_FASHION_5__2[[#This Row],[overall]]&lt;=2,"Negative","Neutral"))</f>
        <v>Negative</v>
      </c>
      <c r="S22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47" spans="1:19" x14ac:dyDescent="0.25">
      <c r="A2247">
        <v>1</v>
      </c>
      <c r="B2247" t="b">
        <v>1</v>
      </c>
      <c r="C2247" s="1">
        <v>42719</v>
      </c>
      <c r="D2247">
        <f>YEAR(AMAZON_FASHION_5__2[[#This Row],[reviewDate]])</f>
        <v>2016</v>
      </c>
      <c r="E2247" s="1" t="str">
        <f>TEXT(AMAZON_FASHION_5__2[[#This Row],[reviewDate]], "mmmm")</f>
        <v>December</v>
      </c>
      <c r="F2247" t="s">
        <v>1151</v>
      </c>
      <c r="G2247" t="s">
        <v>1501</v>
      </c>
      <c r="H2247" t="s">
        <v>197</v>
      </c>
      <c r="I2247" t="s">
        <v>1084</v>
      </c>
      <c r="J2247" t="s">
        <v>63</v>
      </c>
      <c r="K2247" t="s">
        <v>1152</v>
      </c>
      <c r="L2247" t="s">
        <v>65</v>
      </c>
      <c r="M2247">
        <v>1481760000</v>
      </c>
      <c r="N2247" t="s">
        <v>1628</v>
      </c>
      <c r="O2247" t="s">
        <v>1628</v>
      </c>
      <c r="P2247" t="s">
        <v>1628</v>
      </c>
      <c r="Q2247">
        <f>LEN(AMAZON_FASHION_5__2[[#This Row],[reviewText]])</f>
        <v>11</v>
      </c>
      <c r="R2247" t="str">
        <f>IF(AMAZON_FASHION_5__2[[#This Row],[overall]]&gt;=4,"Positive",IF(AMAZON_FASHION_5__2[[#This Row],[overall]]&lt;=2,"Negative","Neutral"))</f>
        <v>Negative</v>
      </c>
      <c r="S22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48" spans="1:19" x14ac:dyDescent="0.25">
      <c r="A2248">
        <v>5</v>
      </c>
      <c r="B2248" t="b">
        <v>1</v>
      </c>
      <c r="C2248" s="1">
        <v>42716</v>
      </c>
      <c r="D2248">
        <f>YEAR(AMAZON_FASHION_5__2[[#This Row],[reviewDate]])</f>
        <v>2016</v>
      </c>
      <c r="E2248" s="1" t="str">
        <f>TEXT(AMAZON_FASHION_5__2[[#This Row],[reviewDate]], "mmmm")</f>
        <v>December</v>
      </c>
      <c r="F2248" t="s">
        <v>1153</v>
      </c>
      <c r="G2248" t="s">
        <v>1501</v>
      </c>
      <c r="H2248" t="s">
        <v>1477</v>
      </c>
      <c r="I2248" t="s">
        <v>336</v>
      </c>
      <c r="J2248" t="s">
        <v>1154</v>
      </c>
      <c r="K2248" t="s">
        <v>1155</v>
      </c>
      <c r="L2248" t="s">
        <v>276</v>
      </c>
      <c r="M2248">
        <v>1481500800</v>
      </c>
      <c r="N2248" t="s">
        <v>1628</v>
      </c>
      <c r="O2248" t="s">
        <v>1628</v>
      </c>
      <c r="P2248" t="s">
        <v>1628</v>
      </c>
      <c r="Q2248">
        <f>LEN(AMAZON_FASHION_5__2[[#This Row],[reviewText]])</f>
        <v>15</v>
      </c>
      <c r="R2248" t="str">
        <f>IF(AMAZON_FASHION_5__2[[#This Row],[overall]]&gt;=4,"Positive",IF(AMAZON_FASHION_5__2[[#This Row],[overall]]&lt;=2,"Negative","Neutral"))</f>
        <v>Positive</v>
      </c>
      <c r="S22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49" spans="1:19" x14ac:dyDescent="0.25">
      <c r="A2249">
        <v>5</v>
      </c>
      <c r="B2249" t="b">
        <v>1</v>
      </c>
      <c r="C2249" s="1">
        <v>42716</v>
      </c>
      <c r="D2249">
        <f>YEAR(AMAZON_FASHION_5__2[[#This Row],[reviewDate]])</f>
        <v>2016</v>
      </c>
      <c r="E2249" s="1" t="str">
        <f>TEXT(AMAZON_FASHION_5__2[[#This Row],[reviewDate]], "mmmm")</f>
        <v>December</v>
      </c>
      <c r="F2249" t="s">
        <v>1156</v>
      </c>
      <c r="G2249" t="s">
        <v>1501</v>
      </c>
      <c r="H2249" t="s">
        <v>235</v>
      </c>
      <c r="I2249" t="s">
        <v>198</v>
      </c>
      <c r="J2249" t="s">
        <v>1157</v>
      </c>
      <c r="K2249" t="s">
        <v>1158</v>
      </c>
      <c r="L2249" t="s">
        <v>30</v>
      </c>
      <c r="M2249">
        <v>1481500800</v>
      </c>
      <c r="N2249" t="s">
        <v>1628</v>
      </c>
      <c r="O2249" t="s">
        <v>1628</v>
      </c>
      <c r="P2249">
        <v>3</v>
      </c>
      <c r="Q2249">
        <f>LEN(AMAZON_FASHION_5__2[[#This Row],[reviewText]])</f>
        <v>362</v>
      </c>
      <c r="R2249" t="str">
        <f>IF(AMAZON_FASHION_5__2[[#This Row],[overall]]&gt;=4,"Positive",IF(AMAZON_FASHION_5__2[[#This Row],[overall]]&lt;=2,"Negative","Neutral"))</f>
        <v>Positive</v>
      </c>
      <c r="S22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50" spans="1:19" x14ac:dyDescent="0.25">
      <c r="A2250">
        <v>4</v>
      </c>
      <c r="B2250" t="b">
        <v>1</v>
      </c>
      <c r="C2250" s="1">
        <v>42712</v>
      </c>
      <c r="D2250">
        <f>YEAR(AMAZON_FASHION_5__2[[#This Row],[reviewDate]])</f>
        <v>2016</v>
      </c>
      <c r="E2250" s="1" t="str">
        <f>TEXT(AMAZON_FASHION_5__2[[#This Row],[reviewDate]], "mmmm")</f>
        <v>December</v>
      </c>
      <c r="F2250" t="s">
        <v>1159</v>
      </c>
      <c r="G2250" t="s">
        <v>1501</v>
      </c>
      <c r="H2250" t="s">
        <v>197</v>
      </c>
      <c r="I2250" t="s">
        <v>1084</v>
      </c>
      <c r="J2250" t="s">
        <v>1160</v>
      </c>
      <c r="K2250" t="s">
        <v>1161</v>
      </c>
      <c r="L2250" t="s">
        <v>103</v>
      </c>
      <c r="M2250">
        <v>1481155200</v>
      </c>
      <c r="N2250" t="s">
        <v>1628</v>
      </c>
      <c r="O2250" t="s">
        <v>1628</v>
      </c>
      <c r="P2250" t="s">
        <v>1628</v>
      </c>
      <c r="Q2250">
        <f>LEN(AMAZON_FASHION_5__2[[#This Row],[reviewText]])</f>
        <v>36</v>
      </c>
      <c r="R2250" t="str">
        <f>IF(AMAZON_FASHION_5__2[[#This Row],[overall]]&gt;=4,"Positive",IF(AMAZON_FASHION_5__2[[#This Row],[overall]]&lt;=2,"Negative","Neutral"))</f>
        <v>Positive</v>
      </c>
      <c r="S22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51" spans="1:19" x14ac:dyDescent="0.25">
      <c r="A2251">
        <v>4</v>
      </c>
      <c r="B2251" t="b">
        <v>1</v>
      </c>
      <c r="C2251" s="1">
        <v>42708</v>
      </c>
      <c r="D2251">
        <f>YEAR(AMAZON_FASHION_5__2[[#This Row],[reviewDate]])</f>
        <v>2016</v>
      </c>
      <c r="E2251" s="1" t="str">
        <f>TEXT(AMAZON_FASHION_5__2[[#This Row],[reviewDate]], "mmmm")</f>
        <v>December</v>
      </c>
      <c r="F2251" t="s">
        <v>1162</v>
      </c>
      <c r="G2251" t="s">
        <v>1501</v>
      </c>
      <c r="H2251" t="s">
        <v>320</v>
      </c>
      <c r="I2251" t="s">
        <v>827</v>
      </c>
      <c r="J2251" t="s">
        <v>1163</v>
      </c>
      <c r="K2251" t="s">
        <v>1164</v>
      </c>
      <c r="L2251" t="s">
        <v>103</v>
      </c>
      <c r="M2251">
        <v>1480809600</v>
      </c>
      <c r="N2251" t="s">
        <v>1628</v>
      </c>
      <c r="O2251" t="s">
        <v>1628</v>
      </c>
      <c r="P2251" t="s">
        <v>1628</v>
      </c>
      <c r="Q2251">
        <f>LEN(AMAZON_FASHION_5__2[[#This Row],[reviewText]])</f>
        <v>36</v>
      </c>
      <c r="R2251" t="str">
        <f>IF(AMAZON_FASHION_5__2[[#This Row],[overall]]&gt;=4,"Positive",IF(AMAZON_FASHION_5__2[[#This Row],[overall]]&lt;=2,"Negative","Neutral"))</f>
        <v>Positive</v>
      </c>
      <c r="S22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52" spans="1:19" x14ac:dyDescent="0.25">
      <c r="A2252">
        <v>4</v>
      </c>
      <c r="B2252" t="b">
        <v>1</v>
      </c>
      <c r="C2252" s="1">
        <v>42706</v>
      </c>
      <c r="D2252">
        <f>YEAR(AMAZON_FASHION_5__2[[#This Row],[reviewDate]])</f>
        <v>2016</v>
      </c>
      <c r="E2252" s="1" t="str">
        <f>TEXT(AMAZON_FASHION_5__2[[#This Row],[reviewDate]], "mmmm")</f>
        <v>December</v>
      </c>
      <c r="F2252" t="s">
        <v>1165</v>
      </c>
      <c r="G2252" t="s">
        <v>1501</v>
      </c>
      <c r="H2252" t="s">
        <v>717</v>
      </c>
      <c r="I2252" t="s">
        <v>336</v>
      </c>
      <c r="J2252" t="s">
        <v>63</v>
      </c>
      <c r="K2252" t="s">
        <v>1166</v>
      </c>
      <c r="L2252" t="s">
        <v>103</v>
      </c>
      <c r="M2252">
        <v>1480636800</v>
      </c>
      <c r="N2252" t="s">
        <v>1628</v>
      </c>
      <c r="O2252" t="s">
        <v>1628</v>
      </c>
      <c r="P2252">
        <v>2</v>
      </c>
      <c r="Q2252">
        <f>LEN(AMAZON_FASHION_5__2[[#This Row],[reviewText]])</f>
        <v>29</v>
      </c>
      <c r="R2252" t="str">
        <f>IF(AMAZON_FASHION_5__2[[#This Row],[overall]]&gt;=4,"Positive",IF(AMAZON_FASHION_5__2[[#This Row],[overall]]&lt;=2,"Negative","Neutral"))</f>
        <v>Positive</v>
      </c>
      <c r="S22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53" spans="1:19" x14ac:dyDescent="0.25">
      <c r="A2253">
        <v>5</v>
      </c>
      <c r="B2253" t="b">
        <v>1</v>
      </c>
      <c r="C2253" s="1">
        <v>42706</v>
      </c>
      <c r="D2253">
        <f>YEAR(AMAZON_FASHION_5__2[[#This Row],[reviewDate]])</f>
        <v>2016</v>
      </c>
      <c r="E2253" s="1" t="str">
        <f>TEXT(AMAZON_FASHION_5__2[[#This Row],[reviewDate]], "mmmm")</f>
        <v>December</v>
      </c>
      <c r="F2253" t="s">
        <v>1167</v>
      </c>
      <c r="G2253" t="s">
        <v>1501</v>
      </c>
      <c r="H2253" t="s">
        <v>210</v>
      </c>
      <c r="I2253" t="s">
        <v>198</v>
      </c>
      <c r="J2253" t="s">
        <v>1168</v>
      </c>
      <c r="K2253" t="s">
        <v>1169</v>
      </c>
      <c r="L2253" t="s">
        <v>17</v>
      </c>
      <c r="M2253">
        <v>1480636800</v>
      </c>
      <c r="N2253" t="s">
        <v>1628</v>
      </c>
      <c r="O2253" t="s">
        <v>1628</v>
      </c>
      <c r="P2253" t="s">
        <v>1628</v>
      </c>
      <c r="Q2253">
        <f>LEN(AMAZON_FASHION_5__2[[#This Row],[reviewText]])</f>
        <v>43</v>
      </c>
      <c r="R2253" t="str">
        <f>IF(AMAZON_FASHION_5__2[[#This Row],[overall]]&gt;=4,"Positive",IF(AMAZON_FASHION_5__2[[#This Row],[overall]]&lt;=2,"Negative","Neutral"))</f>
        <v>Positive</v>
      </c>
      <c r="S22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54" spans="1:19" x14ac:dyDescent="0.25">
      <c r="A2254">
        <v>5</v>
      </c>
      <c r="B2254" t="b">
        <v>1</v>
      </c>
      <c r="C2254" s="1">
        <v>42705</v>
      </c>
      <c r="D2254">
        <f>YEAR(AMAZON_FASHION_5__2[[#This Row],[reviewDate]])</f>
        <v>2016</v>
      </c>
      <c r="E2254" s="1" t="str">
        <f>TEXT(AMAZON_FASHION_5__2[[#This Row],[reviewDate]], "mmmm")</f>
        <v>December</v>
      </c>
      <c r="F2254" t="s">
        <v>1170</v>
      </c>
      <c r="G2254" t="s">
        <v>1501</v>
      </c>
      <c r="H2254" t="s">
        <v>230</v>
      </c>
      <c r="I2254" t="s">
        <v>1476</v>
      </c>
      <c r="J2254" t="s">
        <v>451</v>
      </c>
      <c r="K2254" t="s">
        <v>1171</v>
      </c>
      <c r="L2254" t="s">
        <v>17</v>
      </c>
      <c r="M2254">
        <v>1480550400</v>
      </c>
      <c r="N2254" t="s">
        <v>1628</v>
      </c>
      <c r="O2254" t="s">
        <v>1628</v>
      </c>
      <c r="P2254" t="s">
        <v>1628</v>
      </c>
      <c r="Q2254">
        <f>LEN(AMAZON_FASHION_5__2[[#This Row],[reviewText]])</f>
        <v>93</v>
      </c>
      <c r="R2254" t="str">
        <f>IF(AMAZON_FASHION_5__2[[#This Row],[overall]]&gt;=4,"Positive",IF(AMAZON_FASHION_5__2[[#This Row],[overall]]&lt;=2,"Negative","Neutral"))</f>
        <v>Positive</v>
      </c>
      <c r="S22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55" spans="1:19" x14ac:dyDescent="0.25">
      <c r="A2255">
        <v>5</v>
      </c>
      <c r="B2255" t="b">
        <v>1</v>
      </c>
      <c r="C2255" s="1">
        <v>42702</v>
      </c>
      <c r="D2255">
        <f>YEAR(AMAZON_FASHION_5__2[[#This Row],[reviewDate]])</f>
        <v>2016</v>
      </c>
      <c r="E2255" s="1" t="str">
        <f>TEXT(AMAZON_FASHION_5__2[[#This Row],[reviewDate]], "mmmm")</f>
        <v>November</v>
      </c>
      <c r="F2255" t="s">
        <v>1172</v>
      </c>
      <c r="G2255" t="s">
        <v>1501</v>
      </c>
      <c r="H2255" t="s">
        <v>230</v>
      </c>
      <c r="I2255" t="s">
        <v>198</v>
      </c>
      <c r="J2255" t="s">
        <v>1076</v>
      </c>
      <c r="K2255" t="s">
        <v>1173</v>
      </c>
      <c r="L2255" t="s">
        <v>17</v>
      </c>
      <c r="M2255">
        <v>1480291200</v>
      </c>
      <c r="N2255" t="s">
        <v>1628</v>
      </c>
      <c r="O2255" t="s">
        <v>1628</v>
      </c>
      <c r="P2255" t="s">
        <v>1628</v>
      </c>
      <c r="Q2255">
        <f>LEN(AMAZON_FASHION_5__2[[#This Row],[reviewText]])</f>
        <v>90</v>
      </c>
      <c r="R2255" t="str">
        <f>IF(AMAZON_FASHION_5__2[[#This Row],[overall]]&gt;=4,"Positive",IF(AMAZON_FASHION_5__2[[#This Row],[overall]]&lt;=2,"Negative","Neutral"))</f>
        <v>Positive</v>
      </c>
      <c r="S22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56" spans="1:19" x14ac:dyDescent="0.25">
      <c r="A2256">
        <v>5</v>
      </c>
      <c r="B2256" t="b">
        <v>1</v>
      </c>
      <c r="C2256" s="1">
        <v>42701</v>
      </c>
      <c r="D2256">
        <f>YEAR(AMAZON_FASHION_5__2[[#This Row],[reviewDate]])</f>
        <v>2016</v>
      </c>
      <c r="E2256" s="1" t="str">
        <f>TEXT(AMAZON_FASHION_5__2[[#This Row],[reviewDate]], "mmmm")</f>
        <v>November</v>
      </c>
      <c r="F2256" t="s">
        <v>1174</v>
      </c>
      <c r="G2256" t="s">
        <v>1501</v>
      </c>
      <c r="H2256" t="s">
        <v>477</v>
      </c>
      <c r="I2256" t="s">
        <v>849</v>
      </c>
      <c r="J2256" t="s">
        <v>1175</v>
      </c>
      <c r="K2256" t="s">
        <v>1176</v>
      </c>
      <c r="L2256" t="s">
        <v>877</v>
      </c>
      <c r="M2256">
        <v>1480204800</v>
      </c>
      <c r="N2256" t="s">
        <v>1628</v>
      </c>
      <c r="O2256" t="s">
        <v>1628</v>
      </c>
      <c r="P2256" t="s">
        <v>1628</v>
      </c>
      <c r="Q2256">
        <f>LEN(AMAZON_FASHION_5__2[[#This Row],[reviewText]])</f>
        <v>338</v>
      </c>
      <c r="R2256" t="str">
        <f>IF(AMAZON_FASHION_5__2[[#This Row],[overall]]&gt;=4,"Positive",IF(AMAZON_FASHION_5__2[[#This Row],[overall]]&lt;=2,"Negative","Neutral"))</f>
        <v>Positive</v>
      </c>
      <c r="S22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57" spans="1:19" x14ac:dyDescent="0.25">
      <c r="A2257">
        <v>5</v>
      </c>
      <c r="B2257" t="b">
        <v>1</v>
      </c>
      <c r="C2257" s="1">
        <v>42697</v>
      </c>
      <c r="D2257">
        <f>YEAR(AMAZON_FASHION_5__2[[#This Row],[reviewDate]])</f>
        <v>2016</v>
      </c>
      <c r="E2257" s="1" t="str">
        <f>TEXT(AMAZON_FASHION_5__2[[#This Row],[reviewDate]], "mmmm")</f>
        <v>November</v>
      </c>
      <c r="F2257" t="s">
        <v>1177</v>
      </c>
      <c r="G2257" t="s">
        <v>1501</v>
      </c>
      <c r="H2257" t="s">
        <v>201</v>
      </c>
      <c r="I2257" t="s">
        <v>198</v>
      </c>
      <c r="J2257" t="s">
        <v>1178</v>
      </c>
      <c r="K2257" t="s">
        <v>1179</v>
      </c>
      <c r="L2257" t="s">
        <v>1180</v>
      </c>
      <c r="M2257">
        <v>1479859200</v>
      </c>
      <c r="N2257" t="s">
        <v>1628</v>
      </c>
      <c r="O2257" t="s">
        <v>1628</v>
      </c>
      <c r="P2257" t="s">
        <v>1628</v>
      </c>
      <c r="Q2257">
        <f>LEN(AMAZON_FASHION_5__2[[#This Row],[reviewText]])</f>
        <v>76</v>
      </c>
      <c r="R2257" t="str">
        <f>IF(AMAZON_FASHION_5__2[[#This Row],[overall]]&gt;=4,"Positive",IF(AMAZON_FASHION_5__2[[#This Row],[overall]]&lt;=2,"Negative","Neutral"))</f>
        <v>Positive</v>
      </c>
      <c r="S22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58" spans="1:19" x14ac:dyDescent="0.25">
      <c r="A2258">
        <v>4</v>
      </c>
      <c r="B2258" t="b">
        <v>0</v>
      </c>
      <c r="C2258" s="1">
        <v>42695</v>
      </c>
      <c r="D2258">
        <f>YEAR(AMAZON_FASHION_5__2[[#This Row],[reviewDate]])</f>
        <v>2016</v>
      </c>
      <c r="E2258" s="1" t="str">
        <f>TEXT(AMAZON_FASHION_5__2[[#This Row],[reviewDate]], "mmmm")</f>
        <v>November</v>
      </c>
      <c r="F2258" t="s">
        <v>1181</v>
      </c>
      <c r="G2258" t="s">
        <v>1501</v>
      </c>
      <c r="H2258" t="s">
        <v>320</v>
      </c>
      <c r="I2258" t="s">
        <v>574</v>
      </c>
      <c r="J2258" t="s">
        <v>1182</v>
      </c>
      <c r="K2258" t="s">
        <v>1183</v>
      </c>
      <c r="L2258" t="s">
        <v>1184</v>
      </c>
      <c r="M2258">
        <v>1479686400</v>
      </c>
      <c r="N2258" t="s">
        <v>1628</v>
      </c>
      <c r="O2258" t="s">
        <v>1628</v>
      </c>
      <c r="P2258" t="s">
        <v>1628</v>
      </c>
      <c r="Q2258">
        <f>LEN(AMAZON_FASHION_5__2[[#This Row],[reviewText]])</f>
        <v>767</v>
      </c>
      <c r="R2258" t="str">
        <f>IF(AMAZON_FASHION_5__2[[#This Row],[overall]]&gt;=4,"Positive",IF(AMAZON_FASHION_5__2[[#This Row],[overall]]&lt;=2,"Negative","Neutral"))</f>
        <v>Positive</v>
      </c>
      <c r="S22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59" spans="1:19" x14ac:dyDescent="0.25">
      <c r="A2259">
        <v>4</v>
      </c>
      <c r="B2259" t="b">
        <v>1</v>
      </c>
      <c r="C2259" s="1">
        <v>42690</v>
      </c>
      <c r="D2259">
        <f>YEAR(AMAZON_FASHION_5__2[[#This Row],[reviewDate]])</f>
        <v>2016</v>
      </c>
      <c r="E2259" s="1" t="str">
        <f>TEXT(AMAZON_FASHION_5__2[[#This Row],[reviewDate]], "mmmm")</f>
        <v>November</v>
      </c>
      <c r="F2259" t="s">
        <v>1185</v>
      </c>
      <c r="G2259" t="s">
        <v>1501</v>
      </c>
      <c r="H2259" t="s">
        <v>230</v>
      </c>
      <c r="I2259" t="s">
        <v>1476</v>
      </c>
      <c r="J2259" t="s">
        <v>1186</v>
      </c>
      <c r="K2259" t="s">
        <v>1187</v>
      </c>
      <c r="L2259" t="s">
        <v>103</v>
      </c>
      <c r="M2259">
        <v>1479254400</v>
      </c>
      <c r="N2259" t="s">
        <v>1628</v>
      </c>
      <c r="O2259" t="s">
        <v>1628</v>
      </c>
      <c r="P2259" t="s">
        <v>1628</v>
      </c>
      <c r="Q2259">
        <f>LEN(AMAZON_FASHION_5__2[[#This Row],[reviewText]])</f>
        <v>49</v>
      </c>
      <c r="R2259" t="str">
        <f>IF(AMAZON_FASHION_5__2[[#This Row],[overall]]&gt;=4,"Positive",IF(AMAZON_FASHION_5__2[[#This Row],[overall]]&lt;=2,"Negative","Neutral"))</f>
        <v>Positive</v>
      </c>
      <c r="S22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60" spans="1:19" x14ac:dyDescent="0.25">
      <c r="A2260">
        <v>5</v>
      </c>
      <c r="B2260" t="b">
        <v>1</v>
      </c>
      <c r="C2260" s="1">
        <v>42690</v>
      </c>
      <c r="D2260">
        <f>YEAR(AMAZON_FASHION_5__2[[#This Row],[reviewDate]])</f>
        <v>2016</v>
      </c>
      <c r="E2260" s="1" t="str">
        <f>TEXT(AMAZON_FASHION_5__2[[#This Row],[reviewDate]], "mmmm")</f>
        <v>November</v>
      </c>
      <c r="F2260" t="s">
        <v>1188</v>
      </c>
      <c r="G2260" t="s">
        <v>1501</v>
      </c>
      <c r="H2260" t="s">
        <v>230</v>
      </c>
      <c r="I2260" t="s">
        <v>198</v>
      </c>
      <c r="J2260" t="s">
        <v>63</v>
      </c>
      <c r="K2260" t="s">
        <v>1189</v>
      </c>
      <c r="L2260" t="s">
        <v>17</v>
      </c>
      <c r="M2260">
        <v>1479254400</v>
      </c>
      <c r="N2260" t="s">
        <v>1628</v>
      </c>
      <c r="O2260" t="s">
        <v>1628</v>
      </c>
      <c r="P2260" t="s">
        <v>1628</v>
      </c>
      <c r="Q2260">
        <f>LEN(AMAZON_FASHION_5__2[[#This Row],[reviewText]])</f>
        <v>9</v>
      </c>
      <c r="R2260" t="str">
        <f>IF(AMAZON_FASHION_5__2[[#This Row],[overall]]&gt;=4,"Positive",IF(AMAZON_FASHION_5__2[[#This Row],[overall]]&lt;=2,"Negative","Neutral"))</f>
        <v>Positive</v>
      </c>
      <c r="S22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61" spans="1:19" x14ac:dyDescent="0.25">
      <c r="A2261">
        <v>3</v>
      </c>
      <c r="B2261" t="b">
        <v>1</v>
      </c>
      <c r="C2261" s="1">
        <v>42688</v>
      </c>
      <c r="D2261">
        <f>YEAR(AMAZON_FASHION_5__2[[#This Row],[reviewDate]])</f>
        <v>2016</v>
      </c>
      <c r="E2261" s="1" t="str">
        <f>TEXT(AMAZON_FASHION_5__2[[#This Row],[reviewDate]], "mmmm")</f>
        <v>November</v>
      </c>
      <c r="F2261" t="s">
        <v>1190</v>
      </c>
      <c r="G2261" t="s">
        <v>1501</v>
      </c>
      <c r="H2261" t="s">
        <v>201</v>
      </c>
      <c r="I2261" t="s">
        <v>524</v>
      </c>
      <c r="J2261" t="s">
        <v>1191</v>
      </c>
      <c r="K2261" t="s">
        <v>1192</v>
      </c>
      <c r="L2261" t="s">
        <v>1193</v>
      </c>
      <c r="M2261">
        <v>1479081600</v>
      </c>
      <c r="N2261" t="s">
        <v>1628</v>
      </c>
      <c r="O2261" t="s">
        <v>1628</v>
      </c>
      <c r="P2261" t="s">
        <v>1628</v>
      </c>
      <c r="Q2261">
        <f>LEN(AMAZON_FASHION_5__2[[#This Row],[reviewText]])</f>
        <v>92</v>
      </c>
      <c r="R2261" t="str">
        <f>IF(AMAZON_FASHION_5__2[[#This Row],[overall]]&gt;=4,"Positive",IF(AMAZON_FASHION_5__2[[#This Row],[overall]]&lt;=2,"Negative","Neutral"))</f>
        <v>Neutral</v>
      </c>
      <c r="S22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62" spans="1:19" x14ac:dyDescent="0.25">
      <c r="A2262">
        <v>5</v>
      </c>
      <c r="B2262" t="b">
        <v>1</v>
      </c>
      <c r="C2262" s="1">
        <v>42685</v>
      </c>
      <c r="D2262">
        <f>YEAR(AMAZON_FASHION_5__2[[#This Row],[reviewDate]])</f>
        <v>2016</v>
      </c>
      <c r="E2262" s="1" t="str">
        <f>TEXT(AMAZON_FASHION_5__2[[#This Row],[reviewDate]], "mmmm")</f>
        <v>November</v>
      </c>
      <c r="F2262" t="s">
        <v>1194</v>
      </c>
      <c r="G2262" t="s">
        <v>1501</v>
      </c>
      <c r="H2262" t="s">
        <v>235</v>
      </c>
      <c r="I2262" t="s">
        <v>303</v>
      </c>
      <c r="J2262" t="s">
        <v>1195</v>
      </c>
      <c r="K2262" t="s">
        <v>1196</v>
      </c>
      <c r="L2262" t="s">
        <v>1197</v>
      </c>
      <c r="M2262">
        <v>1478822400</v>
      </c>
      <c r="N2262" t="s">
        <v>1628</v>
      </c>
      <c r="O2262" t="s">
        <v>1628</v>
      </c>
      <c r="P2262" t="s">
        <v>1628</v>
      </c>
      <c r="Q2262">
        <f>LEN(AMAZON_FASHION_5__2[[#This Row],[reviewText]])</f>
        <v>133</v>
      </c>
      <c r="R2262" t="str">
        <f>IF(AMAZON_FASHION_5__2[[#This Row],[overall]]&gt;=4,"Positive",IF(AMAZON_FASHION_5__2[[#This Row],[overall]]&lt;=2,"Negative","Neutral"))</f>
        <v>Positive</v>
      </c>
      <c r="S22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63" spans="1:19" x14ac:dyDescent="0.25">
      <c r="A2263">
        <v>4</v>
      </c>
      <c r="B2263" t="b">
        <v>1</v>
      </c>
      <c r="C2263" s="1">
        <v>42685</v>
      </c>
      <c r="D2263">
        <f>YEAR(AMAZON_FASHION_5__2[[#This Row],[reviewDate]])</f>
        <v>2016</v>
      </c>
      <c r="E2263" s="1" t="str">
        <f>TEXT(AMAZON_FASHION_5__2[[#This Row],[reviewDate]], "mmmm")</f>
        <v>November</v>
      </c>
      <c r="F2263" t="s">
        <v>1198</v>
      </c>
      <c r="G2263" t="s">
        <v>1501</v>
      </c>
      <c r="H2263" t="s">
        <v>205</v>
      </c>
      <c r="I2263" t="s">
        <v>396</v>
      </c>
      <c r="J2263" t="s">
        <v>1199</v>
      </c>
      <c r="K2263" t="s">
        <v>1200</v>
      </c>
      <c r="L2263" t="s">
        <v>103</v>
      </c>
      <c r="M2263">
        <v>1478822400</v>
      </c>
      <c r="N2263" t="s">
        <v>1628</v>
      </c>
      <c r="O2263" t="s">
        <v>1628</v>
      </c>
      <c r="P2263" t="s">
        <v>1628</v>
      </c>
      <c r="Q2263">
        <f>LEN(AMAZON_FASHION_5__2[[#This Row],[reviewText]])</f>
        <v>25</v>
      </c>
      <c r="R2263" t="str">
        <f>IF(AMAZON_FASHION_5__2[[#This Row],[overall]]&gt;=4,"Positive",IF(AMAZON_FASHION_5__2[[#This Row],[overall]]&lt;=2,"Negative","Neutral"))</f>
        <v>Positive</v>
      </c>
      <c r="S22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64" spans="1:19" x14ac:dyDescent="0.25">
      <c r="A2264">
        <v>5</v>
      </c>
      <c r="B2264" t="b">
        <v>1</v>
      </c>
      <c r="C2264" s="1">
        <v>42683</v>
      </c>
      <c r="D2264">
        <f>YEAR(AMAZON_FASHION_5__2[[#This Row],[reviewDate]])</f>
        <v>2016</v>
      </c>
      <c r="E2264" s="1" t="str">
        <f>TEXT(AMAZON_FASHION_5__2[[#This Row],[reviewDate]], "mmmm")</f>
        <v>November</v>
      </c>
      <c r="F2264" t="s">
        <v>1201</v>
      </c>
      <c r="G2264" t="s">
        <v>1501</v>
      </c>
      <c r="H2264" t="s">
        <v>197</v>
      </c>
      <c r="I2264" t="s">
        <v>198</v>
      </c>
      <c r="J2264" t="s">
        <v>63</v>
      </c>
      <c r="K2264" t="s">
        <v>1202</v>
      </c>
      <c r="L2264" t="s">
        <v>1203</v>
      </c>
      <c r="M2264">
        <v>1478649600</v>
      </c>
      <c r="N2264" t="s">
        <v>1628</v>
      </c>
      <c r="O2264" t="s">
        <v>1628</v>
      </c>
      <c r="P2264" t="s">
        <v>1628</v>
      </c>
      <c r="Q2264">
        <f>LEN(AMAZON_FASHION_5__2[[#This Row],[reviewText]])</f>
        <v>64</v>
      </c>
      <c r="R2264" t="str">
        <f>IF(AMAZON_FASHION_5__2[[#This Row],[overall]]&gt;=4,"Positive",IF(AMAZON_FASHION_5__2[[#This Row],[overall]]&lt;=2,"Negative","Neutral"))</f>
        <v>Positive</v>
      </c>
      <c r="S22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65" spans="1:19" x14ac:dyDescent="0.25">
      <c r="A2265">
        <v>4</v>
      </c>
      <c r="B2265" t="b">
        <v>1</v>
      </c>
      <c r="C2265" s="1">
        <v>42682</v>
      </c>
      <c r="D2265">
        <f>YEAR(AMAZON_FASHION_5__2[[#This Row],[reviewDate]])</f>
        <v>2016</v>
      </c>
      <c r="E2265" s="1" t="str">
        <f>TEXT(AMAZON_FASHION_5__2[[#This Row],[reviewDate]], "mmmm")</f>
        <v>November</v>
      </c>
      <c r="F2265" t="s">
        <v>1204</v>
      </c>
      <c r="G2265" t="s">
        <v>1501</v>
      </c>
      <c r="H2265" t="s">
        <v>320</v>
      </c>
      <c r="I2265" t="s">
        <v>827</v>
      </c>
      <c r="J2265" t="s">
        <v>1205</v>
      </c>
      <c r="K2265" t="s">
        <v>1206</v>
      </c>
      <c r="L2265" t="s">
        <v>1207</v>
      </c>
      <c r="M2265">
        <v>1478563200</v>
      </c>
      <c r="N2265" t="s">
        <v>1628</v>
      </c>
      <c r="O2265" t="s">
        <v>1628</v>
      </c>
      <c r="P2265" t="s">
        <v>1628</v>
      </c>
      <c r="Q2265">
        <f>LEN(AMAZON_FASHION_5__2[[#This Row],[reviewText]])</f>
        <v>83</v>
      </c>
      <c r="R2265" t="str">
        <f>IF(AMAZON_FASHION_5__2[[#This Row],[overall]]&gt;=4,"Positive",IF(AMAZON_FASHION_5__2[[#This Row],[overall]]&lt;=2,"Negative","Neutral"))</f>
        <v>Positive</v>
      </c>
      <c r="S22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66" spans="1:19" x14ac:dyDescent="0.25">
      <c r="A2266">
        <v>5</v>
      </c>
      <c r="B2266" t="b">
        <v>1</v>
      </c>
      <c r="C2266" s="1">
        <v>42681</v>
      </c>
      <c r="D2266">
        <f>YEAR(AMAZON_FASHION_5__2[[#This Row],[reviewDate]])</f>
        <v>2016</v>
      </c>
      <c r="E2266" s="1" t="str">
        <f>TEXT(AMAZON_FASHION_5__2[[#This Row],[reviewDate]], "mmmm")</f>
        <v>November</v>
      </c>
      <c r="F2266" t="s">
        <v>1208</v>
      </c>
      <c r="G2266" t="s">
        <v>1501</v>
      </c>
      <c r="H2266" t="s">
        <v>477</v>
      </c>
      <c r="I2266" t="s">
        <v>198</v>
      </c>
      <c r="J2266" t="s">
        <v>1209</v>
      </c>
      <c r="K2266" t="s">
        <v>1210</v>
      </c>
      <c r="L2266" t="s">
        <v>1211</v>
      </c>
      <c r="M2266">
        <v>1478476800</v>
      </c>
      <c r="N2266" t="s">
        <v>1628</v>
      </c>
      <c r="O2266" t="s">
        <v>1628</v>
      </c>
      <c r="P2266">
        <v>3</v>
      </c>
      <c r="Q2266">
        <f>LEN(AMAZON_FASHION_5__2[[#This Row],[reviewText]])</f>
        <v>235</v>
      </c>
      <c r="R2266" t="str">
        <f>IF(AMAZON_FASHION_5__2[[#This Row],[overall]]&gt;=4,"Positive",IF(AMAZON_FASHION_5__2[[#This Row],[overall]]&lt;=2,"Negative","Neutral"))</f>
        <v>Positive</v>
      </c>
      <c r="S22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67" spans="1:19" x14ac:dyDescent="0.25">
      <c r="A2267">
        <v>3</v>
      </c>
      <c r="B2267" t="b">
        <v>1</v>
      </c>
      <c r="C2267" s="1">
        <v>42680</v>
      </c>
      <c r="D2267">
        <f>YEAR(AMAZON_FASHION_5__2[[#This Row],[reviewDate]])</f>
        <v>2016</v>
      </c>
      <c r="E2267" s="1" t="str">
        <f>TEXT(AMAZON_FASHION_5__2[[#This Row],[reviewDate]], "mmmm")</f>
        <v>November</v>
      </c>
      <c r="F2267" t="s">
        <v>1212</v>
      </c>
      <c r="G2267" t="s">
        <v>1501</v>
      </c>
      <c r="H2267" t="s">
        <v>230</v>
      </c>
      <c r="I2267" t="s">
        <v>827</v>
      </c>
      <c r="J2267" t="s">
        <v>1213</v>
      </c>
      <c r="K2267" t="s">
        <v>1214</v>
      </c>
      <c r="L2267" t="s">
        <v>1215</v>
      </c>
      <c r="M2267">
        <v>1478390400</v>
      </c>
      <c r="N2267" t="s">
        <v>1628</v>
      </c>
      <c r="O2267" t="s">
        <v>1628</v>
      </c>
      <c r="P2267" t="s">
        <v>1628</v>
      </c>
      <c r="Q2267">
        <f>LEN(AMAZON_FASHION_5__2[[#This Row],[reviewText]])</f>
        <v>115</v>
      </c>
      <c r="R2267" t="str">
        <f>IF(AMAZON_FASHION_5__2[[#This Row],[overall]]&gt;=4,"Positive",IF(AMAZON_FASHION_5__2[[#This Row],[overall]]&lt;=2,"Negative","Neutral"))</f>
        <v>Neutral</v>
      </c>
      <c r="S22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68" spans="1:19" x14ac:dyDescent="0.25">
      <c r="A2268">
        <v>3</v>
      </c>
      <c r="B2268" t="b">
        <v>1</v>
      </c>
      <c r="C2268" s="1">
        <v>42673</v>
      </c>
      <c r="D2268">
        <f>YEAR(AMAZON_FASHION_5__2[[#This Row],[reviewDate]])</f>
        <v>2016</v>
      </c>
      <c r="E2268" s="1" t="str">
        <f>TEXT(AMAZON_FASHION_5__2[[#This Row],[reviewDate]], "mmmm")</f>
        <v>October</v>
      </c>
      <c r="F2268" t="s">
        <v>1216</v>
      </c>
      <c r="G2268" t="s">
        <v>1501</v>
      </c>
      <c r="H2268" t="s">
        <v>477</v>
      </c>
      <c r="I2268" t="s">
        <v>396</v>
      </c>
      <c r="J2268" t="s">
        <v>1217</v>
      </c>
      <c r="K2268" t="s">
        <v>1218</v>
      </c>
      <c r="L2268" t="s">
        <v>1219</v>
      </c>
      <c r="M2268">
        <v>1477785600</v>
      </c>
      <c r="N2268" t="s">
        <v>1628</v>
      </c>
      <c r="O2268" t="s">
        <v>1628</v>
      </c>
      <c r="P2268" t="s">
        <v>1628</v>
      </c>
      <c r="Q2268">
        <f>LEN(AMAZON_FASHION_5__2[[#This Row],[reviewText]])</f>
        <v>228</v>
      </c>
      <c r="R2268" t="str">
        <f>IF(AMAZON_FASHION_5__2[[#This Row],[overall]]&gt;=4,"Positive",IF(AMAZON_FASHION_5__2[[#This Row],[overall]]&lt;=2,"Negative","Neutral"))</f>
        <v>Neutral</v>
      </c>
      <c r="S22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69" spans="1:19" x14ac:dyDescent="0.25">
      <c r="A2269">
        <v>5</v>
      </c>
      <c r="B2269" t="b">
        <v>1</v>
      </c>
      <c r="C2269" s="1">
        <v>42672</v>
      </c>
      <c r="D2269">
        <f>YEAR(AMAZON_FASHION_5__2[[#This Row],[reviewDate]])</f>
        <v>2016</v>
      </c>
      <c r="E2269" s="1" t="str">
        <f>TEXT(AMAZON_FASHION_5__2[[#This Row],[reviewDate]], "mmmm")</f>
        <v>October</v>
      </c>
      <c r="F2269" t="s">
        <v>1220</v>
      </c>
      <c r="G2269" t="s">
        <v>1501</v>
      </c>
      <c r="H2269" t="s">
        <v>210</v>
      </c>
      <c r="I2269" t="s">
        <v>274</v>
      </c>
      <c r="J2269" t="s">
        <v>1221</v>
      </c>
      <c r="K2269" t="s">
        <v>1222</v>
      </c>
      <c r="L2269" t="s">
        <v>1223</v>
      </c>
      <c r="M2269">
        <v>1477699200</v>
      </c>
      <c r="N2269" t="s">
        <v>1628</v>
      </c>
      <c r="O2269" t="s">
        <v>1628</v>
      </c>
      <c r="P2269" t="s">
        <v>1628</v>
      </c>
      <c r="Q2269">
        <f>LEN(AMAZON_FASHION_5__2[[#This Row],[reviewText]])</f>
        <v>59</v>
      </c>
      <c r="R2269" t="str">
        <f>IF(AMAZON_FASHION_5__2[[#This Row],[overall]]&gt;=4,"Positive",IF(AMAZON_FASHION_5__2[[#This Row],[overall]]&lt;=2,"Negative","Neutral"))</f>
        <v>Positive</v>
      </c>
      <c r="S22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70" spans="1:19" x14ac:dyDescent="0.25">
      <c r="A2270">
        <v>3</v>
      </c>
      <c r="B2270" t="b">
        <v>1</v>
      </c>
      <c r="C2270" s="1">
        <v>42669</v>
      </c>
      <c r="D2270">
        <f>YEAR(AMAZON_FASHION_5__2[[#This Row],[reviewDate]])</f>
        <v>2016</v>
      </c>
      <c r="E2270" s="1" t="str">
        <f>TEXT(AMAZON_FASHION_5__2[[#This Row],[reviewDate]], "mmmm")</f>
        <v>October</v>
      </c>
      <c r="F2270" t="s">
        <v>1224</v>
      </c>
      <c r="G2270" t="s">
        <v>1501</v>
      </c>
      <c r="H2270" t="s">
        <v>230</v>
      </c>
      <c r="I2270" t="s">
        <v>198</v>
      </c>
      <c r="J2270" t="s">
        <v>1225</v>
      </c>
      <c r="K2270" t="s">
        <v>1226</v>
      </c>
      <c r="L2270" t="s">
        <v>1227</v>
      </c>
      <c r="M2270">
        <v>1477440000</v>
      </c>
      <c r="N2270" t="s">
        <v>1628</v>
      </c>
      <c r="O2270" t="s">
        <v>1628</v>
      </c>
      <c r="P2270" t="s">
        <v>1628</v>
      </c>
      <c r="Q2270">
        <f>LEN(AMAZON_FASHION_5__2[[#This Row],[reviewText]])</f>
        <v>333</v>
      </c>
      <c r="R2270" t="str">
        <f>IF(AMAZON_FASHION_5__2[[#This Row],[overall]]&gt;=4,"Positive",IF(AMAZON_FASHION_5__2[[#This Row],[overall]]&lt;=2,"Negative","Neutral"))</f>
        <v>Neutral</v>
      </c>
      <c r="S22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71" spans="1:19" x14ac:dyDescent="0.25">
      <c r="A2271">
        <v>5</v>
      </c>
      <c r="B2271" t="b">
        <v>1</v>
      </c>
      <c r="C2271" s="1">
        <v>42668</v>
      </c>
      <c r="D2271">
        <f>YEAR(AMAZON_FASHION_5__2[[#This Row],[reviewDate]])</f>
        <v>2016</v>
      </c>
      <c r="E2271" s="1" t="str">
        <f>TEXT(AMAZON_FASHION_5__2[[#This Row],[reviewDate]], "mmmm")</f>
        <v>October</v>
      </c>
      <c r="F2271" t="s">
        <v>1228</v>
      </c>
      <c r="G2271" t="s">
        <v>1501</v>
      </c>
      <c r="H2271" t="s">
        <v>261</v>
      </c>
      <c r="I2271" t="s">
        <v>1455</v>
      </c>
      <c r="J2271" t="s">
        <v>1229</v>
      </c>
      <c r="K2271" t="s">
        <v>1230</v>
      </c>
      <c r="L2271" t="s">
        <v>17</v>
      </c>
      <c r="M2271">
        <v>1477353600</v>
      </c>
      <c r="N2271" t="s">
        <v>1628</v>
      </c>
      <c r="O2271" t="s">
        <v>1628</v>
      </c>
      <c r="P2271" t="s">
        <v>1628</v>
      </c>
      <c r="Q2271">
        <f>LEN(AMAZON_FASHION_5__2[[#This Row],[reviewText]])</f>
        <v>33</v>
      </c>
      <c r="R2271" t="str">
        <f>IF(AMAZON_FASHION_5__2[[#This Row],[overall]]&gt;=4,"Positive",IF(AMAZON_FASHION_5__2[[#This Row],[overall]]&lt;=2,"Negative","Neutral"))</f>
        <v>Positive</v>
      </c>
      <c r="S22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72" spans="1:19" x14ac:dyDescent="0.25">
      <c r="A2272">
        <v>5</v>
      </c>
      <c r="B2272" t="b">
        <v>0</v>
      </c>
      <c r="C2272" s="1">
        <v>42667</v>
      </c>
      <c r="D2272">
        <f>YEAR(AMAZON_FASHION_5__2[[#This Row],[reviewDate]])</f>
        <v>2016</v>
      </c>
      <c r="E2272" s="1" t="str">
        <f>TEXT(AMAZON_FASHION_5__2[[#This Row],[reviewDate]], "mmmm")</f>
        <v>October</v>
      </c>
      <c r="F2272" t="s">
        <v>1231</v>
      </c>
      <c r="G2272" t="s">
        <v>1501</v>
      </c>
      <c r="H2272" t="s">
        <v>197</v>
      </c>
      <c r="I2272" t="s">
        <v>419</v>
      </c>
      <c r="J2272" t="s">
        <v>63</v>
      </c>
      <c r="K2272" t="s">
        <v>1232</v>
      </c>
      <c r="L2272" t="s">
        <v>1233</v>
      </c>
      <c r="M2272">
        <v>1477267200</v>
      </c>
      <c r="N2272" t="s">
        <v>1628</v>
      </c>
      <c r="O2272" t="s">
        <v>1628</v>
      </c>
      <c r="P2272" t="s">
        <v>1628</v>
      </c>
      <c r="Q2272">
        <f>LEN(AMAZON_FASHION_5__2[[#This Row],[reviewText]])</f>
        <v>86</v>
      </c>
      <c r="R2272" t="str">
        <f>IF(AMAZON_FASHION_5__2[[#This Row],[overall]]&gt;=4,"Positive",IF(AMAZON_FASHION_5__2[[#This Row],[overall]]&lt;=2,"Negative","Neutral"))</f>
        <v>Positive</v>
      </c>
      <c r="S22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73" spans="1:19" x14ac:dyDescent="0.25">
      <c r="A2273">
        <v>5</v>
      </c>
      <c r="B2273" t="b">
        <v>1</v>
      </c>
      <c r="C2273" s="1">
        <v>42667</v>
      </c>
      <c r="D2273">
        <f>YEAR(AMAZON_FASHION_5__2[[#This Row],[reviewDate]])</f>
        <v>2016</v>
      </c>
      <c r="E2273" s="1" t="str">
        <f>TEXT(AMAZON_FASHION_5__2[[#This Row],[reviewDate]], "mmmm")</f>
        <v>October</v>
      </c>
      <c r="F2273" t="s">
        <v>1234</v>
      </c>
      <c r="G2273" t="s">
        <v>1501</v>
      </c>
      <c r="H2273" t="s">
        <v>197</v>
      </c>
      <c r="I2273" t="s">
        <v>493</v>
      </c>
      <c r="J2273" t="s">
        <v>1235</v>
      </c>
      <c r="K2273" t="s">
        <v>1236</v>
      </c>
      <c r="L2273" t="s">
        <v>17</v>
      </c>
      <c r="M2273">
        <v>1477267200</v>
      </c>
      <c r="N2273" t="s">
        <v>1628</v>
      </c>
      <c r="O2273" t="s">
        <v>1628</v>
      </c>
      <c r="P2273" t="s">
        <v>1628</v>
      </c>
      <c r="Q2273">
        <f>LEN(AMAZON_FASHION_5__2[[#This Row],[reviewText]])</f>
        <v>24</v>
      </c>
      <c r="R2273" t="str">
        <f>IF(AMAZON_FASHION_5__2[[#This Row],[overall]]&gt;=4,"Positive",IF(AMAZON_FASHION_5__2[[#This Row],[overall]]&lt;=2,"Negative","Neutral"))</f>
        <v>Positive</v>
      </c>
      <c r="S22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74" spans="1:19" x14ac:dyDescent="0.25">
      <c r="A2274">
        <v>5</v>
      </c>
      <c r="B2274" t="b">
        <v>1</v>
      </c>
      <c r="C2274" s="1">
        <v>42662</v>
      </c>
      <c r="D2274">
        <f>YEAR(AMAZON_FASHION_5__2[[#This Row],[reviewDate]])</f>
        <v>2016</v>
      </c>
      <c r="E2274" s="1" t="str">
        <f>TEXT(AMAZON_FASHION_5__2[[#This Row],[reviewDate]], "mmmm")</f>
        <v>October</v>
      </c>
      <c r="F2274" t="s">
        <v>1237</v>
      </c>
      <c r="G2274" t="s">
        <v>1501</v>
      </c>
      <c r="H2274" t="s">
        <v>320</v>
      </c>
      <c r="I2274" t="s">
        <v>198</v>
      </c>
      <c r="J2274" t="s">
        <v>63</v>
      </c>
      <c r="K2274" t="s">
        <v>1238</v>
      </c>
      <c r="L2274" t="s">
        <v>1239</v>
      </c>
      <c r="M2274">
        <v>1476835200</v>
      </c>
      <c r="N2274" t="s">
        <v>1628</v>
      </c>
      <c r="O2274" t="s">
        <v>1628</v>
      </c>
      <c r="P2274" t="s">
        <v>1628</v>
      </c>
      <c r="Q2274">
        <f>LEN(AMAZON_FASHION_5__2[[#This Row],[reviewText]])</f>
        <v>35</v>
      </c>
      <c r="R2274" t="str">
        <f>IF(AMAZON_FASHION_5__2[[#This Row],[overall]]&gt;=4,"Positive",IF(AMAZON_FASHION_5__2[[#This Row],[overall]]&lt;=2,"Negative","Neutral"))</f>
        <v>Positive</v>
      </c>
      <c r="S22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75" spans="1:19" x14ac:dyDescent="0.25">
      <c r="A2275">
        <v>5</v>
      </c>
      <c r="B2275" t="b">
        <v>1</v>
      </c>
      <c r="C2275" s="1">
        <v>42660</v>
      </c>
      <c r="D2275">
        <f>YEAR(AMAZON_FASHION_5__2[[#This Row],[reviewDate]])</f>
        <v>2016</v>
      </c>
      <c r="E2275" s="1" t="str">
        <f>TEXT(AMAZON_FASHION_5__2[[#This Row],[reviewDate]], "mmmm")</f>
        <v>October</v>
      </c>
      <c r="F2275" t="s">
        <v>1240</v>
      </c>
      <c r="G2275" t="s">
        <v>1501</v>
      </c>
      <c r="H2275" t="s">
        <v>205</v>
      </c>
      <c r="I2275" t="s">
        <v>396</v>
      </c>
      <c r="J2275" t="s">
        <v>1241</v>
      </c>
      <c r="K2275" t="s">
        <v>1242</v>
      </c>
      <c r="L2275" t="s">
        <v>1243</v>
      </c>
      <c r="M2275">
        <v>1476662400</v>
      </c>
      <c r="N2275" t="s">
        <v>1628</v>
      </c>
      <c r="O2275" t="s">
        <v>1628</v>
      </c>
      <c r="P2275">
        <v>5</v>
      </c>
      <c r="Q2275">
        <f>LEN(AMAZON_FASHION_5__2[[#This Row],[reviewText]])</f>
        <v>106</v>
      </c>
      <c r="R2275" t="str">
        <f>IF(AMAZON_FASHION_5__2[[#This Row],[overall]]&gt;=4,"Positive",IF(AMAZON_FASHION_5__2[[#This Row],[overall]]&lt;=2,"Negative","Neutral"))</f>
        <v>Positive</v>
      </c>
      <c r="S22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76" spans="1:19" x14ac:dyDescent="0.25">
      <c r="A2276">
        <v>5</v>
      </c>
      <c r="B2276" t="b">
        <v>1</v>
      </c>
      <c r="C2276" s="1">
        <v>42658</v>
      </c>
      <c r="D2276">
        <f>YEAR(AMAZON_FASHION_5__2[[#This Row],[reviewDate]])</f>
        <v>2016</v>
      </c>
      <c r="E2276" s="1" t="str">
        <f>TEXT(AMAZON_FASHION_5__2[[#This Row],[reviewDate]], "mmmm")</f>
        <v>October</v>
      </c>
      <c r="F2276" t="s">
        <v>1244</v>
      </c>
      <c r="G2276" t="s">
        <v>1501</v>
      </c>
      <c r="H2276" t="s">
        <v>205</v>
      </c>
      <c r="I2276" t="s">
        <v>198</v>
      </c>
      <c r="J2276" t="s">
        <v>1245</v>
      </c>
      <c r="K2276" t="s">
        <v>1246</v>
      </c>
      <c r="L2276" t="s">
        <v>1247</v>
      </c>
      <c r="M2276">
        <v>1476489600</v>
      </c>
      <c r="N2276" t="s">
        <v>1628</v>
      </c>
      <c r="O2276" t="s">
        <v>1628</v>
      </c>
      <c r="P2276" t="s">
        <v>1628</v>
      </c>
      <c r="Q2276">
        <f>LEN(AMAZON_FASHION_5__2[[#This Row],[reviewText]])</f>
        <v>57</v>
      </c>
      <c r="R2276" t="str">
        <f>IF(AMAZON_FASHION_5__2[[#This Row],[overall]]&gt;=4,"Positive",IF(AMAZON_FASHION_5__2[[#This Row],[overall]]&lt;=2,"Negative","Neutral"))</f>
        <v>Positive</v>
      </c>
      <c r="S22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77" spans="1:19" x14ac:dyDescent="0.25">
      <c r="A2277">
        <v>4</v>
      </c>
      <c r="B2277" t="b">
        <v>1</v>
      </c>
      <c r="C2277" s="1">
        <v>42654</v>
      </c>
      <c r="D2277">
        <f>YEAR(AMAZON_FASHION_5__2[[#This Row],[reviewDate]])</f>
        <v>2016</v>
      </c>
      <c r="E2277" s="1" t="str">
        <f>TEXT(AMAZON_FASHION_5__2[[#This Row],[reviewDate]], "mmmm")</f>
        <v>October</v>
      </c>
      <c r="F2277" t="s">
        <v>1248</v>
      </c>
      <c r="G2277" t="s">
        <v>1501</v>
      </c>
      <c r="H2277" t="s">
        <v>201</v>
      </c>
      <c r="I2277" t="s">
        <v>827</v>
      </c>
      <c r="J2277" t="s">
        <v>1249</v>
      </c>
      <c r="K2277" t="s">
        <v>1250</v>
      </c>
      <c r="L2277" t="s">
        <v>1251</v>
      </c>
      <c r="M2277">
        <v>1476144000</v>
      </c>
      <c r="N2277" t="s">
        <v>1628</v>
      </c>
      <c r="O2277" t="s">
        <v>1628</v>
      </c>
      <c r="P2277" t="s">
        <v>1628</v>
      </c>
      <c r="Q2277">
        <f>LEN(AMAZON_FASHION_5__2[[#This Row],[reviewText]])</f>
        <v>181</v>
      </c>
      <c r="R2277" t="str">
        <f>IF(AMAZON_FASHION_5__2[[#This Row],[overall]]&gt;=4,"Positive",IF(AMAZON_FASHION_5__2[[#This Row],[overall]]&lt;=2,"Negative","Neutral"))</f>
        <v>Positive</v>
      </c>
      <c r="S22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78" spans="1:19" x14ac:dyDescent="0.25">
      <c r="A2278">
        <v>3</v>
      </c>
      <c r="B2278" t="b">
        <v>1</v>
      </c>
      <c r="C2278" s="1">
        <v>42652</v>
      </c>
      <c r="D2278">
        <f>YEAR(AMAZON_FASHION_5__2[[#This Row],[reviewDate]])</f>
        <v>2016</v>
      </c>
      <c r="E2278" s="1" t="str">
        <f>TEXT(AMAZON_FASHION_5__2[[#This Row],[reviewDate]], "mmmm")</f>
        <v>October</v>
      </c>
      <c r="F2278" t="s">
        <v>1252</v>
      </c>
      <c r="G2278" t="s">
        <v>1501</v>
      </c>
      <c r="H2278" t="s">
        <v>477</v>
      </c>
      <c r="I2278" t="s">
        <v>236</v>
      </c>
      <c r="J2278" t="s">
        <v>1253</v>
      </c>
      <c r="K2278" t="s">
        <v>1254</v>
      </c>
      <c r="L2278" t="s">
        <v>1255</v>
      </c>
      <c r="M2278">
        <v>1475971200</v>
      </c>
      <c r="N2278" t="s">
        <v>1628</v>
      </c>
      <c r="O2278" t="s">
        <v>1628</v>
      </c>
      <c r="P2278" t="s">
        <v>1628</v>
      </c>
      <c r="Q2278">
        <f>LEN(AMAZON_FASHION_5__2[[#This Row],[reviewText]])</f>
        <v>68</v>
      </c>
      <c r="R2278" t="str">
        <f>IF(AMAZON_FASHION_5__2[[#This Row],[overall]]&gt;=4,"Positive",IF(AMAZON_FASHION_5__2[[#This Row],[overall]]&lt;=2,"Negative","Neutral"))</f>
        <v>Neutral</v>
      </c>
      <c r="S22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79" spans="1:19" x14ac:dyDescent="0.25">
      <c r="A2279">
        <v>4</v>
      </c>
      <c r="B2279" t="b">
        <v>1</v>
      </c>
      <c r="C2279" s="1">
        <v>42648</v>
      </c>
      <c r="D2279">
        <f>YEAR(AMAZON_FASHION_5__2[[#This Row],[reviewDate]])</f>
        <v>2016</v>
      </c>
      <c r="E2279" s="1" t="str">
        <f>TEXT(AMAZON_FASHION_5__2[[#This Row],[reviewDate]], "mmmm")</f>
        <v>October</v>
      </c>
      <c r="F2279" t="s">
        <v>1256</v>
      </c>
      <c r="G2279" t="s">
        <v>1501</v>
      </c>
      <c r="H2279" t="s">
        <v>197</v>
      </c>
      <c r="I2279" t="s">
        <v>198</v>
      </c>
      <c r="J2279" t="s">
        <v>1257</v>
      </c>
      <c r="K2279" t="s">
        <v>1258</v>
      </c>
      <c r="L2279" t="s">
        <v>1259</v>
      </c>
      <c r="M2279">
        <v>1475625600</v>
      </c>
      <c r="N2279" t="s">
        <v>1628</v>
      </c>
      <c r="O2279" t="s">
        <v>1628</v>
      </c>
      <c r="P2279" t="s">
        <v>1628</v>
      </c>
      <c r="Q2279">
        <f>LEN(AMAZON_FASHION_5__2[[#This Row],[reviewText]])</f>
        <v>100</v>
      </c>
      <c r="R2279" t="str">
        <f>IF(AMAZON_FASHION_5__2[[#This Row],[overall]]&gt;=4,"Positive",IF(AMAZON_FASHION_5__2[[#This Row],[overall]]&lt;=2,"Negative","Neutral"))</f>
        <v>Positive</v>
      </c>
      <c r="S22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80" spans="1:19" x14ac:dyDescent="0.25">
      <c r="A2280">
        <v>3</v>
      </c>
      <c r="B2280" t="b">
        <v>1</v>
      </c>
      <c r="C2280" s="1">
        <v>42644</v>
      </c>
      <c r="D2280">
        <f>YEAR(AMAZON_FASHION_5__2[[#This Row],[reviewDate]])</f>
        <v>2016</v>
      </c>
      <c r="E2280" s="1" t="str">
        <f>TEXT(AMAZON_FASHION_5__2[[#This Row],[reviewDate]], "mmmm")</f>
        <v>October</v>
      </c>
      <c r="F2280" t="s">
        <v>1260</v>
      </c>
      <c r="G2280" t="s">
        <v>1501</v>
      </c>
      <c r="H2280" t="s">
        <v>205</v>
      </c>
      <c r="I2280" t="s">
        <v>236</v>
      </c>
      <c r="J2280" t="s">
        <v>1261</v>
      </c>
      <c r="K2280" t="s">
        <v>1262</v>
      </c>
      <c r="L2280" t="s">
        <v>1263</v>
      </c>
      <c r="M2280">
        <v>1475280000</v>
      </c>
      <c r="N2280" t="s">
        <v>1628</v>
      </c>
      <c r="O2280" t="s">
        <v>1628</v>
      </c>
      <c r="P2280" t="s">
        <v>1628</v>
      </c>
      <c r="Q2280">
        <f>LEN(AMAZON_FASHION_5__2[[#This Row],[reviewText]])</f>
        <v>59</v>
      </c>
      <c r="R2280" t="str">
        <f>IF(AMAZON_FASHION_5__2[[#This Row],[overall]]&gt;=4,"Positive",IF(AMAZON_FASHION_5__2[[#This Row],[overall]]&lt;=2,"Negative","Neutral"))</f>
        <v>Neutral</v>
      </c>
      <c r="S22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81" spans="1:19" x14ac:dyDescent="0.25">
      <c r="A2281">
        <v>5</v>
      </c>
      <c r="B2281" t="b">
        <v>1</v>
      </c>
      <c r="C2281" s="1">
        <v>42639</v>
      </c>
      <c r="D2281">
        <f>YEAR(AMAZON_FASHION_5__2[[#This Row],[reviewDate]])</f>
        <v>2016</v>
      </c>
      <c r="E2281" s="1" t="str">
        <f>TEXT(AMAZON_FASHION_5__2[[#This Row],[reviewDate]], "mmmm")</f>
        <v>September</v>
      </c>
      <c r="F2281" t="s">
        <v>1264</v>
      </c>
      <c r="G2281" t="s">
        <v>1501</v>
      </c>
      <c r="H2281" t="s">
        <v>477</v>
      </c>
      <c r="I2281" t="s">
        <v>211</v>
      </c>
      <c r="J2281" t="s">
        <v>1265</v>
      </c>
      <c r="K2281" t="s">
        <v>1266</v>
      </c>
      <c r="L2281" t="s">
        <v>704</v>
      </c>
      <c r="M2281">
        <v>1474848000</v>
      </c>
      <c r="N2281" t="s">
        <v>1628</v>
      </c>
      <c r="O2281" t="s">
        <v>1628</v>
      </c>
      <c r="P2281" t="s">
        <v>1628</v>
      </c>
      <c r="Q2281">
        <f>LEN(AMAZON_FASHION_5__2[[#This Row],[reviewText]])</f>
        <v>107</v>
      </c>
      <c r="R2281" t="str">
        <f>IF(AMAZON_FASHION_5__2[[#This Row],[overall]]&gt;=4,"Positive",IF(AMAZON_FASHION_5__2[[#This Row],[overall]]&lt;=2,"Negative","Neutral"))</f>
        <v>Positive</v>
      </c>
      <c r="S22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82" spans="1:19" x14ac:dyDescent="0.25">
      <c r="A2282">
        <v>5</v>
      </c>
      <c r="B2282" t="b">
        <v>1</v>
      </c>
      <c r="C2282" s="1">
        <v>42636</v>
      </c>
      <c r="D2282">
        <f>YEAR(AMAZON_FASHION_5__2[[#This Row],[reviewDate]])</f>
        <v>2016</v>
      </c>
      <c r="E2282" s="1" t="str">
        <f>TEXT(AMAZON_FASHION_5__2[[#This Row],[reviewDate]], "mmmm")</f>
        <v>September</v>
      </c>
      <c r="F2282" t="s">
        <v>1267</v>
      </c>
      <c r="G2282" t="s">
        <v>1501</v>
      </c>
      <c r="H2282" t="s">
        <v>197</v>
      </c>
      <c r="I2282" t="s">
        <v>524</v>
      </c>
      <c r="J2282" t="s">
        <v>1268</v>
      </c>
      <c r="K2282" t="s">
        <v>1269</v>
      </c>
      <c r="L2282" t="s">
        <v>17</v>
      </c>
      <c r="M2282">
        <v>1474588800</v>
      </c>
      <c r="N2282" t="s">
        <v>1628</v>
      </c>
      <c r="O2282" t="s">
        <v>1628</v>
      </c>
      <c r="P2282" t="s">
        <v>1628</v>
      </c>
      <c r="Q2282">
        <f>LEN(AMAZON_FASHION_5__2[[#This Row],[reviewText]])</f>
        <v>12</v>
      </c>
      <c r="R2282" t="str">
        <f>IF(AMAZON_FASHION_5__2[[#This Row],[overall]]&gt;=4,"Positive",IF(AMAZON_FASHION_5__2[[#This Row],[overall]]&lt;=2,"Negative","Neutral"))</f>
        <v>Positive</v>
      </c>
      <c r="S22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83" spans="1:19" x14ac:dyDescent="0.25">
      <c r="A2283">
        <v>5</v>
      </c>
      <c r="B2283" t="b">
        <v>1</v>
      </c>
      <c r="C2283" s="1">
        <v>42631</v>
      </c>
      <c r="D2283">
        <f>YEAR(AMAZON_FASHION_5__2[[#This Row],[reviewDate]])</f>
        <v>2016</v>
      </c>
      <c r="E2283" s="1" t="str">
        <f>TEXT(AMAZON_FASHION_5__2[[#This Row],[reviewDate]], "mmmm")</f>
        <v>September</v>
      </c>
      <c r="F2283" t="s">
        <v>1270</v>
      </c>
      <c r="G2283" t="s">
        <v>1501</v>
      </c>
      <c r="H2283" t="s">
        <v>1477</v>
      </c>
      <c r="I2283" t="s">
        <v>336</v>
      </c>
      <c r="J2283" t="s">
        <v>63</v>
      </c>
      <c r="K2283" t="s">
        <v>1271</v>
      </c>
      <c r="L2283" t="s">
        <v>1272</v>
      </c>
      <c r="M2283">
        <v>1474156800</v>
      </c>
      <c r="N2283" t="s">
        <v>1628</v>
      </c>
      <c r="O2283" t="s">
        <v>1628</v>
      </c>
      <c r="P2283">
        <v>3</v>
      </c>
      <c r="Q2283">
        <f>LEN(AMAZON_FASHION_5__2[[#This Row],[reviewText]])</f>
        <v>140</v>
      </c>
      <c r="R2283" t="str">
        <f>IF(AMAZON_FASHION_5__2[[#This Row],[overall]]&gt;=4,"Positive",IF(AMAZON_FASHION_5__2[[#This Row],[overall]]&lt;=2,"Negative","Neutral"))</f>
        <v>Positive</v>
      </c>
      <c r="S22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84" spans="1:19" x14ac:dyDescent="0.25">
      <c r="A2284">
        <v>1</v>
      </c>
      <c r="B2284" t="b">
        <v>1</v>
      </c>
      <c r="C2284" s="1">
        <v>42625</v>
      </c>
      <c r="D2284">
        <f>YEAR(AMAZON_FASHION_5__2[[#This Row],[reviewDate]])</f>
        <v>2016</v>
      </c>
      <c r="E2284" s="1" t="str">
        <f>TEXT(AMAZON_FASHION_5__2[[#This Row],[reviewDate]], "mmmm")</f>
        <v>September</v>
      </c>
      <c r="F2284" t="s">
        <v>1273</v>
      </c>
      <c r="G2284" t="s">
        <v>1501</v>
      </c>
      <c r="H2284" t="s">
        <v>230</v>
      </c>
      <c r="I2284" t="s">
        <v>274</v>
      </c>
      <c r="J2284" t="s">
        <v>1274</v>
      </c>
      <c r="K2284" t="s">
        <v>1275</v>
      </c>
      <c r="L2284" t="s">
        <v>1276</v>
      </c>
      <c r="M2284">
        <v>1473638400</v>
      </c>
      <c r="N2284" t="s">
        <v>1628</v>
      </c>
      <c r="O2284" t="s">
        <v>1628</v>
      </c>
      <c r="P2284" t="s">
        <v>1628</v>
      </c>
      <c r="Q2284">
        <f>LEN(AMAZON_FASHION_5__2[[#This Row],[reviewText]])</f>
        <v>148</v>
      </c>
      <c r="R2284" t="str">
        <f>IF(AMAZON_FASHION_5__2[[#This Row],[overall]]&gt;=4,"Positive",IF(AMAZON_FASHION_5__2[[#This Row],[overall]]&lt;=2,"Negative","Neutral"))</f>
        <v>Negative</v>
      </c>
      <c r="S22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85" spans="1:19" x14ac:dyDescent="0.25">
      <c r="A2285">
        <v>1</v>
      </c>
      <c r="B2285" t="b">
        <v>1</v>
      </c>
      <c r="C2285" s="1">
        <v>42624</v>
      </c>
      <c r="D2285">
        <f>YEAR(AMAZON_FASHION_5__2[[#This Row],[reviewDate]])</f>
        <v>2016</v>
      </c>
      <c r="E2285" s="1" t="str">
        <f>TEXT(AMAZON_FASHION_5__2[[#This Row],[reviewDate]], "mmmm")</f>
        <v>September</v>
      </c>
      <c r="F2285" t="s">
        <v>1277</v>
      </c>
      <c r="G2285" t="s">
        <v>1501</v>
      </c>
      <c r="H2285" t="s">
        <v>235</v>
      </c>
      <c r="I2285" t="s">
        <v>198</v>
      </c>
      <c r="J2285" t="s">
        <v>1278</v>
      </c>
      <c r="K2285" t="s">
        <v>1279</v>
      </c>
      <c r="L2285" t="s">
        <v>1280</v>
      </c>
      <c r="M2285">
        <v>1473552000</v>
      </c>
      <c r="N2285" t="s">
        <v>1628</v>
      </c>
      <c r="O2285" t="s">
        <v>1628</v>
      </c>
      <c r="P2285">
        <v>14</v>
      </c>
      <c r="Q2285">
        <f>LEN(AMAZON_FASHION_5__2[[#This Row],[reviewText]])</f>
        <v>258</v>
      </c>
      <c r="R2285" t="str">
        <f>IF(AMAZON_FASHION_5__2[[#This Row],[overall]]&gt;=4,"Positive",IF(AMAZON_FASHION_5__2[[#This Row],[overall]]&lt;=2,"Negative","Neutral"))</f>
        <v>Negative</v>
      </c>
      <c r="S22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86" spans="1:19" x14ac:dyDescent="0.25">
      <c r="A2286">
        <v>5</v>
      </c>
      <c r="B2286" t="b">
        <v>1</v>
      </c>
      <c r="C2286" s="1">
        <v>42622</v>
      </c>
      <c r="D2286">
        <f>YEAR(AMAZON_FASHION_5__2[[#This Row],[reviewDate]])</f>
        <v>2016</v>
      </c>
      <c r="E2286" s="1" t="str">
        <f>TEXT(AMAZON_FASHION_5__2[[#This Row],[reviewDate]], "mmmm")</f>
        <v>September</v>
      </c>
      <c r="F2286" t="s">
        <v>1281</v>
      </c>
      <c r="G2286" t="s">
        <v>1501</v>
      </c>
      <c r="H2286" t="s">
        <v>230</v>
      </c>
      <c r="I2286" t="s">
        <v>198</v>
      </c>
      <c r="J2286" t="s">
        <v>1282</v>
      </c>
      <c r="K2286" t="s">
        <v>1283</v>
      </c>
      <c r="L2286" t="s">
        <v>17</v>
      </c>
      <c r="M2286">
        <v>1473379200</v>
      </c>
      <c r="N2286" t="s">
        <v>1628</v>
      </c>
      <c r="O2286" t="s">
        <v>1628</v>
      </c>
      <c r="P2286" t="s">
        <v>1628</v>
      </c>
      <c r="Q2286">
        <f>LEN(AMAZON_FASHION_5__2[[#This Row],[reviewText]])</f>
        <v>49</v>
      </c>
      <c r="R2286" t="str">
        <f>IF(AMAZON_FASHION_5__2[[#This Row],[overall]]&gt;=4,"Positive",IF(AMAZON_FASHION_5__2[[#This Row],[overall]]&lt;=2,"Negative","Neutral"))</f>
        <v>Positive</v>
      </c>
      <c r="S22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87" spans="1:19" x14ac:dyDescent="0.25">
      <c r="A2287">
        <v>4</v>
      </c>
      <c r="B2287" t="b">
        <v>1</v>
      </c>
      <c r="C2287" s="1">
        <v>42619</v>
      </c>
      <c r="D2287">
        <f>YEAR(AMAZON_FASHION_5__2[[#This Row],[reviewDate]])</f>
        <v>2016</v>
      </c>
      <c r="E2287" s="1" t="str">
        <f>TEXT(AMAZON_FASHION_5__2[[#This Row],[reviewDate]], "mmmm")</f>
        <v>September</v>
      </c>
      <c r="F2287" t="s">
        <v>1284</v>
      </c>
      <c r="G2287" t="s">
        <v>1501</v>
      </c>
      <c r="H2287" t="s">
        <v>210</v>
      </c>
      <c r="I2287" t="s">
        <v>198</v>
      </c>
      <c r="J2287" t="s">
        <v>1285</v>
      </c>
      <c r="K2287" t="s">
        <v>1286</v>
      </c>
      <c r="L2287" t="s">
        <v>1287</v>
      </c>
      <c r="M2287">
        <v>1473120000</v>
      </c>
      <c r="N2287" t="s">
        <v>1628</v>
      </c>
      <c r="O2287" t="s">
        <v>1628</v>
      </c>
      <c r="P2287">
        <v>2</v>
      </c>
      <c r="Q2287">
        <f>LEN(AMAZON_FASHION_5__2[[#This Row],[reviewText]])</f>
        <v>248</v>
      </c>
      <c r="R2287" t="str">
        <f>IF(AMAZON_FASHION_5__2[[#This Row],[overall]]&gt;=4,"Positive",IF(AMAZON_FASHION_5__2[[#This Row],[overall]]&lt;=2,"Negative","Neutral"))</f>
        <v>Positive</v>
      </c>
      <c r="S22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88" spans="1:19" x14ac:dyDescent="0.25">
      <c r="A2288">
        <v>4</v>
      </c>
      <c r="B2288" t="b">
        <v>1</v>
      </c>
      <c r="C2288" s="1">
        <v>42615</v>
      </c>
      <c r="D2288">
        <f>YEAR(AMAZON_FASHION_5__2[[#This Row],[reviewDate]])</f>
        <v>2016</v>
      </c>
      <c r="E2288" s="1" t="str">
        <f>TEXT(AMAZON_FASHION_5__2[[#This Row],[reviewDate]], "mmmm")</f>
        <v>September</v>
      </c>
      <c r="F2288" t="s">
        <v>1288</v>
      </c>
      <c r="G2288" t="s">
        <v>1501</v>
      </c>
      <c r="H2288" t="s">
        <v>235</v>
      </c>
      <c r="I2288" t="s">
        <v>493</v>
      </c>
      <c r="J2288" t="s">
        <v>63</v>
      </c>
      <c r="K2288" t="s">
        <v>1289</v>
      </c>
      <c r="L2288" t="s">
        <v>1290</v>
      </c>
      <c r="M2288">
        <v>1472774400</v>
      </c>
      <c r="N2288" t="s">
        <v>1628</v>
      </c>
      <c r="O2288" t="s">
        <v>1628</v>
      </c>
      <c r="P2288" t="s">
        <v>1628</v>
      </c>
      <c r="Q2288">
        <f>LEN(AMAZON_FASHION_5__2[[#This Row],[reviewText]])</f>
        <v>177</v>
      </c>
      <c r="R2288" t="str">
        <f>IF(AMAZON_FASHION_5__2[[#This Row],[overall]]&gt;=4,"Positive",IF(AMAZON_FASHION_5__2[[#This Row],[overall]]&lt;=2,"Negative","Neutral"))</f>
        <v>Positive</v>
      </c>
      <c r="S22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89" spans="1:19" x14ac:dyDescent="0.25">
      <c r="A2289">
        <v>5</v>
      </c>
      <c r="B2289" t="b">
        <v>1</v>
      </c>
      <c r="C2289" s="1">
        <v>42611</v>
      </c>
      <c r="D2289">
        <f>YEAR(AMAZON_FASHION_5__2[[#This Row],[reviewDate]])</f>
        <v>2016</v>
      </c>
      <c r="E2289" s="1" t="str">
        <f>TEXT(AMAZON_FASHION_5__2[[#This Row],[reviewDate]], "mmmm")</f>
        <v>August</v>
      </c>
      <c r="F2289" t="s">
        <v>1291</v>
      </c>
      <c r="G2289" t="s">
        <v>1501</v>
      </c>
      <c r="H2289" t="s">
        <v>205</v>
      </c>
      <c r="I2289" t="s">
        <v>198</v>
      </c>
      <c r="J2289" t="s">
        <v>63</v>
      </c>
      <c r="K2289" t="s">
        <v>1292</v>
      </c>
      <c r="L2289" t="s">
        <v>17</v>
      </c>
      <c r="M2289">
        <v>1472428800</v>
      </c>
      <c r="N2289" t="s">
        <v>1628</v>
      </c>
      <c r="O2289" t="s">
        <v>1628</v>
      </c>
      <c r="P2289" t="s">
        <v>1628</v>
      </c>
      <c r="Q2289">
        <f>LEN(AMAZON_FASHION_5__2[[#This Row],[reviewText]])</f>
        <v>13</v>
      </c>
      <c r="R2289" t="str">
        <f>IF(AMAZON_FASHION_5__2[[#This Row],[overall]]&gt;=4,"Positive",IF(AMAZON_FASHION_5__2[[#This Row],[overall]]&lt;=2,"Negative","Neutral"))</f>
        <v>Positive</v>
      </c>
      <c r="S22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90" spans="1:19" x14ac:dyDescent="0.25">
      <c r="A2290">
        <v>5</v>
      </c>
      <c r="B2290" t="b">
        <v>1</v>
      </c>
      <c r="C2290" s="1">
        <v>42609</v>
      </c>
      <c r="D2290">
        <f>YEAR(AMAZON_FASHION_5__2[[#This Row],[reviewDate]])</f>
        <v>2016</v>
      </c>
      <c r="E2290" s="1" t="str">
        <f>TEXT(AMAZON_FASHION_5__2[[#This Row],[reviewDate]], "mmmm")</f>
        <v>August</v>
      </c>
      <c r="F2290" t="s">
        <v>1293</v>
      </c>
      <c r="G2290" t="s">
        <v>1501</v>
      </c>
      <c r="H2290" t="s">
        <v>230</v>
      </c>
      <c r="I2290" t="s">
        <v>419</v>
      </c>
      <c r="J2290" t="s">
        <v>63</v>
      </c>
      <c r="K2290" t="s">
        <v>1294</v>
      </c>
      <c r="L2290" t="s">
        <v>17</v>
      </c>
      <c r="M2290">
        <v>1472256000</v>
      </c>
      <c r="N2290" t="s">
        <v>1628</v>
      </c>
      <c r="O2290" t="s">
        <v>1628</v>
      </c>
      <c r="P2290" t="s">
        <v>1628</v>
      </c>
      <c r="Q2290">
        <f>LEN(AMAZON_FASHION_5__2[[#This Row],[reviewText]])</f>
        <v>62</v>
      </c>
      <c r="R2290" t="str">
        <f>IF(AMAZON_FASHION_5__2[[#This Row],[overall]]&gt;=4,"Positive",IF(AMAZON_FASHION_5__2[[#This Row],[overall]]&lt;=2,"Negative","Neutral"))</f>
        <v>Positive</v>
      </c>
      <c r="S22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91" spans="1:19" x14ac:dyDescent="0.25">
      <c r="A2291">
        <v>5</v>
      </c>
      <c r="B2291" t="b">
        <v>1</v>
      </c>
      <c r="C2291" s="1">
        <v>42609</v>
      </c>
      <c r="D2291">
        <f>YEAR(AMAZON_FASHION_5__2[[#This Row],[reviewDate]])</f>
        <v>2016</v>
      </c>
      <c r="E2291" s="1" t="str">
        <f>TEXT(AMAZON_FASHION_5__2[[#This Row],[reviewDate]], "mmmm")</f>
        <v>August</v>
      </c>
      <c r="F2291" t="s">
        <v>1295</v>
      </c>
      <c r="G2291" t="s">
        <v>1501</v>
      </c>
      <c r="H2291" t="s">
        <v>477</v>
      </c>
      <c r="I2291" t="s">
        <v>198</v>
      </c>
      <c r="J2291" t="s">
        <v>63</v>
      </c>
      <c r="K2291" t="s">
        <v>1296</v>
      </c>
      <c r="L2291" t="s">
        <v>1297</v>
      </c>
      <c r="M2291">
        <v>1472256000</v>
      </c>
      <c r="N2291" t="s">
        <v>1628</v>
      </c>
      <c r="O2291" t="s">
        <v>1628</v>
      </c>
      <c r="P2291">
        <v>5</v>
      </c>
      <c r="Q2291">
        <f>LEN(AMAZON_FASHION_5__2[[#This Row],[reviewText]])</f>
        <v>112</v>
      </c>
      <c r="R2291" t="str">
        <f>IF(AMAZON_FASHION_5__2[[#This Row],[overall]]&gt;=4,"Positive",IF(AMAZON_FASHION_5__2[[#This Row],[overall]]&lt;=2,"Negative","Neutral"))</f>
        <v>Positive</v>
      </c>
      <c r="S22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92" spans="1:19" x14ac:dyDescent="0.25">
      <c r="A2292">
        <v>3</v>
      </c>
      <c r="B2292" t="b">
        <v>1</v>
      </c>
      <c r="C2292" s="1">
        <v>42608</v>
      </c>
      <c r="D2292">
        <f>YEAR(AMAZON_FASHION_5__2[[#This Row],[reviewDate]])</f>
        <v>2016</v>
      </c>
      <c r="E2292" s="1" t="str">
        <f>TEXT(AMAZON_FASHION_5__2[[#This Row],[reviewDate]], "mmmm")</f>
        <v>August</v>
      </c>
      <c r="F2292" t="s">
        <v>1298</v>
      </c>
      <c r="G2292" t="s">
        <v>1501</v>
      </c>
      <c r="H2292" t="s">
        <v>230</v>
      </c>
      <c r="I2292" t="s">
        <v>198</v>
      </c>
      <c r="J2292" t="s">
        <v>63</v>
      </c>
      <c r="K2292" t="s">
        <v>1299</v>
      </c>
      <c r="L2292" t="s">
        <v>1300</v>
      </c>
      <c r="M2292">
        <v>1472169600</v>
      </c>
      <c r="N2292" t="s">
        <v>1628</v>
      </c>
      <c r="O2292" t="s">
        <v>1628</v>
      </c>
      <c r="P2292">
        <v>2</v>
      </c>
      <c r="Q2292">
        <f>LEN(AMAZON_FASHION_5__2[[#This Row],[reviewText]])</f>
        <v>256</v>
      </c>
      <c r="R2292" t="str">
        <f>IF(AMAZON_FASHION_5__2[[#This Row],[overall]]&gt;=4,"Positive",IF(AMAZON_FASHION_5__2[[#This Row],[overall]]&lt;=2,"Negative","Neutral"))</f>
        <v>Neutral</v>
      </c>
      <c r="S22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93" spans="1:19" x14ac:dyDescent="0.25">
      <c r="A2293">
        <v>5</v>
      </c>
      <c r="B2293" t="b">
        <v>1</v>
      </c>
      <c r="C2293" s="1">
        <v>42605</v>
      </c>
      <c r="D2293">
        <f>YEAR(AMAZON_FASHION_5__2[[#This Row],[reviewDate]])</f>
        <v>2016</v>
      </c>
      <c r="E2293" s="1" t="str">
        <f>TEXT(AMAZON_FASHION_5__2[[#This Row],[reviewDate]], "mmmm")</f>
        <v>August</v>
      </c>
      <c r="F2293" t="s">
        <v>1301</v>
      </c>
      <c r="G2293" t="s">
        <v>1501</v>
      </c>
      <c r="H2293" t="s">
        <v>230</v>
      </c>
      <c r="I2293" t="s">
        <v>493</v>
      </c>
      <c r="J2293" t="s">
        <v>1302</v>
      </c>
      <c r="K2293" t="s">
        <v>1303</v>
      </c>
      <c r="L2293" t="s">
        <v>1304</v>
      </c>
      <c r="M2293">
        <v>1471910400</v>
      </c>
      <c r="N2293" t="s">
        <v>1628</v>
      </c>
      <c r="O2293" t="s">
        <v>1628</v>
      </c>
      <c r="P2293" t="s">
        <v>1628</v>
      </c>
      <c r="Q2293">
        <f>LEN(AMAZON_FASHION_5__2[[#This Row],[reviewText]])</f>
        <v>93</v>
      </c>
      <c r="R2293" t="str">
        <f>IF(AMAZON_FASHION_5__2[[#This Row],[overall]]&gt;=4,"Positive",IF(AMAZON_FASHION_5__2[[#This Row],[overall]]&lt;=2,"Negative","Neutral"))</f>
        <v>Positive</v>
      </c>
      <c r="S22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94" spans="1:19" x14ac:dyDescent="0.25">
      <c r="A2294">
        <v>5</v>
      </c>
      <c r="B2294" t="b">
        <v>1</v>
      </c>
      <c r="C2294" s="1">
        <v>42602</v>
      </c>
      <c r="D2294">
        <f>YEAR(AMAZON_FASHION_5__2[[#This Row],[reviewDate]])</f>
        <v>2016</v>
      </c>
      <c r="E2294" s="1" t="str">
        <f>TEXT(AMAZON_FASHION_5__2[[#This Row],[reviewDate]], "mmmm")</f>
        <v>August</v>
      </c>
      <c r="F2294" t="s">
        <v>1305</v>
      </c>
      <c r="G2294" t="s">
        <v>1501</v>
      </c>
      <c r="H2294" t="s">
        <v>205</v>
      </c>
      <c r="I2294" t="s">
        <v>198</v>
      </c>
      <c r="J2294" t="s">
        <v>1306</v>
      </c>
      <c r="K2294" t="s">
        <v>1307</v>
      </c>
      <c r="L2294" t="s">
        <v>1308</v>
      </c>
      <c r="M2294">
        <v>1471651200</v>
      </c>
      <c r="N2294" t="s">
        <v>1628</v>
      </c>
      <c r="O2294" t="s">
        <v>1628</v>
      </c>
      <c r="P2294" t="s">
        <v>1628</v>
      </c>
      <c r="Q2294">
        <f>LEN(AMAZON_FASHION_5__2[[#This Row],[reviewText]])</f>
        <v>1225</v>
      </c>
      <c r="R2294" t="str">
        <f>IF(AMAZON_FASHION_5__2[[#This Row],[overall]]&gt;=4,"Positive",IF(AMAZON_FASHION_5__2[[#This Row],[overall]]&lt;=2,"Negative","Neutral"))</f>
        <v>Positive</v>
      </c>
      <c r="S22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95" spans="1:19" x14ac:dyDescent="0.25">
      <c r="A2295">
        <v>5</v>
      </c>
      <c r="B2295" t="b">
        <v>1</v>
      </c>
      <c r="C2295" s="1">
        <v>42597</v>
      </c>
      <c r="D2295">
        <f>YEAR(AMAZON_FASHION_5__2[[#This Row],[reviewDate]])</f>
        <v>2016</v>
      </c>
      <c r="E2295" s="1" t="str">
        <f>TEXT(AMAZON_FASHION_5__2[[#This Row],[reviewDate]], "mmmm")</f>
        <v>August</v>
      </c>
      <c r="F2295" t="s">
        <v>1309</v>
      </c>
      <c r="G2295" t="s">
        <v>1501</v>
      </c>
      <c r="H2295" t="s">
        <v>320</v>
      </c>
      <c r="I2295" t="s">
        <v>198</v>
      </c>
      <c r="J2295" t="s">
        <v>1310</v>
      </c>
      <c r="K2295" t="s">
        <v>1311</v>
      </c>
      <c r="L2295" t="s">
        <v>1312</v>
      </c>
      <c r="M2295">
        <v>1471219200</v>
      </c>
      <c r="N2295" t="s">
        <v>1628</v>
      </c>
      <c r="O2295" t="s">
        <v>1628</v>
      </c>
      <c r="P2295" t="s">
        <v>1628</v>
      </c>
      <c r="Q2295">
        <f>LEN(AMAZON_FASHION_5__2[[#This Row],[reviewText]])</f>
        <v>246</v>
      </c>
      <c r="R2295" t="str">
        <f>IF(AMAZON_FASHION_5__2[[#This Row],[overall]]&gt;=4,"Positive",IF(AMAZON_FASHION_5__2[[#This Row],[overall]]&lt;=2,"Negative","Neutral"))</f>
        <v>Positive</v>
      </c>
      <c r="S22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96" spans="1:19" x14ac:dyDescent="0.25">
      <c r="A2296">
        <v>5</v>
      </c>
      <c r="B2296" t="b">
        <v>1</v>
      </c>
      <c r="C2296" s="1">
        <v>42597</v>
      </c>
      <c r="D2296">
        <f>YEAR(AMAZON_FASHION_5__2[[#This Row],[reviewDate]])</f>
        <v>2016</v>
      </c>
      <c r="E2296" s="1" t="str">
        <f>TEXT(AMAZON_FASHION_5__2[[#This Row],[reviewDate]], "mmmm")</f>
        <v>August</v>
      </c>
      <c r="F2296" t="s">
        <v>1313</v>
      </c>
      <c r="G2296" t="s">
        <v>1501</v>
      </c>
      <c r="H2296" t="s">
        <v>261</v>
      </c>
      <c r="I2296" t="s">
        <v>1455</v>
      </c>
      <c r="J2296" t="s">
        <v>1314</v>
      </c>
      <c r="K2296" t="s">
        <v>1315</v>
      </c>
      <c r="L2296" t="s">
        <v>17</v>
      </c>
      <c r="M2296">
        <v>1471219200</v>
      </c>
      <c r="N2296" t="s">
        <v>1628</v>
      </c>
      <c r="O2296" t="s">
        <v>1628</v>
      </c>
      <c r="P2296" t="s">
        <v>1628</v>
      </c>
      <c r="Q2296">
        <f>LEN(AMAZON_FASHION_5__2[[#This Row],[reviewText]])</f>
        <v>40</v>
      </c>
      <c r="R2296" t="str">
        <f>IF(AMAZON_FASHION_5__2[[#This Row],[overall]]&gt;=4,"Positive",IF(AMAZON_FASHION_5__2[[#This Row],[overall]]&lt;=2,"Negative","Neutral"))</f>
        <v>Positive</v>
      </c>
      <c r="S22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97" spans="1:19" x14ac:dyDescent="0.25">
      <c r="A2297">
        <v>5</v>
      </c>
      <c r="B2297" t="b">
        <v>1</v>
      </c>
      <c r="C2297" s="1">
        <v>42596</v>
      </c>
      <c r="D2297">
        <f>YEAR(AMAZON_FASHION_5__2[[#This Row],[reviewDate]])</f>
        <v>2016</v>
      </c>
      <c r="E2297" s="1" t="str">
        <f>TEXT(AMAZON_FASHION_5__2[[#This Row],[reviewDate]], "mmmm")</f>
        <v>August</v>
      </c>
      <c r="F2297" t="s">
        <v>1316</v>
      </c>
      <c r="G2297" t="s">
        <v>1501</v>
      </c>
      <c r="H2297" t="s">
        <v>235</v>
      </c>
      <c r="I2297" t="s">
        <v>849</v>
      </c>
      <c r="J2297" t="s">
        <v>1317</v>
      </c>
      <c r="K2297" t="s">
        <v>1318</v>
      </c>
      <c r="L2297" t="s">
        <v>1319</v>
      </c>
      <c r="M2297">
        <v>1471132800</v>
      </c>
      <c r="N2297" t="s">
        <v>1628</v>
      </c>
      <c r="O2297" t="s">
        <v>1628</v>
      </c>
      <c r="P2297" t="s">
        <v>1628</v>
      </c>
      <c r="Q2297">
        <f>LEN(AMAZON_FASHION_5__2[[#This Row],[reviewText]])</f>
        <v>224</v>
      </c>
      <c r="R2297" t="str">
        <f>IF(AMAZON_FASHION_5__2[[#This Row],[overall]]&gt;=4,"Positive",IF(AMAZON_FASHION_5__2[[#This Row],[overall]]&lt;=2,"Negative","Neutral"))</f>
        <v>Positive</v>
      </c>
      <c r="S22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98" spans="1:19" x14ac:dyDescent="0.25">
      <c r="A2298">
        <v>5</v>
      </c>
      <c r="B2298" t="b">
        <v>1</v>
      </c>
      <c r="C2298" s="1">
        <v>42590</v>
      </c>
      <c r="D2298">
        <f>YEAR(AMAZON_FASHION_5__2[[#This Row],[reviewDate]])</f>
        <v>2016</v>
      </c>
      <c r="E2298" s="1" t="str">
        <f>TEXT(AMAZON_FASHION_5__2[[#This Row],[reviewDate]], "mmmm")</f>
        <v>August</v>
      </c>
      <c r="F2298" t="s">
        <v>1320</v>
      </c>
      <c r="G2298" t="s">
        <v>1501</v>
      </c>
      <c r="H2298" t="s">
        <v>235</v>
      </c>
      <c r="I2298" t="s">
        <v>198</v>
      </c>
      <c r="J2298" t="s">
        <v>1321</v>
      </c>
      <c r="K2298" t="s">
        <v>1322</v>
      </c>
      <c r="L2298" t="s">
        <v>1323</v>
      </c>
      <c r="M2298">
        <v>1470614400</v>
      </c>
      <c r="N2298" t="s">
        <v>1628</v>
      </c>
      <c r="O2298" t="s">
        <v>1628</v>
      </c>
      <c r="P2298" t="s">
        <v>1628</v>
      </c>
      <c r="Q2298">
        <f>LEN(AMAZON_FASHION_5__2[[#This Row],[reviewText]])</f>
        <v>105</v>
      </c>
      <c r="R2298" t="str">
        <f>IF(AMAZON_FASHION_5__2[[#This Row],[overall]]&gt;=4,"Positive",IF(AMAZON_FASHION_5__2[[#This Row],[overall]]&lt;=2,"Negative","Neutral"))</f>
        <v>Positive</v>
      </c>
      <c r="S22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299" spans="1:19" x14ac:dyDescent="0.25">
      <c r="A2299">
        <v>3</v>
      </c>
      <c r="B2299" t="b">
        <v>1</v>
      </c>
      <c r="C2299" s="1">
        <v>42587</v>
      </c>
      <c r="D2299">
        <f>YEAR(AMAZON_FASHION_5__2[[#This Row],[reviewDate]])</f>
        <v>2016</v>
      </c>
      <c r="E2299" s="1" t="str">
        <f>TEXT(AMAZON_FASHION_5__2[[#This Row],[reviewDate]], "mmmm")</f>
        <v>August</v>
      </c>
      <c r="F2299" t="s">
        <v>1324</v>
      </c>
      <c r="G2299" t="s">
        <v>1501</v>
      </c>
      <c r="H2299" t="s">
        <v>205</v>
      </c>
      <c r="I2299" t="s">
        <v>198</v>
      </c>
      <c r="J2299" t="s">
        <v>1325</v>
      </c>
      <c r="K2299" t="s">
        <v>1326</v>
      </c>
      <c r="L2299" t="s">
        <v>1327</v>
      </c>
      <c r="M2299">
        <v>1470355200</v>
      </c>
      <c r="N2299" t="s">
        <v>1628</v>
      </c>
      <c r="O2299" t="s">
        <v>1628</v>
      </c>
      <c r="P2299">
        <v>2</v>
      </c>
      <c r="Q2299">
        <f>LEN(AMAZON_FASHION_5__2[[#This Row],[reviewText]])</f>
        <v>772</v>
      </c>
      <c r="R2299" t="str">
        <f>IF(AMAZON_FASHION_5__2[[#This Row],[overall]]&gt;=4,"Positive",IF(AMAZON_FASHION_5__2[[#This Row],[overall]]&lt;=2,"Negative","Neutral"))</f>
        <v>Neutral</v>
      </c>
      <c r="S22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00" spans="1:19" x14ac:dyDescent="0.25">
      <c r="A2300">
        <v>5</v>
      </c>
      <c r="B2300" t="b">
        <v>1</v>
      </c>
      <c r="C2300" s="1">
        <v>42578</v>
      </c>
      <c r="D2300">
        <f>YEAR(AMAZON_FASHION_5__2[[#This Row],[reviewDate]])</f>
        <v>2016</v>
      </c>
      <c r="E2300" s="1" t="str">
        <f>TEXT(AMAZON_FASHION_5__2[[#This Row],[reviewDate]], "mmmm")</f>
        <v>July</v>
      </c>
      <c r="F2300" t="s">
        <v>1328</v>
      </c>
      <c r="G2300" t="s">
        <v>1501</v>
      </c>
      <c r="H2300" t="s">
        <v>677</v>
      </c>
      <c r="I2300" t="s">
        <v>198</v>
      </c>
      <c r="J2300" t="s">
        <v>1329</v>
      </c>
      <c r="K2300" t="s">
        <v>1330</v>
      </c>
      <c r="L2300" t="s">
        <v>1331</v>
      </c>
      <c r="M2300">
        <v>1469577600</v>
      </c>
      <c r="N2300" t="s">
        <v>1628</v>
      </c>
      <c r="O2300" t="s">
        <v>1628</v>
      </c>
      <c r="P2300" t="s">
        <v>1628</v>
      </c>
      <c r="Q2300">
        <f>LEN(AMAZON_FASHION_5__2[[#This Row],[reviewText]])</f>
        <v>37</v>
      </c>
      <c r="R2300" t="str">
        <f>IF(AMAZON_FASHION_5__2[[#This Row],[overall]]&gt;=4,"Positive",IF(AMAZON_FASHION_5__2[[#This Row],[overall]]&lt;=2,"Negative","Neutral"))</f>
        <v>Positive</v>
      </c>
      <c r="S23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01" spans="1:19" x14ac:dyDescent="0.25">
      <c r="A2301">
        <v>5</v>
      </c>
      <c r="B2301" t="b">
        <v>0</v>
      </c>
      <c r="C2301" s="1">
        <v>42573</v>
      </c>
      <c r="D2301">
        <f>YEAR(AMAZON_FASHION_5__2[[#This Row],[reviewDate]])</f>
        <v>2016</v>
      </c>
      <c r="E2301" s="1" t="str">
        <f>TEXT(AMAZON_FASHION_5__2[[#This Row],[reviewDate]], "mmmm")</f>
        <v>July</v>
      </c>
      <c r="F2301" t="s">
        <v>1332</v>
      </c>
      <c r="G2301" t="s">
        <v>1501</v>
      </c>
      <c r="H2301" t="s">
        <v>205</v>
      </c>
      <c r="I2301" t="s">
        <v>344</v>
      </c>
      <c r="J2301" t="s">
        <v>1333</v>
      </c>
      <c r="K2301" t="s">
        <v>1334</v>
      </c>
      <c r="L2301" t="s">
        <v>543</v>
      </c>
      <c r="M2301">
        <v>1469145600</v>
      </c>
      <c r="N2301" t="s">
        <v>1628</v>
      </c>
      <c r="O2301" t="s">
        <v>1628</v>
      </c>
      <c r="P2301" t="s">
        <v>1628</v>
      </c>
      <c r="Q2301">
        <f>LEN(AMAZON_FASHION_5__2[[#This Row],[reviewText]])</f>
        <v>427</v>
      </c>
      <c r="R2301" t="str">
        <f>IF(AMAZON_FASHION_5__2[[#This Row],[overall]]&gt;=4,"Positive",IF(AMAZON_FASHION_5__2[[#This Row],[overall]]&lt;=2,"Negative","Neutral"))</f>
        <v>Positive</v>
      </c>
      <c r="S23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02" spans="1:19" x14ac:dyDescent="0.25">
      <c r="A2302">
        <v>3</v>
      </c>
      <c r="B2302" t="b">
        <v>1</v>
      </c>
      <c r="C2302" s="1">
        <v>42572</v>
      </c>
      <c r="D2302">
        <f>YEAR(AMAZON_FASHION_5__2[[#This Row],[reviewDate]])</f>
        <v>2016</v>
      </c>
      <c r="E2302" s="1" t="str">
        <f>TEXT(AMAZON_FASHION_5__2[[#This Row],[reviewDate]], "mmmm")</f>
        <v>July</v>
      </c>
      <c r="F2302" t="s">
        <v>1335</v>
      </c>
      <c r="G2302" t="s">
        <v>1501</v>
      </c>
      <c r="H2302" t="s">
        <v>477</v>
      </c>
      <c r="I2302" t="s">
        <v>198</v>
      </c>
      <c r="J2302" t="s">
        <v>1336</v>
      </c>
      <c r="K2302" t="s">
        <v>1337</v>
      </c>
      <c r="L2302" t="s">
        <v>1338</v>
      </c>
      <c r="M2302">
        <v>1469059200</v>
      </c>
      <c r="N2302" t="s">
        <v>1628</v>
      </c>
      <c r="O2302" t="s">
        <v>1628</v>
      </c>
      <c r="P2302" t="s">
        <v>1628</v>
      </c>
      <c r="Q2302">
        <f>LEN(AMAZON_FASHION_5__2[[#This Row],[reviewText]])</f>
        <v>50</v>
      </c>
      <c r="R2302" t="str">
        <f>IF(AMAZON_FASHION_5__2[[#This Row],[overall]]&gt;=4,"Positive",IF(AMAZON_FASHION_5__2[[#This Row],[overall]]&lt;=2,"Negative","Neutral"))</f>
        <v>Neutral</v>
      </c>
      <c r="S23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03" spans="1:19" x14ac:dyDescent="0.25">
      <c r="A2303">
        <v>5</v>
      </c>
      <c r="B2303" t="b">
        <v>1</v>
      </c>
      <c r="C2303" s="1">
        <v>42570</v>
      </c>
      <c r="D2303">
        <f>YEAR(AMAZON_FASHION_5__2[[#This Row],[reviewDate]])</f>
        <v>2016</v>
      </c>
      <c r="E2303" s="1" t="str">
        <f>TEXT(AMAZON_FASHION_5__2[[#This Row],[reviewDate]], "mmmm")</f>
        <v>July</v>
      </c>
      <c r="F2303" t="s">
        <v>1339</v>
      </c>
      <c r="G2303" t="s">
        <v>1501</v>
      </c>
      <c r="H2303" t="s">
        <v>205</v>
      </c>
      <c r="I2303" t="s">
        <v>198</v>
      </c>
      <c r="J2303" t="s">
        <v>1340</v>
      </c>
      <c r="K2303" t="s">
        <v>1341</v>
      </c>
      <c r="L2303" t="s">
        <v>17</v>
      </c>
      <c r="M2303">
        <v>1468886400</v>
      </c>
      <c r="N2303" t="s">
        <v>1628</v>
      </c>
      <c r="O2303" t="s">
        <v>1628</v>
      </c>
      <c r="P2303" t="s">
        <v>1628</v>
      </c>
      <c r="Q2303">
        <f>LEN(AMAZON_FASHION_5__2[[#This Row],[reviewText]])</f>
        <v>20</v>
      </c>
      <c r="R2303" t="str">
        <f>IF(AMAZON_FASHION_5__2[[#This Row],[overall]]&gt;=4,"Positive",IF(AMAZON_FASHION_5__2[[#This Row],[overall]]&lt;=2,"Negative","Neutral"))</f>
        <v>Positive</v>
      </c>
      <c r="S23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04" spans="1:19" x14ac:dyDescent="0.25">
      <c r="A2304">
        <v>5</v>
      </c>
      <c r="B2304" t="b">
        <v>1</v>
      </c>
      <c r="C2304" s="1">
        <v>42569</v>
      </c>
      <c r="D2304">
        <f>YEAR(AMAZON_FASHION_5__2[[#This Row],[reviewDate]])</f>
        <v>2016</v>
      </c>
      <c r="E2304" s="1" t="str">
        <f>TEXT(AMAZON_FASHION_5__2[[#This Row],[reviewDate]], "mmmm")</f>
        <v>July</v>
      </c>
      <c r="F2304" t="s">
        <v>1342</v>
      </c>
      <c r="G2304" t="s">
        <v>1501</v>
      </c>
      <c r="H2304" t="s">
        <v>230</v>
      </c>
      <c r="I2304" t="s">
        <v>211</v>
      </c>
      <c r="J2304" t="s">
        <v>1343</v>
      </c>
      <c r="K2304" t="s">
        <v>1344</v>
      </c>
      <c r="L2304" t="s">
        <v>1345</v>
      </c>
      <c r="M2304">
        <v>1468800000</v>
      </c>
      <c r="N2304" t="s">
        <v>1628</v>
      </c>
      <c r="O2304" t="s">
        <v>1628</v>
      </c>
      <c r="P2304" t="s">
        <v>1628</v>
      </c>
      <c r="Q2304">
        <f>LEN(AMAZON_FASHION_5__2[[#This Row],[reviewText]])</f>
        <v>306</v>
      </c>
      <c r="R2304" t="str">
        <f>IF(AMAZON_FASHION_5__2[[#This Row],[overall]]&gt;=4,"Positive",IF(AMAZON_FASHION_5__2[[#This Row],[overall]]&lt;=2,"Negative","Neutral"))</f>
        <v>Positive</v>
      </c>
      <c r="S23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05" spans="1:19" x14ac:dyDescent="0.25">
      <c r="A2305">
        <v>5</v>
      </c>
      <c r="B2305" t="b">
        <v>1</v>
      </c>
      <c r="C2305" s="1">
        <v>42564</v>
      </c>
      <c r="D2305">
        <f>YEAR(AMAZON_FASHION_5__2[[#This Row],[reviewDate]])</f>
        <v>2016</v>
      </c>
      <c r="E2305" s="1" t="str">
        <f>TEXT(AMAZON_FASHION_5__2[[#This Row],[reviewDate]], "mmmm")</f>
        <v>July</v>
      </c>
      <c r="F2305" t="s">
        <v>1346</v>
      </c>
      <c r="G2305" t="s">
        <v>1501</v>
      </c>
      <c r="H2305" t="s">
        <v>210</v>
      </c>
      <c r="I2305" t="s">
        <v>198</v>
      </c>
      <c r="J2305" t="s">
        <v>1347</v>
      </c>
      <c r="K2305" t="s">
        <v>1348</v>
      </c>
      <c r="L2305" t="s">
        <v>1349</v>
      </c>
      <c r="M2305">
        <v>1468368000</v>
      </c>
      <c r="N2305" t="s">
        <v>1628</v>
      </c>
      <c r="O2305" t="s">
        <v>1628</v>
      </c>
      <c r="P2305" t="s">
        <v>1628</v>
      </c>
      <c r="Q2305">
        <f>LEN(AMAZON_FASHION_5__2[[#This Row],[reviewText]])</f>
        <v>188</v>
      </c>
      <c r="R2305" t="str">
        <f>IF(AMAZON_FASHION_5__2[[#This Row],[overall]]&gt;=4,"Positive",IF(AMAZON_FASHION_5__2[[#This Row],[overall]]&lt;=2,"Negative","Neutral"))</f>
        <v>Positive</v>
      </c>
      <c r="S23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06" spans="1:19" x14ac:dyDescent="0.25">
      <c r="A2306">
        <v>5</v>
      </c>
      <c r="B2306" t="b">
        <v>1</v>
      </c>
      <c r="C2306" s="1">
        <v>42552</v>
      </c>
      <c r="D2306">
        <f>YEAR(AMAZON_FASHION_5__2[[#This Row],[reviewDate]])</f>
        <v>2016</v>
      </c>
      <c r="E2306" s="1" t="str">
        <f>TEXT(AMAZON_FASHION_5__2[[#This Row],[reviewDate]], "mmmm")</f>
        <v>July</v>
      </c>
      <c r="F2306" t="s">
        <v>1350</v>
      </c>
      <c r="G2306" t="s">
        <v>1501</v>
      </c>
      <c r="H2306" t="s">
        <v>320</v>
      </c>
      <c r="I2306" t="s">
        <v>198</v>
      </c>
      <c r="J2306" t="s">
        <v>63</v>
      </c>
      <c r="K2306" t="s">
        <v>1351</v>
      </c>
      <c r="L2306" t="s">
        <v>1352</v>
      </c>
      <c r="M2306">
        <v>1467331200</v>
      </c>
      <c r="N2306" t="s">
        <v>1628</v>
      </c>
      <c r="O2306" t="s">
        <v>1628</v>
      </c>
      <c r="P2306" t="s">
        <v>1628</v>
      </c>
      <c r="Q2306">
        <f>LEN(AMAZON_FASHION_5__2[[#This Row],[reviewText]])</f>
        <v>62</v>
      </c>
      <c r="R2306" t="str">
        <f>IF(AMAZON_FASHION_5__2[[#This Row],[overall]]&gt;=4,"Positive",IF(AMAZON_FASHION_5__2[[#This Row],[overall]]&lt;=2,"Negative","Neutral"))</f>
        <v>Positive</v>
      </c>
      <c r="S23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07" spans="1:19" x14ac:dyDescent="0.25">
      <c r="A2307">
        <v>5</v>
      </c>
      <c r="B2307" t="b">
        <v>1</v>
      </c>
      <c r="C2307" s="1">
        <v>42552</v>
      </c>
      <c r="D2307">
        <f>YEAR(AMAZON_FASHION_5__2[[#This Row],[reviewDate]])</f>
        <v>2016</v>
      </c>
      <c r="E2307" s="1" t="str">
        <f>TEXT(AMAZON_FASHION_5__2[[#This Row],[reviewDate]], "mmmm")</f>
        <v>July</v>
      </c>
      <c r="F2307" t="s">
        <v>1353</v>
      </c>
      <c r="G2307" t="s">
        <v>1501</v>
      </c>
      <c r="H2307" t="s">
        <v>205</v>
      </c>
      <c r="I2307" t="s">
        <v>493</v>
      </c>
      <c r="J2307" t="s">
        <v>1354</v>
      </c>
      <c r="K2307" t="s">
        <v>1355</v>
      </c>
      <c r="L2307" t="s">
        <v>1356</v>
      </c>
      <c r="M2307">
        <v>1467331200</v>
      </c>
      <c r="N2307" t="s">
        <v>1628</v>
      </c>
      <c r="O2307" t="s">
        <v>1628</v>
      </c>
      <c r="P2307">
        <v>5</v>
      </c>
      <c r="Q2307">
        <f>LEN(AMAZON_FASHION_5__2[[#This Row],[reviewText]])</f>
        <v>378</v>
      </c>
      <c r="R2307" t="str">
        <f>IF(AMAZON_FASHION_5__2[[#This Row],[overall]]&gt;=4,"Positive",IF(AMAZON_FASHION_5__2[[#This Row],[overall]]&lt;=2,"Negative","Neutral"))</f>
        <v>Positive</v>
      </c>
      <c r="S23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08" spans="1:19" x14ac:dyDescent="0.25">
      <c r="A2308">
        <v>5</v>
      </c>
      <c r="B2308" t="b">
        <v>1</v>
      </c>
      <c r="C2308" s="1">
        <v>42549</v>
      </c>
      <c r="D2308">
        <f>YEAR(AMAZON_FASHION_5__2[[#This Row],[reviewDate]])</f>
        <v>2016</v>
      </c>
      <c r="E2308" s="1" t="str">
        <f>TEXT(AMAZON_FASHION_5__2[[#This Row],[reviewDate]], "mmmm")</f>
        <v>June</v>
      </c>
      <c r="F2308" t="s">
        <v>1357</v>
      </c>
      <c r="G2308" t="s">
        <v>1501</v>
      </c>
      <c r="H2308" t="s">
        <v>201</v>
      </c>
      <c r="I2308" t="s">
        <v>198</v>
      </c>
      <c r="J2308" t="s">
        <v>1358</v>
      </c>
      <c r="K2308" t="s">
        <v>1359</v>
      </c>
      <c r="L2308" t="s">
        <v>1360</v>
      </c>
      <c r="M2308">
        <v>1467072000</v>
      </c>
      <c r="N2308" t="s">
        <v>1628</v>
      </c>
      <c r="O2308" t="s">
        <v>1628</v>
      </c>
      <c r="P2308">
        <v>7</v>
      </c>
      <c r="Q2308">
        <f>LEN(AMAZON_FASHION_5__2[[#This Row],[reviewText]])</f>
        <v>288</v>
      </c>
      <c r="R2308" t="str">
        <f>IF(AMAZON_FASHION_5__2[[#This Row],[overall]]&gt;=4,"Positive",IF(AMAZON_FASHION_5__2[[#This Row],[overall]]&lt;=2,"Negative","Neutral"))</f>
        <v>Positive</v>
      </c>
      <c r="S23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09" spans="1:19" x14ac:dyDescent="0.25">
      <c r="A2309">
        <v>5</v>
      </c>
      <c r="B2309" t="b">
        <v>1</v>
      </c>
      <c r="C2309" s="1">
        <v>42546</v>
      </c>
      <c r="D2309">
        <f>YEAR(AMAZON_FASHION_5__2[[#This Row],[reviewDate]])</f>
        <v>2016</v>
      </c>
      <c r="E2309" s="1" t="str">
        <f>TEXT(AMAZON_FASHION_5__2[[#This Row],[reviewDate]], "mmmm")</f>
        <v>June</v>
      </c>
      <c r="F2309" t="s">
        <v>1361</v>
      </c>
      <c r="G2309" t="s">
        <v>1501</v>
      </c>
      <c r="H2309" t="s">
        <v>205</v>
      </c>
      <c r="I2309" t="s">
        <v>849</v>
      </c>
      <c r="J2309" t="s">
        <v>1362</v>
      </c>
      <c r="K2309" t="s">
        <v>1363</v>
      </c>
      <c r="L2309" t="s">
        <v>17</v>
      </c>
      <c r="M2309">
        <v>1466812800</v>
      </c>
      <c r="N2309" t="s">
        <v>1628</v>
      </c>
      <c r="O2309" t="s">
        <v>1628</v>
      </c>
      <c r="P2309" t="s">
        <v>1628</v>
      </c>
      <c r="Q2309">
        <f>LEN(AMAZON_FASHION_5__2[[#This Row],[reviewText]])</f>
        <v>60</v>
      </c>
      <c r="R2309" t="str">
        <f>IF(AMAZON_FASHION_5__2[[#This Row],[overall]]&gt;=4,"Positive",IF(AMAZON_FASHION_5__2[[#This Row],[overall]]&lt;=2,"Negative","Neutral"))</f>
        <v>Positive</v>
      </c>
      <c r="S23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10" spans="1:19" x14ac:dyDescent="0.25">
      <c r="A2310">
        <v>3</v>
      </c>
      <c r="B2310" t="b">
        <v>1</v>
      </c>
      <c r="C2310" s="1">
        <v>42542</v>
      </c>
      <c r="D2310">
        <f>YEAR(AMAZON_FASHION_5__2[[#This Row],[reviewDate]])</f>
        <v>2016</v>
      </c>
      <c r="E2310" s="1" t="str">
        <f>TEXT(AMAZON_FASHION_5__2[[#This Row],[reviewDate]], "mmmm")</f>
        <v>June</v>
      </c>
      <c r="F2310" t="s">
        <v>1364</v>
      </c>
      <c r="G2310" t="s">
        <v>1501</v>
      </c>
      <c r="H2310" t="s">
        <v>477</v>
      </c>
      <c r="I2310" t="s">
        <v>211</v>
      </c>
      <c r="J2310" t="s">
        <v>63</v>
      </c>
      <c r="K2310" t="s">
        <v>1365</v>
      </c>
      <c r="L2310" t="s">
        <v>1366</v>
      </c>
      <c r="M2310">
        <v>1466467200</v>
      </c>
      <c r="N2310" t="s">
        <v>1628</v>
      </c>
      <c r="O2310" t="s">
        <v>1628</v>
      </c>
      <c r="P2310">
        <v>2</v>
      </c>
      <c r="Q2310">
        <f>LEN(AMAZON_FASHION_5__2[[#This Row],[reviewText]])</f>
        <v>236</v>
      </c>
      <c r="R2310" t="str">
        <f>IF(AMAZON_FASHION_5__2[[#This Row],[overall]]&gt;=4,"Positive",IF(AMAZON_FASHION_5__2[[#This Row],[overall]]&lt;=2,"Negative","Neutral"))</f>
        <v>Neutral</v>
      </c>
      <c r="S23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11" spans="1:19" x14ac:dyDescent="0.25">
      <c r="A2311">
        <v>5</v>
      </c>
      <c r="B2311" t="b">
        <v>1</v>
      </c>
      <c r="C2311" s="1">
        <v>42540</v>
      </c>
      <c r="D2311">
        <f>YEAR(AMAZON_FASHION_5__2[[#This Row],[reviewDate]])</f>
        <v>2016</v>
      </c>
      <c r="E2311" s="1" t="str">
        <f>TEXT(AMAZON_FASHION_5__2[[#This Row],[reviewDate]], "mmmm")</f>
        <v>June</v>
      </c>
      <c r="F2311" t="s">
        <v>1367</v>
      </c>
      <c r="G2311" t="s">
        <v>1501</v>
      </c>
      <c r="H2311" t="s">
        <v>230</v>
      </c>
      <c r="I2311" t="s">
        <v>198</v>
      </c>
      <c r="J2311" t="s">
        <v>1368</v>
      </c>
      <c r="K2311" t="s">
        <v>1369</v>
      </c>
      <c r="L2311" t="s">
        <v>480</v>
      </c>
      <c r="M2311">
        <v>1466294400</v>
      </c>
      <c r="N2311" t="s">
        <v>1628</v>
      </c>
      <c r="O2311" t="s">
        <v>1628</v>
      </c>
      <c r="P2311">
        <v>3</v>
      </c>
      <c r="Q2311">
        <f>LEN(AMAZON_FASHION_5__2[[#This Row],[reviewText]])</f>
        <v>308</v>
      </c>
      <c r="R2311" t="str">
        <f>IF(AMAZON_FASHION_5__2[[#This Row],[overall]]&gt;=4,"Positive",IF(AMAZON_FASHION_5__2[[#This Row],[overall]]&lt;=2,"Negative","Neutral"))</f>
        <v>Positive</v>
      </c>
      <c r="S23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12" spans="1:19" x14ac:dyDescent="0.25">
      <c r="A2312">
        <v>5</v>
      </c>
      <c r="B2312" t="b">
        <v>0</v>
      </c>
      <c r="C2312" s="1">
        <v>42537</v>
      </c>
      <c r="D2312">
        <f>YEAR(AMAZON_FASHION_5__2[[#This Row],[reviewDate]])</f>
        <v>2016</v>
      </c>
      <c r="E2312" s="1" t="str">
        <f>TEXT(AMAZON_FASHION_5__2[[#This Row],[reviewDate]], "mmmm")</f>
        <v>June</v>
      </c>
      <c r="F2312" t="s">
        <v>1370</v>
      </c>
      <c r="G2312" t="s">
        <v>1501</v>
      </c>
      <c r="H2312" t="s">
        <v>230</v>
      </c>
      <c r="I2312" t="s">
        <v>236</v>
      </c>
      <c r="J2312" t="s">
        <v>63</v>
      </c>
      <c r="K2312" t="s">
        <v>1371</v>
      </c>
      <c r="L2312" t="s">
        <v>1372</v>
      </c>
      <c r="M2312">
        <v>1466035200</v>
      </c>
      <c r="N2312" t="s">
        <v>1628</v>
      </c>
      <c r="O2312" t="s">
        <v>1628</v>
      </c>
      <c r="P2312">
        <v>3</v>
      </c>
      <c r="Q2312">
        <f>LEN(AMAZON_FASHION_5__2[[#This Row],[reviewText]])</f>
        <v>370</v>
      </c>
      <c r="R2312" t="str">
        <f>IF(AMAZON_FASHION_5__2[[#This Row],[overall]]&gt;=4,"Positive",IF(AMAZON_FASHION_5__2[[#This Row],[overall]]&lt;=2,"Negative","Neutral"))</f>
        <v>Positive</v>
      </c>
      <c r="S23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13" spans="1:19" x14ac:dyDescent="0.25">
      <c r="A2313">
        <v>5</v>
      </c>
      <c r="B2313" t="b">
        <v>1</v>
      </c>
      <c r="C2313" s="1">
        <v>42531</v>
      </c>
      <c r="D2313">
        <f>YEAR(AMAZON_FASHION_5__2[[#This Row],[reviewDate]])</f>
        <v>2016</v>
      </c>
      <c r="E2313" s="1" t="str">
        <f>TEXT(AMAZON_FASHION_5__2[[#This Row],[reviewDate]], "mmmm")</f>
        <v>June</v>
      </c>
      <c r="F2313" t="s">
        <v>1373</v>
      </c>
      <c r="G2313" t="s">
        <v>1501</v>
      </c>
      <c r="H2313" t="s">
        <v>558</v>
      </c>
      <c r="I2313" t="s">
        <v>198</v>
      </c>
      <c r="J2313" t="s">
        <v>1374</v>
      </c>
      <c r="K2313" t="s">
        <v>1375</v>
      </c>
      <c r="L2313" t="s">
        <v>1376</v>
      </c>
      <c r="M2313">
        <v>1465516800</v>
      </c>
      <c r="N2313" t="s">
        <v>1628</v>
      </c>
      <c r="O2313" t="s">
        <v>1628</v>
      </c>
      <c r="P2313">
        <v>10</v>
      </c>
      <c r="Q2313">
        <f>LEN(AMAZON_FASHION_5__2[[#This Row],[reviewText]])</f>
        <v>204</v>
      </c>
      <c r="R2313" t="str">
        <f>IF(AMAZON_FASHION_5__2[[#This Row],[overall]]&gt;=4,"Positive",IF(AMAZON_FASHION_5__2[[#This Row],[overall]]&lt;=2,"Negative","Neutral"))</f>
        <v>Positive</v>
      </c>
      <c r="S23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14" spans="1:19" x14ac:dyDescent="0.25">
      <c r="A2314">
        <v>5</v>
      </c>
      <c r="B2314" t="b">
        <v>1</v>
      </c>
      <c r="C2314" s="1">
        <v>42526</v>
      </c>
      <c r="D2314">
        <f>YEAR(AMAZON_FASHION_5__2[[#This Row],[reviewDate]])</f>
        <v>2016</v>
      </c>
      <c r="E2314" s="1" t="str">
        <f>TEXT(AMAZON_FASHION_5__2[[#This Row],[reviewDate]], "mmmm")</f>
        <v>June</v>
      </c>
      <c r="F2314" t="s">
        <v>1377</v>
      </c>
      <c r="G2314" t="s">
        <v>1501</v>
      </c>
      <c r="H2314" t="s">
        <v>197</v>
      </c>
      <c r="I2314" t="s">
        <v>198</v>
      </c>
      <c r="J2314" t="s">
        <v>1378</v>
      </c>
      <c r="K2314" t="s">
        <v>1379</v>
      </c>
      <c r="L2314" t="s">
        <v>17</v>
      </c>
      <c r="M2314">
        <v>1465084800</v>
      </c>
      <c r="N2314" t="s">
        <v>1628</v>
      </c>
      <c r="O2314" t="s">
        <v>1628</v>
      </c>
      <c r="P2314" t="s">
        <v>1628</v>
      </c>
      <c r="Q2314">
        <f>LEN(AMAZON_FASHION_5__2[[#This Row],[reviewText]])</f>
        <v>9</v>
      </c>
      <c r="R2314" t="str">
        <f>IF(AMAZON_FASHION_5__2[[#This Row],[overall]]&gt;=4,"Positive",IF(AMAZON_FASHION_5__2[[#This Row],[overall]]&lt;=2,"Negative","Neutral"))</f>
        <v>Positive</v>
      </c>
      <c r="S23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15" spans="1:19" x14ac:dyDescent="0.25">
      <c r="A2315">
        <v>5</v>
      </c>
      <c r="B2315" t="b">
        <v>1</v>
      </c>
      <c r="C2315" s="1">
        <v>42523</v>
      </c>
      <c r="D2315">
        <f>YEAR(AMAZON_FASHION_5__2[[#This Row],[reviewDate]])</f>
        <v>2016</v>
      </c>
      <c r="E2315" s="1" t="str">
        <f>TEXT(AMAZON_FASHION_5__2[[#This Row],[reviewDate]], "mmmm")</f>
        <v>June</v>
      </c>
      <c r="F2315" t="s">
        <v>1380</v>
      </c>
      <c r="G2315" t="s">
        <v>1501</v>
      </c>
      <c r="H2315" t="s">
        <v>197</v>
      </c>
      <c r="I2315" t="s">
        <v>493</v>
      </c>
      <c r="J2315" t="s">
        <v>1381</v>
      </c>
      <c r="K2315" t="s">
        <v>1382</v>
      </c>
      <c r="L2315" t="s">
        <v>1383</v>
      </c>
      <c r="M2315">
        <v>1464825600</v>
      </c>
      <c r="N2315" t="s">
        <v>1628</v>
      </c>
      <c r="O2315" t="s">
        <v>1628</v>
      </c>
      <c r="P2315" t="s">
        <v>1628</v>
      </c>
      <c r="Q2315">
        <f>LEN(AMAZON_FASHION_5__2[[#This Row],[reviewText]])</f>
        <v>237</v>
      </c>
      <c r="R2315" t="str">
        <f>IF(AMAZON_FASHION_5__2[[#This Row],[overall]]&gt;=4,"Positive",IF(AMAZON_FASHION_5__2[[#This Row],[overall]]&lt;=2,"Negative","Neutral"))</f>
        <v>Positive</v>
      </c>
      <c r="S23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16" spans="1:19" x14ac:dyDescent="0.25">
      <c r="A2316">
        <v>5</v>
      </c>
      <c r="B2316" t="b">
        <v>1</v>
      </c>
      <c r="C2316" s="1">
        <v>42519</v>
      </c>
      <c r="D2316">
        <f>YEAR(AMAZON_FASHION_5__2[[#This Row],[reviewDate]])</f>
        <v>2016</v>
      </c>
      <c r="E2316" s="1" t="str">
        <f>TEXT(AMAZON_FASHION_5__2[[#This Row],[reviewDate]], "mmmm")</f>
        <v>May</v>
      </c>
      <c r="F2316" t="s">
        <v>1384</v>
      </c>
      <c r="G2316" t="s">
        <v>1501</v>
      </c>
      <c r="H2316" t="s">
        <v>210</v>
      </c>
      <c r="I2316" t="s">
        <v>211</v>
      </c>
      <c r="J2316" t="s">
        <v>1385</v>
      </c>
      <c r="K2316" t="s">
        <v>1386</v>
      </c>
      <c r="L2316" t="s">
        <v>17</v>
      </c>
      <c r="M2316">
        <v>1464480000</v>
      </c>
      <c r="N2316" t="s">
        <v>1628</v>
      </c>
      <c r="O2316" t="s">
        <v>1628</v>
      </c>
      <c r="P2316" t="s">
        <v>1628</v>
      </c>
      <c r="Q2316">
        <f>LEN(AMAZON_FASHION_5__2[[#This Row],[reviewText]])</f>
        <v>11</v>
      </c>
      <c r="R2316" t="str">
        <f>IF(AMAZON_FASHION_5__2[[#This Row],[overall]]&gt;=4,"Positive",IF(AMAZON_FASHION_5__2[[#This Row],[overall]]&lt;=2,"Negative","Neutral"))</f>
        <v>Positive</v>
      </c>
      <c r="S23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17" spans="1:19" x14ac:dyDescent="0.25">
      <c r="A2317">
        <v>5</v>
      </c>
      <c r="B2317" t="b">
        <v>1</v>
      </c>
      <c r="C2317" s="1">
        <v>42518</v>
      </c>
      <c r="D2317">
        <f>YEAR(AMAZON_FASHION_5__2[[#This Row],[reviewDate]])</f>
        <v>2016</v>
      </c>
      <c r="E2317" s="1" t="str">
        <f>TEXT(AMAZON_FASHION_5__2[[#This Row],[reviewDate]], "mmmm")</f>
        <v>May</v>
      </c>
      <c r="F2317" t="s">
        <v>1387</v>
      </c>
      <c r="G2317" t="s">
        <v>1501</v>
      </c>
      <c r="H2317" t="s">
        <v>1388</v>
      </c>
      <c r="I2317" t="s">
        <v>217</v>
      </c>
      <c r="J2317" t="s">
        <v>63</v>
      </c>
      <c r="K2317" t="s">
        <v>638</v>
      </c>
      <c r="L2317" t="s">
        <v>17</v>
      </c>
      <c r="M2317">
        <v>1464393600</v>
      </c>
      <c r="N2317" t="s">
        <v>1628</v>
      </c>
      <c r="O2317" t="s">
        <v>1628</v>
      </c>
      <c r="P2317" t="s">
        <v>1628</v>
      </c>
      <c r="Q2317">
        <f>LEN(AMAZON_FASHION_5__2[[#This Row],[reviewText]])</f>
        <v>7</v>
      </c>
      <c r="R2317" t="str">
        <f>IF(AMAZON_FASHION_5__2[[#This Row],[overall]]&gt;=4,"Positive",IF(AMAZON_FASHION_5__2[[#This Row],[overall]]&lt;=2,"Negative","Neutral"))</f>
        <v>Positive</v>
      </c>
      <c r="S23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18" spans="1:19" x14ac:dyDescent="0.25">
      <c r="A2318">
        <v>5</v>
      </c>
      <c r="B2318" t="b">
        <v>0</v>
      </c>
      <c r="C2318" s="1">
        <v>42514</v>
      </c>
      <c r="D2318">
        <f>YEAR(AMAZON_FASHION_5__2[[#This Row],[reviewDate]])</f>
        <v>2016</v>
      </c>
      <c r="E2318" s="1" t="str">
        <f>TEXT(AMAZON_FASHION_5__2[[#This Row],[reviewDate]], "mmmm")</f>
        <v>May</v>
      </c>
      <c r="F2318" t="s">
        <v>1389</v>
      </c>
      <c r="G2318" t="s">
        <v>1501</v>
      </c>
      <c r="H2318" t="s">
        <v>1628</v>
      </c>
      <c r="I2318" t="s">
        <v>1628</v>
      </c>
      <c r="J2318" t="s">
        <v>1390</v>
      </c>
      <c r="K2318" t="s">
        <v>1391</v>
      </c>
      <c r="L2318" t="s">
        <v>1392</v>
      </c>
      <c r="M2318">
        <v>1464048000</v>
      </c>
      <c r="N2318" t="s">
        <v>1628</v>
      </c>
      <c r="O2318" t="s">
        <v>1628</v>
      </c>
      <c r="P2318">
        <v>8</v>
      </c>
      <c r="Q2318">
        <f>LEN(AMAZON_FASHION_5__2[[#This Row],[reviewText]])</f>
        <v>629</v>
      </c>
      <c r="R2318" t="str">
        <f>IF(AMAZON_FASHION_5__2[[#This Row],[overall]]&gt;=4,"Positive",IF(AMAZON_FASHION_5__2[[#This Row],[overall]]&lt;=2,"Negative","Neutral"))</f>
        <v>Positive</v>
      </c>
      <c r="S23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19" spans="1:19" x14ac:dyDescent="0.25">
      <c r="A2319">
        <v>4</v>
      </c>
      <c r="B2319" t="b">
        <v>1</v>
      </c>
      <c r="C2319" s="1">
        <v>42514</v>
      </c>
      <c r="D2319">
        <f>YEAR(AMAZON_FASHION_5__2[[#This Row],[reviewDate]])</f>
        <v>2016</v>
      </c>
      <c r="E2319" s="1" t="str">
        <f>TEXT(AMAZON_FASHION_5__2[[#This Row],[reviewDate]], "mmmm")</f>
        <v>May</v>
      </c>
      <c r="F2319" t="s">
        <v>1393</v>
      </c>
      <c r="G2319" t="s">
        <v>1501</v>
      </c>
      <c r="H2319" t="s">
        <v>230</v>
      </c>
      <c r="I2319" t="s">
        <v>211</v>
      </c>
      <c r="J2319" t="s">
        <v>1394</v>
      </c>
      <c r="K2319" t="s">
        <v>1395</v>
      </c>
      <c r="L2319" t="s">
        <v>1396</v>
      </c>
      <c r="M2319">
        <v>1464048000</v>
      </c>
      <c r="N2319" t="s">
        <v>1628</v>
      </c>
      <c r="O2319" t="s">
        <v>1628</v>
      </c>
      <c r="P2319" t="s">
        <v>1628</v>
      </c>
      <c r="Q2319">
        <f>LEN(AMAZON_FASHION_5__2[[#This Row],[reviewText]])</f>
        <v>148</v>
      </c>
      <c r="R2319" t="str">
        <f>IF(AMAZON_FASHION_5__2[[#This Row],[overall]]&gt;=4,"Positive",IF(AMAZON_FASHION_5__2[[#This Row],[overall]]&lt;=2,"Negative","Neutral"))</f>
        <v>Positive</v>
      </c>
      <c r="S23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20" spans="1:19" x14ac:dyDescent="0.25">
      <c r="A2320">
        <v>5</v>
      </c>
      <c r="B2320" t="b">
        <v>1</v>
      </c>
      <c r="C2320" s="1">
        <v>42510</v>
      </c>
      <c r="D2320">
        <f>YEAR(AMAZON_FASHION_5__2[[#This Row],[reviewDate]])</f>
        <v>2016</v>
      </c>
      <c r="E2320" s="1" t="str">
        <f>TEXT(AMAZON_FASHION_5__2[[#This Row],[reviewDate]], "mmmm")</f>
        <v>May</v>
      </c>
      <c r="F2320" t="s">
        <v>1397</v>
      </c>
      <c r="G2320" t="s">
        <v>1501</v>
      </c>
      <c r="H2320" t="s">
        <v>320</v>
      </c>
      <c r="I2320" t="s">
        <v>198</v>
      </c>
      <c r="J2320" t="s">
        <v>1398</v>
      </c>
      <c r="K2320" t="s">
        <v>940</v>
      </c>
      <c r="L2320" t="s">
        <v>17</v>
      </c>
      <c r="M2320">
        <v>1463702400</v>
      </c>
      <c r="N2320" t="s">
        <v>1628</v>
      </c>
      <c r="O2320" t="s">
        <v>1628</v>
      </c>
      <c r="P2320" t="s">
        <v>1628</v>
      </c>
      <c r="Q2320">
        <f>LEN(AMAZON_FASHION_5__2[[#This Row],[reviewText]])</f>
        <v>10</v>
      </c>
      <c r="R2320" t="str">
        <f>IF(AMAZON_FASHION_5__2[[#This Row],[overall]]&gt;=4,"Positive",IF(AMAZON_FASHION_5__2[[#This Row],[overall]]&lt;=2,"Negative","Neutral"))</f>
        <v>Positive</v>
      </c>
      <c r="S23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21" spans="1:19" x14ac:dyDescent="0.25">
      <c r="A2321">
        <v>5</v>
      </c>
      <c r="B2321" t="b">
        <v>0</v>
      </c>
      <c r="C2321" s="1">
        <v>42508</v>
      </c>
      <c r="D2321">
        <f>YEAR(AMAZON_FASHION_5__2[[#This Row],[reviewDate]])</f>
        <v>2016</v>
      </c>
      <c r="E2321" s="1" t="str">
        <f>TEXT(AMAZON_FASHION_5__2[[#This Row],[reviewDate]], "mmmm")</f>
        <v>May</v>
      </c>
      <c r="F2321" t="s">
        <v>1399</v>
      </c>
      <c r="G2321" t="s">
        <v>1501</v>
      </c>
      <c r="H2321" t="s">
        <v>210</v>
      </c>
      <c r="I2321" t="s">
        <v>524</v>
      </c>
      <c r="J2321" t="s">
        <v>1400</v>
      </c>
      <c r="K2321" t="s">
        <v>1401</v>
      </c>
      <c r="L2321" t="s">
        <v>1402</v>
      </c>
      <c r="M2321">
        <v>1463529600</v>
      </c>
      <c r="N2321" t="s">
        <v>1628</v>
      </c>
      <c r="O2321" t="s">
        <v>1628</v>
      </c>
      <c r="P2321" t="s">
        <v>1628</v>
      </c>
      <c r="Q2321">
        <f>LEN(AMAZON_FASHION_5__2[[#This Row],[reviewText]])</f>
        <v>247</v>
      </c>
      <c r="R2321" t="str">
        <f>IF(AMAZON_FASHION_5__2[[#This Row],[overall]]&gt;=4,"Positive",IF(AMAZON_FASHION_5__2[[#This Row],[overall]]&lt;=2,"Negative","Neutral"))</f>
        <v>Positive</v>
      </c>
      <c r="S23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22" spans="1:19" x14ac:dyDescent="0.25">
      <c r="A2322">
        <v>5</v>
      </c>
      <c r="B2322" t="b">
        <v>1</v>
      </c>
      <c r="C2322" s="1">
        <v>42506</v>
      </c>
      <c r="D2322">
        <f>YEAR(AMAZON_FASHION_5__2[[#This Row],[reviewDate]])</f>
        <v>2016</v>
      </c>
      <c r="E2322" s="1" t="str">
        <f>TEXT(AMAZON_FASHION_5__2[[#This Row],[reviewDate]], "mmmm")</f>
        <v>May</v>
      </c>
      <c r="F2322" t="s">
        <v>1403</v>
      </c>
      <c r="G2322" t="s">
        <v>1501</v>
      </c>
      <c r="H2322" t="s">
        <v>235</v>
      </c>
      <c r="I2322" t="s">
        <v>236</v>
      </c>
      <c r="J2322" t="s">
        <v>63</v>
      </c>
      <c r="K2322" t="s">
        <v>1404</v>
      </c>
      <c r="L2322" t="s">
        <v>17</v>
      </c>
      <c r="M2322">
        <v>1463356800</v>
      </c>
      <c r="N2322" t="s">
        <v>1628</v>
      </c>
      <c r="O2322" t="s">
        <v>1628</v>
      </c>
      <c r="P2322" t="s">
        <v>1628</v>
      </c>
      <c r="Q2322">
        <f>LEN(AMAZON_FASHION_5__2[[#This Row],[reviewText]])</f>
        <v>76</v>
      </c>
      <c r="R2322" t="str">
        <f>IF(AMAZON_FASHION_5__2[[#This Row],[overall]]&gt;=4,"Positive",IF(AMAZON_FASHION_5__2[[#This Row],[overall]]&lt;=2,"Negative","Neutral"))</f>
        <v>Positive</v>
      </c>
      <c r="S23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23" spans="1:19" x14ac:dyDescent="0.25">
      <c r="A2323">
        <v>5</v>
      </c>
      <c r="B2323" t="b">
        <v>1</v>
      </c>
      <c r="C2323" s="1">
        <v>42505</v>
      </c>
      <c r="D2323">
        <f>YEAR(AMAZON_FASHION_5__2[[#This Row],[reviewDate]])</f>
        <v>2016</v>
      </c>
      <c r="E2323" s="1" t="str">
        <f>TEXT(AMAZON_FASHION_5__2[[#This Row],[reviewDate]], "mmmm")</f>
        <v>May</v>
      </c>
      <c r="F2323" t="s">
        <v>1405</v>
      </c>
      <c r="G2323" t="s">
        <v>1501</v>
      </c>
      <c r="H2323" t="s">
        <v>201</v>
      </c>
      <c r="I2323" t="s">
        <v>493</v>
      </c>
      <c r="J2323" t="s">
        <v>1406</v>
      </c>
      <c r="K2323" t="s">
        <v>1407</v>
      </c>
      <c r="L2323" t="s">
        <v>1408</v>
      </c>
      <c r="M2323">
        <v>1463270400</v>
      </c>
      <c r="N2323" t="s">
        <v>1628</v>
      </c>
      <c r="O2323" t="s">
        <v>1628</v>
      </c>
      <c r="P2323" t="s">
        <v>1628</v>
      </c>
      <c r="Q2323">
        <f>LEN(AMAZON_FASHION_5__2[[#This Row],[reviewText]])</f>
        <v>27</v>
      </c>
      <c r="R2323" t="str">
        <f>IF(AMAZON_FASHION_5__2[[#This Row],[overall]]&gt;=4,"Positive",IF(AMAZON_FASHION_5__2[[#This Row],[overall]]&lt;=2,"Negative","Neutral"))</f>
        <v>Positive</v>
      </c>
      <c r="S23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24" spans="1:19" x14ac:dyDescent="0.25">
      <c r="A2324">
        <v>4</v>
      </c>
      <c r="B2324" t="b">
        <v>1</v>
      </c>
      <c r="C2324" s="1">
        <v>42501</v>
      </c>
      <c r="D2324">
        <f>YEAR(AMAZON_FASHION_5__2[[#This Row],[reviewDate]])</f>
        <v>2016</v>
      </c>
      <c r="E2324" s="1" t="str">
        <f>TEXT(AMAZON_FASHION_5__2[[#This Row],[reviewDate]], "mmmm")</f>
        <v>May</v>
      </c>
      <c r="F2324" t="s">
        <v>1409</v>
      </c>
      <c r="G2324" t="s">
        <v>1501</v>
      </c>
      <c r="H2324" t="s">
        <v>1410</v>
      </c>
      <c r="I2324" t="s">
        <v>1411</v>
      </c>
      <c r="J2324" t="s">
        <v>1412</v>
      </c>
      <c r="K2324" t="s">
        <v>1413</v>
      </c>
      <c r="L2324" t="s">
        <v>1414</v>
      </c>
      <c r="M2324">
        <v>1462924800</v>
      </c>
      <c r="N2324" t="s">
        <v>1628</v>
      </c>
      <c r="O2324" t="s">
        <v>1628</v>
      </c>
      <c r="P2324" t="s">
        <v>1628</v>
      </c>
      <c r="Q2324">
        <f>LEN(AMAZON_FASHION_5__2[[#This Row],[reviewText]])</f>
        <v>468</v>
      </c>
      <c r="R2324" t="str">
        <f>IF(AMAZON_FASHION_5__2[[#This Row],[overall]]&gt;=4,"Positive",IF(AMAZON_FASHION_5__2[[#This Row],[overall]]&lt;=2,"Negative","Neutral"))</f>
        <v>Positive</v>
      </c>
      <c r="S23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25" spans="1:19" x14ac:dyDescent="0.25">
      <c r="A2325">
        <v>5</v>
      </c>
      <c r="B2325" t="b">
        <v>0</v>
      </c>
      <c r="C2325" s="1">
        <v>42500</v>
      </c>
      <c r="D2325">
        <f>YEAR(AMAZON_FASHION_5__2[[#This Row],[reviewDate]])</f>
        <v>2016</v>
      </c>
      <c r="E2325" s="1" t="str">
        <f>TEXT(AMAZON_FASHION_5__2[[#This Row],[reviewDate]], "mmmm")</f>
        <v>May</v>
      </c>
      <c r="F2325" t="s">
        <v>1415</v>
      </c>
      <c r="G2325" t="s">
        <v>1501</v>
      </c>
      <c r="H2325" t="s">
        <v>210</v>
      </c>
      <c r="I2325" t="s">
        <v>211</v>
      </c>
      <c r="J2325" t="s">
        <v>63</v>
      </c>
      <c r="K2325" t="s">
        <v>1416</v>
      </c>
      <c r="L2325" t="s">
        <v>735</v>
      </c>
      <c r="M2325">
        <v>1462838400</v>
      </c>
      <c r="N2325" t="s">
        <v>1628</v>
      </c>
      <c r="O2325" t="s">
        <v>1628</v>
      </c>
      <c r="P2325" t="s">
        <v>1628</v>
      </c>
      <c r="Q2325">
        <f>LEN(AMAZON_FASHION_5__2[[#This Row],[reviewText]])</f>
        <v>166</v>
      </c>
      <c r="R2325" t="str">
        <f>IF(AMAZON_FASHION_5__2[[#This Row],[overall]]&gt;=4,"Positive",IF(AMAZON_FASHION_5__2[[#This Row],[overall]]&lt;=2,"Negative","Neutral"))</f>
        <v>Positive</v>
      </c>
      <c r="S23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26" spans="1:19" x14ac:dyDescent="0.25">
      <c r="A2326">
        <v>5</v>
      </c>
      <c r="B2326" t="b">
        <v>1</v>
      </c>
      <c r="C2326" s="1">
        <v>42499</v>
      </c>
      <c r="D2326">
        <f>YEAR(AMAZON_FASHION_5__2[[#This Row],[reviewDate]])</f>
        <v>2016</v>
      </c>
      <c r="E2326" s="1" t="str">
        <f>TEXT(AMAZON_FASHION_5__2[[#This Row],[reviewDate]], "mmmm")</f>
        <v>May</v>
      </c>
      <c r="F2326" t="s">
        <v>1417</v>
      </c>
      <c r="G2326" t="s">
        <v>1501</v>
      </c>
      <c r="H2326" t="s">
        <v>230</v>
      </c>
      <c r="I2326" t="s">
        <v>198</v>
      </c>
      <c r="J2326" t="s">
        <v>1418</v>
      </c>
      <c r="K2326" t="s">
        <v>1419</v>
      </c>
      <c r="L2326" t="s">
        <v>17</v>
      </c>
      <c r="M2326">
        <v>1462752000</v>
      </c>
      <c r="N2326" t="s">
        <v>1628</v>
      </c>
      <c r="O2326" t="s">
        <v>1628</v>
      </c>
      <c r="P2326" t="s">
        <v>1628</v>
      </c>
      <c r="Q2326">
        <f>LEN(AMAZON_FASHION_5__2[[#This Row],[reviewText]])</f>
        <v>33</v>
      </c>
      <c r="R2326" t="str">
        <f>IF(AMAZON_FASHION_5__2[[#This Row],[overall]]&gt;=4,"Positive",IF(AMAZON_FASHION_5__2[[#This Row],[overall]]&lt;=2,"Negative","Neutral"))</f>
        <v>Positive</v>
      </c>
      <c r="S23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27" spans="1:19" x14ac:dyDescent="0.25">
      <c r="A2327">
        <v>5</v>
      </c>
      <c r="B2327" t="b">
        <v>1</v>
      </c>
      <c r="C2327" s="1">
        <v>42498</v>
      </c>
      <c r="D2327">
        <f>YEAR(AMAZON_FASHION_5__2[[#This Row],[reviewDate]])</f>
        <v>2016</v>
      </c>
      <c r="E2327" s="1" t="str">
        <f>TEXT(AMAZON_FASHION_5__2[[#This Row],[reviewDate]], "mmmm")</f>
        <v>May</v>
      </c>
      <c r="F2327" t="s">
        <v>1420</v>
      </c>
      <c r="G2327" t="s">
        <v>1501</v>
      </c>
      <c r="H2327" t="s">
        <v>320</v>
      </c>
      <c r="I2327" t="s">
        <v>198</v>
      </c>
      <c r="J2327" t="s">
        <v>1421</v>
      </c>
      <c r="K2327" t="s">
        <v>1422</v>
      </c>
      <c r="L2327" t="s">
        <v>1423</v>
      </c>
      <c r="M2327">
        <v>1462665600</v>
      </c>
      <c r="N2327" t="s">
        <v>1628</v>
      </c>
      <c r="O2327" t="s">
        <v>1628</v>
      </c>
      <c r="P2327" t="s">
        <v>1628</v>
      </c>
      <c r="Q2327">
        <f>LEN(AMAZON_FASHION_5__2[[#This Row],[reviewText]])</f>
        <v>62</v>
      </c>
      <c r="R2327" t="str">
        <f>IF(AMAZON_FASHION_5__2[[#This Row],[overall]]&gt;=4,"Positive",IF(AMAZON_FASHION_5__2[[#This Row],[overall]]&lt;=2,"Negative","Neutral"))</f>
        <v>Positive</v>
      </c>
      <c r="S23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28" spans="1:19" x14ac:dyDescent="0.25">
      <c r="A2328">
        <v>4</v>
      </c>
      <c r="B2328" t="b">
        <v>1</v>
      </c>
      <c r="C2328" s="1">
        <v>42497</v>
      </c>
      <c r="D2328">
        <f>YEAR(AMAZON_FASHION_5__2[[#This Row],[reviewDate]])</f>
        <v>2016</v>
      </c>
      <c r="E2328" s="1" t="str">
        <f>TEXT(AMAZON_FASHION_5__2[[#This Row],[reviewDate]], "mmmm")</f>
        <v>May</v>
      </c>
      <c r="F2328" t="s">
        <v>1424</v>
      </c>
      <c r="G2328" t="s">
        <v>1501</v>
      </c>
      <c r="H2328" t="s">
        <v>1425</v>
      </c>
      <c r="I2328" t="s">
        <v>217</v>
      </c>
      <c r="J2328" t="s">
        <v>1426</v>
      </c>
      <c r="K2328" t="s">
        <v>1427</v>
      </c>
      <c r="L2328" t="s">
        <v>103</v>
      </c>
      <c r="M2328">
        <v>1462579200</v>
      </c>
      <c r="N2328" t="s">
        <v>1628</v>
      </c>
      <c r="O2328" t="s">
        <v>1628</v>
      </c>
      <c r="P2328" t="s">
        <v>1628</v>
      </c>
      <c r="Q2328">
        <f>LEN(AMAZON_FASHION_5__2[[#This Row],[reviewText]])</f>
        <v>25</v>
      </c>
      <c r="R2328" t="str">
        <f>IF(AMAZON_FASHION_5__2[[#This Row],[overall]]&gt;=4,"Positive",IF(AMAZON_FASHION_5__2[[#This Row],[overall]]&lt;=2,"Negative","Neutral"))</f>
        <v>Positive</v>
      </c>
      <c r="S23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29" spans="1:19" x14ac:dyDescent="0.25">
      <c r="A2329">
        <v>4</v>
      </c>
      <c r="B2329" t="b">
        <v>1</v>
      </c>
      <c r="C2329" s="1">
        <v>42494</v>
      </c>
      <c r="D2329">
        <f>YEAR(AMAZON_FASHION_5__2[[#This Row],[reviewDate]])</f>
        <v>2016</v>
      </c>
      <c r="E2329" s="1" t="str">
        <f>TEXT(AMAZON_FASHION_5__2[[#This Row],[reviewDate]], "mmmm")</f>
        <v>May</v>
      </c>
      <c r="F2329" t="s">
        <v>1428</v>
      </c>
      <c r="G2329" t="s">
        <v>1501</v>
      </c>
      <c r="H2329" t="s">
        <v>230</v>
      </c>
      <c r="I2329" t="s">
        <v>198</v>
      </c>
      <c r="J2329" t="s">
        <v>1429</v>
      </c>
      <c r="K2329" t="s">
        <v>1430</v>
      </c>
      <c r="L2329" t="s">
        <v>1376</v>
      </c>
      <c r="M2329">
        <v>1462320000</v>
      </c>
      <c r="N2329" t="s">
        <v>1628</v>
      </c>
      <c r="O2329" t="s">
        <v>1628</v>
      </c>
      <c r="P2329">
        <v>20</v>
      </c>
      <c r="Q2329">
        <f>LEN(AMAZON_FASHION_5__2[[#This Row],[reviewText]])</f>
        <v>1368</v>
      </c>
      <c r="R2329" t="str">
        <f>IF(AMAZON_FASHION_5__2[[#This Row],[overall]]&gt;=4,"Positive",IF(AMAZON_FASHION_5__2[[#This Row],[overall]]&lt;=2,"Negative","Neutral"))</f>
        <v>Positive</v>
      </c>
      <c r="S23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30" spans="1:19" x14ac:dyDescent="0.25">
      <c r="A2330">
        <v>5</v>
      </c>
      <c r="B2330" t="b">
        <v>1</v>
      </c>
      <c r="C2330" s="1">
        <v>42494</v>
      </c>
      <c r="D2330">
        <f>YEAR(AMAZON_FASHION_5__2[[#This Row],[reviewDate]])</f>
        <v>2016</v>
      </c>
      <c r="E2330" s="1" t="str">
        <f>TEXT(AMAZON_FASHION_5__2[[#This Row],[reviewDate]], "mmmm")</f>
        <v>May</v>
      </c>
      <c r="F2330" t="s">
        <v>1431</v>
      </c>
      <c r="G2330" t="s">
        <v>1501</v>
      </c>
      <c r="H2330" t="s">
        <v>1425</v>
      </c>
      <c r="I2330" t="s">
        <v>217</v>
      </c>
      <c r="J2330" t="s">
        <v>1432</v>
      </c>
      <c r="K2330" t="s">
        <v>1433</v>
      </c>
      <c r="L2330" t="s">
        <v>1434</v>
      </c>
      <c r="M2330">
        <v>1462320000</v>
      </c>
      <c r="N2330" t="s">
        <v>1628</v>
      </c>
      <c r="O2330" t="s">
        <v>1628</v>
      </c>
      <c r="P2330" t="s">
        <v>1628</v>
      </c>
      <c r="Q2330">
        <f>LEN(AMAZON_FASHION_5__2[[#This Row],[reviewText]])</f>
        <v>57</v>
      </c>
      <c r="R2330" t="str">
        <f>IF(AMAZON_FASHION_5__2[[#This Row],[overall]]&gt;=4,"Positive",IF(AMAZON_FASHION_5__2[[#This Row],[overall]]&lt;=2,"Negative","Neutral"))</f>
        <v>Positive</v>
      </c>
      <c r="S23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31" spans="1:19" x14ac:dyDescent="0.25">
      <c r="A2331">
        <v>5</v>
      </c>
      <c r="B2331" t="b">
        <v>1</v>
      </c>
      <c r="C2331" s="1">
        <v>42483</v>
      </c>
      <c r="D2331">
        <f>YEAR(AMAZON_FASHION_5__2[[#This Row],[reviewDate]])</f>
        <v>2016</v>
      </c>
      <c r="E2331" s="1" t="str">
        <f>TEXT(AMAZON_FASHION_5__2[[#This Row],[reviewDate]], "mmmm")</f>
        <v>April</v>
      </c>
      <c r="F2331" t="s">
        <v>1435</v>
      </c>
      <c r="G2331" t="s">
        <v>1501</v>
      </c>
      <c r="H2331" t="s">
        <v>205</v>
      </c>
      <c r="I2331" t="s">
        <v>198</v>
      </c>
      <c r="J2331" t="s">
        <v>1436</v>
      </c>
      <c r="K2331" t="s">
        <v>1437</v>
      </c>
      <c r="L2331" t="s">
        <v>17</v>
      </c>
      <c r="M2331">
        <v>1461369600</v>
      </c>
      <c r="N2331" t="s">
        <v>1628</v>
      </c>
      <c r="O2331" t="s">
        <v>1628</v>
      </c>
      <c r="P2331" t="s">
        <v>1628</v>
      </c>
      <c r="Q2331">
        <f>LEN(AMAZON_FASHION_5__2[[#This Row],[reviewText]])</f>
        <v>50</v>
      </c>
      <c r="R2331" t="str">
        <f>IF(AMAZON_FASHION_5__2[[#This Row],[overall]]&gt;=4,"Positive",IF(AMAZON_FASHION_5__2[[#This Row],[overall]]&lt;=2,"Negative","Neutral"))</f>
        <v>Positive</v>
      </c>
      <c r="S23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32" spans="1:19" x14ac:dyDescent="0.25">
      <c r="A2332">
        <v>5</v>
      </c>
      <c r="B2332" t="b">
        <v>1</v>
      </c>
      <c r="C2332" s="1">
        <v>42481</v>
      </c>
      <c r="D2332">
        <f>YEAR(AMAZON_FASHION_5__2[[#This Row],[reviewDate]])</f>
        <v>2016</v>
      </c>
      <c r="E2332" s="1" t="str">
        <f>TEXT(AMAZON_FASHION_5__2[[#This Row],[reviewDate]], "mmmm")</f>
        <v>April</v>
      </c>
      <c r="F2332" t="s">
        <v>1438</v>
      </c>
      <c r="G2332" t="s">
        <v>1501</v>
      </c>
      <c r="H2332" t="s">
        <v>477</v>
      </c>
      <c r="I2332" t="s">
        <v>198</v>
      </c>
      <c r="J2332" t="s">
        <v>1439</v>
      </c>
      <c r="K2332" t="s">
        <v>1440</v>
      </c>
      <c r="L2332" t="s">
        <v>1441</v>
      </c>
      <c r="M2332">
        <v>1461196800</v>
      </c>
      <c r="N2332" t="s">
        <v>1628</v>
      </c>
      <c r="O2332" t="s">
        <v>1628</v>
      </c>
      <c r="P2332">
        <v>3</v>
      </c>
      <c r="Q2332">
        <f>LEN(AMAZON_FASHION_5__2[[#This Row],[reviewText]])</f>
        <v>371</v>
      </c>
      <c r="R2332" t="str">
        <f>IF(AMAZON_FASHION_5__2[[#This Row],[overall]]&gt;=4,"Positive",IF(AMAZON_FASHION_5__2[[#This Row],[overall]]&lt;=2,"Negative","Neutral"))</f>
        <v>Positive</v>
      </c>
      <c r="S23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33" spans="1:19" x14ac:dyDescent="0.25">
      <c r="A2333">
        <v>4</v>
      </c>
      <c r="B2333" t="b">
        <v>1</v>
      </c>
      <c r="C2333" s="1">
        <v>42480</v>
      </c>
      <c r="D2333">
        <f>YEAR(AMAZON_FASHION_5__2[[#This Row],[reviewDate]])</f>
        <v>2016</v>
      </c>
      <c r="E2333" s="1" t="str">
        <f>TEXT(AMAZON_FASHION_5__2[[#This Row],[reviewDate]], "mmmm")</f>
        <v>April</v>
      </c>
      <c r="F2333" t="s">
        <v>1442</v>
      </c>
      <c r="G2333" t="s">
        <v>1501</v>
      </c>
      <c r="H2333" t="s">
        <v>205</v>
      </c>
      <c r="I2333" t="s">
        <v>198</v>
      </c>
      <c r="J2333" t="s">
        <v>63</v>
      </c>
      <c r="K2333" t="s">
        <v>1443</v>
      </c>
      <c r="L2333" t="s">
        <v>103</v>
      </c>
      <c r="M2333">
        <v>1461110400</v>
      </c>
      <c r="N2333" t="s">
        <v>1628</v>
      </c>
      <c r="O2333" t="s">
        <v>1628</v>
      </c>
      <c r="P2333" t="s">
        <v>1628</v>
      </c>
      <c r="Q2333">
        <f>LEN(AMAZON_FASHION_5__2[[#This Row],[reviewText]])</f>
        <v>19</v>
      </c>
      <c r="R2333" t="str">
        <f>IF(AMAZON_FASHION_5__2[[#This Row],[overall]]&gt;=4,"Positive",IF(AMAZON_FASHION_5__2[[#This Row],[overall]]&lt;=2,"Negative","Neutral"))</f>
        <v>Positive</v>
      </c>
      <c r="S23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34" spans="1:19" x14ac:dyDescent="0.25">
      <c r="A2334">
        <v>4</v>
      </c>
      <c r="B2334" t="b">
        <v>1</v>
      </c>
      <c r="C2334" s="1">
        <v>42479</v>
      </c>
      <c r="D2334">
        <f>YEAR(AMAZON_FASHION_5__2[[#This Row],[reviewDate]])</f>
        <v>2016</v>
      </c>
      <c r="E2334" s="1" t="str">
        <f>TEXT(AMAZON_FASHION_5__2[[#This Row],[reviewDate]], "mmmm")</f>
        <v>April</v>
      </c>
      <c r="F2334" t="s">
        <v>195</v>
      </c>
      <c r="G2334" t="s">
        <v>1501</v>
      </c>
      <c r="H2334" t="s">
        <v>197</v>
      </c>
      <c r="I2334" t="s">
        <v>198</v>
      </c>
      <c r="J2334" t="s">
        <v>63</v>
      </c>
      <c r="K2334" t="s">
        <v>199</v>
      </c>
      <c r="L2334" t="s">
        <v>103</v>
      </c>
      <c r="M2334">
        <v>1461024000</v>
      </c>
      <c r="N2334" t="s">
        <v>1628</v>
      </c>
      <c r="O2334" t="s">
        <v>1628</v>
      </c>
      <c r="P2334">
        <v>2</v>
      </c>
      <c r="Q2334">
        <f>LEN(AMAZON_FASHION_5__2[[#This Row],[reviewText]])</f>
        <v>60</v>
      </c>
      <c r="R2334" t="str">
        <f>IF(AMAZON_FASHION_5__2[[#This Row],[overall]]&gt;=4,"Positive",IF(AMAZON_FASHION_5__2[[#This Row],[overall]]&lt;=2,"Negative","Neutral"))</f>
        <v>Positive</v>
      </c>
      <c r="S23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35" spans="1:19" x14ac:dyDescent="0.25">
      <c r="A2335">
        <v>5</v>
      </c>
      <c r="B2335" t="b">
        <v>1</v>
      </c>
      <c r="C2335" s="1">
        <v>42478</v>
      </c>
      <c r="D2335">
        <f>YEAR(AMAZON_FASHION_5__2[[#This Row],[reviewDate]])</f>
        <v>2016</v>
      </c>
      <c r="E2335" s="1" t="str">
        <f>TEXT(AMAZON_FASHION_5__2[[#This Row],[reviewDate]], "mmmm")</f>
        <v>April</v>
      </c>
      <c r="F2335" t="s">
        <v>200</v>
      </c>
      <c r="G2335" t="s">
        <v>1501</v>
      </c>
      <c r="H2335" t="s">
        <v>201</v>
      </c>
      <c r="I2335" t="s">
        <v>198</v>
      </c>
      <c r="J2335" t="s">
        <v>202</v>
      </c>
      <c r="K2335" t="s">
        <v>203</v>
      </c>
      <c r="L2335" t="s">
        <v>17</v>
      </c>
      <c r="M2335">
        <v>1460937600</v>
      </c>
      <c r="N2335" t="s">
        <v>1628</v>
      </c>
      <c r="O2335" t="s">
        <v>1628</v>
      </c>
      <c r="P2335" t="s">
        <v>1628</v>
      </c>
      <c r="Q2335">
        <f>LEN(AMAZON_FASHION_5__2[[#This Row],[reviewText]])</f>
        <v>22</v>
      </c>
      <c r="R2335" t="str">
        <f>IF(AMAZON_FASHION_5__2[[#This Row],[overall]]&gt;=4,"Positive",IF(AMAZON_FASHION_5__2[[#This Row],[overall]]&lt;=2,"Negative","Neutral"))</f>
        <v>Positive</v>
      </c>
      <c r="S23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36" spans="1:19" x14ac:dyDescent="0.25">
      <c r="A2336">
        <v>3</v>
      </c>
      <c r="B2336" t="b">
        <v>1</v>
      </c>
      <c r="C2336" s="1">
        <v>42464</v>
      </c>
      <c r="D2336">
        <f>YEAR(AMAZON_FASHION_5__2[[#This Row],[reviewDate]])</f>
        <v>2016</v>
      </c>
      <c r="E2336" s="1" t="str">
        <f>TEXT(AMAZON_FASHION_5__2[[#This Row],[reviewDate]], "mmmm")</f>
        <v>April</v>
      </c>
      <c r="F2336" t="s">
        <v>204</v>
      </c>
      <c r="G2336" t="s">
        <v>1501</v>
      </c>
      <c r="H2336" t="s">
        <v>205</v>
      </c>
      <c r="I2336" t="s">
        <v>198</v>
      </c>
      <c r="J2336" t="s">
        <v>206</v>
      </c>
      <c r="K2336" t="s">
        <v>207</v>
      </c>
      <c r="L2336" t="s">
        <v>208</v>
      </c>
      <c r="M2336">
        <v>1459728000</v>
      </c>
      <c r="N2336" t="s">
        <v>1628</v>
      </c>
      <c r="O2336" t="s">
        <v>1628</v>
      </c>
      <c r="P2336">
        <v>2</v>
      </c>
      <c r="Q2336">
        <f>LEN(AMAZON_FASHION_5__2[[#This Row],[reviewText]])</f>
        <v>272</v>
      </c>
      <c r="R2336" t="str">
        <f>IF(AMAZON_FASHION_5__2[[#This Row],[overall]]&gt;=4,"Positive",IF(AMAZON_FASHION_5__2[[#This Row],[overall]]&lt;=2,"Negative","Neutral"))</f>
        <v>Neutral</v>
      </c>
      <c r="S23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37" spans="1:19" x14ac:dyDescent="0.25">
      <c r="A2337">
        <v>5</v>
      </c>
      <c r="B2337" t="b">
        <v>1</v>
      </c>
      <c r="C2337" s="1">
        <v>42460</v>
      </c>
      <c r="D2337">
        <f>YEAR(AMAZON_FASHION_5__2[[#This Row],[reviewDate]])</f>
        <v>2016</v>
      </c>
      <c r="E2337" s="1" t="str">
        <f>TEXT(AMAZON_FASHION_5__2[[#This Row],[reviewDate]], "mmmm")</f>
        <v>March</v>
      </c>
      <c r="F2337" t="s">
        <v>209</v>
      </c>
      <c r="G2337" t="s">
        <v>1501</v>
      </c>
      <c r="H2337" t="s">
        <v>210</v>
      </c>
      <c r="I2337" t="s">
        <v>211</v>
      </c>
      <c r="J2337" t="s">
        <v>212</v>
      </c>
      <c r="K2337" t="s">
        <v>213</v>
      </c>
      <c r="L2337" t="s">
        <v>214</v>
      </c>
      <c r="M2337">
        <v>1459382400</v>
      </c>
      <c r="N2337" t="s">
        <v>1628</v>
      </c>
      <c r="O2337" t="s">
        <v>1628</v>
      </c>
      <c r="P2337" t="s">
        <v>1628</v>
      </c>
      <c r="Q2337">
        <f>LEN(AMAZON_FASHION_5__2[[#This Row],[reviewText]])</f>
        <v>123</v>
      </c>
      <c r="R2337" t="str">
        <f>IF(AMAZON_FASHION_5__2[[#This Row],[overall]]&gt;=4,"Positive",IF(AMAZON_FASHION_5__2[[#This Row],[overall]]&lt;=2,"Negative","Neutral"))</f>
        <v>Positive</v>
      </c>
      <c r="S23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38" spans="1:19" x14ac:dyDescent="0.25">
      <c r="A2338">
        <v>5</v>
      </c>
      <c r="B2338" t="b">
        <v>1</v>
      </c>
      <c r="C2338" s="1">
        <v>42457</v>
      </c>
      <c r="D2338">
        <f>YEAR(AMAZON_FASHION_5__2[[#This Row],[reviewDate]])</f>
        <v>2016</v>
      </c>
      <c r="E2338" s="1" t="str">
        <f>TEXT(AMAZON_FASHION_5__2[[#This Row],[reviewDate]], "mmmm")</f>
        <v>March</v>
      </c>
      <c r="F2338" t="s">
        <v>215</v>
      </c>
      <c r="G2338" t="s">
        <v>1501</v>
      </c>
      <c r="H2338" t="s">
        <v>216</v>
      </c>
      <c r="I2338" t="s">
        <v>217</v>
      </c>
      <c r="J2338" t="s">
        <v>218</v>
      </c>
      <c r="K2338" t="s">
        <v>219</v>
      </c>
      <c r="L2338" t="s">
        <v>17</v>
      </c>
      <c r="M2338">
        <v>1459123200</v>
      </c>
      <c r="N2338" t="s">
        <v>1628</v>
      </c>
      <c r="O2338" t="s">
        <v>1628</v>
      </c>
      <c r="P2338" t="s">
        <v>1628</v>
      </c>
      <c r="Q2338">
        <f>LEN(AMAZON_FASHION_5__2[[#This Row],[reviewText]])</f>
        <v>9</v>
      </c>
      <c r="R2338" t="str">
        <f>IF(AMAZON_FASHION_5__2[[#This Row],[overall]]&gt;=4,"Positive",IF(AMAZON_FASHION_5__2[[#This Row],[overall]]&lt;=2,"Negative","Neutral"))</f>
        <v>Positive</v>
      </c>
      <c r="S23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39" spans="1:19" x14ac:dyDescent="0.25">
      <c r="A2339">
        <v>5</v>
      </c>
      <c r="B2339" t="b">
        <v>1</v>
      </c>
      <c r="C2339" s="1">
        <v>43141</v>
      </c>
      <c r="D2339">
        <f>YEAR(AMAZON_FASHION_5__2[[#This Row],[reviewDate]])</f>
        <v>2018</v>
      </c>
      <c r="E2339" s="1" t="str">
        <f>TEXT(AMAZON_FASHION_5__2[[#This Row],[reviewDate]], "mmmm")</f>
        <v>February</v>
      </c>
      <c r="F2339" t="s">
        <v>1505</v>
      </c>
      <c r="G2339" t="s">
        <v>1506</v>
      </c>
      <c r="H2339" t="s">
        <v>1507</v>
      </c>
      <c r="I2339" t="s">
        <v>1508</v>
      </c>
      <c r="J2339" t="s">
        <v>1509</v>
      </c>
      <c r="K2339" t="s">
        <v>1510</v>
      </c>
      <c r="L2339" t="s">
        <v>1511</v>
      </c>
      <c r="M2339">
        <v>1518220800</v>
      </c>
      <c r="N2339" t="s">
        <v>1628</v>
      </c>
      <c r="O2339" t="s">
        <v>1628</v>
      </c>
      <c r="P2339" t="s">
        <v>1628</v>
      </c>
      <c r="Q2339">
        <f>LEN(AMAZON_FASHION_5__2[[#This Row],[reviewText]])</f>
        <v>339</v>
      </c>
      <c r="R2339" t="str">
        <f>IF(AMAZON_FASHION_5__2[[#This Row],[overall]]&gt;=4,"Positive",IF(AMAZON_FASHION_5__2[[#This Row],[overall]]&lt;=2,"Negative","Neutral"))</f>
        <v>Positive</v>
      </c>
      <c r="S23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40" spans="1:19" x14ac:dyDescent="0.25">
      <c r="A2340">
        <v>5</v>
      </c>
      <c r="B2340" t="b">
        <v>1</v>
      </c>
      <c r="C2340" s="1">
        <v>43136</v>
      </c>
      <c r="D2340">
        <f>YEAR(AMAZON_FASHION_5__2[[#This Row],[reviewDate]])</f>
        <v>2018</v>
      </c>
      <c r="E2340" s="1" t="str">
        <f>TEXT(AMAZON_FASHION_5__2[[#This Row],[reviewDate]], "mmmm")</f>
        <v>February</v>
      </c>
      <c r="F2340" t="s">
        <v>1505</v>
      </c>
      <c r="G2340" t="s">
        <v>1506</v>
      </c>
      <c r="H2340" t="s">
        <v>1507</v>
      </c>
      <c r="I2340" t="s">
        <v>1512</v>
      </c>
      <c r="J2340" t="s">
        <v>1509</v>
      </c>
      <c r="K2340" t="s">
        <v>1513</v>
      </c>
      <c r="L2340" t="s">
        <v>1514</v>
      </c>
      <c r="M2340">
        <v>1517788800</v>
      </c>
      <c r="N2340" t="s">
        <v>1628</v>
      </c>
      <c r="O2340" t="s">
        <v>1628</v>
      </c>
      <c r="P2340" t="s">
        <v>1628</v>
      </c>
      <c r="Q2340">
        <f>LEN(AMAZON_FASHION_5__2[[#This Row],[reviewText]])</f>
        <v>111</v>
      </c>
      <c r="R2340" t="str">
        <f>IF(AMAZON_FASHION_5__2[[#This Row],[overall]]&gt;=4,"Positive",IF(AMAZON_FASHION_5__2[[#This Row],[overall]]&lt;=2,"Negative","Neutral"))</f>
        <v>Positive</v>
      </c>
      <c r="S23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41" spans="1:19" x14ac:dyDescent="0.25">
      <c r="A2341">
        <v>5</v>
      </c>
      <c r="B2341" t="b">
        <v>1</v>
      </c>
      <c r="C2341" s="1">
        <v>42876</v>
      </c>
      <c r="D2341">
        <f>YEAR(AMAZON_FASHION_5__2[[#This Row],[reviewDate]])</f>
        <v>2017</v>
      </c>
      <c r="E2341" s="1" t="str">
        <f>TEXT(AMAZON_FASHION_5__2[[#This Row],[reviewDate]], "mmmm")</f>
        <v>May</v>
      </c>
      <c r="F2341" t="s">
        <v>1515</v>
      </c>
      <c r="G2341" t="s">
        <v>1506</v>
      </c>
      <c r="H2341" t="s">
        <v>1507</v>
      </c>
      <c r="I2341" t="s">
        <v>1516</v>
      </c>
      <c r="J2341" t="s">
        <v>63</v>
      </c>
      <c r="K2341" t="s">
        <v>1517</v>
      </c>
      <c r="L2341" t="s">
        <v>17</v>
      </c>
      <c r="M2341">
        <v>1495324800</v>
      </c>
      <c r="N2341" t="s">
        <v>1628</v>
      </c>
      <c r="O2341" t="s">
        <v>1628</v>
      </c>
      <c r="P2341" t="s">
        <v>1628</v>
      </c>
      <c r="Q2341">
        <f>LEN(AMAZON_FASHION_5__2[[#This Row],[reviewText]])</f>
        <v>29</v>
      </c>
      <c r="R2341" t="str">
        <f>IF(AMAZON_FASHION_5__2[[#This Row],[overall]]&gt;=4,"Positive",IF(AMAZON_FASHION_5__2[[#This Row],[overall]]&lt;=2,"Negative","Neutral"))</f>
        <v>Positive</v>
      </c>
      <c r="S23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42" spans="1:19" x14ac:dyDescent="0.25">
      <c r="A2342">
        <v>5</v>
      </c>
      <c r="B2342" t="b">
        <v>1</v>
      </c>
      <c r="C2342" s="1">
        <v>42876</v>
      </c>
      <c r="D2342">
        <f>YEAR(AMAZON_FASHION_5__2[[#This Row],[reviewDate]])</f>
        <v>2017</v>
      </c>
      <c r="E2342" s="1" t="str">
        <f>TEXT(AMAZON_FASHION_5__2[[#This Row],[reviewDate]], "mmmm")</f>
        <v>May</v>
      </c>
      <c r="F2342" t="s">
        <v>1515</v>
      </c>
      <c r="G2342" t="s">
        <v>1506</v>
      </c>
      <c r="H2342" t="s">
        <v>1518</v>
      </c>
      <c r="I2342" t="s">
        <v>1519</v>
      </c>
      <c r="J2342" t="s">
        <v>63</v>
      </c>
      <c r="K2342" t="s">
        <v>1520</v>
      </c>
      <c r="L2342" t="s">
        <v>17</v>
      </c>
      <c r="M2342">
        <v>1495324800</v>
      </c>
      <c r="N2342" t="s">
        <v>1628</v>
      </c>
      <c r="O2342" t="s">
        <v>1628</v>
      </c>
      <c r="P2342" t="s">
        <v>1628</v>
      </c>
      <c r="Q2342">
        <f>LEN(AMAZON_FASHION_5__2[[#This Row],[reviewText]])</f>
        <v>26</v>
      </c>
      <c r="R2342" t="str">
        <f>IF(AMAZON_FASHION_5__2[[#This Row],[overall]]&gt;=4,"Positive",IF(AMAZON_FASHION_5__2[[#This Row],[overall]]&lt;=2,"Negative","Neutral"))</f>
        <v>Positive</v>
      </c>
      <c r="S23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43" spans="1:19" x14ac:dyDescent="0.25">
      <c r="A2343">
        <v>5</v>
      </c>
      <c r="B2343" t="b">
        <v>1</v>
      </c>
      <c r="C2343" s="1">
        <v>42870</v>
      </c>
      <c r="D2343">
        <f>YEAR(AMAZON_FASHION_5__2[[#This Row],[reviewDate]])</f>
        <v>2017</v>
      </c>
      <c r="E2343" s="1" t="str">
        <f>TEXT(AMAZON_FASHION_5__2[[#This Row],[reviewDate]], "mmmm")</f>
        <v>May</v>
      </c>
      <c r="F2343" t="s">
        <v>1515</v>
      </c>
      <c r="G2343" t="s">
        <v>1506</v>
      </c>
      <c r="H2343" t="s">
        <v>1521</v>
      </c>
      <c r="I2343" t="s">
        <v>1512</v>
      </c>
      <c r="J2343" t="s">
        <v>63</v>
      </c>
      <c r="K2343" t="s">
        <v>1522</v>
      </c>
      <c r="L2343" t="s">
        <v>17</v>
      </c>
      <c r="M2343">
        <v>1494806400</v>
      </c>
      <c r="N2343" t="s">
        <v>1628</v>
      </c>
      <c r="O2343" t="s">
        <v>1628</v>
      </c>
      <c r="P2343" t="s">
        <v>1628</v>
      </c>
      <c r="Q2343">
        <f>LEN(AMAZON_FASHION_5__2[[#This Row],[reviewText]])</f>
        <v>30</v>
      </c>
      <c r="R2343" t="str">
        <f>IF(AMAZON_FASHION_5__2[[#This Row],[overall]]&gt;=4,"Positive",IF(AMAZON_FASHION_5__2[[#This Row],[overall]]&lt;=2,"Negative","Neutral"))</f>
        <v>Positive</v>
      </c>
      <c r="S23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44" spans="1:19" x14ac:dyDescent="0.25">
      <c r="A2344">
        <v>5</v>
      </c>
      <c r="B2344" t="b">
        <v>1</v>
      </c>
      <c r="C2344" s="1">
        <v>42838</v>
      </c>
      <c r="D2344">
        <f>YEAR(AMAZON_FASHION_5__2[[#This Row],[reviewDate]])</f>
        <v>2017</v>
      </c>
      <c r="E2344" s="1" t="str">
        <f>TEXT(AMAZON_FASHION_5__2[[#This Row],[reviewDate]], "mmmm")</f>
        <v>April</v>
      </c>
      <c r="F2344" t="s">
        <v>1523</v>
      </c>
      <c r="G2344" t="s">
        <v>1506</v>
      </c>
      <c r="H2344" t="s">
        <v>1524</v>
      </c>
      <c r="I2344" t="s">
        <v>1516</v>
      </c>
      <c r="J2344" t="s">
        <v>1525</v>
      </c>
      <c r="K2344" t="s">
        <v>1526</v>
      </c>
      <c r="L2344" t="s">
        <v>17</v>
      </c>
      <c r="M2344">
        <v>1492041600</v>
      </c>
      <c r="N2344" t="s">
        <v>1628</v>
      </c>
      <c r="O2344" t="s">
        <v>1628</v>
      </c>
      <c r="P2344" t="s">
        <v>1628</v>
      </c>
      <c r="Q2344">
        <f>LEN(AMAZON_FASHION_5__2[[#This Row],[reviewText]])</f>
        <v>11</v>
      </c>
      <c r="R2344" t="str">
        <f>IF(AMAZON_FASHION_5__2[[#This Row],[overall]]&gt;=4,"Positive",IF(AMAZON_FASHION_5__2[[#This Row],[overall]]&lt;=2,"Negative","Neutral"))</f>
        <v>Positive</v>
      </c>
      <c r="S23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45" spans="1:19" x14ac:dyDescent="0.25">
      <c r="A2345">
        <v>5</v>
      </c>
      <c r="B2345" t="b">
        <v>1</v>
      </c>
      <c r="C2345" s="1">
        <v>42838</v>
      </c>
      <c r="D2345">
        <f>YEAR(AMAZON_FASHION_5__2[[#This Row],[reviewDate]])</f>
        <v>2017</v>
      </c>
      <c r="E2345" s="1" t="str">
        <f>TEXT(AMAZON_FASHION_5__2[[#This Row],[reviewDate]], "mmmm")</f>
        <v>April</v>
      </c>
      <c r="F2345" t="s">
        <v>1523</v>
      </c>
      <c r="G2345" t="s">
        <v>1506</v>
      </c>
      <c r="H2345" t="s">
        <v>1527</v>
      </c>
      <c r="I2345" t="s">
        <v>1508</v>
      </c>
      <c r="J2345" t="s">
        <v>1525</v>
      </c>
      <c r="K2345" t="s">
        <v>1528</v>
      </c>
      <c r="L2345" t="s">
        <v>17</v>
      </c>
      <c r="M2345">
        <v>1492041600</v>
      </c>
      <c r="N2345" t="s">
        <v>1628</v>
      </c>
      <c r="O2345" t="s">
        <v>1628</v>
      </c>
      <c r="P2345" t="s">
        <v>1628</v>
      </c>
      <c r="Q2345">
        <f>LEN(AMAZON_FASHION_5__2[[#This Row],[reviewText]])</f>
        <v>3</v>
      </c>
      <c r="R2345" t="str">
        <f>IF(AMAZON_FASHION_5__2[[#This Row],[overall]]&gt;=4,"Positive",IF(AMAZON_FASHION_5__2[[#This Row],[overall]]&lt;=2,"Negative","Neutral"))</f>
        <v>Positive</v>
      </c>
      <c r="S23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46" spans="1:19" x14ac:dyDescent="0.25">
      <c r="A2346">
        <v>5</v>
      </c>
      <c r="B2346" t="b">
        <v>1</v>
      </c>
      <c r="C2346" s="1">
        <v>42838</v>
      </c>
      <c r="D2346">
        <f>YEAR(AMAZON_FASHION_5__2[[#This Row],[reviewDate]])</f>
        <v>2017</v>
      </c>
      <c r="E2346" s="1" t="str">
        <f>TEXT(AMAZON_FASHION_5__2[[#This Row],[reviewDate]], "mmmm")</f>
        <v>April</v>
      </c>
      <c r="F2346" t="s">
        <v>1523</v>
      </c>
      <c r="G2346" t="s">
        <v>1506</v>
      </c>
      <c r="H2346" t="s">
        <v>1529</v>
      </c>
      <c r="I2346" t="s">
        <v>1512</v>
      </c>
      <c r="J2346" t="s">
        <v>1525</v>
      </c>
      <c r="K2346" t="s">
        <v>638</v>
      </c>
      <c r="L2346" t="s">
        <v>17</v>
      </c>
      <c r="M2346">
        <v>1492041600</v>
      </c>
      <c r="N2346" t="s">
        <v>1628</v>
      </c>
      <c r="O2346" t="s">
        <v>1628</v>
      </c>
      <c r="P2346" t="s">
        <v>1628</v>
      </c>
      <c r="Q2346">
        <f>LEN(AMAZON_FASHION_5__2[[#This Row],[reviewText]])</f>
        <v>7</v>
      </c>
      <c r="R2346" t="str">
        <f>IF(AMAZON_FASHION_5__2[[#This Row],[overall]]&gt;=4,"Positive",IF(AMAZON_FASHION_5__2[[#This Row],[overall]]&lt;=2,"Negative","Neutral"))</f>
        <v>Positive</v>
      </c>
      <c r="S23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47" spans="1:19" x14ac:dyDescent="0.25">
      <c r="A2347">
        <v>4</v>
      </c>
      <c r="B2347" t="b">
        <v>1</v>
      </c>
      <c r="C2347" s="1">
        <v>41987</v>
      </c>
      <c r="D2347">
        <f>YEAR(AMAZON_FASHION_5__2[[#This Row],[reviewDate]])</f>
        <v>2014</v>
      </c>
      <c r="E2347" s="1" t="str">
        <f>TEXT(AMAZON_FASHION_5__2[[#This Row],[reviewDate]], "mmmm")</f>
        <v>December</v>
      </c>
      <c r="F2347" t="s">
        <v>179</v>
      </c>
      <c r="G2347" t="s">
        <v>1530</v>
      </c>
      <c r="H2347" t="s">
        <v>61</v>
      </c>
      <c r="I2347" t="s">
        <v>1531</v>
      </c>
      <c r="J2347" t="s">
        <v>181</v>
      </c>
      <c r="K2347" t="s">
        <v>1532</v>
      </c>
      <c r="L2347" t="s">
        <v>103</v>
      </c>
      <c r="M2347">
        <v>1418515200</v>
      </c>
      <c r="N2347" t="s">
        <v>1628</v>
      </c>
      <c r="O2347" t="s">
        <v>1628</v>
      </c>
      <c r="P2347" t="s">
        <v>1628</v>
      </c>
      <c r="Q2347">
        <f>LEN(AMAZON_FASHION_5__2[[#This Row],[reviewText]])</f>
        <v>9</v>
      </c>
      <c r="R2347" t="str">
        <f>IF(AMAZON_FASHION_5__2[[#This Row],[overall]]&gt;=4,"Positive",IF(AMAZON_FASHION_5__2[[#This Row],[overall]]&lt;=2,"Negative","Neutral"))</f>
        <v>Positive</v>
      </c>
      <c r="S23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48" spans="1:19" x14ac:dyDescent="0.25">
      <c r="A2348">
        <v>5</v>
      </c>
      <c r="B2348" t="b">
        <v>1</v>
      </c>
      <c r="C2348" s="1">
        <v>43171</v>
      </c>
      <c r="D2348">
        <f>YEAR(AMAZON_FASHION_5__2[[#This Row],[reviewDate]])</f>
        <v>2018</v>
      </c>
      <c r="E2348" s="1" t="str">
        <f>TEXT(AMAZON_FASHION_5__2[[#This Row],[reviewDate]], "mmmm")</f>
        <v>March</v>
      </c>
      <c r="F2348" t="s">
        <v>59</v>
      </c>
      <c r="G2348" t="s">
        <v>1533</v>
      </c>
      <c r="H2348" t="s">
        <v>108</v>
      </c>
      <c r="I2348" t="s">
        <v>1534</v>
      </c>
      <c r="J2348" t="s">
        <v>63</v>
      </c>
      <c r="K2348" t="s">
        <v>1535</v>
      </c>
      <c r="L2348" t="s">
        <v>1536</v>
      </c>
      <c r="M2348">
        <v>1520812800</v>
      </c>
      <c r="N2348" t="s">
        <v>1628</v>
      </c>
      <c r="O2348" t="s">
        <v>1628</v>
      </c>
      <c r="P2348" t="s">
        <v>1628</v>
      </c>
      <c r="Q2348">
        <f>LEN(AMAZON_FASHION_5__2[[#This Row],[reviewText]])</f>
        <v>14</v>
      </c>
      <c r="R2348" t="str">
        <f>IF(AMAZON_FASHION_5__2[[#This Row],[overall]]&gt;=4,"Positive",IF(AMAZON_FASHION_5__2[[#This Row],[overall]]&lt;=2,"Negative","Neutral"))</f>
        <v>Positive</v>
      </c>
      <c r="S23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49" spans="1:19" x14ac:dyDescent="0.25">
      <c r="A2349">
        <v>5</v>
      </c>
      <c r="B2349" t="b">
        <v>0</v>
      </c>
      <c r="C2349" s="1">
        <v>42941</v>
      </c>
      <c r="D2349">
        <f>YEAR(AMAZON_FASHION_5__2[[#This Row],[reviewDate]])</f>
        <v>2017</v>
      </c>
      <c r="E2349" s="1" t="str">
        <f>TEXT(AMAZON_FASHION_5__2[[#This Row],[reviewDate]], "mmmm")</f>
        <v>July</v>
      </c>
      <c r="F2349" t="s">
        <v>327</v>
      </c>
      <c r="G2349" t="s">
        <v>1533</v>
      </c>
      <c r="H2349" t="s">
        <v>80</v>
      </c>
      <c r="I2349" t="s">
        <v>99</v>
      </c>
      <c r="J2349" t="s">
        <v>328</v>
      </c>
      <c r="K2349" t="s">
        <v>1537</v>
      </c>
      <c r="L2349" t="s">
        <v>1538</v>
      </c>
      <c r="M2349">
        <v>1500940800</v>
      </c>
      <c r="N2349" t="s">
        <v>1628</v>
      </c>
      <c r="O2349" t="s">
        <v>1628</v>
      </c>
      <c r="P2349" t="s">
        <v>1628</v>
      </c>
      <c r="Q2349">
        <f>LEN(AMAZON_FASHION_5__2[[#This Row],[reviewText]])</f>
        <v>133</v>
      </c>
      <c r="R2349" t="str">
        <f>IF(AMAZON_FASHION_5__2[[#This Row],[overall]]&gt;=4,"Positive",IF(AMAZON_FASHION_5__2[[#This Row],[overall]]&lt;=2,"Negative","Neutral"))</f>
        <v>Positive</v>
      </c>
      <c r="S23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50" spans="1:19" x14ac:dyDescent="0.25">
      <c r="A2350">
        <v>3</v>
      </c>
      <c r="B2350" t="b">
        <v>1</v>
      </c>
      <c r="C2350" s="1">
        <v>42414</v>
      </c>
      <c r="D2350">
        <f>YEAR(AMAZON_FASHION_5__2[[#This Row],[reviewDate]])</f>
        <v>2016</v>
      </c>
      <c r="E2350" s="1" t="str">
        <f>TEXT(AMAZON_FASHION_5__2[[#This Row],[reviewDate]], "mmmm")</f>
        <v>February</v>
      </c>
      <c r="F2350" t="s">
        <v>229</v>
      </c>
      <c r="G2350" t="s">
        <v>1533</v>
      </c>
      <c r="H2350" t="s">
        <v>80</v>
      </c>
      <c r="I2350" t="s">
        <v>1539</v>
      </c>
      <c r="J2350" t="s">
        <v>231</v>
      </c>
      <c r="K2350" t="s">
        <v>1540</v>
      </c>
      <c r="L2350" t="s">
        <v>1541</v>
      </c>
      <c r="M2350">
        <v>1455408000</v>
      </c>
      <c r="N2350" t="s">
        <v>1628</v>
      </c>
      <c r="O2350" t="s">
        <v>1628</v>
      </c>
      <c r="P2350" t="s">
        <v>1628</v>
      </c>
      <c r="Q2350">
        <f>LEN(AMAZON_FASHION_5__2[[#This Row],[reviewText]])</f>
        <v>207</v>
      </c>
      <c r="R2350" t="str">
        <f>IF(AMAZON_FASHION_5__2[[#This Row],[overall]]&gt;=4,"Positive",IF(AMAZON_FASHION_5__2[[#This Row],[overall]]&lt;=2,"Negative","Neutral"))</f>
        <v>Neutral</v>
      </c>
      <c r="S23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51" spans="1:19" x14ac:dyDescent="0.25">
      <c r="A2351">
        <v>5</v>
      </c>
      <c r="B2351" t="b">
        <v>1</v>
      </c>
      <c r="C2351" s="1">
        <v>42181</v>
      </c>
      <c r="D2351">
        <f>YEAR(AMAZON_FASHION_5__2[[#This Row],[reviewDate]])</f>
        <v>2015</v>
      </c>
      <c r="E2351" s="1" t="str">
        <f>TEXT(AMAZON_FASHION_5__2[[#This Row],[reviewDate]], "mmmm")</f>
        <v>June</v>
      </c>
      <c r="F2351" t="s">
        <v>959</v>
      </c>
      <c r="G2351" t="s">
        <v>1533</v>
      </c>
      <c r="H2351" t="s">
        <v>80</v>
      </c>
      <c r="I2351" t="s">
        <v>1542</v>
      </c>
      <c r="J2351" t="s">
        <v>960</v>
      </c>
      <c r="K2351" t="s">
        <v>1543</v>
      </c>
      <c r="L2351" t="s">
        <v>1544</v>
      </c>
      <c r="M2351">
        <v>1435276800</v>
      </c>
      <c r="N2351" t="s">
        <v>1628</v>
      </c>
      <c r="O2351" t="s">
        <v>1628</v>
      </c>
      <c r="P2351" t="s">
        <v>1628</v>
      </c>
      <c r="Q2351">
        <f>LEN(AMAZON_FASHION_5__2[[#This Row],[reviewText]])</f>
        <v>962</v>
      </c>
      <c r="R2351" t="str">
        <f>IF(AMAZON_FASHION_5__2[[#This Row],[overall]]&gt;=4,"Positive",IF(AMAZON_FASHION_5__2[[#This Row],[overall]]&lt;=2,"Negative","Neutral"))</f>
        <v>Positive</v>
      </c>
      <c r="S23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52" spans="1:19" x14ac:dyDescent="0.25">
      <c r="A2352">
        <v>5</v>
      </c>
      <c r="B2352" t="b">
        <v>1</v>
      </c>
      <c r="C2352" s="1">
        <v>43227</v>
      </c>
      <c r="D2352">
        <f>YEAR(AMAZON_FASHION_5__2[[#This Row],[reviewDate]])</f>
        <v>2018</v>
      </c>
      <c r="E2352" s="1" t="str">
        <f>TEXT(AMAZON_FASHION_5__2[[#This Row],[reviewDate]], "mmmm")</f>
        <v>May</v>
      </c>
      <c r="F2352" t="s">
        <v>189</v>
      </c>
      <c r="G2352" t="s">
        <v>1545</v>
      </c>
      <c r="H2352" t="s">
        <v>1628</v>
      </c>
      <c r="I2352" t="s">
        <v>1546</v>
      </c>
      <c r="J2352" t="s">
        <v>191</v>
      </c>
      <c r="K2352" t="s">
        <v>1547</v>
      </c>
      <c r="L2352" t="s">
        <v>1548</v>
      </c>
      <c r="M2352">
        <v>1525651200</v>
      </c>
      <c r="N2352" t="s">
        <v>1628</v>
      </c>
      <c r="O2352" t="s">
        <v>1628</v>
      </c>
      <c r="P2352" t="s">
        <v>1628</v>
      </c>
      <c r="Q2352">
        <f>LEN(AMAZON_FASHION_5__2[[#This Row],[reviewText]])</f>
        <v>72</v>
      </c>
      <c r="R2352" t="str">
        <f>IF(AMAZON_FASHION_5__2[[#This Row],[overall]]&gt;=4,"Positive",IF(AMAZON_FASHION_5__2[[#This Row],[overall]]&lt;=2,"Negative","Neutral"))</f>
        <v>Positive</v>
      </c>
      <c r="S23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53" spans="1:19" x14ac:dyDescent="0.25">
      <c r="A2353">
        <v>4</v>
      </c>
      <c r="B2353" t="b">
        <v>1</v>
      </c>
      <c r="C2353" s="1">
        <v>42004</v>
      </c>
      <c r="D2353">
        <f>YEAR(AMAZON_FASHION_5__2[[#This Row],[reviewDate]])</f>
        <v>2014</v>
      </c>
      <c r="E2353" s="1" t="str">
        <f>TEXT(AMAZON_FASHION_5__2[[#This Row],[reviewDate]], "mmmm")</f>
        <v>December</v>
      </c>
      <c r="F2353" t="s">
        <v>116</v>
      </c>
      <c r="G2353" t="s">
        <v>1549</v>
      </c>
      <c r="H2353" t="s">
        <v>1628</v>
      </c>
      <c r="I2353" t="s">
        <v>1628</v>
      </c>
      <c r="J2353" t="s">
        <v>117</v>
      </c>
      <c r="K2353" t="s">
        <v>1550</v>
      </c>
      <c r="L2353" t="s">
        <v>1551</v>
      </c>
      <c r="M2353">
        <v>1419984000</v>
      </c>
      <c r="N2353" t="s">
        <v>1628</v>
      </c>
      <c r="O2353" t="s">
        <v>1628</v>
      </c>
      <c r="P2353" t="s">
        <v>1628</v>
      </c>
      <c r="Q2353">
        <f>LEN(AMAZON_FASHION_5__2[[#This Row],[reviewText]])</f>
        <v>97</v>
      </c>
      <c r="R2353" t="str">
        <f>IF(AMAZON_FASHION_5__2[[#This Row],[overall]]&gt;=4,"Positive",IF(AMAZON_FASHION_5__2[[#This Row],[overall]]&lt;=2,"Negative","Neutral"))</f>
        <v>Positive</v>
      </c>
      <c r="S23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54" spans="1:19" x14ac:dyDescent="0.25">
      <c r="A2354">
        <v>5</v>
      </c>
      <c r="B2354" t="b">
        <v>1</v>
      </c>
      <c r="C2354" s="1">
        <v>42911</v>
      </c>
      <c r="D2354">
        <f>YEAR(AMAZON_FASHION_5__2[[#This Row],[reviewDate]])</f>
        <v>2017</v>
      </c>
      <c r="E2354" s="1" t="str">
        <f>TEXT(AMAZON_FASHION_5__2[[#This Row],[reviewDate]], "mmmm")</f>
        <v>June</v>
      </c>
      <c r="F2354" t="s">
        <v>171</v>
      </c>
      <c r="G2354" t="s">
        <v>1552</v>
      </c>
      <c r="H2354" t="s">
        <v>88</v>
      </c>
      <c r="I2354" t="s">
        <v>1553</v>
      </c>
      <c r="J2354" t="s">
        <v>174</v>
      </c>
      <c r="K2354" t="s">
        <v>1554</v>
      </c>
      <c r="L2354" t="s">
        <v>505</v>
      </c>
      <c r="M2354">
        <v>1498348800</v>
      </c>
      <c r="N2354" t="s">
        <v>1628</v>
      </c>
      <c r="O2354" t="s">
        <v>1628</v>
      </c>
      <c r="P2354" t="s">
        <v>1628</v>
      </c>
      <c r="Q2354">
        <f>LEN(AMAZON_FASHION_5__2[[#This Row],[reviewText]])</f>
        <v>45</v>
      </c>
      <c r="R2354" t="str">
        <f>IF(AMAZON_FASHION_5__2[[#This Row],[overall]]&gt;=4,"Positive",IF(AMAZON_FASHION_5__2[[#This Row],[overall]]&lt;=2,"Negative","Neutral"))</f>
        <v>Positive</v>
      </c>
      <c r="S23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55" spans="1:19" x14ac:dyDescent="0.25">
      <c r="A2355">
        <v>5</v>
      </c>
      <c r="B2355" t="b">
        <v>1</v>
      </c>
      <c r="C2355" s="1">
        <v>42048</v>
      </c>
      <c r="D2355">
        <f>YEAR(AMAZON_FASHION_5__2[[#This Row],[reviewDate]])</f>
        <v>2015</v>
      </c>
      <c r="E2355" s="1" t="str">
        <f>TEXT(AMAZON_FASHION_5__2[[#This Row],[reviewDate]], "mmmm")</f>
        <v>February</v>
      </c>
      <c r="F2355" t="s">
        <v>1466</v>
      </c>
      <c r="G2355" t="s">
        <v>1552</v>
      </c>
      <c r="H2355" t="s">
        <v>61</v>
      </c>
      <c r="I2355" t="s">
        <v>1555</v>
      </c>
      <c r="J2355" t="s">
        <v>1467</v>
      </c>
      <c r="K2355" t="s">
        <v>1556</v>
      </c>
      <c r="L2355" t="s">
        <v>1557</v>
      </c>
      <c r="M2355">
        <v>1423785600</v>
      </c>
      <c r="N2355" t="s">
        <v>1628</v>
      </c>
      <c r="O2355" t="s">
        <v>1628</v>
      </c>
      <c r="P2355" t="s">
        <v>1628</v>
      </c>
      <c r="Q2355">
        <f>LEN(AMAZON_FASHION_5__2[[#This Row],[reviewText]])</f>
        <v>86</v>
      </c>
      <c r="R2355" t="str">
        <f>IF(AMAZON_FASHION_5__2[[#This Row],[overall]]&gt;=4,"Positive",IF(AMAZON_FASHION_5__2[[#This Row],[overall]]&lt;=2,"Negative","Neutral"))</f>
        <v>Positive</v>
      </c>
      <c r="S23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56" spans="1:19" x14ac:dyDescent="0.25">
      <c r="A2356">
        <v>5</v>
      </c>
      <c r="B2356" t="b">
        <v>1</v>
      </c>
      <c r="C2356" s="1">
        <v>43141</v>
      </c>
      <c r="D2356">
        <f>YEAR(AMAZON_FASHION_5__2[[#This Row],[reviewDate]])</f>
        <v>2018</v>
      </c>
      <c r="E2356" s="1" t="str">
        <f>TEXT(AMAZON_FASHION_5__2[[#This Row],[reviewDate]], "mmmm")</f>
        <v>February</v>
      </c>
      <c r="F2356" t="s">
        <v>1505</v>
      </c>
      <c r="G2356" t="s">
        <v>1558</v>
      </c>
      <c r="H2356" t="s">
        <v>1507</v>
      </c>
      <c r="I2356" t="s">
        <v>1508</v>
      </c>
      <c r="J2356" t="s">
        <v>1509</v>
      </c>
      <c r="K2356" t="s">
        <v>1510</v>
      </c>
      <c r="L2356" t="s">
        <v>1511</v>
      </c>
      <c r="M2356">
        <v>1518220800</v>
      </c>
      <c r="N2356" t="s">
        <v>1628</v>
      </c>
      <c r="O2356" t="s">
        <v>1628</v>
      </c>
      <c r="P2356" t="s">
        <v>1628</v>
      </c>
      <c r="Q2356">
        <f>LEN(AMAZON_FASHION_5__2[[#This Row],[reviewText]])</f>
        <v>339</v>
      </c>
      <c r="R2356" t="str">
        <f>IF(AMAZON_FASHION_5__2[[#This Row],[overall]]&gt;=4,"Positive",IF(AMAZON_FASHION_5__2[[#This Row],[overall]]&lt;=2,"Negative","Neutral"))</f>
        <v>Positive</v>
      </c>
      <c r="S23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57" spans="1:19" x14ac:dyDescent="0.25">
      <c r="A2357">
        <v>5</v>
      </c>
      <c r="B2357" t="b">
        <v>1</v>
      </c>
      <c r="C2357" s="1">
        <v>43136</v>
      </c>
      <c r="D2357">
        <f>YEAR(AMAZON_FASHION_5__2[[#This Row],[reviewDate]])</f>
        <v>2018</v>
      </c>
      <c r="E2357" s="1" t="str">
        <f>TEXT(AMAZON_FASHION_5__2[[#This Row],[reviewDate]], "mmmm")</f>
        <v>February</v>
      </c>
      <c r="F2357" t="s">
        <v>1505</v>
      </c>
      <c r="G2357" t="s">
        <v>1558</v>
      </c>
      <c r="H2357" t="s">
        <v>1507</v>
      </c>
      <c r="I2357" t="s">
        <v>1512</v>
      </c>
      <c r="J2357" t="s">
        <v>1509</v>
      </c>
      <c r="K2357" t="s">
        <v>1513</v>
      </c>
      <c r="L2357" t="s">
        <v>1514</v>
      </c>
      <c r="M2357">
        <v>1517788800</v>
      </c>
      <c r="N2357" t="s">
        <v>1628</v>
      </c>
      <c r="O2357" t="s">
        <v>1628</v>
      </c>
      <c r="P2357" t="s">
        <v>1628</v>
      </c>
      <c r="Q2357">
        <f>LEN(AMAZON_FASHION_5__2[[#This Row],[reviewText]])</f>
        <v>111</v>
      </c>
      <c r="R2357" t="str">
        <f>IF(AMAZON_FASHION_5__2[[#This Row],[overall]]&gt;=4,"Positive",IF(AMAZON_FASHION_5__2[[#This Row],[overall]]&lt;=2,"Negative","Neutral"))</f>
        <v>Positive</v>
      </c>
      <c r="S23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58" spans="1:19" x14ac:dyDescent="0.25">
      <c r="A2358">
        <v>5</v>
      </c>
      <c r="B2358" t="b">
        <v>1</v>
      </c>
      <c r="C2358" s="1">
        <v>42876</v>
      </c>
      <c r="D2358">
        <f>YEAR(AMAZON_FASHION_5__2[[#This Row],[reviewDate]])</f>
        <v>2017</v>
      </c>
      <c r="E2358" s="1" t="str">
        <f>TEXT(AMAZON_FASHION_5__2[[#This Row],[reviewDate]], "mmmm")</f>
        <v>May</v>
      </c>
      <c r="F2358" t="s">
        <v>1515</v>
      </c>
      <c r="G2358" t="s">
        <v>1558</v>
      </c>
      <c r="H2358" t="s">
        <v>1507</v>
      </c>
      <c r="I2358" t="s">
        <v>1516</v>
      </c>
      <c r="J2358" t="s">
        <v>63</v>
      </c>
      <c r="K2358" t="s">
        <v>1517</v>
      </c>
      <c r="L2358" t="s">
        <v>17</v>
      </c>
      <c r="M2358">
        <v>1495324800</v>
      </c>
      <c r="N2358" t="s">
        <v>1628</v>
      </c>
      <c r="O2358" t="s">
        <v>1628</v>
      </c>
      <c r="P2358" t="s">
        <v>1628</v>
      </c>
      <c r="Q2358">
        <f>LEN(AMAZON_FASHION_5__2[[#This Row],[reviewText]])</f>
        <v>29</v>
      </c>
      <c r="R2358" t="str">
        <f>IF(AMAZON_FASHION_5__2[[#This Row],[overall]]&gt;=4,"Positive",IF(AMAZON_FASHION_5__2[[#This Row],[overall]]&lt;=2,"Negative","Neutral"))</f>
        <v>Positive</v>
      </c>
      <c r="S23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59" spans="1:19" x14ac:dyDescent="0.25">
      <c r="A2359">
        <v>5</v>
      </c>
      <c r="B2359" t="b">
        <v>1</v>
      </c>
      <c r="C2359" s="1">
        <v>42876</v>
      </c>
      <c r="D2359">
        <f>YEAR(AMAZON_FASHION_5__2[[#This Row],[reviewDate]])</f>
        <v>2017</v>
      </c>
      <c r="E2359" s="1" t="str">
        <f>TEXT(AMAZON_FASHION_5__2[[#This Row],[reviewDate]], "mmmm")</f>
        <v>May</v>
      </c>
      <c r="F2359" t="s">
        <v>1515</v>
      </c>
      <c r="G2359" t="s">
        <v>1558</v>
      </c>
      <c r="H2359" t="s">
        <v>1518</v>
      </c>
      <c r="I2359" t="s">
        <v>1519</v>
      </c>
      <c r="J2359" t="s">
        <v>63</v>
      </c>
      <c r="K2359" t="s">
        <v>1520</v>
      </c>
      <c r="L2359" t="s">
        <v>17</v>
      </c>
      <c r="M2359">
        <v>1495324800</v>
      </c>
      <c r="N2359" t="s">
        <v>1628</v>
      </c>
      <c r="O2359" t="s">
        <v>1628</v>
      </c>
      <c r="P2359" t="s">
        <v>1628</v>
      </c>
      <c r="Q2359">
        <f>LEN(AMAZON_FASHION_5__2[[#This Row],[reviewText]])</f>
        <v>26</v>
      </c>
      <c r="R2359" t="str">
        <f>IF(AMAZON_FASHION_5__2[[#This Row],[overall]]&gt;=4,"Positive",IF(AMAZON_FASHION_5__2[[#This Row],[overall]]&lt;=2,"Negative","Neutral"))</f>
        <v>Positive</v>
      </c>
      <c r="S23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60" spans="1:19" x14ac:dyDescent="0.25">
      <c r="A2360">
        <v>5</v>
      </c>
      <c r="B2360" t="b">
        <v>1</v>
      </c>
      <c r="C2360" s="1">
        <v>42870</v>
      </c>
      <c r="D2360">
        <f>YEAR(AMAZON_FASHION_5__2[[#This Row],[reviewDate]])</f>
        <v>2017</v>
      </c>
      <c r="E2360" s="1" t="str">
        <f>TEXT(AMAZON_FASHION_5__2[[#This Row],[reviewDate]], "mmmm")</f>
        <v>May</v>
      </c>
      <c r="F2360" t="s">
        <v>1515</v>
      </c>
      <c r="G2360" t="s">
        <v>1558</v>
      </c>
      <c r="H2360" t="s">
        <v>1521</v>
      </c>
      <c r="I2360" t="s">
        <v>1512</v>
      </c>
      <c r="J2360" t="s">
        <v>63</v>
      </c>
      <c r="K2360" t="s">
        <v>1522</v>
      </c>
      <c r="L2360" t="s">
        <v>17</v>
      </c>
      <c r="M2360">
        <v>1494806400</v>
      </c>
      <c r="N2360" t="s">
        <v>1628</v>
      </c>
      <c r="O2360" t="s">
        <v>1628</v>
      </c>
      <c r="P2360" t="s">
        <v>1628</v>
      </c>
      <c r="Q2360">
        <f>LEN(AMAZON_FASHION_5__2[[#This Row],[reviewText]])</f>
        <v>30</v>
      </c>
      <c r="R2360" t="str">
        <f>IF(AMAZON_FASHION_5__2[[#This Row],[overall]]&gt;=4,"Positive",IF(AMAZON_FASHION_5__2[[#This Row],[overall]]&lt;=2,"Negative","Neutral"))</f>
        <v>Positive</v>
      </c>
      <c r="S23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61" spans="1:19" x14ac:dyDescent="0.25">
      <c r="A2361">
        <v>5</v>
      </c>
      <c r="B2361" t="b">
        <v>1</v>
      </c>
      <c r="C2361" s="1">
        <v>42838</v>
      </c>
      <c r="D2361">
        <f>YEAR(AMAZON_FASHION_5__2[[#This Row],[reviewDate]])</f>
        <v>2017</v>
      </c>
      <c r="E2361" s="1" t="str">
        <f>TEXT(AMAZON_FASHION_5__2[[#This Row],[reviewDate]], "mmmm")</f>
        <v>April</v>
      </c>
      <c r="F2361" t="s">
        <v>1523</v>
      </c>
      <c r="G2361" t="s">
        <v>1558</v>
      </c>
      <c r="H2361" t="s">
        <v>1524</v>
      </c>
      <c r="I2361" t="s">
        <v>1516</v>
      </c>
      <c r="J2361" t="s">
        <v>1525</v>
      </c>
      <c r="K2361" t="s">
        <v>1526</v>
      </c>
      <c r="L2361" t="s">
        <v>17</v>
      </c>
      <c r="M2361">
        <v>1492041600</v>
      </c>
      <c r="N2361" t="s">
        <v>1628</v>
      </c>
      <c r="O2361" t="s">
        <v>1628</v>
      </c>
      <c r="P2361" t="s">
        <v>1628</v>
      </c>
      <c r="Q2361">
        <f>LEN(AMAZON_FASHION_5__2[[#This Row],[reviewText]])</f>
        <v>11</v>
      </c>
      <c r="R2361" t="str">
        <f>IF(AMAZON_FASHION_5__2[[#This Row],[overall]]&gt;=4,"Positive",IF(AMAZON_FASHION_5__2[[#This Row],[overall]]&lt;=2,"Negative","Neutral"))</f>
        <v>Positive</v>
      </c>
      <c r="S23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62" spans="1:19" x14ac:dyDescent="0.25">
      <c r="A2362">
        <v>5</v>
      </c>
      <c r="B2362" t="b">
        <v>1</v>
      </c>
      <c r="C2362" s="1">
        <v>42838</v>
      </c>
      <c r="D2362">
        <f>YEAR(AMAZON_FASHION_5__2[[#This Row],[reviewDate]])</f>
        <v>2017</v>
      </c>
      <c r="E2362" s="1" t="str">
        <f>TEXT(AMAZON_FASHION_5__2[[#This Row],[reviewDate]], "mmmm")</f>
        <v>April</v>
      </c>
      <c r="F2362" t="s">
        <v>1523</v>
      </c>
      <c r="G2362" t="s">
        <v>1558</v>
      </c>
      <c r="H2362" t="s">
        <v>1527</v>
      </c>
      <c r="I2362" t="s">
        <v>1508</v>
      </c>
      <c r="J2362" t="s">
        <v>1525</v>
      </c>
      <c r="K2362" t="s">
        <v>1528</v>
      </c>
      <c r="L2362" t="s">
        <v>17</v>
      </c>
      <c r="M2362">
        <v>1492041600</v>
      </c>
      <c r="N2362" t="s">
        <v>1628</v>
      </c>
      <c r="O2362" t="s">
        <v>1628</v>
      </c>
      <c r="P2362" t="s">
        <v>1628</v>
      </c>
      <c r="Q2362">
        <f>LEN(AMAZON_FASHION_5__2[[#This Row],[reviewText]])</f>
        <v>3</v>
      </c>
      <c r="R2362" t="str">
        <f>IF(AMAZON_FASHION_5__2[[#This Row],[overall]]&gt;=4,"Positive",IF(AMAZON_FASHION_5__2[[#This Row],[overall]]&lt;=2,"Negative","Neutral"))</f>
        <v>Positive</v>
      </c>
      <c r="S23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63" spans="1:19" x14ac:dyDescent="0.25">
      <c r="A2363">
        <v>5</v>
      </c>
      <c r="B2363" t="b">
        <v>1</v>
      </c>
      <c r="C2363" s="1">
        <v>42838</v>
      </c>
      <c r="D2363">
        <f>YEAR(AMAZON_FASHION_5__2[[#This Row],[reviewDate]])</f>
        <v>2017</v>
      </c>
      <c r="E2363" s="1" t="str">
        <f>TEXT(AMAZON_FASHION_5__2[[#This Row],[reviewDate]], "mmmm")</f>
        <v>April</v>
      </c>
      <c r="F2363" t="s">
        <v>1523</v>
      </c>
      <c r="G2363" t="s">
        <v>1558</v>
      </c>
      <c r="H2363" t="s">
        <v>1529</v>
      </c>
      <c r="I2363" t="s">
        <v>1512</v>
      </c>
      <c r="J2363" t="s">
        <v>1525</v>
      </c>
      <c r="K2363" t="s">
        <v>638</v>
      </c>
      <c r="L2363" t="s">
        <v>17</v>
      </c>
      <c r="M2363">
        <v>1492041600</v>
      </c>
      <c r="N2363" t="s">
        <v>1628</v>
      </c>
      <c r="O2363" t="s">
        <v>1628</v>
      </c>
      <c r="P2363" t="s">
        <v>1628</v>
      </c>
      <c r="Q2363">
        <f>LEN(AMAZON_FASHION_5__2[[#This Row],[reviewText]])</f>
        <v>7</v>
      </c>
      <c r="R2363" t="str">
        <f>IF(AMAZON_FASHION_5__2[[#This Row],[overall]]&gt;=4,"Positive",IF(AMAZON_FASHION_5__2[[#This Row],[overall]]&lt;=2,"Negative","Neutral"))</f>
        <v>Positive</v>
      </c>
      <c r="S23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64" spans="1:19" x14ac:dyDescent="0.25">
      <c r="A2364">
        <v>5</v>
      </c>
      <c r="B2364" t="b">
        <v>1</v>
      </c>
      <c r="C2364" s="1">
        <v>42610</v>
      </c>
      <c r="D2364">
        <f>YEAR(AMAZON_FASHION_5__2[[#This Row],[reviewDate]])</f>
        <v>2016</v>
      </c>
      <c r="E2364" s="1" t="str">
        <f>TEXT(AMAZON_FASHION_5__2[[#This Row],[reviewDate]], "mmmm")</f>
        <v>August</v>
      </c>
      <c r="F2364" t="s">
        <v>1505</v>
      </c>
      <c r="G2364" t="s">
        <v>1558</v>
      </c>
      <c r="H2364" t="s">
        <v>1521</v>
      </c>
      <c r="I2364" t="s">
        <v>1559</v>
      </c>
      <c r="J2364" t="s">
        <v>1509</v>
      </c>
      <c r="K2364" t="s">
        <v>1560</v>
      </c>
      <c r="L2364" t="s">
        <v>1561</v>
      </c>
      <c r="M2364">
        <v>1472342400</v>
      </c>
      <c r="N2364" t="s">
        <v>1628</v>
      </c>
      <c r="O2364" t="s">
        <v>1628</v>
      </c>
      <c r="P2364" t="s">
        <v>1628</v>
      </c>
      <c r="Q2364">
        <f>LEN(AMAZON_FASHION_5__2[[#This Row],[reviewText]])</f>
        <v>449</v>
      </c>
      <c r="R2364" t="str">
        <f>IF(AMAZON_FASHION_5__2[[#This Row],[overall]]&gt;=4,"Positive",IF(AMAZON_FASHION_5__2[[#This Row],[overall]]&lt;=2,"Negative","Neutral"))</f>
        <v>Positive</v>
      </c>
      <c r="S23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65" spans="1:19" x14ac:dyDescent="0.25">
      <c r="A2365">
        <v>3</v>
      </c>
      <c r="B2365" t="b">
        <v>1</v>
      </c>
      <c r="C2365" s="1">
        <v>43044</v>
      </c>
      <c r="D2365">
        <f>YEAR(AMAZON_FASHION_5__2[[#This Row],[reviewDate]])</f>
        <v>2017</v>
      </c>
      <c r="E2365" s="1" t="str">
        <f>TEXT(AMAZON_FASHION_5__2[[#This Row],[reviewDate]], "mmmm")</f>
        <v>November</v>
      </c>
      <c r="F2365" t="s">
        <v>79</v>
      </c>
      <c r="G2365" t="s">
        <v>1562</v>
      </c>
      <c r="H2365" t="s">
        <v>1628</v>
      </c>
      <c r="I2365" t="s">
        <v>1563</v>
      </c>
      <c r="J2365" t="s">
        <v>82</v>
      </c>
      <c r="K2365" t="s">
        <v>1564</v>
      </c>
      <c r="L2365" t="s">
        <v>1565</v>
      </c>
      <c r="M2365">
        <v>1509840000</v>
      </c>
      <c r="N2365" t="s">
        <v>1628</v>
      </c>
      <c r="O2365" t="s">
        <v>1628</v>
      </c>
      <c r="P2365" t="s">
        <v>1628</v>
      </c>
      <c r="Q2365">
        <f>LEN(AMAZON_FASHION_5__2[[#This Row],[reviewText]])</f>
        <v>455</v>
      </c>
      <c r="R2365" t="str">
        <f>IF(AMAZON_FASHION_5__2[[#This Row],[overall]]&gt;=4,"Positive",IF(AMAZON_FASHION_5__2[[#This Row],[overall]]&lt;=2,"Negative","Neutral"))</f>
        <v>Neutral</v>
      </c>
      <c r="S23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66" spans="1:19" x14ac:dyDescent="0.25">
      <c r="A2366">
        <v>5</v>
      </c>
      <c r="B2366" t="b">
        <v>1</v>
      </c>
      <c r="C2366" s="1">
        <v>42460</v>
      </c>
      <c r="D2366">
        <f>YEAR(AMAZON_FASHION_5__2[[#This Row],[reviewDate]])</f>
        <v>2016</v>
      </c>
      <c r="E2366" s="1" t="str">
        <f>TEXT(AMAZON_FASHION_5__2[[#This Row],[reviewDate]], "mmmm")</f>
        <v>March</v>
      </c>
      <c r="F2366" t="s">
        <v>209</v>
      </c>
      <c r="G2366" t="s">
        <v>1566</v>
      </c>
      <c r="H2366" t="s">
        <v>1567</v>
      </c>
      <c r="I2366" t="s">
        <v>211</v>
      </c>
      <c r="J2366" t="s">
        <v>212</v>
      </c>
      <c r="K2366" t="s">
        <v>213</v>
      </c>
      <c r="L2366" t="s">
        <v>214</v>
      </c>
      <c r="M2366">
        <v>1459382400</v>
      </c>
      <c r="N2366" t="s">
        <v>1628</v>
      </c>
      <c r="O2366" t="s">
        <v>1628</v>
      </c>
      <c r="P2366" t="s">
        <v>1628</v>
      </c>
      <c r="Q2366">
        <f>LEN(AMAZON_FASHION_5__2[[#This Row],[reviewText]])</f>
        <v>123</v>
      </c>
      <c r="R2366" t="str">
        <f>IF(AMAZON_FASHION_5__2[[#This Row],[overall]]&gt;=4,"Positive",IF(AMAZON_FASHION_5__2[[#This Row],[overall]]&lt;=2,"Negative","Neutral"))</f>
        <v>Positive</v>
      </c>
      <c r="S23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67" spans="1:19" x14ac:dyDescent="0.25">
      <c r="A2367">
        <v>5</v>
      </c>
      <c r="B2367" t="b">
        <v>1</v>
      </c>
      <c r="C2367" s="1">
        <v>42457</v>
      </c>
      <c r="D2367">
        <f>YEAR(AMAZON_FASHION_5__2[[#This Row],[reviewDate]])</f>
        <v>2016</v>
      </c>
      <c r="E2367" s="1" t="str">
        <f>TEXT(AMAZON_FASHION_5__2[[#This Row],[reviewDate]], "mmmm")</f>
        <v>March</v>
      </c>
      <c r="F2367" t="s">
        <v>215</v>
      </c>
      <c r="G2367" t="s">
        <v>1566</v>
      </c>
      <c r="H2367" t="s">
        <v>1568</v>
      </c>
      <c r="I2367" t="s">
        <v>217</v>
      </c>
      <c r="J2367" t="s">
        <v>218</v>
      </c>
      <c r="K2367" t="s">
        <v>219</v>
      </c>
      <c r="L2367" t="s">
        <v>17</v>
      </c>
      <c r="M2367">
        <v>1459123200</v>
      </c>
      <c r="N2367" t="s">
        <v>1628</v>
      </c>
      <c r="O2367" t="s">
        <v>1628</v>
      </c>
      <c r="P2367" t="s">
        <v>1628</v>
      </c>
      <c r="Q2367">
        <f>LEN(AMAZON_FASHION_5__2[[#This Row],[reviewText]])</f>
        <v>9</v>
      </c>
      <c r="R2367" t="str">
        <f>IF(AMAZON_FASHION_5__2[[#This Row],[overall]]&gt;=4,"Positive",IF(AMAZON_FASHION_5__2[[#This Row],[overall]]&lt;=2,"Negative","Neutral"))</f>
        <v>Positive</v>
      </c>
      <c r="S23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68" spans="1:19" x14ac:dyDescent="0.25">
      <c r="A2368">
        <v>2</v>
      </c>
      <c r="B2368" t="b">
        <v>1</v>
      </c>
      <c r="C2368" s="1">
        <v>42457</v>
      </c>
      <c r="D2368">
        <f>YEAR(AMAZON_FASHION_5__2[[#This Row],[reviewDate]])</f>
        <v>2016</v>
      </c>
      <c r="E2368" s="1" t="str">
        <f>TEXT(AMAZON_FASHION_5__2[[#This Row],[reviewDate]], "mmmm")</f>
        <v>March</v>
      </c>
      <c r="F2368" t="s">
        <v>220</v>
      </c>
      <c r="G2368" t="s">
        <v>1566</v>
      </c>
      <c r="H2368" t="s">
        <v>1569</v>
      </c>
      <c r="I2368" t="s">
        <v>1570</v>
      </c>
      <c r="J2368" t="s">
        <v>63</v>
      </c>
      <c r="K2368" t="s">
        <v>222</v>
      </c>
      <c r="L2368" t="s">
        <v>223</v>
      </c>
      <c r="M2368">
        <v>1459123200</v>
      </c>
      <c r="N2368" t="s">
        <v>1628</v>
      </c>
      <c r="O2368" t="s">
        <v>1628</v>
      </c>
      <c r="P2368" t="s">
        <v>1628</v>
      </c>
      <c r="Q2368">
        <f>LEN(AMAZON_FASHION_5__2[[#This Row],[reviewText]])</f>
        <v>167</v>
      </c>
      <c r="R2368" t="str">
        <f>IF(AMAZON_FASHION_5__2[[#This Row],[overall]]&gt;=4,"Positive",IF(AMAZON_FASHION_5__2[[#This Row],[overall]]&lt;=2,"Negative","Neutral"))</f>
        <v>Negative</v>
      </c>
      <c r="S23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69" spans="1:19" x14ac:dyDescent="0.25">
      <c r="A2369">
        <v>4</v>
      </c>
      <c r="B2369" t="b">
        <v>1</v>
      </c>
      <c r="C2369" s="1">
        <v>42453</v>
      </c>
      <c r="D2369">
        <f>YEAR(AMAZON_FASHION_5__2[[#This Row],[reviewDate]])</f>
        <v>2016</v>
      </c>
      <c r="E2369" s="1" t="str">
        <f>TEXT(AMAZON_FASHION_5__2[[#This Row],[reviewDate]], "mmmm")</f>
        <v>March</v>
      </c>
      <c r="F2369" t="s">
        <v>224</v>
      </c>
      <c r="G2369" t="s">
        <v>1566</v>
      </c>
      <c r="H2369" t="s">
        <v>225</v>
      </c>
      <c r="I2369" t="s">
        <v>1570</v>
      </c>
      <c r="J2369" t="s">
        <v>226</v>
      </c>
      <c r="K2369" t="s">
        <v>227</v>
      </c>
      <c r="L2369" t="s">
        <v>228</v>
      </c>
      <c r="M2369">
        <v>1458777600</v>
      </c>
      <c r="N2369" t="s">
        <v>1628</v>
      </c>
      <c r="O2369" t="s">
        <v>1628</v>
      </c>
      <c r="P2369" t="s">
        <v>1628</v>
      </c>
      <c r="Q2369">
        <f>LEN(AMAZON_FASHION_5__2[[#This Row],[reviewText]])</f>
        <v>132</v>
      </c>
      <c r="R2369" t="str">
        <f>IF(AMAZON_FASHION_5__2[[#This Row],[overall]]&gt;=4,"Positive",IF(AMAZON_FASHION_5__2[[#This Row],[overall]]&lt;=2,"Negative","Neutral"))</f>
        <v>Positive</v>
      </c>
      <c r="S23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70" spans="1:19" x14ac:dyDescent="0.25">
      <c r="A2370">
        <v>3</v>
      </c>
      <c r="B2370" t="b">
        <v>1</v>
      </c>
      <c r="C2370" s="1">
        <v>42452</v>
      </c>
      <c r="D2370">
        <f>YEAR(AMAZON_FASHION_5__2[[#This Row],[reviewDate]])</f>
        <v>2016</v>
      </c>
      <c r="E2370" s="1" t="str">
        <f>TEXT(AMAZON_FASHION_5__2[[#This Row],[reviewDate]], "mmmm")</f>
        <v>March</v>
      </c>
      <c r="F2370" t="s">
        <v>229</v>
      </c>
      <c r="G2370" t="s">
        <v>1566</v>
      </c>
      <c r="H2370" t="s">
        <v>1571</v>
      </c>
      <c r="I2370" t="s">
        <v>198</v>
      </c>
      <c r="J2370" t="s">
        <v>231</v>
      </c>
      <c r="K2370" t="s">
        <v>232</v>
      </c>
      <c r="L2370" t="s">
        <v>233</v>
      </c>
      <c r="M2370">
        <v>1458691200</v>
      </c>
      <c r="N2370" t="s">
        <v>1628</v>
      </c>
      <c r="O2370" t="s">
        <v>1628</v>
      </c>
      <c r="P2370">
        <v>7</v>
      </c>
      <c r="Q2370">
        <f>LEN(AMAZON_FASHION_5__2[[#This Row],[reviewText]])</f>
        <v>108</v>
      </c>
      <c r="R2370" t="str">
        <f>IF(AMAZON_FASHION_5__2[[#This Row],[overall]]&gt;=4,"Positive",IF(AMAZON_FASHION_5__2[[#This Row],[overall]]&lt;=2,"Negative","Neutral"))</f>
        <v>Neutral</v>
      </c>
      <c r="S23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71" spans="1:19" x14ac:dyDescent="0.25">
      <c r="A2371">
        <v>5</v>
      </c>
      <c r="B2371" t="b">
        <v>1</v>
      </c>
      <c r="C2371" s="1">
        <v>42449</v>
      </c>
      <c r="D2371">
        <f>YEAR(AMAZON_FASHION_5__2[[#This Row],[reviewDate]])</f>
        <v>2016</v>
      </c>
      <c r="E2371" s="1" t="str">
        <f>TEXT(AMAZON_FASHION_5__2[[#This Row],[reviewDate]], "mmmm")</f>
        <v>March</v>
      </c>
      <c r="F2371" t="s">
        <v>234</v>
      </c>
      <c r="G2371" t="s">
        <v>1566</v>
      </c>
      <c r="H2371" t="s">
        <v>235</v>
      </c>
      <c r="I2371" t="s">
        <v>236</v>
      </c>
      <c r="J2371" t="s">
        <v>237</v>
      </c>
      <c r="K2371" t="s">
        <v>238</v>
      </c>
      <c r="L2371" t="s">
        <v>239</v>
      </c>
      <c r="M2371">
        <v>1458432000</v>
      </c>
      <c r="N2371" t="s">
        <v>1628</v>
      </c>
      <c r="O2371" t="s">
        <v>1628</v>
      </c>
      <c r="P2371" t="s">
        <v>1628</v>
      </c>
      <c r="Q2371">
        <f>LEN(AMAZON_FASHION_5__2[[#This Row],[reviewText]])</f>
        <v>75</v>
      </c>
      <c r="R2371" t="str">
        <f>IF(AMAZON_FASHION_5__2[[#This Row],[overall]]&gt;=4,"Positive",IF(AMAZON_FASHION_5__2[[#This Row],[overall]]&lt;=2,"Negative","Neutral"))</f>
        <v>Positive</v>
      </c>
      <c r="S23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72" spans="1:19" x14ac:dyDescent="0.25">
      <c r="A2372">
        <v>5</v>
      </c>
      <c r="B2372" t="b">
        <v>1</v>
      </c>
      <c r="C2372" s="1">
        <v>42447</v>
      </c>
      <c r="D2372">
        <f>YEAR(AMAZON_FASHION_5__2[[#This Row],[reviewDate]])</f>
        <v>2016</v>
      </c>
      <c r="E2372" s="1" t="str">
        <f>TEXT(AMAZON_FASHION_5__2[[#This Row],[reviewDate]], "mmmm")</f>
        <v>March</v>
      </c>
      <c r="F2372" t="s">
        <v>240</v>
      </c>
      <c r="G2372" t="s">
        <v>1566</v>
      </c>
      <c r="H2372" t="s">
        <v>1572</v>
      </c>
      <c r="I2372" t="s">
        <v>1570</v>
      </c>
      <c r="J2372" t="s">
        <v>242</v>
      </c>
      <c r="K2372" t="s">
        <v>243</v>
      </c>
      <c r="L2372" t="s">
        <v>17</v>
      </c>
      <c r="M2372">
        <v>1458259200</v>
      </c>
      <c r="N2372" t="s">
        <v>1628</v>
      </c>
      <c r="O2372" t="s">
        <v>1628</v>
      </c>
      <c r="P2372" t="s">
        <v>1628</v>
      </c>
      <c r="Q2372">
        <f>LEN(AMAZON_FASHION_5__2[[#This Row],[reviewText]])</f>
        <v>9</v>
      </c>
      <c r="R2372" t="str">
        <f>IF(AMAZON_FASHION_5__2[[#This Row],[overall]]&gt;=4,"Positive",IF(AMAZON_FASHION_5__2[[#This Row],[overall]]&lt;=2,"Negative","Neutral"))</f>
        <v>Positive</v>
      </c>
      <c r="S23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73" spans="1:19" x14ac:dyDescent="0.25">
      <c r="A2373">
        <v>4</v>
      </c>
      <c r="B2373" t="b">
        <v>1</v>
      </c>
      <c r="C2373" s="1">
        <v>42445</v>
      </c>
      <c r="D2373">
        <f>YEAR(AMAZON_FASHION_5__2[[#This Row],[reviewDate]])</f>
        <v>2016</v>
      </c>
      <c r="E2373" s="1" t="str">
        <f>TEXT(AMAZON_FASHION_5__2[[#This Row],[reviewDate]], "mmmm")</f>
        <v>March</v>
      </c>
      <c r="F2373" t="s">
        <v>1457</v>
      </c>
      <c r="G2373" t="s">
        <v>1566</v>
      </c>
      <c r="H2373" t="s">
        <v>1571</v>
      </c>
      <c r="I2373" t="s">
        <v>198</v>
      </c>
      <c r="J2373" t="s">
        <v>1458</v>
      </c>
      <c r="K2373" t="s">
        <v>1459</v>
      </c>
      <c r="L2373" t="s">
        <v>1460</v>
      </c>
      <c r="M2373">
        <v>1458086400</v>
      </c>
      <c r="N2373" t="s">
        <v>1628</v>
      </c>
      <c r="O2373" t="s">
        <v>1628</v>
      </c>
      <c r="P2373" t="s">
        <v>1628</v>
      </c>
      <c r="Q2373">
        <f>LEN(AMAZON_FASHION_5__2[[#This Row],[reviewText]])</f>
        <v>213</v>
      </c>
      <c r="R2373" t="str">
        <f>IF(AMAZON_FASHION_5__2[[#This Row],[overall]]&gt;=4,"Positive",IF(AMAZON_FASHION_5__2[[#This Row],[overall]]&lt;=2,"Negative","Neutral"))</f>
        <v>Positive</v>
      </c>
      <c r="S23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74" spans="1:19" x14ac:dyDescent="0.25">
      <c r="A2374">
        <v>5</v>
      </c>
      <c r="B2374" t="b">
        <v>1</v>
      </c>
      <c r="C2374" s="1">
        <v>42442</v>
      </c>
      <c r="D2374">
        <f>YEAR(AMAZON_FASHION_5__2[[#This Row],[reviewDate]])</f>
        <v>2016</v>
      </c>
      <c r="E2374" s="1" t="str">
        <f>TEXT(AMAZON_FASHION_5__2[[#This Row],[reviewDate]], "mmmm")</f>
        <v>March</v>
      </c>
      <c r="F2374" t="s">
        <v>1461</v>
      </c>
      <c r="G2374" t="s">
        <v>1566</v>
      </c>
      <c r="H2374" t="s">
        <v>1571</v>
      </c>
      <c r="I2374" t="s">
        <v>198</v>
      </c>
      <c r="J2374" t="s">
        <v>63</v>
      </c>
      <c r="K2374" t="s">
        <v>1462</v>
      </c>
      <c r="L2374" t="s">
        <v>1463</v>
      </c>
      <c r="M2374">
        <v>1457827200</v>
      </c>
      <c r="N2374" t="s">
        <v>1628</v>
      </c>
      <c r="O2374" t="s">
        <v>1628</v>
      </c>
      <c r="P2374">
        <v>22</v>
      </c>
      <c r="Q2374">
        <f>LEN(AMAZON_FASHION_5__2[[#This Row],[reviewText]])</f>
        <v>412</v>
      </c>
      <c r="R2374" t="str">
        <f>IF(AMAZON_FASHION_5__2[[#This Row],[overall]]&gt;=4,"Positive",IF(AMAZON_FASHION_5__2[[#This Row],[overall]]&lt;=2,"Negative","Neutral"))</f>
        <v>Positive</v>
      </c>
      <c r="S23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75" spans="1:19" x14ac:dyDescent="0.25">
      <c r="A2375">
        <v>5</v>
      </c>
      <c r="B2375" t="b">
        <v>1</v>
      </c>
      <c r="C2375" s="1">
        <v>42435</v>
      </c>
      <c r="D2375">
        <f>YEAR(AMAZON_FASHION_5__2[[#This Row],[reviewDate]])</f>
        <v>2016</v>
      </c>
      <c r="E2375" s="1" t="str">
        <f>TEXT(AMAZON_FASHION_5__2[[#This Row],[reviewDate]], "mmmm")</f>
        <v>March</v>
      </c>
      <c r="F2375" t="s">
        <v>1464</v>
      </c>
      <c r="G2375" t="s">
        <v>1566</v>
      </c>
      <c r="H2375" t="s">
        <v>320</v>
      </c>
      <c r="I2375" t="s">
        <v>198</v>
      </c>
      <c r="J2375" t="s">
        <v>63</v>
      </c>
      <c r="K2375" t="s">
        <v>1465</v>
      </c>
      <c r="L2375" t="s">
        <v>17</v>
      </c>
      <c r="M2375">
        <v>1457222400</v>
      </c>
      <c r="N2375" t="s">
        <v>1628</v>
      </c>
      <c r="O2375" t="s">
        <v>1628</v>
      </c>
      <c r="P2375" t="s">
        <v>1628</v>
      </c>
      <c r="Q2375">
        <f>LEN(AMAZON_FASHION_5__2[[#This Row],[reviewText]])</f>
        <v>17</v>
      </c>
      <c r="R2375" t="str">
        <f>IF(AMAZON_FASHION_5__2[[#This Row],[overall]]&gt;=4,"Positive",IF(AMAZON_FASHION_5__2[[#This Row],[overall]]&lt;=2,"Negative","Neutral"))</f>
        <v>Positive</v>
      </c>
      <c r="S23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76" spans="1:19" x14ac:dyDescent="0.25">
      <c r="A2376">
        <v>5</v>
      </c>
      <c r="B2376" t="b">
        <v>1</v>
      </c>
      <c r="C2376" s="1">
        <v>43286</v>
      </c>
      <c r="D2376">
        <f>YEAR(AMAZON_FASHION_5__2[[#This Row],[reviewDate]])</f>
        <v>2018</v>
      </c>
      <c r="E2376" s="1" t="str">
        <f>TEXT(AMAZON_FASHION_5__2[[#This Row],[reviewDate]], "mmmm")</f>
        <v>July</v>
      </c>
      <c r="F2376" t="s">
        <v>1573</v>
      </c>
      <c r="G2376" t="s">
        <v>1566</v>
      </c>
      <c r="H2376" t="s">
        <v>1574</v>
      </c>
      <c r="I2376" t="s">
        <v>274</v>
      </c>
      <c r="J2376" t="s">
        <v>1575</v>
      </c>
      <c r="K2376" t="s">
        <v>1576</v>
      </c>
      <c r="L2376" t="s">
        <v>17</v>
      </c>
      <c r="M2376">
        <v>1530748800</v>
      </c>
      <c r="N2376" t="s">
        <v>1628</v>
      </c>
      <c r="O2376" t="s">
        <v>1628</v>
      </c>
      <c r="P2376" t="s">
        <v>1628</v>
      </c>
      <c r="Q2376">
        <f>LEN(AMAZON_FASHION_5__2[[#This Row],[reviewText]])</f>
        <v>41</v>
      </c>
      <c r="R2376" t="str">
        <f>IF(AMAZON_FASHION_5__2[[#This Row],[overall]]&gt;=4,"Positive",IF(AMAZON_FASHION_5__2[[#This Row],[overall]]&lt;=2,"Negative","Neutral"))</f>
        <v>Positive</v>
      </c>
      <c r="S23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77" spans="1:19" x14ac:dyDescent="0.25">
      <c r="A2377">
        <v>5</v>
      </c>
      <c r="B2377" t="b">
        <v>1</v>
      </c>
      <c r="C2377" s="1">
        <v>43285</v>
      </c>
      <c r="D2377">
        <f>YEAR(AMAZON_FASHION_5__2[[#This Row],[reviewDate]])</f>
        <v>2018</v>
      </c>
      <c r="E2377" s="1" t="str">
        <f>TEXT(AMAZON_FASHION_5__2[[#This Row],[reviewDate]], "mmmm")</f>
        <v>July</v>
      </c>
      <c r="F2377" t="s">
        <v>1577</v>
      </c>
      <c r="G2377" t="s">
        <v>1566</v>
      </c>
      <c r="H2377" t="s">
        <v>1578</v>
      </c>
      <c r="I2377" t="s">
        <v>198</v>
      </c>
      <c r="J2377" t="s">
        <v>1579</v>
      </c>
      <c r="K2377" t="s">
        <v>1580</v>
      </c>
      <c r="L2377" t="s">
        <v>1581</v>
      </c>
      <c r="M2377">
        <v>1530662400</v>
      </c>
      <c r="N2377" t="s">
        <v>1628</v>
      </c>
      <c r="O2377" t="s">
        <v>1628</v>
      </c>
      <c r="P2377" t="s">
        <v>1628</v>
      </c>
      <c r="Q2377">
        <f>LEN(AMAZON_FASHION_5__2[[#This Row],[reviewText]])</f>
        <v>337</v>
      </c>
      <c r="R2377" t="str">
        <f>IF(AMAZON_FASHION_5__2[[#This Row],[overall]]&gt;=4,"Positive",IF(AMAZON_FASHION_5__2[[#This Row],[overall]]&lt;=2,"Negative","Neutral"))</f>
        <v>Positive</v>
      </c>
      <c r="S23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78" spans="1:19" x14ac:dyDescent="0.25">
      <c r="A2378">
        <v>5</v>
      </c>
      <c r="B2378" t="b">
        <v>1</v>
      </c>
      <c r="C2378" s="1">
        <v>43283</v>
      </c>
      <c r="D2378">
        <f>YEAR(AMAZON_FASHION_5__2[[#This Row],[reviewDate]])</f>
        <v>2018</v>
      </c>
      <c r="E2378" s="1" t="str">
        <f>TEXT(AMAZON_FASHION_5__2[[#This Row],[reviewDate]], "mmmm")</f>
        <v>July</v>
      </c>
      <c r="F2378" t="s">
        <v>1582</v>
      </c>
      <c r="G2378" t="s">
        <v>1566</v>
      </c>
      <c r="H2378" t="s">
        <v>1571</v>
      </c>
      <c r="I2378" t="s">
        <v>548</v>
      </c>
      <c r="J2378" t="s">
        <v>63</v>
      </c>
      <c r="K2378" t="s">
        <v>1583</v>
      </c>
      <c r="L2378" t="s">
        <v>17</v>
      </c>
      <c r="M2378">
        <v>1530489600</v>
      </c>
      <c r="N2378" t="s">
        <v>1628</v>
      </c>
      <c r="O2378" t="s">
        <v>1628</v>
      </c>
      <c r="P2378" t="s">
        <v>1628</v>
      </c>
      <c r="Q2378">
        <f>LEN(AMAZON_FASHION_5__2[[#This Row],[reviewText]])</f>
        <v>12</v>
      </c>
      <c r="R2378" t="str">
        <f>IF(AMAZON_FASHION_5__2[[#This Row],[overall]]&gt;=4,"Positive",IF(AMAZON_FASHION_5__2[[#This Row],[overall]]&lt;=2,"Negative","Neutral"))</f>
        <v>Positive</v>
      </c>
      <c r="S23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79" spans="1:19" x14ac:dyDescent="0.25">
      <c r="A2379">
        <v>5</v>
      </c>
      <c r="B2379" t="b">
        <v>1</v>
      </c>
      <c r="C2379" s="1">
        <v>43279</v>
      </c>
      <c r="D2379">
        <f>YEAR(AMAZON_FASHION_5__2[[#This Row],[reviewDate]])</f>
        <v>2018</v>
      </c>
      <c r="E2379" s="1" t="str">
        <f>TEXT(AMAZON_FASHION_5__2[[#This Row],[reviewDate]], "mmmm")</f>
        <v>June</v>
      </c>
      <c r="F2379" t="s">
        <v>1584</v>
      </c>
      <c r="G2379" t="s">
        <v>1566</v>
      </c>
      <c r="H2379" t="s">
        <v>1585</v>
      </c>
      <c r="I2379" t="s">
        <v>274</v>
      </c>
      <c r="J2379" t="s">
        <v>1586</v>
      </c>
      <c r="K2379" t="s">
        <v>1587</v>
      </c>
      <c r="L2379" t="s">
        <v>69</v>
      </c>
      <c r="M2379">
        <v>1530144000</v>
      </c>
      <c r="N2379" t="s">
        <v>1628</v>
      </c>
      <c r="O2379" t="s">
        <v>1628</v>
      </c>
      <c r="P2379" t="s">
        <v>1628</v>
      </c>
      <c r="Q2379">
        <f>LEN(AMAZON_FASHION_5__2[[#This Row],[reviewText]])</f>
        <v>27</v>
      </c>
      <c r="R2379" t="str">
        <f>IF(AMAZON_FASHION_5__2[[#This Row],[overall]]&gt;=4,"Positive",IF(AMAZON_FASHION_5__2[[#This Row],[overall]]&lt;=2,"Negative","Neutral"))</f>
        <v>Positive</v>
      </c>
      <c r="S23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80" spans="1:19" x14ac:dyDescent="0.25">
      <c r="A2380">
        <v>5</v>
      </c>
      <c r="B2380" t="b">
        <v>1</v>
      </c>
      <c r="C2380" s="1">
        <v>43276</v>
      </c>
      <c r="D2380">
        <f>YEAR(AMAZON_FASHION_5__2[[#This Row],[reviewDate]])</f>
        <v>2018</v>
      </c>
      <c r="E2380" s="1" t="str">
        <f>TEXT(AMAZON_FASHION_5__2[[#This Row],[reviewDate]], "mmmm")</f>
        <v>June</v>
      </c>
      <c r="F2380" t="s">
        <v>1588</v>
      </c>
      <c r="G2380" t="s">
        <v>1566</v>
      </c>
      <c r="H2380" t="s">
        <v>1578</v>
      </c>
      <c r="I2380" t="s">
        <v>249</v>
      </c>
      <c r="J2380" t="s">
        <v>63</v>
      </c>
      <c r="K2380" t="s">
        <v>1589</v>
      </c>
      <c r="L2380" t="s">
        <v>17</v>
      </c>
      <c r="M2380">
        <v>1529884800</v>
      </c>
      <c r="N2380" t="s">
        <v>1628</v>
      </c>
      <c r="O2380" t="s">
        <v>1628</v>
      </c>
      <c r="P2380" t="s">
        <v>1628</v>
      </c>
      <c r="Q2380">
        <f>LEN(AMAZON_FASHION_5__2[[#This Row],[reviewText]])</f>
        <v>21</v>
      </c>
      <c r="R2380" t="str">
        <f>IF(AMAZON_FASHION_5__2[[#This Row],[overall]]&gt;=4,"Positive",IF(AMAZON_FASHION_5__2[[#This Row],[overall]]&lt;=2,"Negative","Neutral"))</f>
        <v>Positive</v>
      </c>
      <c r="S23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81" spans="1:19" x14ac:dyDescent="0.25">
      <c r="A2381">
        <v>5</v>
      </c>
      <c r="B2381" t="b">
        <v>1</v>
      </c>
      <c r="C2381" s="1">
        <v>43271</v>
      </c>
      <c r="D2381">
        <f>YEAR(AMAZON_FASHION_5__2[[#This Row],[reviewDate]])</f>
        <v>2018</v>
      </c>
      <c r="E2381" s="1" t="str">
        <f>TEXT(AMAZON_FASHION_5__2[[#This Row],[reviewDate]], "mmmm")</f>
        <v>June</v>
      </c>
      <c r="F2381" t="s">
        <v>1590</v>
      </c>
      <c r="G2381" t="s">
        <v>1566</v>
      </c>
      <c r="H2381" t="s">
        <v>1567</v>
      </c>
      <c r="I2381" t="s">
        <v>249</v>
      </c>
      <c r="J2381" t="s">
        <v>1591</v>
      </c>
      <c r="K2381" t="s">
        <v>1592</v>
      </c>
      <c r="L2381" t="s">
        <v>468</v>
      </c>
      <c r="M2381">
        <v>1529452800</v>
      </c>
      <c r="N2381" t="s">
        <v>1628</v>
      </c>
      <c r="O2381" t="s">
        <v>1628</v>
      </c>
      <c r="P2381">
        <v>2</v>
      </c>
      <c r="Q2381">
        <f>LEN(AMAZON_FASHION_5__2[[#This Row],[reviewText]])</f>
        <v>382</v>
      </c>
      <c r="R2381" t="str">
        <f>IF(AMAZON_FASHION_5__2[[#This Row],[overall]]&gt;=4,"Positive",IF(AMAZON_FASHION_5__2[[#This Row],[overall]]&lt;=2,"Negative","Neutral"))</f>
        <v>Positive</v>
      </c>
      <c r="S23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82" spans="1:19" x14ac:dyDescent="0.25">
      <c r="A2382">
        <v>5</v>
      </c>
      <c r="B2382" t="b">
        <v>1</v>
      </c>
      <c r="C2382" s="1">
        <v>43267</v>
      </c>
      <c r="D2382">
        <f>YEAR(AMAZON_FASHION_5__2[[#This Row],[reviewDate]])</f>
        <v>2018</v>
      </c>
      <c r="E2382" s="1" t="str">
        <f>TEXT(AMAZON_FASHION_5__2[[#This Row],[reviewDate]], "mmmm")</f>
        <v>June</v>
      </c>
      <c r="F2382" t="s">
        <v>1593</v>
      </c>
      <c r="G2382" t="s">
        <v>1566</v>
      </c>
      <c r="H2382" t="s">
        <v>210</v>
      </c>
      <c r="I2382" t="s">
        <v>198</v>
      </c>
      <c r="J2382" t="s">
        <v>797</v>
      </c>
      <c r="K2382" t="s">
        <v>1594</v>
      </c>
      <c r="L2382" t="s">
        <v>17</v>
      </c>
      <c r="M2382">
        <v>1529107200</v>
      </c>
      <c r="N2382" t="s">
        <v>1628</v>
      </c>
      <c r="O2382" t="s">
        <v>1628</v>
      </c>
      <c r="P2382" t="s">
        <v>1628</v>
      </c>
      <c r="Q2382">
        <f>LEN(AMAZON_FASHION_5__2[[#This Row],[reviewText]])</f>
        <v>44</v>
      </c>
      <c r="R2382" t="str">
        <f>IF(AMAZON_FASHION_5__2[[#This Row],[overall]]&gt;=4,"Positive",IF(AMAZON_FASHION_5__2[[#This Row],[overall]]&lt;=2,"Negative","Neutral"))</f>
        <v>Positive</v>
      </c>
      <c r="S23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83" spans="1:19" x14ac:dyDescent="0.25">
      <c r="A2383">
        <v>5</v>
      </c>
      <c r="B2383" t="b">
        <v>1</v>
      </c>
      <c r="C2383" s="1">
        <v>43254</v>
      </c>
      <c r="D2383">
        <f>YEAR(AMAZON_FASHION_5__2[[#This Row],[reviewDate]])</f>
        <v>2018</v>
      </c>
      <c r="E2383" s="1" t="str">
        <f>TEXT(AMAZON_FASHION_5__2[[#This Row],[reviewDate]], "mmmm")</f>
        <v>June</v>
      </c>
      <c r="F2383" t="s">
        <v>1502</v>
      </c>
      <c r="G2383" t="s">
        <v>1566</v>
      </c>
      <c r="H2383" t="s">
        <v>1578</v>
      </c>
      <c r="I2383" t="s">
        <v>198</v>
      </c>
      <c r="J2383" t="s">
        <v>1503</v>
      </c>
      <c r="K2383" t="s">
        <v>1504</v>
      </c>
      <c r="L2383" t="s">
        <v>17</v>
      </c>
      <c r="M2383">
        <v>1527984000</v>
      </c>
      <c r="N2383" t="s">
        <v>1628</v>
      </c>
      <c r="O2383" t="s">
        <v>1628</v>
      </c>
      <c r="P2383" t="s">
        <v>1628</v>
      </c>
      <c r="Q2383">
        <f>LEN(AMAZON_FASHION_5__2[[#This Row],[reviewText]])</f>
        <v>47</v>
      </c>
      <c r="R2383" t="str">
        <f>IF(AMAZON_FASHION_5__2[[#This Row],[overall]]&gt;=4,"Positive",IF(AMAZON_FASHION_5__2[[#This Row],[overall]]&lt;=2,"Negative","Neutral"))</f>
        <v>Positive</v>
      </c>
      <c r="S23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84" spans="1:19" x14ac:dyDescent="0.25">
      <c r="A2384">
        <v>5</v>
      </c>
      <c r="B2384" t="b">
        <v>1</v>
      </c>
      <c r="C2384" s="1">
        <v>43242</v>
      </c>
      <c r="D2384">
        <f>YEAR(AMAZON_FASHION_5__2[[#This Row],[reviewDate]])</f>
        <v>2018</v>
      </c>
      <c r="E2384" s="1" t="str">
        <f>TEXT(AMAZON_FASHION_5__2[[#This Row],[reviewDate]], "mmmm")</f>
        <v>May</v>
      </c>
      <c r="F2384" t="s">
        <v>1491</v>
      </c>
      <c r="G2384" t="s">
        <v>1566</v>
      </c>
      <c r="H2384" t="s">
        <v>1595</v>
      </c>
      <c r="I2384" t="s">
        <v>249</v>
      </c>
      <c r="J2384" t="s">
        <v>1492</v>
      </c>
      <c r="K2384" t="s">
        <v>1493</v>
      </c>
      <c r="L2384" t="s">
        <v>1494</v>
      </c>
      <c r="M2384">
        <v>1526947200</v>
      </c>
      <c r="N2384" t="s">
        <v>1628</v>
      </c>
      <c r="O2384" t="s">
        <v>1628</v>
      </c>
      <c r="P2384">
        <v>2</v>
      </c>
      <c r="Q2384">
        <f>LEN(AMAZON_FASHION_5__2[[#This Row],[reviewText]])</f>
        <v>372</v>
      </c>
      <c r="R2384" t="str">
        <f>IF(AMAZON_FASHION_5__2[[#This Row],[overall]]&gt;=4,"Positive",IF(AMAZON_FASHION_5__2[[#This Row],[overall]]&lt;=2,"Negative","Neutral"))</f>
        <v>Positive</v>
      </c>
      <c r="S23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85" spans="1:19" x14ac:dyDescent="0.25">
      <c r="A2385">
        <v>5</v>
      </c>
      <c r="B2385" t="b">
        <v>1</v>
      </c>
      <c r="C2385" s="1">
        <v>43236</v>
      </c>
      <c r="D2385">
        <f>YEAR(AMAZON_FASHION_5__2[[#This Row],[reviewDate]])</f>
        <v>2018</v>
      </c>
      <c r="E2385" s="1" t="str">
        <f>TEXT(AMAZON_FASHION_5__2[[#This Row],[reviewDate]], "mmmm")</f>
        <v>May</v>
      </c>
      <c r="F2385" t="s">
        <v>1495</v>
      </c>
      <c r="G2385" t="s">
        <v>1566</v>
      </c>
      <c r="H2385" t="s">
        <v>1596</v>
      </c>
      <c r="I2385" t="s">
        <v>198</v>
      </c>
      <c r="J2385" t="s">
        <v>1496</v>
      </c>
      <c r="K2385" t="s">
        <v>1497</v>
      </c>
      <c r="L2385" t="s">
        <v>1498</v>
      </c>
      <c r="M2385">
        <v>1526428800</v>
      </c>
      <c r="N2385" t="s">
        <v>1628</v>
      </c>
      <c r="O2385" t="s">
        <v>1628</v>
      </c>
      <c r="P2385" t="s">
        <v>1628</v>
      </c>
      <c r="Q2385">
        <f>LEN(AMAZON_FASHION_5__2[[#This Row],[reviewText]])</f>
        <v>17</v>
      </c>
      <c r="R2385" t="str">
        <f>IF(AMAZON_FASHION_5__2[[#This Row],[overall]]&gt;=4,"Positive",IF(AMAZON_FASHION_5__2[[#This Row],[overall]]&lt;=2,"Negative","Neutral"))</f>
        <v>Positive</v>
      </c>
      <c r="S23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86" spans="1:19" x14ac:dyDescent="0.25">
      <c r="A2386">
        <v>5</v>
      </c>
      <c r="B2386" t="b">
        <v>1</v>
      </c>
      <c r="C2386" s="1">
        <v>43236</v>
      </c>
      <c r="D2386">
        <f>YEAR(AMAZON_FASHION_5__2[[#This Row],[reviewDate]])</f>
        <v>2018</v>
      </c>
      <c r="E2386" s="1" t="str">
        <f>TEXT(AMAZON_FASHION_5__2[[#This Row],[reviewDate]], "mmmm")</f>
        <v>May</v>
      </c>
      <c r="F2386" t="s">
        <v>1480</v>
      </c>
      <c r="G2386" t="s">
        <v>1566</v>
      </c>
      <c r="H2386" t="s">
        <v>1572</v>
      </c>
      <c r="I2386" t="s">
        <v>198</v>
      </c>
      <c r="J2386" t="s">
        <v>1481</v>
      </c>
      <c r="K2386" t="s">
        <v>69</v>
      </c>
      <c r="L2386" t="s">
        <v>17</v>
      </c>
      <c r="M2386">
        <v>1526428800</v>
      </c>
      <c r="N2386" t="s">
        <v>1628</v>
      </c>
      <c r="O2386" t="s">
        <v>1628</v>
      </c>
      <c r="P2386" t="s">
        <v>1628</v>
      </c>
      <c r="Q2386">
        <f>LEN(AMAZON_FASHION_5__2[[#This Row],[reviewText]])</f>
        <v>11</v>
      </c>
      <c r="R2386" t="str">
        <f>IF(AMAZON_FASHION_5__2[[#This Row],[overall]]&gt;=4,"Positive",IF(AMAZON_FASHION_5__2[[#This Row],[overall]]&lt;=2,"Negative","Neutral"))</f>
        <v>Positive</v>
      </c>
      <c r="S23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87" spans="1:19" x14ac:dyDescent="0.25">
      <c r="A2387">
        <v>3</v>
      </c>
      <c r="B2387" t="b">
        <v>1</v>
      </c>
      <c r="C2387" s="1">
        <v>43235</v>
      </c>
      <c r="D2387">
        <f>YEAR(AMAZON_FASHION_5__2[[#This Row],[reviewDate]])</f>
        <v>2018</v>
      </c>
      <c r="E2387" s="1" t="str">
        <f>TEXT(AMAZON_FASHION_5__2[[#This Row],[reviewDate]], "mmmm")</f>
        <v>May</v>
      </c>
      <c r="F2387" t="s">
        <v>1482</v>
      </c>
      <c r="G2387" t="s">
        <v>1566</v>
      </c>
      <c r="H2387" t="s">
        <v>1571</v>
      </c>
      <c r="I2387" t="s">
        <v>249</v>
      </c>
      <c r="J2387" t="s">
        <v>63</v>
      </c>
      <c r="K2387" t="s">
        <v>1483</v>
      </c>
      <c r="L2387" t="s">
        <v>101</v>
      </c>
      <c r="M2387">
        <v>1526342400</v>
      </c>
      <c r="N2387" t="s">
        <v>1628</v>
      </c>
      <c r="O2387" t="s">
        <v>1628</v>
      </c>
      <c r="P2387" t="s">
        <v>1628</v>
      </c>
      <c r="Q2387">
        <f>LEN(AMAZON_FASHION_5__2[[#This Row],[reviewText]])</f>
        <v>39</v>
      </c>
      <c r="R2387" t="str">
        <f>IF(AMAZON_FASHION_5__2[[#This Row],[overall]]&gt;=4,"Positive",IF(AMAZON_FASHION_5__2[[#This Row],[overall]]&lt;=2,"Negative","Neutral"))</f>
        <v>Neutral</v>
      </c>
      <c r="S23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88" spans="1:19" x14ac:dyDescent="0.25">
      <c r="A2388">
        <v>3</v>
      </c>
      <c r="B2388" t="b">
        <v>1</v>
      </c>
      <c r="C2388" s="1">
        <v>43235</v>
      </c>
      <c r="D2388">
        <f>YEAR(AMAZON_FASHION_5__2[[#This Row],[reviewDate]])</f>
        <v>2018</v>
      </c>
      <c r="E2388" s="1" t="str">
        <f>TEXT(AMAZON_FASHION_5__2[[#This Row],[reviewDate]], "mmmm")</f>
        <v>May</v>
      </c>
      <c r="F2388" t="s">
        <v>1484</v>
      </c>
      <c r="G2388" t="s">
        <v>1566</v>
      </c>
      <c r="H2388" t="s">
        <v>1567</v>
      </c>
      <c r="I2388" t="s">
        <v>249</v>
      </c>
      <c r="J2388" t="s">
        <v>1485</v>
      </c>
      <c r="K2388" t="s">
        <v>1486</v>
      </c>
      <c r="L2388" t="s">
        <v>1487</v>
      </c>
      <c r="M2388">
        <v>1526342400</v>
      </c>
      <c r="N2388" t="s">
        <v>1628</v>
      </c>
      <c r="O2388" t="s">
        <v>1628</v>
      </c>
      <c r="P2388" t="s">
        <v>1628</v>
      </c>
      <c r="Q2388">
        <f>LEN(AMAZON_FASHION_5__2[[#This Row],[reviewText]])</f>
        <v>173</v>
      </c>
      <c r="R2388" t="str">
        <f>IF(AMAZON_FASHION_5__2[[#This Row],[overall]]&gt;=4,"Positive",IF(AMAZON_FASHION_5__2[[#This Row],[overall]]&lt;=2,"Negative","Neutral"))</f>
        <v>Neutral</v>
      </c>
      <c r="S23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89" spans="1:19" x14ac:dyDescent="0.25">
      <c r="A2389">
        <v>5</v>
      </c>
      <c r="B2389" t="b">
        <v>1</v>
      </c>
      <c r="C2389" s="1">
        <v>43225</v>
      </c>
      <c r="D2389">
        <f>YEAR(AMAZON_FASHION_5__2[[#This Row],[reviewDate]])</f>
        <v>2018</v>
      </c>
      <c r="E2389" s="1" t="str">
        <f>TEXT(AMAZON_FASHION_5__2[[#This Row],[reviewDate]], "mmmm")</f>
        <v>May</v>
      </c>
      <c r="F2389" t="s">
        <v>1470</v>
      </c>
      <c r="G2389" t="s">
        <v>1566</v>
      </c>
      <c r="H2389" t="s">
        <v>1571</v>
      </c>
      <c r="I2389" t="s">
        <v>548</v>
      </c>
      <c r="J2389" t="s">
        <v>1471</v>
      </c>
      <c r="K2389" t="s">
        <v>1472</v>
      </c>
      <c r="L2389" t="s">
        <v>17</v>
      </c>
      <c r="M2389">
        <v>1525478400</v>
      </c>
      <c r="N2389" t="s">
        <v>1628</v>
      </c>
      <c r="O2389" t="s">
        <v>1628</v>
      </c>
      <c r="P2389" t="s">
        <v>1628</v>
      </c>
      <c r="Q2389">
        <f>LEN(AMAZON_FASHION_5__2[[#This Row],[reviewText]])</f>
        <v>71</v>
      </c>
      <c r="R2389" t="str">
        <f>IF(AMAZON_FASHION_5__2[[#This Row],[overall]]&gt;=4,"Positive",IF(AMAZON_FASHION_5__2[[#This Row],[overall]]&lt;=2,"Negative","Neutral"))</f>
        <v>Positive</v>
      </c>
      <c r="S23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90" spans="1:19" x14ac:dyDescent="0.25">
      <c r="A2390">
        <v>5</v>
      </c>
      <c r="B2390" t="b">
        <v>1</v>
      </c>
      <c r="C2390" s="1">
        <v>43223</v>
      </c>
      <c r="D2390">
        <f>YEAR(AMAZON_FASHION_5__2[[#This Row],[reviewDate]])</f>
        <v>2018</v>
      </c>
      <c r="E2390" s="1" t="str">
        <f>TEXT(AMAZON_FASHION_5__2[[#This Row],[reviewDate]], "mmmm")</f>
        <v>May</v>
      </c>
      <c r="F2390" t="s">
        <v>1473</v>
      </c>
      <c r="G2390" t="s">
        <v>1566</v>
      </c>
      <c r="H2390" t="s">
        <v>1578</v>
      </c>
      <c r="I2390" t="s">
        <v>524</v>
      </c>
      <c r="J2390" t="s">
        <v>1474</v>
      </c>
      <c r="K2390" t="s">
        <v>1475</v>
      </c>
      <c r="L2390" t="s">
        <v>17</v>
      </c>
      <c r="M2390">
        <v>1525305600</v>
      </c>
      <c r="N2390" t="s">
        <v>1628</v>
      </c>
      <c r="O2390" t="s">
        <v>1628</v>
      </c>
      <c r="P2390" t="s">
        <v>1628</v>
      </c>
      <c r="Q2390">
        <f>LEN(AMAZON_FASHION_5__2[[#This Row],[reviewText]])</f>
        <v>90</v>
      </c>
      <c r="R2390" t="str">
        <f>IF(AMAZON_FASHION_5__2[[#This Row],[overall]]&gt;=4,"Positive",IF(AMAZON_FASHION_5__2[[#This Row],[overall]]&lt;=2,"Negative","Neutral"))</f>
        <v>Positive</v>
      </c>
      <c r="S23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91" spans="1:19" x14ac:dyDescent="0.25">
      <c r="A2391">
        <v>3</v>
      </c>
      <c r="B2391" t="b">
        <v>1</v>
      </c>
      <c r="C2391" s="1">
        <v>43220</v>
      </c>
      <c r="D2391">
        <f>YEAR(AMAZON_FASHION_5__2[[#This Row],[reviewDate]])</f>
        <v>2018</v>
      </c>
      <c r="E2391" s="1" t="str">
        <f>TEXT(AMAZON_FASHION_5__2[[#This Row],[reviewDate]], "mmmm")</f>
        <v>April</v>
      </c>
      <c r="F2391" t="s">
        <v>1446</v>
      </c>
      <c r="G2391" t="s">
        <v>1566</v>
      </c>
      <c r="H2391" t="s">
        <v>1597</v>
      </c>
      <c r="I2391" t="s">
        <v>411</v>
      </c>
      <c r="J2391" t="s">
        <v>63</v>
      </c>
      <c r="K2391" t="s">
        <v>1447</v>
      </c>
      <c r="L2391" t="s">
        <v>101</v>
      </c>
      <c r="M2391">
        <v>1525046400</v>
      </c>
      <c r="N2391" t="s">
        <v>1628</v>
      </c>
      <c r="O2391" t="s">
        <v>1628</v>
      </c>
      <c r="P2391" t="s">
        <v>1628</v>
      </c>
      <c r="Q2391">
        <f>LEN(AMAZON_FASHION_5__2[[#This Row],[reviewText]])</f>
        <v>14</v>
      </c>
      <c r="R2391" t="str">
        <f>IF(AMAZON_FASHION_5__2[[#This Row],[overall]]&gt;=4,"Positive",IF(AMAZON_FASHION_5__2[[#This Row],[overall]]&lt;=2,"Negative","Neutral"))</f>
        <v>Neutral</v>
      </c>
      <c r="S23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92" spans="1:19" x14ac:dyDescent="0.25">
      <c r="A2392">
        <v>5</v>
      </c>
      <c r="B2392" t="b">
        <v>1</v>
      </c>
      <c r="C2392" s="1">
        <v>43216</v>
      </c>
      <c r="D2392">
        <f>YEAR(AMAZON_FASHION_5__2[[#This Row],[reviewDate]])</f>
        <v>2018</v>
      </c>
      <c r="E2392" s="1" t="str">
        <f>TEXT(AMAZON_FASHION_5__2[[#This Row],[reviewDate]], "mmmm")</f>
        <v>April</v>
      </c>
      <c r="F2392" t="s">
        <v>1448</v>
      </c>
      <c r="G2392" t="s">
        <v>1566</v>
      </c>
      <c r="H2392" t="s">
        <v>1598</v>
      </c>
      <c r="I2392" t="s">
        <v>435</v>
      </c>
      <c r="J2392" t="s">
        <v>1449</v>
      </c>
      <c r="K2392" t="s">
        <v>1450</v>
      </c>
      <c r="L2392" t="s">
        <v>17</v>
      </c>
      <c r="M2392">
        <v>1524700800</v>
      </c>
      <c r="N2392" t="s">
        <v>1628</v>
      </c>
      <c r="O2392" t="s">
        <v>1628</v>
      </c>
      <c r="P2392" t="s">
        <v>1628</v>
      </c>
      <c r="Q2392">
        <f>LEN(AMAZON_FASHION_5__2[[#This Row],[reviewText]])</f>
        <v>43</v>
      </c>
      <c r="R2392" t="str">
        <f>IF(AMAZON_FASHION_5__2[[#This Row],[overall]]&gt;=4,"Positive",IF(AMAZON_FASHION_5__2[[#This Row],[overall]]&lt;=2,"Negative","Neutral"))</f>
        <v>Positive</v>
      </c>
      <c r="S23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93" spans="1:19" x14ac:dyDescent="0.25">
      <c r="A2393">
        <v>5</v>
      </c>
      <c r="B2393" t="b">
        <v>1</v>
      </c>
      <c r="C2393" s="1">
        <v>43214</v>
      </c>
      <c r="D2393">
        <f>YEAR(AMAZON_FASHION_5__2[[#This Row],[reviewDate]])</f>
        <v>2018</v>
      </c>
      <c r="E2393" s="1" t="str">
        <f>TEXT(AMAZON_FASHION_5__2[[#This Row],[reviewDate]], "mmmm")</f>
        <v>April</v>
      </c>
      <c r="F2393" t="s">
        <v>1451</v>
      </c>
      <c r="G2393" t="s">
        <v>1566</v>
      </c>
      <c r="H2393" t="s">
        <v>205</v>
      </c>
      <c r="I2393" t="s">
        <v>198</v>
      </c>
      <c r="J2393" t="s">
        <v>1452</v>
      </c>
      <c r="K2393" t="s">
        <v>1453</v>
      </c>
      <c r="L2393" t="s">
        <v>1454</v>
      </c>
      <c r="M2393">
        <v>1524528000</v>
      </c>
      <c r="N2393" t="s">
        <v>1628</v>
      </c>
      <c r="O2393" t="s">
        <v>1628</v>
      </c>
      <c r="P2393" t="s">
        <v>1628</v>
      </c>
      <c r="Q2393">
        <f>LEN(AMAZON_FASHION_5__2[[#This Row],[reviewText]])</f>
        <v>160</v>
      </c>
      <c r="R2393" t="str">
        <f>IF(AMAZON_FASHION_5__2[[#This Row],[overall]]&gt;=4,"Positive",IF(AMAZON_FASHION_5__2[[#This Row],[overall]]&lt;=2,"Negative","Neutral"))</f>
        <v>Positive</v>
      </c>
      <c r="S23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94" spans="1:19" x14ac:dyDescent="0.25">
      <c r="A2394">
        <v>5</v>
      </c>
      <c r="B2394" t="b">
        <v>1</v>
      </c>
      <c r="C2394" s="1">
        <v>43212</v>
      </c>
      <c r="D2394">
        <f>YEAR(AMAZON_FASHION_5__2[[#This Row],[reviewDate]])</f>
        <v>2018</v>
      </c>
      <c r="E2394" s="1" t="str">
        <f>TEXT(AMAZON_FASHION_5__2[[#This Row],[reviewDate]], "mmmm")</f>
        <v>April</v>
      </c>
      <c r="F2394" t="s">
        <v>244</v>
      </c>
      <c r="G2394" t="s">
        <v>1566</v>
      </c>
      <c r="H2394" t="s">
        <v>1574</v>
      </c>
      <c r="I2394" t="s">
        <v>198</v>
      </c>
      <c r="J2394" t="s">
        <v>245</v>
      </c>
      <c r="K2394" t="s">
        <v>246</v>
      </c>
      <c r="L2394" t="s">
        <v>247</v>
      </c>
      <c r="M2394">
        <v>1524355200</v>
      </c>
      <c r="N2394" t="s">
        <v>1628</v>
      </c>
      <c r="O2394" t="s">
        <v>1628</v>
      </c>
      <c r="P2394" t="s">
        <v>1628</v>
      </c>
      <c r="Q2394">
        <f>LEN(AMAZON_FASHION_5__2[[#This Row],[reviewText]])</f>
        <v>148</v>
      </c>
      <c r="R2394" t="str">
        <f>IF(AMAZON_FASHION_5__2[[#This Row],[overall]]&gt;=4,"Positive",IF(AMAZON_FASHION_5__2[[#This Row],[overall]]&lt;=2,"Negative","Neutral"))</f>
        <v>Positive</v>
      </c>
      <c r="S23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95" spans="1:19" x14ac:dyDescent="0.25">
      <c r="A2395">
        <v>3</v>
      </c>
      <c r="B2395" t="b">
        <v>1</v>
      </c>
      <c r="C2395" s="1">
        <v>43209</v>
      </c>
      <c r="D2395">
        <f>YEAR(AMAZON_FASHION_5__2[[#This Row],[reviewDate]])</f>
        <v>2018</v>
      </c>
      <c r="E2395" s="1" t="str">
        <f>TEXT(AMAZON_FASHION_5__2[[#This Row],[reviewDate]], "mmmm")</f>
        <v>April</v>
      </c>
      <c r="F2395" t="s">
        <v>248</v>
      </c>
      <c r="G2395" t="s">
        <v>1566</v>
      </c>
      <c r="H2395" t="s">
        <v>1567</v>
      </c>
      <c r="I2395" t="s">
        <v>249</v>
      </c>
      <c r="J2395" t="s">
        <v>250</v>
      </c>
      <c r="K2395" t="s">
        <v>251</v>
      </c>
      <c r="L2395" t="s">
        <v>252</v>
      </c>
      <c r="M2395">
        <v>1524096000</v>
      </c>
      <c r="N2395" t="s">
        <v>1628</v>
      </c>
      <c r="O2395" t="s">
        <v>1628</v>
      </c>
      <c r="P2395" t="s">
        <v>1628</v>
      </c>
      <c r="Q2395">
        <f>LEN(AMAZON_FASHION_5__2[[#This Row],[reviewText]])</f>
        <v>125</v>
      </c>
      <c r="R2395" t="str">
        <f>IF(AMAZON_FASHION_5__2[[#This Row],[overall]]&gt;=4,"Positive",IF(AMAZON_FASHION_5__2[[#This Row],[overall]]&lt;=2,"Negative","Neutral"))</f>
        <v>Neutral</v>
      </c>
      <c r="S23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96" spans="1:19" x14ac:dyDescent="0.25">
      <c r="A2396">
        <v>5</v>
      </c>
      <c r="B2396" t="b">
        <v>1</v>
      </c>
      <c r="C2396" s="1">
        <v>43208</v>
      </c>
      <c r="D2396">
        <f>YEAR(AMAZON_FASHION_5__2[[#This Row],[reviewDate]])</f>
        <v>2018</v>
      </c>
      <c r="E2396" s="1" t="str">
        <f>TEXT(AMAZON_FASHION_5__2[[#This Row],[reviewDate]], "mmmm")</f>
        <v>April</v>
      </c>
      <c r="F2396" t="s">
        <v>253</v>
      </c>
      <c r="G2396" t="s">
        <v>1566</v>
      </c>
      <c r="H2396" t="s">
        <v>205</v>
      </c>
      <c r="I2396" t="s">
        <v>198</v>
      </c>
      <c r="J2396" t="s">
        <v>254</v>
      </c>
      <c r="K2396" t="s">
        <v>255</v>
      </c>
      <c r="L2396" t="s">
        <v>256</v>
      </c>
      <c r="M2396">
        <v>1524009600</v>
      </c>
      <c r="N2396" t="s">
        <v>1628</v>
      </c>
      <c r="O2396" t="s">
        <v>1628</v>
      </c>
      <c r="P2396" t="s">
        <v>1628</v>
      </c>
      <c r="Q2396">
        <f>LEN(AMAZON_FASHION_5__2[[#This Row],[reviewText]])</f>
        <v>123</v>
      </c>
      <c r="R2396" t="str">
        <f>IF(AMAZON_FASHION_5__2[[#This Row],[overall]]&gt;=4,"Positive",IF(AMAZON_FASHION_5__2[[#This Row],[overall]]&lt;=2,"Negative","Neutral"))</f>
        <v>Positive</v>
      </c>
      <c r="S23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97" spans="1:19" x14ac:dyDescent="0.25">
      <c r="A2397">
        <v>5</v>
      </c>
      <c r="B2397" t="b">
        <v>1</v>
      </c>
      <c r="C2397" s="1">
        <v>43208</v>
      </c>
      <c r="D2397">
        <f>YEAR(AMAZON_FASHION_5__2[[#This Row],[reviewDate]])</f>
        <v>2018</v>
      </c>
      <c r="E2397" s="1" t="str">
        <f>TEXT(AMAZON_FASHION_5__2[[#This Row],[reviewDate]], "mmmm")</f>
        <v>April</v>
      </c>
      <c r="F2397" t="s">
        <v>257</v>
      </c>
      <c r="G2397" t="s">
        <v>1566</v>
      </c>
      <c r="H2397" t="s">
        <v>1574</v>
      </c>
      <c r="I2397" t="s">
        <v>249</v>
      </c>
      <c r="J2397" t="s">
        <v>63</v>
      </c>
      <c r="K2397" t="s">
        <v>258</v>
      </c>
      <c r="L2397" t="s">
        <v>259</v>
      </c>
      <c r="M2397">
        <v>1524009600</v>
      </c>
      <c r="N2397" t="s">
        <v>1628</v>
      </c>
      <c r="O2397" t="s">
        <v>1628</v>
      </c>
      <c r="P2397" t="s">
        <v>1628</v>
      </c>
      <c r="Q2397">
        <f>LEN(AMAZON_FASHION_5__2[[#This Row],[reviewText]])</f>
        <v>155</v>
      </c>
      <c r="R2397" t="str">
        <f>IF(AMAZON_FASHION_5__2[[#This Row],[overall]]&gt;=4,"Positive",IF(AMAZON_FASHION_5__2[[#This Row],[overall]]&lt;=2,"Negative","Neutral"))</f>
        <v>Positive</v>
      </c>
      <c r="S23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98" spans="1:19" x14ac:dyDescent="0.25">
      <c r="A2398">
        <v>5</v>
      </c>
      <c r="B2398" t="b">
        <v>1</v>
      </c>
      <c r="C2398" s="1">
        <v>43206</v>
      </c>
      <c r="D2398">
        <f>YEAR(AMAZON_FASHION_5__2[[#This Row],[reviewDate]])</f>
        <v>2018</v>
      </c>
      <c r="E2398" s="1" t="str">
        <f>TEXT(AMAZON_FASHION_5__2[[#This Row],[reviewDate]], "mmmm")</f>
        <v>April</v>
      </c>
      <c r="F2398" t="s">
        <v>260</v>
      </c>
      <c r="G2398" t="s">
        <v>1566</v>
      </c>
      <c r="H2398" t="s">
        <v>1595</v>
      </c>
      <c r="I2398" t="s">
        <v>1455</v>
      </c>
      <c r="J2398" t="s">
        <v>263</v>
      </c>
      <c r="K2398" t="s">
        <v>264</v>
      </c>
      <c r="L2398" t="s">
        <v>265</v>
      </c>
      <c r="M2398">
        <v>1523836800</v>
      </c>
      <c r="N2398" t="s">
        <v>1628</v>
      </c>
      <c r="O2398" t="s">
        <v>1628</v>
      </c>
      <c r="P2398" t="s">
        <v>1628</v>
      </c>
      <c r="Q2398">
        <f>LEN(AMAZON_FASHION_5__2[[#This Row],[reviewText]])</f>
        <v>158</v>
      </c>
      <c r="R2398" t="str">
        <f>IF(AMAZON_FASHION_5__2[[#This Row],[overall]]&gt;=4,"Positive",IF(AMAZON_FASHION_5__2[[#This Row],[overall]]&lt;=2,"Negative","Neutral"))</f>
        <v>Positive</v>
      </c>
      <c r="S23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399" spans="1:19" x14ac:dyDescent="0.25">
      <c r="A2399">
        <v>5</v>
      </c>
      <c r="B2399" t="b">
        <v>1</v>
      </c>
      <c r="C2399" s="1">
        <v>43205</v>
      </c>
      <c r="D2399">
        <f>YEAR(AMAZON_FASHION_5__2[[#This Row],[reviewDate]])</f>
        <v>2018</v>
      </c>
      <c r="E2399" s="1" t="str">
        <f>TEXT(AMAZON_FASHION_5__2[[#This Row],[reviewDate]], "mmmm")</f>
        <v>April</v>
      </c>
      <c r="F2399" t="s">
        <v>266</v>
      </c>
      <c r="G2399" t="s">
        <v>1566</v>
      </c>
      <c r="H2399" t="s">
        <v>210</v>
      </c>
      <c r="I2399" t="s">
        <v>198</v>
      </c>
      <c r="J2399" t="s">
        <v>267</v>
      </c>
      <c r="K2399" t="s">
        <v>268</v>
      </c>
      <c r="L2399" t="s">
        <v>269</v>
      </c>
      <c r="M2399">
        <v>1523750400</v>
      </c>
      <c r="N2399" t="s">
        <v>1628</v>
      </c>
      <c r="O2399" t="s">
        <v>1628</v>
      </c>
      <c r="P2399">
        <v>3</v>
      </c>
      <c r="Q2399">
        <f>LEN(AMAZON_FASHION_5__2[[#This Row],[reviewText]])</f>
        <v>774</v>
      </c>
      <c r="R2399" t="str">
        <f>IF(AMAZON_FASHION_5__2[[#This Row],[overall]]&gt;=4,"Positive",IF(AMAZON_FASHION_5__2[[#This Row],[overall]]&lt;=2,"Negative","Neutral"))</f>
        <v>Positive</v>
      </c>
      <c r="S23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00" spans="1:19" x14ac:dyDescent="0.25">
      <c r="A2400">
        <v>3</v>
      </c>
      <c r="B2400" t="b">
        <v>1</v>
      </c>
      <c r="C2400" s="1">
        <v>43203</v>
      </c>
      <c r="D2400">
        <f>YEAR(AMAZON_FASHION_5__2[[#This Row],[reviewDate]])</f>
        <v>2018</v>
      </c>
      <c r="E2400" s="1" t="str">
        <f>TEXT(AMAZON_FASHION_5__2[[#This Row],[reviewDate]], "mmmm")</f>
        <v>April</v>
      </c>
      <c r="F2400" t="s">
        <v>270</v>
      </c>
      <c r="G2400" t="s">
        <v>1566</v>
      </c>
      <c r="H2400" t="s">
        <v>1578</v>
      </c>
      <c r="I2400" t="s">
        <v>249</v>
      </c>
      <c r="J2400" t="s">
        <v>271</v>
      </c>
      <c r="K2400" t="s">
        <v>272</v>
      </c>
      <c r="L2400" t="s">
        <v>101</v>
      </c>
      <c r="M2400">
        <v>1523577600</v>
      </c>
      <c r="N2400" t="s">
        <v>1628</v>
      </c>
      <c r="O2400" t="s">
        <v>1628</v>
      </c>
      <c r="P2400" t="s">
        <v>1628</v>
      </c>
      <c r="Q2400">
        <f>LEN(AMAZON_FASHION_5__2[[#This Row],[reviewText]])</f>
        <v>85</v>
      </c>
      <c r="R2400" t="str">
        <f>IF(AMAZON_FASHION_5__2[[#This Row],[overall]]&gt;=4,"Positive",IF(AMAZON_FASHION_5__2[[#This Row],[overall]]&lt;=2,"Negative","Neutral"))</f>
        <v>Neutral</v>
      </c>
      <c r="S24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01" spans="1:19" x14ac:dyDescent="0.25">
      <c r="A2401">
        <v>3</v>
      </c>
      <c r="B2401" t="b">
        <v>1</v>
      </c>
      <c r="C2401" s="1">
        <v>43199</v>
      </c>
      <c r="D2401">
        <f>YEAR(AMAZON_FASHION_5__2[[#This Row],[reviewDate]])</f>
        <v>2018</v>
      </c>
      <c r="E2401" s="1" t="str">
        <f>TEXT(AMAZON_FASHION_5__2[[#This Row],[reviewDate]], "mmmm")</f>
        <v>April</v>
      </c>
      <c r="F2401" t="s">
        <v>273</v>
      </c>
      <c r="G2401" t="s">
        <v>1566</v>
      </c>
      <c r="H2401" t="s">
        <v>1574</v>
      </c>
      <c r="I2401" t="s">
        <v>274</v>
      </c>
      <c r="J2401" t="s">
        <v>275</v>
      </c>
      <c r="K2401" t="s">
        <v>276</v>
      </c>
      <c r="L2401" t="s">
        <v>101</v>
      </c>
      <c r="M2401">
        <v>1523232000</v>
      </c>
      <c r="N2401" t="s">
        <v>1628</v>
      </c>
      <c r="O2401" t="s">
        <v>1628</v>
      </c>
      <c r="P2401" t="s">
        <v>1628</v>
      </c>
      <c r="Q2401">
        <f>LEN(AMAZON_FASHION_5__2[[#This Row],[reviewText]])</f>
        <v>4</v>
      </c>
      <c r="R2401" t="str">
        <f>IF(AMAZON_FASHION_5__2[[#This Row],[overall]]&gt;=4,"Positive",IF(AMAZON_FASHION_5__2[[#This Row],[overall]]&lt;=2,"Negative","Neutral"))</f>
        <v>Neutral</v>
      </c>
      <c r="S24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02" spans="1:19" x14ac:dyDescent="0.25">
      <c r="A2402">
        <v>5</v>
      </c>
      <c r="B2402" t="b">
        <v>1</v>
      </c>
      <c r="C2402" s="1">
        <v>43199</v>
      </c>
      <c r="D2402">
        <f>YEAR(AMAZON_FASHION_5__2[[#This Row],[reviewDate]])</f>
        <v>2018</v>
      </c>
      <c r="E2402" s="1" t="str">
        <f>TEXT(AMAZON_FASHION_5__2[[#This Row],[reviewDate]], "mmmm")</f>
        <v>April</v>
      </c>
      <c r="F2402" t="s">
        <v>277</v>
      </c>
      <c r="G2402" t="s">
        <v>1566</v>
      </c>
      <c r="H2402" t="s">
        <v>1574</v>
      </c>
      <c r="I2402" t="s">
        <v>198</v>
      </c>
      <c r="J2402" t="s">
        <v>278</v>
      </c>
      <c r="K2402" t="s">
        <v>279</v>
      </c>
      <c r="L2402" t="s">
        <v>17</v>
      </c>
      <c r="M2402">
        <v>1523232000</v>
      </c>
      <c r="N2402" t="s">
        <v>1628</v>
      </c>
      <c r="O2402" t="s">
        <v>1628</v>
      </c>
      <c r="P2402" t="s">
        <v>1628</v>
      </c>
      <c r="Q2402">
        <f>LEN(AMAZON_FASHION_5__2[[#This Row],[reviewText]])</f>
        <v>7</v>
      </c>
      <c r="R2402" t="str">
        <f>IF(AMAZON_FASHION_5__2[[#This Row],[overall]]&gt;=4,"Positive",IF(AMAZON_FASHION_5__2[[#This Row],[overall]]&lt;=2,"Negative","Neutral"))</f>
        <v>Positive</v>
      </c>
      <c r="S24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03" spans="1:19" x14ac:dyDescent="0.25">
      <c r="A2403">
        <v>5</v>
      </c>
      <c r="B2403" t="b">
        <v>1</v>
      </c>
      <c r="C2403" s="1">
        <v>43198</v>
      </c>
      <c r="D2403">
        <f>YEAR(AMAZON_FASHION_5__2[[#This Row],[reviewDate]])</f>
        <v>2018</v>
      </c>
      <c r="E2403" s="1" t="str">
        <f>TEXT(AMAZON_FASHION_5__2[[#This Row],[reviewDate]], "mmmm")</f>
        <v>April</v>
      </c>
      <c r="F2403" t="s">
        <v>280</v>
      </c>
      <c r="G2403" t="s">
        <v>1566</v>
      </c>
      <c r="H2403" t="s">
        <v>1578</v>
      </c>
      <c r="I2403" t="s">
        <v>198</v>
      </c>
      <c r="J2403" t="s">
        <v>281</v>
      </c>
      <c r="K2403" t="s">
        <v>282</v>
      </c>
      <c r="L2403" t="s">
        <v>247</v>
      </c>
      <c r="M2403">
        <v>1523145600</v>
      </c>
      <c r="N2403" t="s">
        <v>1628</v>
      </c>
      <c r="O2403" t="s">
        <v>1628</v>
      </c>
      <c r="P2403" t="s">
        <v>1628</v>
      </c>
      <c r="Q2403">
        <f>LEN(AMAZON_FASHION_5__2[[#This Row],[reviewText]])</f>
        <v>157</v>
      </c>
      <c r="R2403" t="str">
        <f>IF(AMAZON_FASHION_5__2[[#This Row],[overall]]&gt;=4,"Positive",IF(AMAZON_FASHION_5__2[[#This Row],[overall]]&lt;=2,"Negative","Neutral"))</f>
        <v>Positive</v>
      </c>
      <c r="S24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04" spans="1:19" x14ac:dyDescent="0.25">
      <c r="A2404">
        <v>5</v>
      </c>
      <c r="B2404" t="b">
        <v>1</v>
      </c>
      <c r="C2404" s="1">
        <v>43197</v>
      </c>
      <c r="D2404">
        <f>YEAR(AMAZON_FASHION_5__2[[#This Row],[reviewDate]])</f>
        <v>2018</v>
      </c>
      <c r="E2404" s="1" t="str">
        <f>TEXT(AMAZON_FASHION_5__2[[#This Row],[reviewDate]], "mmmm")</f>
        <v>April</v>
      </c>
      <c r="F2404" t="s">
        <v>283</v>
      </c>
      <c r="G2404" t="s">
        <v>1566</v>
      </c>
      <c r="H2404" t="s">
        <v>284</v>
      </c>
      <c r="I2404" t="s">
        <v>274</v>
      </c>
      <c r="J2404" t="s">
        <v>285</v>
      </c>
      <c r="K2404" t="s">
        <v>18</v>
      </c>
      <c r="L2404" t="s">
        <v>17</v>
      </c>
      <c r="M2404">
        <v>1523059200</v>
      </c>
      <c r="N2404" t="s">
        <v>1628</v>
      </c>
      <c r="O2404" t="s">
        <v>1628</v>
      </c>
      <c r="P2404" t="s">
        <v>1628</v>
      </c>
      <c r="Q2404">
        <f>LEN(AMAZON_FASHION_5__2[[#This Row],[reviewText]])</f>
        <v>0</v>
      </c>
      <c r="R2404" t="str">
        <f>IF(AMAZON_FASHION_5__2[[#This Row],[overall]]&gt;=4,"Positive",IF(AMAZON_FASHION_5__2[[#This Row],[overall]]&lt;=2,"Negative","Neutral"))</f>
        <v>Positive</v>
      </c>
      <c r="S24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05" spans="1:19" x14ac:dyDescent="0.25">
      <c r="A2405">
        <v>5</v>
      </c>
      <c r="B2405" t="b">
        <v>1</v>
      </c>
      <c r="C2405" s="1">
        <v>43194</v>
      </c>
      <c r="D2405">
        <f>YEAR(AMAZON_FASHION_5__2[[#This Row],[reviewDate]])</f>
        <v>2018</v>
      </c>
      <c r="E2405" s="1" t="str">
        <f>TEXT(AMAZON_FASHION_5__2[[#This Row],[reviewDate]], "mmmm")</f>
        <v>April</v>
      </c>
      <c r="F2405" t="s">
        <v>286</v>
      </c>
      <c r="G2405" t="s">
        <v>1566</v>
      </c>
      <c r="H2405" t="s">
        <v>210</v>
      </c>
      <c r="I2405" t="s">
        <v>198</v>
      </c>
      <c r="J2405" t="s">
        <v>287</v>
      </c>
      <c r="K2405" t="s">
        <v>288</v>
      </c>
      <c r="L2405" t="s">
        <v>289</v>
      </c>
      <c r="M2405">
        <v>1522800000</v>
      </c>
      <c r="N2405" t="s">
        <v>1628</v>
      </c>
      <c r="O2405" t="s">
        <v>1628</v>
      </c>
      <c r="P2405" t="s">
        <v>1628</v>
      </c>
      <c r="Q2405">
        <f>LEN(AMAZON_FASHION_5__2[[#This Row],[reviewText]])</f>
        <v>35</v>
      </c>
      <c r="R2405" t="str">
        <f>IF(AMAZON_FASHION_5__2[[#This Row],[overall]]&gt;=4,"Positive",IF(AMAZON_FASHION_5__2[[#This Row],[overall]]&lt;=2,"Negative","Neutral"))</f>
        <v>Positive</v>
      </c>
      <c r="S24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06" spans="1:19" x14ac:dyDescent="0.25">
      <c r="A2406">
        <v>4</v>
      </c>
      <c r="B2406" t="b">
        <v>1</v>
      </c>
      <c r="C2406" s="1">
        <v>43193</v>
      </c>
      <c r="D2406">
        <f>YEAR(AMAZON_FASHION_5__2[[#This Row],[reviewDate]])</f>
        <v>2018</v>
      </c>
      <c r="E2406" s="1" t="str">
        <f>TEXT(AMAZON_FASHION_5__2[[#This Row],[reviewDate]], "mmmm")</f>
        <v>April</v>
      </c>
      <c r="F2406" t="s">
        <v>290</v>
      </c>
      <c r="G2406" t="s">
        <v>1566</v>
      </c>
      <c r="H2406" t="s">
        <v>1571</v>
      </c>
      <c r="I2406" t="s">
        <v>274</v>
      </c>
      <c r="J2406" t="s">
        <v>291</v>
      </c>
      <c r="K2406" t="s">
        <v>292</v>
      </c>
      <c r="L2406" t="s">
        <v>293</v>
      </c>
      <c r="M2406">
        <v>1522713600</v>
      </c>
      <c r="N2406" t="s">
        <v>1628</v>
      </c>
      <c r="O2406" t="s">
        <v>1628</v>
      </c>
      <c r="P2406" t="s">
        <v>1628</v>
      </c>
      <c r="Q2406">
        <f>LEN(AMAZON_FASHION_5__2[[#This Row],[reviewText]])</f>
        <v>213</v>
      </c>
      <c r="R2406" t="str">
        <f>IF(AMAZON_FASHION_5__2[[#This Row],[overall]]&gt;=4,"Positive",IF(AMAZON_FASHION_5__2[[#This Row],[overall]]&lt;=2,"Negative","Neutral"))</f>
        <v>Positive</v>
      </c>
      <c r="S24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07" spans="1:19" x14ac:dyDescent="0.25">
      <c r="A2407">
        <v>5</v>
      </c>
      <c r="B2407" t="b">
        <v>1</v>
      </c>
      <c r="C2407" s="1">
        <v>43193</v>
      </c>
      <c r="D2407">
        <f>YEAR(AMAZON_FASHION_5__2[[#This Row],[reviewDate]])</f>
        <v>2018</v>
      </c>
      <c r="E2407" s="1" t="str">
        <f>TEXT(AMAZON_FASHION_5__2[[#This Row],[reviewDate]], "mmmm")</f>
        <v>April</v>
      </c>
      <c r="F2407" t="s">
        <v>294</v>
      </c>
      <c r="G2407" t="s">
        <v>1566</v>
      </c>
      <c r="H2407" t="s">
        <v>210</v>
      </c>
      <c r="I2407" t="s">
        <v>198</v>
      </c>
      <c r="J2407" t="s">
        <v>295</v>
      </c>
      <c r="K2407" t="s">
        <v>296</v>
      </c>
      <c r="L2407" t="s">
        <v>297</v>
      </c>
      <c r="M2407">
        <v>1522713600</v>
      </c>
      <c r="N2407" t="s">
        <v>1628</v>
      </c>
      <c r="O2407" t="s">
        <v>1628</v>
      </c>
      <c r="P2407" t="s">
        <v>1628</v>
      </c>
      <c r="Q2407">
        <f>LEN(AMAZON_FASHION_5__2[[#This Row],[reviewText]])</f>
        <v>105</v>
      </c>
      <c r="R2407" t="str">
        <f>IF(AMAZON_FASHION_5__2[[#This Row],[overall]]&gt;=4,"Positive",IF(AMAZON_FASHION_5__2[[#This Row],[overall]]&lt;=2,"Negative","Neutral"))</f>
        <v>Positive</v>
      </c>
      <c r="S24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08" spans="1:19" x14ac:dyDescent="0.25">
      <c r="A2408">
        <v>5</v>
      </c>
      <c r="B2408" t="b">
        <v>1</v>
      </c>
      <c r="C2408" s="1">
        <v>43190</v>
      </c>
      <c r="D2408">
        <f>YEAR(AMAZON_FASHION_5__2[[#This Row],[reviewDate]])</f>
        <v>2018</v>
      </c>
      <c r="E2408" s="1" t="str">
        <f>TEXT(AMAZON_FASHION_5__2[[#This Row],[reviewDate]], "mmmm")</f>
        <v>March</v>
      </c>
      <c r="F2408" t="s">
        <v>298</v>
      </c>
      <c r="G2408" t="s">
        <v>1566</v>
      </c>
      <c r="H2408" t="s">
        <v>1571</v>
      </c>
      <c r="I2408" t="s">
        <v>198</v>
      </c>
      <c r="J2408" t="s">
        <v>299</v>
      </c>
      <c r="K2408" t="s">
        <v>300</v>
      </c>
      <c r="L2408" t="s">
        <v>301</v>
      </c>
      <c r="M2408">
        <v>1522454400</v>
      </c>
      <c r="N2408" t="s">
        <v>1628</v>
      </c>
      <c r="O2408" t="s">
        <v>1628</v>
      </c>
      <c r="P2408" t="s">
        <v>1628</v>
      </c>
      <c r="Q2408">
        <f>LEN(AMAZON_FASHION_5__2[[#This Row],[reviewText]])</f>
        <v>48</v>
      </c>
      <c r="R2408" t="str">
        <f>IF(AMAZON_FASHION_5__2[[#This Row],[overall]]&gt;=4,"Positive",IF(AMAZON_FASHION_5__2[[#This Row],[overall]]&lt;=2,"Negative","Neutral"))</f>
        <v>Positive</v>
      </c>
      <c r="S24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09" spans="1:19" x14ac:dyDescent="0.25">
      <c r="A2409">
        <v>5</v>
      </c>
      <c r="B2409" t="b">
        <v>1</v>
      </c>
      <c r="C2409" s="1">
        <v>43187</v>
      </c>
      <c r="D2409">
        <f>YEAR(AMAZON_FASHION_5__2[[#This Row],[reviewDate]])</f>
        <v>2018</v>
      </c>
      <c r="E2409" s="1" t="str">
        <f>TEXT(AMAZON_FASHION_5__2[[#This Row],[reviewDate]], "mmmm")</f>
        <v>March</v>
      </c>
      <c r="F2409" t="s">
        <v>302</v>
      </c>
      <c r="G2409" t="s">
        <v>1566</v>
      </c>
      <c r="H2409" t="s">
        <v>197</v>
      </c>
      <c r="I2409" t="s">
        <v>303</v>
      </c>
      <c r="J2409" t="s">
        <v>304</v>
      </c>
      <c r="K2409" t="s">
        <v>305</v>
      </c>
      <c r="L2409" t="s">
        <v>306</v>
      </c>
      <c r="M2409">
        <v>1522195200</v>
      </c>
      <c r="N2409" t="s">
        <v>1628</v>
      </c>
      <c r="O2409" t="s">
        <v>1628</v>
      </c>
      <c r="P2409" t="s">
        <v>1628</v>
      </c>
      <c r="Q2409">
        <f>LEN(AMAZON_FASHION_5__2[[#This Row],[reviewText]])</f>
        <v>90</v>
      </c>
      <c r="R2409" t="str">
        <f>IF(AMAZON_FASHION_5__2[[#This Row],[overall]]&gt;=4,"Positive",IF(AMAZON_FASHION_5__2[[#This Row],[overall]]&lt;=2,"Negative","Neutral"))</f>
        <v>Positive</v>
      </c>
      <c r="S24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10" spans="1:19" x14ac:dyDescent="0.25">
      <c r="A2410">
        <v>3</v>
      </c>
      <c r="B2410" t="b">
        <v>1</v>
      </c>
      <c r="C2410" s="1">
        <v>43186</v>
      </c>
      <c r="D2410">
        <f>YEAR(AMAZON_FASHION_5__2[[#This Row],[reviewDate]])</f>
        <v>2018</v>
      </c>
      <c r="E2410" s="1" t="str">
        <f>TEXT(AMAZON_FASHION_5__2[[#This Row],[reviewDate]], "mmmm")</f>
        <v>March</v>
      </c>
      <c r="F2410" t="s">
        <v>307</v>
      </c>
      <c r="G2410" t="s">
        <v>1566</v>
      </c>
      <c r="H2410" t="s">
        <v>1571</v>
      </c>
      <c r="I2410" t="s">
        <v>274</v>
      </c>
      <c r="J2410" t="s">
        <v>308</v>
      </c>
      <c r="K2410" t="s">
        <v>309</v>
      </c>
      <c r="L2410" t="s">
        <v>310</v>
      </c>
      <c r="M2410">
        <v>1522108800</v>
      </c>
      <c r="N2410" t="s">
        <v>1628</v>
      </c>
      <c r="O2410" t="s">
        <v>1628</v>
      </c>
      <c r="P2410" t="s">
        <v>1628</v>
      </c>
      <c r="Q2410">
        <f>LEN(AMAZON_FASHION_5__2[[#This Row],[reviewText]])</f>
        <v>121</v>
      </c>
      <c r="R2410" t="str">
        <f>IF(AMAZON_FASHION_5__2[[#This Row],[overall]]&gt;=4,"Positive",IF(AMAZON_FASHION_5__2[[#This Row],[overall]]&lt;=2,"Negative","Neutral"))</f>
        <v>Neutral</v>
      </c>
      <c r="S24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11" spans="1:19" x14ac:dyDescent="0.25">
      <c r="A2411">
        <v>5</v>
      </c>
      <c r="B2411" t="b">
        <v>1</v>
      </c>
      <c r="C2411" s="1">
        <v>43181</v>
      </c>
      <c r="D2411">
        <f>YEAR(AMAZON_FASHION_5__2[[#This Row],[reviewDate]])</f>
        <v>2018</v>
      </c>
      <c r="E2411" s="1" t="str">
        <f>TEXT(AMAZON_FASHION_5__2[[#This Row],[reviewDate]], "mmmm")</f>
        <v>March</v>
      </c>
      <c r="F2411" t="s">
        <v>311</v>
      </c>
      <c r="G2411" t="s">
        <v>1566</v>
      </c>
      <c r="H2411" t="s">
        <v>1567</v>
      </c>
      <c r="I2411" t="s">
        <v>249</v>
      </c>
      <c r="J2411" t="s">
        <v>312</v>
      </c>
      <c r="K2411" t="s">
        <v>313</v>
      </c>
      <c r="L2411" t="s">
        <v>314</v>
      </c>
      <c r="M2411">
        <v>1521676800</v>
      </c>
      <c r="N2411" t="s">
        <v>1628</v>
      </c>
      <c r="O2411" t="s">
        <v>1628</v>
      </c>
      <c r="P2411">
        <v>2</v>
      </c>
      <c r="Q2411">
        <f>LEN(AMAZON_FASHION_5__2[[#This Row],[reviewText]])</f>
        <v>277</v>
      </c>
      <c r="R2411" t="str">
        <f>IF(AMAZON_FASHION_5__2[[#This Row],[overall]]&gt;=4,"Positive",IF(AMAZON_FASHION_5__2[[#This Row],[overall]]&lt;=2,"Negative","Neutral"))</f>
        <v>Positive</v>
      </c>
      <c r="S24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12" spans="1:19" x14ac:dyDescent="0.25">
      <c r="A2412">
        <v>5</v>
      </c>
      <c r="B2412" t="b">
        <v>1</v>
      </c>
      <c r="C2412" s="1">
        <v>43181</v>
      </c>
      <c r="D2412">
        <f>YEAR(AMAZON_FASHION_5__2[[#This Row],[reviewDate]])</f>
        <v>2018</v>
      </c>
      <c r="E2412" s="1" t="str">
        <f>TEXT(AMAZON_FASHION_5__2[[#This Row],[reviewDate]], "mmmm")</f>
        <v>March</v>
      </c>
      <c r="F2412" t="s">
        <v>315</v>
      </c>
      <c r="G2412" t="s">
        <v>1566</v>
      </c>
      <c r="H2412" t="s">
        <v>205</v>
      </c>
      <c r="I2412" t="s">
        <v>198</v>
      </c>
      <c r="J2412" t="s">
        <v>316</v>
      </c>
      <c r="K2412" t="s">
        <v>317</v>
      </c>
      <c r="L2412" t="s">
        <v>318</v>
      </c>
      <c r="M2412">
        <v>1521676800</v>
      </c>
      <c r="N2412" t="s">
        <v>1628</v>
      </c>
      <c r="O2412" t="s">
        <v>1628</v>
      </c>
      <c r="P2412" t="s">
        <v>1628</v>
      </c>
      <c r="Q2412">
        <f>LEN(AMAZON_FASHION_5__2[[#This Row],[reviewText]])</f>
        <v>129</v>
      </c>
      <c r="R2412" t="str">
        <f>IF(AMAZON_FASHION_5__2[[#This Row],[overall]]&gt;=4,"Positive",IF(AMAZON_FASHION_5__2[[#This Row],[overall]]&lt;=2,"Negative","Neutral"))</f>
        <v>Positive</v>
      </c>
      <c r="S24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13" spans="1:19" x14ac:dyDescent="0.25">
      <c r="A2413">
        <v>5</v>
      </c>
      <c r="B2413" t="b">
        <v>1</v>
      </c>
      <c r="C2413" s="1">
        <v>43180</v>
      </c>
      <c r="D2413">
        <f>YEAR(AMAZON_FASHION_5__2[[#This Row],[reviewDate]])</f>
        <v>2018</v>
      </c>
      <c r="E2413" s="1" t="str">
        <f>TEXT(AMAZON_FASHION_5__2[[#This Row],[reviewDate]], "mmmm")</f>
        <v>March</v>
      </c>
      <c r="F2413" t="s">
        <v>319</v>
      </c>
      <c r="G2413" t="s">
        <v>1566</v>
      </c>
      <c r="H2413" t="s">
        <v>1599</v>
      </c>
      <c r="I2413" t="s">
        <v>274</v>
      </c>
      <c r="J2413" t="s">
        <v>321</v>
      </c>
      <c r="K2413" t="s">
        <v>322</v>
      </c>
      <c r="L2413" t="s">
        <v>17</v>
      </c>
      <c r="M2413">
        <v>1521590400</v>
      </c>
      <c r="N2413" t="s">
        <v>1628</v>
      </c>
      <c r="O2413" t="s">
        <v>1628</v>
      </c>
      <c r="P2413" t="s">
        <v>1628</v>
      </c>
      <c r="Q2413">
        <f>LEN(AMAZON_FASHION_5__2[[#This Row],[reviewText]])</f>
        <v>56</v>
      </c>
      <c r="R2413" t="str">
        <f>IF(AMAZON_FASHION_5__2[[#This Row],[overall]]&gt;=4,"Positive",IF(AMAZON_FASHION_5__2[[#This Row],[overall]]&lt;=2,"Negative","Neutral"))</f>
        <v>Positive</v>
      </c>
      <c r="S24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14" spans="1:19" x14ac:dyDescent="0.25">
      <c r="A2414">
        <v>5</v>
      </c>
      <c r="B2414" t="b">
        <v>1</v>
      </c>
      <c r="C2414" s="1">
        <v>43179</v>
      </c>
      <c r="D2414">
        <f>YEAR(AMAZON_FASHION_5__2[[#This Row],[reviewDate]])</f>
        <v>2018</v>
      </c>
      <c r="E2414" s="1" t="str">
        <f>TEXT(AMAZON_FASHION_5__2[[#This Row],[reviewDate]], "mmmm")</f>
        <v>March</v>
      </c>
      <c r="F2414" t="s">
        <v>323</v>
      </c>
      <c r="G2414" t="s">
        <v>1566</v>
      </c>
      <c r="H2414" t="s">
        <v>1578</v>
      </c>
      <c r="I2414" t="s">
        <v>198</v>
      </c>
      <c r="J2414" t="s">
        <v>324</v>
      </c>
      <c r="K2414" t="s">
        <v>325</v>
      </c>
      <c r="L2414" t="s">
        <v>326</v>
      </c>
      <c r="M2414">
        <v>1521504000</v>
      </c>
      <c r="N2414" t="s">
        <v>1628</v>
      </c>
      <c r="O2414" t="s">
        <v>1628</v>
      </c>
      <c r="P2414" t="s">
        <v>1628</v>
      </c>
      <c r="Q2414">
        <f>LEN(AMAZON_FASHION_5__2[[#This Row],[reviewText]])</f>
        <v>137</v>
      </c>
      <c r="R2414" t="str">
        <f>IF(AMAZON_FASHION_5__2[[#This Row],[overall]]&gt;=4,"Positive",IF(AMAZON_FASHION_5__2[[#This Row],[overall]]&lt;=2,"Negative","Neutral"))</f>
        <v>Positive</v>
      </c>
      <c r="S24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15" spans="1:19" x14ac:dyDescent="0.25">
      <c r="A2415">
        <v>5</v>
      </c>
      <c r="B2415" t="b">
        <v>1</v>
      </c>
      <c r="C2415" s="1">
        <v>43178</v>
      </c>
      <c r="D2415">
        <f>YEAR(AMAZON_FASHION_5__2[[#This Row],[reviewDate]])</f>
        <v>2018</v>
      </c>
      <c r="E2415" s="1" t="str">
        <f>TEXT(AMAZON_FASHION_5__2[[#This Row],[reviewDate]], "mmmm")</f>
        <v>March</v>
      </c>
      <c r="F2415" t="s">
        <v>327</v>
      </c>
      <c r="G2415" t="s">
        <v>1566</v>
      </c>
      <c r="H2415" t="s">
        <v>1571</v>
      </c>
      <c r="I2415" t="s">
        <v>198</v>
      </c>
      <c r="J2415" t="s">
        <v>328</v>
      </c>
      <c r="K2415" t="s">
        <v>329</v>
      </c>
      <c r="L2415" t="s">
        <v>330</v>
      </c>
      <c r="M2415">
        <v>1521417600</v>
      </c>
      <c r="N2415" t="s">
        <v>1628</v>
      </c>
      <c r="O2415" t="s">
        <v>1628</v>
      </c>
      <c r="P2415" t="s">
        <v>1628</v>
      </c>
      <c r="Q2415">
        <f>LEN(AMAZON_FASHION_5__2[[#This Row],[reviewText]])</f>
        <v>211</v>
      </c>
      <c r="R2415" t="str">
        <f>IF(AMAZON_FASHION_5__2[[#This Row],[overall]]&gt;=4,"Positive",IF(AMAZON_FASHION_5__2[[#This Row],[overall]]&lt;=2,"Negative","Neutral"))</f>
        <v>Positive</v>
      </c>
      <c r="S24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16" spans="1:19" x14ac:dyDescent="0.25">
      <c r="A2416">
        <v>5</v>
      </c>
      <c r="B2416" t="b">
        <v>1</v>
      </c>
      <c r="C2416" s="1">
        <v>43178</v>
      </c>
      <c r="D2416">
        <f>YEAR(AMAZON_FASHION_5__2[[#This Row],[reviewDate]])</f>
        <v>2018</v>
      </c>
      <c r="E2416" s="1" t="str">
        <f>TEXT(AMAZON_FASHION_5__2[[#This Row],[reviewDate]], "mmmm")</f>
        <v>March</v>
      </c>
      <c r="F2416" t="s">
        <v>331</v>
      </c>
      <c r="G2416" t="s">
        <v>1566</v>
      </c>
      <c r="H2416" t="s">
        <v>230</v>
      </c>
      <c r="I2416" t="s">
        <v>303</v>
      </c>
      <c r="J2416" t="s">
        <v>332</v>
      </c>
      <c r="K2416" t="s">
        <v>333</v>
      </c>
      <c r="L2416" t="s">
        <v>17</v>
      </c>
      <c r="M2416">
        <v>1521417600</v>
      </c>
      <c r="N2416" t="s">
        <v>1628</v>
      </c>
      <c r="O2416" t="s">
        <v>1628</v>
      </c>
      <c r="P2416" t="s">
        <v>1628</v>
      </c>
      <c r="Q2416">
        <f>LEN(AMAZON_FASHION_5__2[[#This Row],[reviewText]])</f>
        <v>15</v>
      </c>
      <c r="R2416" t="str">
        <f>IF(AMAZON_FASHION_5__2[[#This Row],[overall]]&gt;=4,"Positive",IF(AMAZON_FASHION_5__2[[#This Row],[overall]]&lt;=2,"Negative","Neutral"))</f>
        <v>Positive</v>
      </c>
      <c r="S24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17" spans="1:19" x14ac:dyDescent="0.25">
      <c r="A2417">
        <v>4</v>
      </c>
      <c r="B2417" t="b">
        <v>1</v>
      </c>
      <c r="C2417" s="1">
        <v>43176</v>
      </c>
      <c r="D2417">
        <f>YEAR(AMAZON_FASHION_5__2[[#This Row],[reviewDate]])</f>
        <v>2018</v>
      </c>
      <c r="E2417" s="1" t="str">
        <f>TEXT(AMAZON_FASHION_5__2[[#This Row],[reviewDate]], "mmmm")</f>
        <v>March</v>
      </c>
      <c r="F2417" t="s">
        <v>334</v>
      </c>
      <c r="G2417" t="s">
        <v>1566</v>
      </c>
      <c r="H2417" t="s">
        <v>1499</v>
      </c>
      <c r="I2417" t="s">
        <v>336</v>
      </c>
      <c r="J2417" t="s">
        <v>337</v>
      </c>
      <c r="K2417" t="s">
        <v>338</v>
      </c>
      <c r="L2417" t="s">
        <v>339</v>
      </c>
      <c r="M2417">
        <v>1521244800</v>
      </c>
      <c r="N2417" t="s">
        <v>1628</v>
      </c>
      <c r="O2417" t="s">
        <v>1628</v>
      </c>
      <c r="P2417" t="s">
        <v>1628</v>
      </c>
      <c r="Q2417">
        <f>LEN(AMAZON_FASHION_5__2[[#This Row],[reviewText]])</f>
        <v>127</v>
      </c>
      <c r="R2417" t="str">
        <f>IF(AMAZON_FASHION_5__2[[#This Row],[overall]]&gt;=4,"Positive",IF(AMAZON_FASHION_5__2[[#This Row],[overall]]&lt;=2,"Negative","Neutral"))</f>
        <v>Positive</v>
      </c>
      <c r="S24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18" spans="1:19" x14ac:dyDescent="0.25">
      <c r="A2418">
        <v>5</v>
      </c>
      <c r="B2418" t="b">
        <v>1</v>
      </c>
      <c r="C2418" s="1">
        <v>43172</v>
      </c>
      <c r="D2418">
        <f>YEAR(AMAZON_FASHION_5__2[[#This Row],[reviewDate]])</f>
        <v>2018</v>
      </c>
      <c r="E2418" s="1" t="str">
        <f>TEXT(AMAZON_FASHION_5__2[[#This Row],[reviewDate]], "mmmm")</f>
        <v>March</v>
      </c>
      <c r="F2418" t="s">
        <v>340</v>
      </c>
      <c r="G2418" t="s">
        <v>1566</v>
      </c>
      <c r="H2418" t="s">
        <v>235</v>
      </c>
      <c r="I2418" t="s">
        <v>198</v>
      </c>
      <c r="J2418" t="s">
        <v>341</v>
      </c>
      <c r="K2418" t="s">
        <v>342</v>
      </c>
      <c r="L2418" t="s">
        <v>269</v>
      </c>
      <c r="M2418">
        <v>1520899200</v>
      </c>
      <c r="N2418" t="s">
        <v>1628</v>
      </c>
      <c r="O2418" t="s">
        <v>1628</v>
      </c>
      <c r="P2418" t="s">
        <v>1628</v>
      </c>
      <c r="Q2418">
        <f>LEN(AMAZON_FASHION_5__2[[#This Row],[reviewText]])</f>
        <v>174</v>
      </c>
      <c r="R2418" t="str">
        <f>IF(AMAZON_FASHION_5__2[[#This Row],[overall]]&gt;=4,"Positive",IF(AMAZON_FASHION_5__2[[#This Row],[overall]]&lt;=2,"Negative","Neutral"))</f>
        <v>Positive</v>
      </c>
      <c r="S24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19" spans="1:19" x14ac:dyDescent="0.25">
      <c r="A2419">
        <v>1</v>
      </c>
      <c r="B2419" t="b">
        <v>1</v>
      </c>
      <c r="C2419" s="1">
        <v>43170</v>
      </c>
      <c r="D2419">
        <f>YEAR(AMAZON_FASHION_5__2[[#This Row],[reviewDate]])</f>
        <v>2018</v>
      </c>
      <c r="E2419" s="1" t="str">
        <f>TEXT(AMAZON_FASHION_5__2[[#This Row],[reviewDate]], "mmmm")</f>
        <v>March</v>
      </c>
      <c r="F2419" t="s">
        <v>343</v>
      </c>
      <c r="G2419" t="s">
        <v>1566</v>
      </c>
      <c r="H2419" t="s">
        <v>1598</v>
      </c>
      <c r="I2419" t="s">
        <v>344</v>
      </c>
      <c r="J2419" t="s">
        <v>345</v>
      </c>
      <c r="K2419" t="s">
        <v>346</v>
      </c>
      <c r="L2419" t="s">
        <v>347</v>
      </c>
      <c r="M2419">
        <v>1520726400</v>
      </c>
      <c r="N2419" t="s">
        <v>1628</v>
      </c>
      <c r="O2419" t="s">
        <v>1628</v>
      </c>
      <c r="P2419" t="s">
        <v>1628</v>
      </c>
      <c r="Q2419">
        <f>LEN(AMAZON_FASHION_5__2[[#This Row],[reviewText]])</f>
        <v>22</v>
      </c>
      <c r="R2419" t="str">
        <f>IF(AMAZON_FASHION_5__2[[#This Row],[overall]]&gt;=4,"Positive",IF(AMAZON_FASHION_5__2[[#This Row],[overall]]&lt;=2,"Negative","Neutral"))</f>
        <v>Negative</v>
      </c>
      <c r="S24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20" spans="1:19" x14ac:dyDescent="0.25">
      <c r="A2420">
        <v>5</v>
      </c>
      <c r="B2420" t="b">
        <v>1</v>
      </c>
      <c r="C2420" s="1">
        <v>43164</v>
      </c>
      <c r="D2420">
        <f>YEAR(AMAZON_FASHION_5__2[[#This Row],[reviewDate]])</f>
        <v>2018</v>
      </c>
      <c r="E2420" s="1" t="str">
        <f>TEXT(AMAZON_FASHION_5__2[[#This Row],[reviewDate]], "mmmm")</f>
        <v>March</v>
      </c>
      <c r="F2420" t="s">
        <v>348</v>
      </c>
      <c r="G2420" t="s">
        <v>1566</v>
      </c>
      <c r="H2420" t="s">
        <v>210</v>
      </c>
      <c r="I2420" t="s">
        <v>198</v>
      </c>
      <c r="J2420" t="s">
        <v>63</v>
      </c>
      <c r="K2420" t="s">
        <v>349</v>
      </c>
      <c r="L2420" t="s">
        <v>350</v>
      </c>
      <c r="M2420">
        <v>1520208000</v>
      </c>
      <c r="N2420" t="s">
        <v>1628</v>
      </c>
      <c r="O2420" t="s">
        <v>1628</v>
      </c>
      <c r="P2420" t="s">
        <v>1628</v>
      </c>
      <c r="Q2420">
        <f>LEN(AMAZON_FASHION_5__2[[#This Row],[reviewText]])</f>
        <v>22</v>
      </c>
      <c r="R2420" t="str">
        <f>IF(AMAZON_FASHION_5__2[[#This Row],[overall]]&gt;=4,"Positive",IF(AMAZON_FASHION_5__2[[#This Row],[overall]]&lt;=2,"Negative","Neutral"))</f>
        <v>Positive</v>
      </c>
      <c r="S24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21" spans="1:19" x14ac:dyDescent="0.25">
      <c r="A2421">
        <v>5</v>
      </c>
      <c r="B2421" t="b">
        <v>1</v>
      </c>
      <c r="C2421" s="1">
        <v>43161</v>
      </c>
      <c r="D2421">
        <f>YEAR(AMAZON_FASHION_5__2[[#This Row],[reviewDate]])</f>
        <v>2018</v>
      </c>
      <c r="E2421" s="1" t="str">
        <f>TEXT(AMAZON_FASHION_5__2[[#This Row],[reviewDate]], "mmmm")</f>
        <v>March</v>
      </c>
      <c r="F2421" t="s">
        <v>351</v>
      </c>
      <c r="G2421" t="s">
        <v>1566</v>
      </c>
      <c r="H2421" t="s">
        <v>1600</v>
      </c>
      <c r="I2421" t="s">
        <v>198</v>
      </c>
      <c r="J2421" t="s">
        <v>352</v>
      </c>
      <c r="K2421" t="s">
        <v>353</v>
      </c>
      <c r="L2421" t="s">
        <v>354</v>
      </c>
      <c r="M2421">
        <v>1519948800</v>
      </c>
      <c r="N2421" t="s">
        <v>1628</v>
      </c>
      <c r="O2421" t="s">
        <v>1628</v>
      </c>
      <c r="P2421" t="s">
        <v>1628</v>
      </c>
      <c r="Q2421">
        <f>LEN(AMAZON_FASHION_5__2[[#This Row],[reviewText]])</f>
        <v>100</v>
      </c>
      <c r="R2421" t="str">
        <f>IF(AMAZON_FASHION_5__2[[#This Row],[overall]]&gt;=4,"Positive",IF(AMAZON_FASHION_5__2[[#This Row],[overall]]&lt;=2,"Negative","Neutral"))</f>
        <v>Positive</v>
      </c>
      <c r="S24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22" spans="1:19" x14ac:dyDescent="0.25">
      <c r="A2422">
        <v>5</v>
      </c>
      <c r="B2422" t="b">
        <v>1</v>
      </c>
      <c r="C2422" s="1">
        <v>43159</v>
      </c>
      <c r="D2422">
        <f>YEAR(AMAZON_FASHION_5__2[[#This Row],[reviewDate]])</f>
        <v>2018</v>
      </c>
      <c r="E2422" s="1" t="str">
        <f>TEXT(AMAZON_FASHION_5__2[[#This Row],[reviewDate]], "mmmm")</f>
        <v>February</v>
      </c>
      <c r="F2422" t="s">
        <v>355</v>
      </c>
      <c r="G2422" t="s">
        <v>1566</v>
      </c>
      <c r="H2422" t="s">
        <v>235</v>
      </c>
      <c r="I2422" t="s">
        <v>198</v>
      </c>
      <c r="J2422" t="s">
        <v>356</v>
      </c>
      <c r="K2422" t="s">
        <v>357</v>
      </c>
      <c r="L2422" t="s">
        <v>358</v>
      </c>
      <c r="M2422">
        <v>1519776000</v>
      </c>
      <c r="N2422" t="s">
        <v>1628</v>
      </c>
      <c r="O2422" t="s">
        <v>1628</v>
      </c>
      <c r="P2422" t="s">
        <v>1628</v>
      </c>
      <c r="Q2422">
        <f>LEN(AMAZON_FASHION_5__2[[#This Row],[reviewText]])</f>
        <v>58</v>
      </c>
      <c r="R2422" t="str">
        <f>IF(AMAZON_FASHION_5__2[[#This Row],[overall]]&gt;=4,"Positive",IF(AMAZON_FASHION_5__2[[#This Row],[overall]]&lt;=2,"Negative","Neutral"))</f>
        <v>Positive</v>
      </c>
      <c r="S24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23" spans="1:19" x14ac:dyDescent="0.25">
      <c r="A2423">
        <v>5</v>
      </c>
      <c r="B2423" t="b">
        <v>1</v>
      </c>
      <c r="C2423" s="1">
        <v>43158</v>
      </c>
      <c r="D2423">
        <f>YEAR(AMAZON_FASHION_5__2[[#This Row],[reviewDate]])</f>
        <v>2018</v>
      </c>
      <c r="E2423" s="1" t="str">
        <f>TEXT(AMAZON_FASHION_5__2[[#This Row],[reviewDate]], "mmmm")</f>
        <v>February</v>
      </c>
      <c r="F2423" t="s">
        <v>359</v>
      </c>
      <c r="G2423" t="s">
        <v>1566</v>
      </c>
      <c r="H2423" t="s">
        <v>1571</v>
      </c>
      <c r="I2423" t="s">
        <v>198</v>
      </c>
      <c r="J2423" t="s">
        <v>63</v>
      </c>
      <c r="K2423" t="s">
        <v>360</v>
      </c>
      <c r="L2423" t="s">
        <v>361</v>
      </c>
      <c r="M2423">
        <v>1519689600</v>
      </c>
      <c r="N2423" t="s">
        <v>1628</v>
      </c>
      <c r="O2423" t="s">
        <v>1628</v>
      </c>
      <c r="P2423" t="s">
        <v>1628</v>
      </c>
      <c r="Q2423">
        <f>LEN(AMAZON_FASHION_5__2[[#This Row],[reviewText]])</f>
        <v>269</v>
      </c>
      <c r="R2423" t="str">
        <f>IF(AMAZON_FASHION_5__2[[#This Row],[overall]]&gt;=4,"Positive",IF(AMAZON_FASHION_5__2[[#This Row],[overall]]&lt;=2,"Negative","Neutral"))</f>
        <v>Positive</v>
      </c>
      <c r="S24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24" spans="1:19" x14ac:dyDescent="0.25">
      <c r="A2424">
        <v>5</v>
      </c>
      <c r="B2424" t="b">
        <v>1</v>
      </c>
      <c r="C2424" s="1">
        <v>43158</v>
      </c>
      <c r="D2424">
        <f>YEAR(AMAZON_FASHION_5__2[[#This Row],[reviewDate]])</f>
        <v>2018</v>
      </c>
      <c r="E2424" s="1" t="str">
        <f>TEXT(AMAZON_FASHION_5__2[[#This Row],[reviewDate]], "mmmm")</f>
        <v>February</v>
      </c>
      <c r="F2424" t="s">
        <v>362</v>
      </c>
      <c r="G2424" t="s">
        <v>1566</v>
      </c>
      <c r="H2424" t="s">
        <v>1571</v>
      </c>
      <c r="I2424" t="s">
        <v>249</v>
      </c>
      <c r="J2424" t="s">
        <v>363</v>
      </c>
      <c r="K2424" t="s">
        <v>364</v>
      </c>
      <c r="L2424" t="s">
        <v>365</v>
      </c>
      <c r="M2424">
        <v>1519689600</v>
      </c>
      <c r="N2424" t="s">
        <v>1628</v>
      </c>
      <c r="O2424" t="s">
        <v>1628</v>
      </c>
      <c r="P2424" t="s">
        <v>1628</v>
      </c>
      <c r="Q2424">
        <f>LEN(AMAZON_FASHION_5__2[[#This Row],[reviewText]])</f>
        <v>152</v>
      </c>
      <c r="R2424" t="str">
        <f>IF(AMAZON_FASHION_5__2[[#This Row],[overall]]&gt;=4,"Positive",IF(AMAZON_FASHION_5__2[[#This Row],[overall]]&lt;=2,"Negative","Neutral"))</f>
        <v>Positive</v>
      </c>
      <c r="S24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25" spans="1:19" x14ac:dyDescent="0.25">
      <c r="A2425">
        <v>5</v>
      </c>
      <c r="B2425" t="b">
        <v>1</v>
      </c>
      <c r="C2425" s="1">
        <v>43158</v>
      </c>
      <c r="D2425">
        <f>YEAR(AMAZON_FASHION_5__2[[#This Row],[reviewDate]])</f>
        <v>2018</v>
      </c>
      <c r="E2425" s="1" t="str">
        <f>TEXT(AMAZON_FASHION_5__2[[#This Row],[reviewDate]], "mmmm")</f>
        <v>February</v>
      </c>
      <c r="F2425" t="s">
        <v>366</v>
      </c>
      <c r="G2425" t="s">
        <v>1566</v>
      </c>
      <c r="H2425" t="s">
        <v>205</v>
      </c>
      <c r="I2425" t="s">
        <v>198</v>
      </c>
      <c r="J2425" t="s">
        <v>367</v>
      </c>
      <c r="K2425" t="s">
        <v>368</v>
      </c>
      <c r="L2425" t="s">
        <v>369</v>
      </c>
      <c r="M2425">
        <v>1519689600</v>
      </c>
      <c r="N2425" t="s">
        <v>1628</v>
      </c>
      <c r="O2425" t="s">
        <v>1628</v>
      </c>
      <c r="P2425" t="s">
        <v>1628</v>
      </c>
      <c r="Q2425">
        <f>LEN(AMAZON_FASHION_5__2[[#This Row],[reviewText]])</f>
        <v>46</v>
      </c>
      <c r="R2425" t="str">
        <f>IF(AMAZON_FASHION_5__2[[#This Row],[overall]]&gt;=4,"Positive",IF(AMAZON_FASHION_5__2[[#This Row],[overall]]&lt;=2,"Negative","Neutral"))</f>
        <v>Positive</v>
      </c>
      <c r="S24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26" spans="1:19" x14ac:dyDescent="0.25">
      <c r="A2426">
        <v>1</v>
      </c>
      <c r="B2426" t="b">
        <v>1</v>
      </c>
      <c r="C2426" s="1">
        <v>43156</v>
      </c>
      <c r="D2426">
        <f>YEAR(AMAZON_FASHION_5__2[[#This Row],[reviewDate]])</f>
        <v>2018</v>
      </c>
      <c r="E2426" s="1" t="str">
        <f>TEXT(AMAZON_FASHION_5__2[[#This Row],[reviewDate]], "mmmm")</f>
        <v>February</v>
      </c>
      <c r="F2426" t="s">
        <v>370</v>
      </c>
      <c r="G2426" t="s">
        <v>1566</v>
      </c>
      <c r="H2426" t="s">
        <v>1571</v>
      </c>
      <c r="I2426" t="s">
        <v>198</v>
      </c>
      <c r="J2426" t="s">
        <v>371</v>
      </c>
      <c r="K2426" t="s">
        <v>372</v>
      </c>
      <c r="L2426" t="s">
        <v>373</v>
      </c>
      <c r="M2426">
        <v>1519516800</v>
      </c>
      <c r="N2426" t="s">
        <v>1628</v>
      </c>
      <c r="O2426" t="s">
        <v>1628</v>
      </c>
      <c r="P2426" t="s">
        <v>1628</v>
      </c>
      <c r="Q2426">
        <f>LEN(AMAZON_FASHION_5__2[[#This Row],[reviewText]])</f>
        <v>282</v>
      </c>
      <c r="R2426" t="str">
        <f>IF(AMAZON_FASHION_5__2[[#This Row],[overall]]&gt;=4,"Positive",IF(AMAZON_FASHION_5__2[[#This Row],[overall]]&lt;=2,"Negative","Neutral"))</f>
        <v>Negative</v>
      </c>
      <c r="S24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27" spans="1:19" x14ac:dyDescent="0.25">
      <c r="A2427">
        <v>2</v>
      </c>
      <c r="B2427" t="b">
        <v>1</v>
      </c>
      <c r="C2427" s="1">
        <v>43156</v>
      </c>
      <c r="D2427">
        <f>YEAR(AMAZON_FASHION_5__2[[#This Row],[reviewDate]])</f>
        <v>2018</v>
      </c>
      <c r="E2427" s="1" t="str">
        <f>TEXT(AMAZON_FASHION_5__2[[#This Row],[reviewDate]], "mmmm")</f>
        <v>February</v>
      </c>
      <c r="F2427" t="s">
        <v>374</v>
      </c>
      <c r="G2427" t="s">
        <v>1566</v>
      </c>
      <c r="H2427" t="s">
        <v>210</v>
      </c>
      <c r="I2427" t="s">
        <v>198</v>
      </c>
      <c r="J2427" t="s">
        <v>63</v>
      </c>
      <c r="K2427" t="s">
        <v>375</v>
      </c>
      <c r="L2427" t="s">
        <v>376</v>
      </c>
      <c r="M2427">
        <v>1519516800</v>
      </c>
      <c r="N2427" t="s">
        <v>1628</v>
      </c>
      <c r="O2427" t="s">
        <v>1628</v>
      </c>
      <c r="P2427" t="s">
        <v>1628</v>
      </c>
      <c r="Q2427">
        <f>LEN(AMAZON_FASHION_5__2[[#This Row],[reviewText]])</f>
        <v>89</v>
      </c>
      <c r="R2427" t="str">
        <f>IF(AMAZON_FASHION_5__2[[#This Row],[overall]]&gt;=4,"Positive",IF(AMAZON_FASHION_5__2[[#This Row],[overall]]&lt;=2,"Negative","Neutral"))</f>
        <v>Negative</v>
      </c>
      <c r="S24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28" spans="1:19" x14ac:dyDescent="0.25">
      <c r="A2428">
        <v>5</v>
      </c>
      <c r="B2428" t="b">
        <v>1</v>
      </c>
      <c r="C2428" s="1">
        <v>43152</v>
      </c>
      <c r="D2428">
        <f>YEAR(AMAZON_FASHION_5__2[[#This Row],[reviewDate]])</f>
        <v>2018</v>
      </c>
      <c r="E2428" s="1" t="str">
        <f>TEXT(AMAZON_FASHION_5__2[[#This Row],[reviewDate]], "mmmm")</f>
        <v>February</v>
      </c>
      <c r="F2428" t="s">
        <v>377</v>
      </c>
      <c r="G2428" t="s">
        <v>1566</v>
      </c>
      <c r="H2428" t="s">
        <v>1578</v>
      </c>
      <c r="I2428" t="s">
        <v>198</v>
      </c>
      <c r="J2428" t="s">
        <v>378</v>
      </c>
      <c r="K2428" t="s">
        <v>379</v>
      </c>
      <c r="L2428" t="s">
        <v>380</v>
      </c>
      <c r="M2428">
        <v>1519171200</v>
      </c>
      <c r="N2428" t="s">
        <v>1628</v>
      </c>
      <c r="O2428" t="s">
        <v>1628</v>
      </c>
      <c r="P2428" t="s">
        <v>1628</v>
      </c>
      <c r="Q2428">
        <f>LEN(AMAZON_FASHION_5__2[[#This Row],[reviewText]])</f>
        <v>45</v>
      </c>
      <c r="R2428" t="str">
        <f>IF(AMAZON_FASHION_5__2[[#This Row],[overall]]&gt;=4,"Positive",IF(AMAZON_FASHION_5__2[[#This Row],[overall]]&lt;=2,"Negative","Neutral"))</f>
        <v>Positive</v>
      </c>
      <c r="S24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29" spans="1:19" x14ac:dyDescent="0.25">
      <c r="A2429">
        <v>5</v>
      </c>
      <c r="B2429" t="b">
        <v>1</v>
      </c>
      <c r="C2429" s="1">
        <v>43151</v>
      </c>
      <c r="D2429">
        <f>YEAR(AMAZON_FASHION_5__2[[#This Row],[reviewDate]])</f>
        <v>2018</v>
      </c>
      <c r="E2429" s="1" t="str">
        <f>TEXT(AMAZON_FASHION_5__2[[#This Row],[reviewDate]], "mmmm")</f>
        <v>February</v>
      </c>
      <c r="F2429" t="s">
        <v>381</v>
      </c>
      <c r="G2429" t="s">
        <v>1566</v>
      </c>
      <c r="H2429" t="s">
        <v>235</v>
      </c>
      <c r="I2429" t="s">
        <v>274</v>
      </c>
      <c r="J2429" t="s">
        <v>382</v>
      </c>
      <c r="K2429" t="s">
        <v>383</v>
      </c>
      <c r="L2429" t="s">
        <v>384</v>
      </c>
      <c r="M2429">
        <v>1519084800</v>
      </c>
      <c r="N2429" t="s">
        <v>1628</v>
      </c>
      <c r="O2429" t="s">
        <v>1628</v>
      </c>
      <c r="P2429" t="s">
        <v>1628</v>
      </c>
      <c r="Q2429">
        <f>LEN(AMAZON_FASHION_5__2[[#This Row],[reviewText]])</f>
        <v>47</v>
      </c>
      <c r="R2429" t="str">
        <f>IF(AMAZON_FASHION_5__2[[#This Row],[overall]]&gt;=4,"Positive",IF(AMAZON_FASHION_5__2[[#This Row],[overall]]&lt;=2,"Negative","Neutral"))</f>
        <v>Positive</v>
      </c>
      <c r="S24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30" spans="1:19" x14ac:dyDescent="0.25">
      <c r="A2430">
        <v>5</v>
      </c>
      <c r="B2430" t="b">
        <v>1</v>
      </c>
      <c r="C2430" s="1">
        <v>43145</v>
      </c>
      <c r="D2430">
        <f>YEAR(AMAZON_FASHION_5__2[[#This Row],[reviewDate]])</f>
        <v>2018</v>
      </c>
      <c r="E2430" s="1" t="str">
        <f>TEXT(AMAZON_FASHION_5__2[[#This Row],[reviewDate]], "mmmm")</f>
        <v>February</v>
      </c>
      <c r="F2430" t="s">
        <v>385</v>
      </c>
      <c r="G2430" t="s">
        <v>1566</v>
      </c>
      <c r="H2430" t="s">
        <v>1571</v>
      </c>
      <c r="I2430" t="s">
        <v>249</v>
      </c>
      <c r="J2430" t="s">
        <v>386</v>
      </c>
      <c r="K2430" t="s">
        <v>387</v>
      </c>
      <c r="L2430" t="s">
        <v>17</v>
      </c>
      <c r="M2430">
        <v>1518566400</v>
      </c>
      <c r="N2430" t="s">
        <v>1628</v>
      </c>
      <c r="O2430" t="s">
        <v>1628</v>
      </c>
      <c r="P2430" t="s">
        <v>1628</v>
      </c>
      <c r="Q2430">
        <f>LEN(AMAZON_FASHION_5__2[[#This Row],[reviewText]])</f>
        <v>46</v>
      </c>
      <c r="R2430" t="str">
        <f>IF(AMAZON_FASHION_5__2[[#This Row],[overall]]&gt;=4,"Positive",IF(AMAZON_FASHION_5__2[[#This Row],[overall]]&lt;=2,"Negative","Neutral"))</f>
        <v>Positive</v>
      </c>
      <c r="S24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31" spans="1:19" x14ac:dyDescent="0.25">
      <c r="A2431">
        <v>5</v>
      </c>
      <c r="B2431" t="b">
        <v>1</v>
      </c>
      <c r="C2431" s="1">
        <v>43145</v>
      </c>
      <c r="D2431">
        <f>YEAR(AMAZON_FASHION_5__2[[#This Row],[reviewDate]])</f>
        <v>2018</v>
      </c>
      <c r="E2431" s="1" t="str">
        <f>TEXT(AMAZON_FASHION_5__2[[#This Row],[reviewDate]], "mmmm")</f>
        <v>February</v>
      </c>
      <c r="F2431" t="s">
        <v>388</v>
      </c>
      <c r="G2431" t="s">
        <v>1566</v>
      </c>
      <c r="H2431" t="s">
        <v>1574</v>
      </c>
      <c r="I2431" t="s">
        <v>198</v>
      </c>
      <c r="J2431" t="s">
        <v>63</v>
      </c>
      <c r="K2431" t="s">
        <v>389</v>
      </c>
      <c r="L2431" t="s">
        <v>390</v>
      </c>
      <c r="M2431">
        <v>1518566400</v>
      </c>
      <c r="N2431" t="s">
        <v>1628</v>
      </c>
      <c r="O2431" t="s">
        <v>1628</v>
      </c>
      <c r="P2431" t="s">
        <v>1628</v>
      </c>
      <c r="Q2431">
        <f>LEN(AMAZON_FASHION_5__2[[#This Row],[reviewText]])</f>
        <v>17</v>
      </c>
      <c r="R2431" t="str">
        <f>IF(AMAZON_FASHION_5__2[[#This Row],[overall]]&gt;=4,"Positive",IF(AMAZON_FASHION_5__2[[#This Row],[overall]]&lt;=2,"Negative","Neutral"))</f>
        <v>Positive</v>
      </c>
      <c r="S24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32" spans="1:19" x14ac:dyDescent="0.25">
      <c r="A2432">
        <v>5</v>
      </c>
      <c r="B2432" t="b">
        <v>1</v>
      </c>
      <c r="C2432" s="1">
        <v>43143</v>
      </c>
      <c r="D2432">
        <f>YEAR(AMAZON_FASHION_5__2[[#This Row],[reviewDate]])</f>
        <v>2018</v>
      </c>
      <c r="E2432" s="1" t="str">
        <f>TEXT(AMAZON_FASHION_5__2[[#This Row],[reviewDate]], "mmmm")</f>
        <v>February</v>
      </c>
      <c r="F2432" t="s">
        <v>391</v>
      </c>
      <c r="G2432" t="s">
        <v>1566</v>
      </c>
      <c r="H2432" t="s">
        <v>1578</v>
      </c>
      <c r="I2432" t="s">
        <v>392</v>
      </c>
      <c r="J2432" t="s">
        <v>393</v>
      </c>
      <c r="K2432" t="s">
        <v>394</v>
      </c>
      <c r="L2432" t="s">
        <v>17</v>
      </c>
      <c r="M2432">
        <v>1518393600</v>
      </c>
      <c r="N2432" t="s">
        <v>1628</v>
      </c>
      <c r="O2432" t="s">
        <v>1628</v>
      </c>
      <c r="P2432" t="s">
        <v>1628</v>
      </c>
      <c r="Q2432">
        <f>LEN(AMAZON_FASHION_5__2[[#This Row],[reviewText]])</f>
        <v>19</v>
      </c>
      <c r="R2432" t="str">
        <f>IF(AMAZON_FASHION_5__2[[#This Row],[overall]]&gt;=4,"Positive",IF(AMAZON_FASHION_5__2[[#This Row],[overall]]&lt;=2,"Negative","Neutral"))</f>
        <v>Positive</v>
      </c>
      <c r="S24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33" spans="1:19" x14ac:dyDescent="0.25">
      <c r="A2433">
        <v>5</v>
      </c>
      <c r="B2433" t="b">
        <v>1</v>
      </c>
      <c r="C2433" s="1">
        <v>43132</v>
      </c>
      <c r="D2433">
        <f>YEAR(AMAZON_FASHION_5__2[[#This Row],[reviewDate]])</f>
        <v>2018</v>
      </c>
      <c r="E2433" s="1" t="str">
        <f>TEXT(AMAZON_FASHION_5__2[[#This Row],[reviewDate]], "mmmm")</f>
        <v>February</v>
      </c>
      <c r="F2433" t="s">
        <v>395</v>
      </c>
      <c r="G2433" t="s">
        <v>1566</v>
      </c>
      <c r="H2433" t="s">
        <v>1571</v>
      </c>
      <c r="I2433" t="s">
        <v>396</v>
      </c>
      <c r="J2433" t="s">
        <v>397</v>
      </c>
      <c r="K2433" t="s">
        <v>398</v>
      </c>
      <c r="L2433" t="s">
        <v>399</v>
      </c>
      <c r="M2433">
        <v>1517443200</v>
      </c>
      <c r="N2433" t="s">
        <v>1628</v>
      </c>
      <c r="O2433" t="s">
        <v>1628</v>
      </c>
      <c r="P2433" t="s">
        <v>1628</v>
      </c>
      <c r="Q2433">
        <f>LEN(AMAZON_FASHION_5__2[[#This Row],[reviewText]])</f>
        <v>102</v>
      </c>
      <c r="R2433" t="str">
        <f>IF(AMAZON_FASHION_5__2[[#This Row],[overall]]&gt;=4,"Positive",IF(AMAZON_FASHION_5__2[[#This Row],[overall]]&lt;=2,"Negative","Neutral"))</f>
        <v>Positive</v>
      </c>
      <c r="S24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34" spans="1:19" x14ac:dyDescent="0.25">
      <c r="A2434">
        <v>5</v>
      </c>
      <c r="B2434" t="b">
        <v>1</v>
      </c>
      <c r="C2434" s="1">
        <v>43132</v>
      </c>
      <c r="D2434">
        <f>YEAR(AMAZON_FASHION_5__2[[#This Row],[reviewDate]])</f>
        <v>2018</v>
      </c>
      <c r="E2434" s="1" t="str">
        <f>TEXT(AMAZON_FASHION_5__2[[#This Row],[reviewDate]], "mmmm")</f>
        <v>February</v>
      </c>
      <c r="F2434" t="s">
        <v>400</v>
      </c>
      <c r="G2434" t="s">
        <v>1566</v>
      </c>
      <c r="H2434" t="s">
        <v>1574</v>
      </c>
      <c r="I2434" t="s">
        <v>198</v>
      </c>
      <c r="J2434" t="s">
        <v>401</v>
      </c>
      <c r="K2434" t="s">
        <v>402</v>
      </c>
      <c r="L2434" t="s">
        <v>17</v>
      </c>
      <c r="M2434">
        <v>1517443200</v>
      </c>
      <c r="N2434" t="s">
        <v>1628</v>
      </c>
      <c r="O2434" t="s">
        <v>1628</v>
      </c>
      <c r="P2434" t="s">
        <v>1628</v>
      </c>
      <c r="Q2434">
        <f>LEN(AMAZON_FASHION_5__2[[#This Row],[reviewText]])</f>
        <v>19</v>
      </c>
      <c r="R2434" t="str">
        <f>IF(AMAZON_FASHION_5__2[[#This Row],[overall]]&gt;=4,"Positive",IF(AMAZON_FASHION_5__2[[#This Row],[overall]]&lt;=2,"Negative","Neutral"))</f>
        <v>Positive</v>
      </c>
      <c r="S24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35" spans="1:19" x14ac:dyDescent="0.25">
      <c r="A2435">
        <v>5</v>
      </c>
      <c r="B2435" t="b">
        <v>1</v>
      </c>
      <c r="C2435" s="1">
        <v>43129</v>
      </c>
      <c r="D2435">
        <f>YEAR(AMAZON_FASHION_5__2[[#This Row],[reviewDate]])</f>
        <v>2018</v>
      </c>
      <c r="E2435" s="1" t="str">
        <f>TEXT(AMAZON_FASHION_5__2[[#This Row],[reviewDate]], "mmmm")</f>
        <v>January</v>
      </c>
      <c r="F2435" t="s">
        <v>403</v>
      </c>
      <c r="G2435" t="s">
        <v>1566</v>
      </c>
      <c r="H2435" t="s">
        <v>1599</v>
      </c>
      <c r="I2435" t="s">
        <v>396</v>
      </c>
      <c r="J2435" t="s">
        <v>404</v>
      </c>
      <c r="K2435" t="s">
        <v>405</v>
      </c>
      <c r="L2435" t="s">
        <v>406</v>
      </c>
      <c r="M2435">
        <v>1517184000</v>
      </c>
      <c r="N2435" t="s">
        <v>1628</v>
      </c>
      <c r="O2435" t="s">
        <v>1628</v>
      </c>
      <c r="P2435" t="s">
        <v>1628</v>
      </c>
      <c r="Q2435">
        <f>LEN(AMAZON_FASHION_5__2[[#This Row],[reviewText]])</f>
        <v>132</v>
      </c>
      <c r="R2435" t="str">
        <f>IF(AMAZON_FASHION_5__2[[#This Row],[overall]]&gt;=4,"Positive",IF(AMAZON_FASHION_5__2[[#This Row],[overall]]&lt;=2,"Negative","Neutral"))</f>
        <v>Positive</v>
      </c>
      <c r="S24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36" spans="1:19" x14ac:dyDescent="0.25">
      <c r="A2436">
        <v>4</v>
      </c>
      <c r="B2436" t="b">
        <v>1</v>
      </c>
      <c r="C2436" s="1">
        <v>43125</v>
      </c>
      <c r="D2436">
        <f>YEAR(AMAZON_FASHION_5__2[[#This Row],[reviewDate]])</f>
        <v>2018</v>
      </c>
      <c r="E2436" s="1" t="str">
        <f>TEXT(AMAZON_FASHION_5__2[[#This Row],[reviewDate]], "mmmm")</f>
        <v>January</v>
      </c>
      <c r="F2436" t="s">
        <v>407</v>
      </c>
      <c r="G2436" t="s">
        <v>1566</v>
      </c>
      <c r="H2436" t="s">
        <v>205</v>
      </c>
      <c r="I2436" t="s">
        <v>198</v>
      </c>
      <c r="J2436" t="s">
        <v>408</v>
      </c>
      <c r="K2436" t="s">
        <v>409</v>
      </c>
      <c r="L2436" t="s">
        <v>406</v>
      </c>
      <c r="M2436">
        <v>1516838400</v>
      </c>
      <c r="N2436" t="s">
        <v>1628</v>
      </c>
      <c r="O2436" t="s">
        <v>1628</v>
      </c>
      <c r="P2436" t="s">
        <v>1628</v>
      </c>
      <c r="Q2436">
        <f>LEN(AMAZON_FASHION_5__2[[#This Row],[reviewText]])</f>
        <v>860</v>
      </c>
      <c r="R2436" t="str">
        <f>IF(AMAZON_FASHION_5__2[[#This Row],[overall]]&gt;=4,"Positive",IF(AMAZON_FASHION_5__2[[#This Row],[overall]]&lt;=2,"Negative","Neutral"))</f>
        <v>Positive</v>
      </c>
      <c r="S24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37" spans="1:19" x14ac:dyDescent="0.25">
      <c r="A2437">
        <v>5</v>
      </c>
      <c r="B2437" t="b">
        <v>1</v>
      </c>
      <c r="C2437" s="1">
        <v>43118</v>
      </c>
      <c r="D2437">
        <f>YEAR(AMAZON_FASHION_5__2[[#This Row],[reviewDate]])</f>
        <v>2018</v>
      </c>
      <c r="E2437" s="1" t="str">
        <f>TEXT(AMAZON_FASHION_5__2[[#This Row],[reviewDate]], "mmmm")</f>
        <v>January</v>
      </c>
      <c r="F2437" t="s">
        <v>410</v>
      </c>
      <c r="G2437" t="s">
        <v>1566</v>
      </c>
      <c r="H2437" t="s">
        <v>1568</v>
      </c>
      <c r="I2437" t="s">
        <v>411</v>
      </c>
      <c r="J2437" t="s">
        <v>412</v>
      </c>
      <c r="K2437" t="s">
        <v>413</v>
      </c>
      <c r="L2437" t="s">
        <v>17</v>
      </c>
      <c r="M2437">
        <v>1516233600</v>
      </c>
      <c r="N2437" t="s">
        <v>1628</v>
      </c>
      <c r="O2437" t="s">
        <v>1628</v>
      </c>
      <c r="P2437" t="s">
        <v>1628</v>
      </c>
      <c r="Q2437">
        <f>LEN(AMAZON_FASHION_5__2[[#This Row],[reviewText]])</f>
        <v>16</v>
      </c>
      <c r="R2437" t="str">
        <f>IF(AMAZON_FASHION_5__2[[#This Row],[overall]]&gt;=4,"Positive",IF(AMAZON_FASHION_5__2[[#This Row],[overall]]&lt;=2,"Negative","Neutral"))</f>
        <v>Positive</v>
      </c>
      <c r="S24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38" spans="1:19" x14ac:dyDescent="0.25">
      <c r="A2438">
        <v>5</v>
      </c>
      <c r="B2438" t="b">
        <v>1</v>
      </c>
      <c r="C2438" s="1">
        <v>43111</v>
      </c>
      <c r="D2438">
        <f>YEAR(AMAZON_FASHION_5__2[[#This Row],[reviewDate]])</f>
        <v>2018</v>
      </c>
      <c r="E2438" s="1" t="str">
        <f>TEXT(AMAZON_FASHION_5__2[[#This Row],[reviewDate]], "mmmm")</f>
        <v>January</v>
      </c>
      <c r="F2438" t="s">
        <v>414</v>
      </c>
      <c r="G2438" t="s">
        <v>1566</v>
      </c>
      <c r="H2438" t="s">
        <v>1488</v>
      </c>
      <c r="I2438" t="s">
        <v>336</v>
      </c>
      <c r="J2438" t="s">
        <v>416</v>
      </c>
      <c r="K2438" t="s">
        <v>417</v>
      </c>
      <c r="L2438" t="s">
        <v>17</v>
      </c>
      <c r="M2438">
        <v>1515628800</v>
      </c>
      <c r="N2438" t="s">
        <v>1628</v>
      </c>
      <c r="O2438" t="s">
        <v>1628</v>
      </c>
      <c r="P2438" t="s">
        <v>1628</v>
      </c>
      <c r="Q2438">
        <f>LEN(AMAZON_FASHION_5__2[[#This Row],[reviewText]])</f>
        <v>81</v>
      </c>
      <c r="R2438" t="str">
        <f>IF(AMAZON_FASHION_5__2[[#This Row],[overall]]&gt;=4,"Positive",IF(AMAZON_FASHION_5__2[[#This Row],[overall]]&lt;=2,"Negative","Neutral"))</f>
        <v>Positive</v>
      </c>
      <c r="S24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39" spans="1:19" x14ac:dyDescent="0.25">
      <c r="A2439">
        <v>1</v>
      </c>
      <c r="B2439" t="b">
        <v>1</v>
      </c>
      <c r="C2439" s="1">
        <v>43110</v>
      </c>
      <c r="D2439">
        <f>YEAR(AMAZON_FASHION_5__2[[#This Row],[reviewDate]])</f>
        <v>2018</v>
      </c>
      <c r="E2439" s="1" t="str">
        <f>TEXT(AMAZON_FASHION_5__2[[#This Row],[reviewDate]], "mmmm")</f>
        <v>January</v>
      </c>
      <c r="F2439" t="s">
        <v>418</v>
      </c>
      <c r="G2439" t="s">
        <v>1566</v>
      </c>
      <c r="H2439" t="s">
        <v>1595</v>
      </c>
      <c r="I2439" t="s">
        <v>419</v>
      </c>
      <c r="J2439" t="s">
        <v>420</v>
      </c>
      <c r="K2439" t="s">
        <v>421</v>
      </c>
      <c r="L2439" t="s">
        <v>65</v>
      </c>
      <c r="M2439">
        <v>1515542400</v>
      </c>
      <c r="N2439" t="s">
        <v>1628</v>
      </c>
      <c r="O2439" t="s">
        <v>1628</v>
      </c>
      <c r="P2439" t="s">
        <v>1628</v>
      </c>
      <c r="Q2439">
        <f>LEN(AMAZON_FASHION_5__2[[#This Row],[reviewText]])</f>
        <v>27</v>
      </c>
      <c r="R2439" t="str">
        <f>IF(AMAZON_FASHION_5__2[[#This Row],[overall]]&gt;=4,"Positive",IF(AMAZON_FASHION_5__2[[#This Row],[overall]]&lt;=2,"Negative","Neutral"))</f>
        <v>Negative</v>
      </c>
      <c r="S24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40" spans="1:19" x14ac:dyDescent="0.25">
      <c r="A2440">
        <v>5</v>
      </c>
      <c r="B2440" t="b">
        <v>1</v>
      </c>
      <c r="C2440" s="1">
        <v>43110</v>
      </c>
      <c r="D2440">
        <f>YEAR(AMAZON_FASHION_5__2[[#This Row],[reviewDate]])</f>
        <v>2018</v>
      </c>
      <c r="E2440" s="1" t="str">
        <f>TEXT(AMAZON_FASHION_5__2[[#This Row],[reviewDate]], "mmmm")</f>
        <v>January</v>
      </c>
      <c r="F2440" t="s">
        <v>422</v>
      </c>
      <c r="G2440" t="s">
        <v>1566</v>
      </c>
      <c r="H2440" t="s">
        <v>205</v>
      </c>
      <c r="I2440" t="s">
        <v>198</v>
      </c>
      <c r="J2440" t="s">
        <v>1601</v>
      </c>
      <c r="K2440" t="s">
        <v>424</v>
      </c>
      <c r="L2440" t="s">
        <v>425</v>
      </c>
      <c r="M2440">
        <v>1515542400</v>
      </c>
      <c r="N2440" t="s">
        <v>1628</v>
      </c>
      <c r="O2440" t="s">
        <v>1628</v>
      </c>
      <c r="P2440">
        <v>3</v>
      </c>
      <c r="Q2440">
        <f>LEN(AMAZON_FASHION_5__2[[#This Row],[reviewText]])</f>
        <v>617</v>
      </c>
      <c r="R2440" t="str">
        <f>IF(AMAZON_FASHION_5__2[[#This Row],[overall]]&gt;=4,"Positive",IF(AMAZON_FASHION_5__2[[#This Row],[overall]]&lt;=2,"Negative","Neutral"))</f>
        <v>Positive</v>
      </c>
      <c r="S24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41" spans="1:19" x14ac:dyDescent="0.25">
      <c r="A2441">
        <v>3</v>
      </c>
      <c r="B2441" t="b">
        <v>1</v>
      </c>
      <c r="C2441" s="1">
        <v>43109</v>
      </c>
      <c r="D2441">
        <f>YEAR(AMAZON_FASHION_5__2[[#This Row],[reviewDate]])</f>
        <v>2018</v>
      </c>
      <c r="E2441" s="1" t="str">
        <f>TEXT(AMAZON_FASHION_5__2[[#This Row],[reviewDate]], "mmmm")</f>
        <v>January</v>
      </c>
      <c r="F2441" t="s">
        <v>426</v>
      </c>
      <c r="G2441" t="s">
        <v>1566</v>
      </c>
      <c r="H2441" t="s">
        <v>1598</v>
      </c>
      <c r="I2441" t="s">
        <v>249</v>
      </c>
      <c r="J2441" t="s">
        <v>427</v>
      </c>
      <c r="K2441" t="s">
        <v>428</v>
      </c>
      <c r="L2441" t="s">
        <v>429</v>
      </c>
      <c r="M2441">
        <v>1515456000</v>
      </c>
      <c r="N2441" t="s">
        <v>1628</v>
      </c>
      <c r="O2441" t="s">
        <v>1628</v>
      </c>
      <c r="P2441" t="s">
        <v>1628</v>
      </c>
      <c r="Q2441">
        <f>LEN(AMAZON_FASHION_5__2[[#This Row],[reviewText]])</f>
        <v>54</v>
      </c>
      <c r="R2441" t="str">
        <f>IF(AMAZON_FASHION_5__2[[#This Row],[overall]]&gt;=4,"Positive",IF(AMAZON_FASHION_5__2[[#This Row],[overall]]&lt;=2,"Negative","Neutral"))</f>
        <v>Neutral</v>
      </c>
      <c r="S24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42" spans="1:19" x14ac:dyDescent="0.25">
      <c r="A2442">
        <v>5</v>
      </c>
      <c r="B2442" t="b">
        <v>1</v>
      </c>
      <c r="C2442" s="1">
        <v>43108</v>
      </c>
      <c r="D2442">
        <f>YEAR(AMAZON_FASHION_5__2[[#This Row],[reviewDate]])</f>
        <v>2018</v>
      </c>
      <c r="E2442" s="1" t="str">
        <f>TEXT(AMAZON_FASHION_5__2[[#This Row],[reviewDate]], "mmmm")</f>
        <v>January</v>
      </c>
      <c r="F2442" t="s">
        <v>430</v>
      </c>
      <c r="G2442" t="s">
        <v>1566</v>
      </c>
      <c r="H2442" t="s">
        <v>210</v>
      </c>
      <c r="I2442" t="s">
        <v>198</v>
      </c>
      <c r="J2442" t="s">
        <v>431</v>
      </c>
      <c r="K2442" t="s">
        <v>432</v>
      </c>
      <c r="L2442" t="s">
        <v>433</v>
      </c>
      <c r="M2442">
        <v>1515369600</v>
      </c>
      <c r="N2442" t="s">
        <v>1628</v>
      </c>
      <c r="O2442" t="s">
        <v>1628</v>
      </c>
      <c r="P2442" t="s">
        <v>1628</v>
      </c>
      <c r="Q2442">
        <f>LEN(AMAZON_FASHION_5__2[[#This Row],[reviewText]])</f>
        <v>715</v>
      </c>
      <c r="R2442" t="str">
        <f>IF(AMAZON_FASHION_5__2[[#This Row],[overall]]&gt;=4,"Positive",IF(AMAZON_FASHION_5__2[[#This Row],[overall]]&lt;=2,"Negative","Neutral"))</f>
        <v>Positive</v>
      </c>
      <c r="S24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43" spans="1:19" x14ac:dyDescent="0.25">
      <c r="A2443">
        <v>5</v>
      </c>
      <c r="B2443" t="b">
        <v>1</v>
      </c>
      <c r="C2443" s="1">
        <v>43108</v>
      </c>
      <c r="D2443">
        <f>YEAR(AMAZON_FASHION_5__2[[#This Row],[reviewDate]])</f>
        <v>2018</v>
      </c>
      <c r="E2443" s="1" t="str">
        <f>TEXT(AMAZON_FASHION_5__2[[#This Row],[reviewDate]], "mmmm")</f>
        <v>January</v>
      </c>
      <c r="F2443" t="s">
        <v>434</v>
      </c>
      <c r="G2443" t="s">
        <v>1566</v>
      </c>
      <c r="H2443" t="s">
        <v>1595</v>
      </c>
      <c r="I2443" t="s">
        <v>435</v>
      </c>
      <c r="J2443" t="s">
        <v>436</v>
      </c>
      <c r="K2443" t="s">
        <v>437</v>
      </c>
      <c r="L2443" t="s">
        <v>438</v>
      </c>
      <c r="M2443">
        <v>1515369600</v>
      </c>
      <c r="N2443" t="s">
        <v>1628</v>
      </c>
      <c r="O2443" t="s">
        <v>1628</v>
      </c>
      <c r="P2443" t="s">
        <v>1628</v>
      </c>
      <c r="Q2443">
        <f>LEN(AMAZON_FASHION_5__2[[#This Row],[reviewText]])</f>
        <v>1003</v>
      </c>
      <c r="R2443" t="str">
        <f>IF(AMAZON_FASHION_5__2[[#This Row],[overall]]&gt;=4,"Positive",IF(AMAZON_FASHION_5__2[[#This Row],[overall]]&lt;=2,"Negative","Neutral"))</f>
        <v>Positive</v>
      </c>
      <c r="S24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44" spans="1:19" x14ac:dyDescent="0.25">
      <c r="A2444">
        <v>5</v>
      </c>
      <c r="B2444" t="b">
        <v>1</v>
      </c>
      <c r="C2444" s="1">
        <v>43107</v>
      </c>
      <c r="D2444">
        <f>YEAR(AMAZON_FASHION_5__2[[#This Row],[reviewDate]])</f>
        <v>2018</v>
      </c>
      <c r="E2444" s="1" t="str">
        <f>TEXT(AMAZON_FASHION_5__2[[#This Row],[reviewDate]], "mmmm")</f>
        <v>January</v>
      </c>
      <c r="F2444" t="s">
        <v>439</v>
      </c>
      <c r="G2444" t="s">
        <v>1566</v>
      </c>
      <c r="H2444" t="s">
        <v>1571</v>
      </c>
      <c r="I2444" t="s">
        <v>274</v>
      </c>
      <c r="J2444" t="s">
        <v>440</v>
      </c>
      <c r="K2444" t="s">
        <v>441</v>
      </c>
      <c r="L2444" t="s">
        <v>17</v>
      </c>
      <c r="M2444">
        <v>1515283200</v>
      </c>
      <c r="N2444" t="s">
        <v>1628</v>
      </c>
      <c r="O2444" t="s">
        <v>1628</v>
      </c>
      <c r="P2444" t="s">
        <v>1628</v>
      </c>
      <c r="Q2444">
        <f>LEN(AMAZON_FASHION_5__2[[#This Row],[reviewText]])</f>
        <v>51</v>
      </c>
      <c r="R2444" t="str">
        <f>IF(AMAZON_FASHION_5__2[[#This Row],[overall]]&gt;=4,"Positive",IF(AMAZON_FASHION_5__2[[#This Row],[overall]]&lt;=2,"Negative","Neutral"))</f>
        <v>Positive</v>
      </c>
      <c r="S24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45" spans="1:19" x14ac:dyDescent="0.25">
      <c r="A2445">
        <v>5</v>
      </c>
      <c r="B2445" t="b">
        <v>1</v>
      </c>
      <c r="C2445" s="1">
        <v>43098</v>
      </c>
      <c r="D2445">
        <f>YEAR(AMAZON_FASHION_5__2[[#This Row],[reviewDate]])</f>
        <v>2017</v>
      </c>
      <c r="E2445" s="1" t="str">
        <f>TEXT(AMAZON_FASHION_5__2[[#This Row],[reviewDate]], "mmmm")</f>
        <v>December</v>
      </c>
      <c r="F2445" t="s">
        <v>442</v>
      </c>
      <c r="G2445" t="s">
        <v>1566</v>
      </c>
      <c r="H2445" t="s">
        <v>1477</v>
      </c>
      <c r="I2445" t="s">
        <v>336</v>
      </c>
      <c r="J2445" t="s">
        <v>63</v>
      </c>
      <c r="K2445" t="s">
        <v>444</v>
      </c>
      <c r="L2445" t="s">
        <v>445</v>
      </c>
      <c r="M2445">
        <v>1514505600</v>
      </c>
      <c r="N2445" t="s">
        <v>1628</v>
      </c>
      <c r="O2445" t="s">
        <v>1628</v>
      </c>
      <c r="P2445" t="s">
        <v>1628</v>
      </c>
      <c r="Q2445">
        <f>LEN(AMAZON_FASHION_5__2[[#This Row],[reviewText]])</f>
        <v>240</v>
      </c>
      <c r="R2445" t="str">
        <f>IF(AMAZON_FASHION_5__2[[#This Row],[overall]]&gt;=4,"Positive",IF(AMAZON_FASHION_5__2[[#This Row],[overall]]&lt;=2,"Negative","Neutral"))</f>
        <v>Positive</v>
      </c>
      <c r="S24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46" spans="1:19" x14ac:dyDescent="0.25">
      <c r="A2446">
        <v>5</v>
      </c>
      <c r="B2446" t="b">
        <v>1</v>
      </c>
      <c r="C2446" s="1">
        <v>43097</v>
      </c>
      <c r="D2446">
        <f>YEAR(AMAZON_FASHION_5__2[[#This Row],[reviewDate]])</f>
        <v>2017</v>
      </c>
      <c r="E2446" s="1" t="str">
        <f>TEXT(AMAZON_FASHION_5__2[[#This Row],[reviewDate]], "mmmm")</f>
        <v>December</v>
      </c>
      <c r="F2446" t="s">
        <v>446</v>
      </c>
      <c r="G2446" t="s">
        <v>1566</v>
      </c>
      <c r="H2446" t="s">
        <v>1578</v>
      </c>
      <c r="I2446" t="s">
        <v>392</v>
      </c>
      <c r="J2446" t="s">
        <v>447</v>
      </c>
      <c r="K2446" t="s">
        <v>448</v>
      </c>
      <c r="L2446" t="s">
        <v>449</v>
      </c>
      <c r="M2446">
        <v>1514419200</v>
      </c>
      <c r="N2446" t="s">
        <v>1628</v>
      </c>
      <c r="O2446" t="s">
        <v>1628</v>
      </c>
      <c r="P2446" t="s">
        <v>1628</v>
      </c>
      <c r="Q2446">
        <f>LEN(AMAZON_FASHION_5__2[[#This Row],[reviewText]])</f>
        <v>68</v>
      </c>
      <c r="R2446" t="str">
        <f>IF(AMAZON_FASHION_5__2[[#This Row],[overall]]&gt;=4,"Positive",IF(AMAZON_FASHION_5__2[[#This Row],[overall]]&lt;=2,"Negative","Neutral"))</f>
        <v>Positive</v>
      </c>
      <c r="S24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47" spans="1:19" x14ac:dyDescent="0.25">
      <c r="A2447">
        <v>2</v>
      </c>
      <c r="B2447" t="b">
        <v>1</v>
      </c>
      <c r="C2447" s="1">
        <v>43086</v>
      </c>
      <c r="D2447">
        <f>YEAR(AMAZON_FASHION_5__2[[#This Row],[reviewDate]])</f>
        <v>2017</v>
      </c>
      <c r="E2447" s="1" t="str">
        <f>TEXT(AMAZON_FASHION_5__2[[#This Row],[reviewDate]], "mmmm")</f>
        <v>December</v>
      </c>
      <c r="F2447" t="s">
        <v>450</v>
      </c>
      <c r="G2447" t="s">
        <v>1566</v>
      </c>
      <c r="H2447" t="s">
        <v>1600</v>
      </c>
      <c r="I2447" t="s">
        <v>411</v>
      </c>
      <c r="J2447" t="s">
        <v>451</v>
      </c>
      <c r="K2447" t="s">
        <v>452</v>
      </c>
      <c r="L2447" t="s">
        <v>453</v>
      </c>
      <c r="M2447">
        <v>1513468800</v>
      </c>
      <c r="N2447" t="s">
        <v>1628</v>
      </c>
      <c r="O2447" t="s">
        <v>1628</v>
      </c>
      <c r="P2447" t="s">
        <v>1628</v>
      </c>
      <c r="Q2447">
        <f>LEN(AMAZON_FASHION_5__2[[#This Row],[reviewText]])</f>
        <v>263</v>
      </c>
      <c r="R2447" t="str">
        <f>IF(AMAZON_FASHION_5__2[[#This Row],[overall]]&gt;=4,"Positive",IF(AMAZON_FASHION_5__2[[#This Row],[overall]]&lt;=2,"Negative","Neutral"))</f>
        <v>Negative</v>
      </c>
      <c r="S24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48" spans="1:19" x14ac:dyDescent="0.25">
      <c r="A2448">
        <v>5</v>
      </c>
      <c r="B2448" t="b">
        <v>1</v>
      </c>
      <c r="C2448" s="1">
        <v>43086</v>
      </c>
      <c r="D2448">
        <f>YEAR(AMAZON_FASHION_5__2[[#This Row],[reviewDate]])</f>
        <v>2017</v>
      </c>
      <c r="E2448" s="1" t="str">
        <f>TEXT(AMAZON_FASHION_5__2[[#This Row],[reviewDate]], "mmmm")</f>
        <v>December</v>
      </c>
      <c r="F2448" t="s">
        <v>454</v>
      </c>
      <c r="G2448" t="s">
        <v>1566</v>
      </c>
      <c r="H2448" t="s">
        <v>1571</v>
      </c>
      <c r="I2448" t="s">
        <v>198</v>
      </c>
      <c r="J2448" t="s">
        <v>455</v>
      </c>
      <c r="K2448" t="s">
        <v>456</v>
      </c>
      <c r="L2448" t="s">
        <v>17</v>
      </c>
      <c r="M2448">
        <v>1513468800</v>
      </c>
      <c r="N2448" t="s">
        <v>1628</v>
      </c>
      <c r="O2448" t="s">
        <v>1628</v>
      </c>
      <c r="P2448" t="s">
        <v>1628</v>
      </c>
      <c r="Q2448">
        <f>LEN(AMAZON_FASHION_5__2[[#This Row],[reviewText]])</f>
        <v>14</v>
      </c>
      <c r="R2448" t="str">
        <f>IF(AMAZON_FASHION_5__2[[#This Row],[overall]]&gt;=4,"Positive",IF(AMAZON_FASHION_5__2[[#This Row],[overall]]&lt;=2,"Negative","Neutral"))</f>
        <v>Positive</v>
      </c>
      <c r="S24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49" spans="1:19" x14ac:dyDescent="0.25">
      <c r="A2449">
        <v>3</v>
      </c>
      <c r="B2449" t="b">
        <v>1</v>
      </c>
      <c r="C2449" s="1">
        <v>43074</v>
      </c>
      <c r="D2449">
        <f>YEAR(AMAZON_FASHION_5__2[[#This Row],[reviewDate]])</f>
        <v>2017</v>
      </c>
      <c r="E2449" s="1" t="str">
        <f>TEXT(AMAZON_FASHION_5__2[[#This Row],[reviewDate]], "mmmm")</f>
        <v>December</v>
      </c>
      <c r="F2449" t="s">
        <v>457</v>
      </c>
      <c r="G2449" t="s">
        <v>1566</v>
      </c>
      <c r="H2449" t="s">
        <v>1567</v>
      </c>
      <c r="I2449" t="s">
        <v>274</v>
      </c>
      <c r="J2449" t="s">
        <v>458</v>
      </c>
      <c r="K2449" t="s">
        <v>459</v>
      </c>
      <c r="L2449" t="s">
        <v>460</v>
      </c>
      <c r="M2449">
        <v>1512432000</v>
      </c>
      <c r="N2449" t="s">
        <v>1628</v>
      </c>
      <c r="O2449" t="s">
        <v>1628</v>
      </c>
      <c r="P2449" t="s">
        <v>1628</v>
      </c>
      <c r="Q2449">
        <f>LEN(AMAZON_FASHION_5__2[[#This Row],[reviewText]])</f>
        <v>757</v>
      </c>
      <c r="R2449" t="str">
        <f>IF(AMAZON_FASHION_5__2[[#This Row],[overall]]&gt;=4,"Positive",IF(AMAZON_FASHION_5__2[[#This Row],[overall]]&lt;=2,"Negative","Neutral"))</f>
        <v>Neutral</v>
      </c>
      <c r="S24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50" spans="1:19" x14ac:dyDescent="0.25">
      <c r="A2450">
        <v>5</v>
      </c>
      <c r="B2450" t="b">
        <v>1</v>
      </c>
      <c r="C2450" s="1">
        <v>43074</v>
      </c>
      <c r="D2450">
        <f>YEAR(AMAZON_FASHION_5__2[[#This Row],[reviewDate]])</f>
        <v>2017</v>
      </c>
      <c r="E2450" s="1" t="str">
        <f>TEXT(AMAZON_FASHION_5__2[[#This Row],[reviewDate]], "mmmm")</f>
        <v>December</v>
      </c>
      <c r="F2450" t="s">
        <v>461</v>
      </c>
      <c r="G2450" t="s">
        <v>1566</v>
      </c>
      <c r="H2450" t="s">
        <v>230</v>
      </c>
      <c r="I2450" t="s">
        <v>303</v>
      </c>
      <c r="J2450" t="s">
        <v>462</v>
      </c>
      <c r="K2450" t="s">
        <v>463</v>
      </c>
      <c r="L2450" t="s">
        <v>17</v>
      </c>
      <c r="M2450">
        <v>1512432000</v>
      </c>
      <c r="N2450" t="s">
        <v>1628</v>
      </c>
      <c r="O2450" t="s">
        <v>1628</v>
      </c>
      <c r="P2450" t="s">
        <v>1628</v>
      </c>
      <c r="Q2450">
        <f>LEN(AMAZON_FASHION_5__2[[#This Row],[reviewText]])</f>
        <v>5</v>
      </c>
      <c r="R2450" t="str">
        <f>IF(AMAZON_FASHION_5__2[[#This Row],[overall]]&gt;=4,"Positive",IF(AMAZON_FASHION_5__2[[#This Row],[overall]]&lt;=2,"Negative","Neutral"))</f>
        <v>Positive</v>
      </c>
      <c r="S24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51" spans="1:19" x14ac:dyDescent="0.25">
      <c r="A2451">
        <v>5</v>
      </c>
      <c r="B2451" t="b">
        <v>1</v>
      </c>
      <c r="C2451" s="1">
        <v>43073</v>
      </c>
      <c r="D2451">
        <f>YEAR(AMAZON_FASHION_5__2[[#This Row],[reviewDate]])</f>
        <v>2017</v>
      </c>
      <c r="E2451" s="1" t="str">
        <f>TEXT(AMAZON_FASHION_5__2[[#This Row],[reviewDate]], "mmmm")</f>
        <v>December</v>
      </c>
      <c r="F2451" t="s">
        <v>464</v>
      </c>
      <c r="G2451" t="s">
        <v>1566</v>
      </c>
      <c r="H2451" t="s">
        <v>1599</v>
      </c>
      <c r="I2451" t="s">
        <v>303</v>
      </c>
      <c r="J2451" t="s">
        <v>63</v>
      </c>
      <c r="K2451" t="s">
        <v>465</v>
      </c>
      <c r="L2451" t="s">
        <v>17</v>
      </c>
      <c r="M2451">
        <v>1512345600</v>
      </c>
      <c r="N2451" t="s">
        <v>1628</v>
      </c>
      <c r="O2451" t="s">
        <v>1628</v>
      </c>
      <c r="P2451" t="s">
        <v>1628</v>
      </c>
      <c r="Q2451">
        <f>LEN(AMAZON_FASHION_5__2[[#This Row],[reviewText]])</f>
        <v>1</v>
      </c>
      <c r="R2451" t="str">
        <f>IF(AMAZON_FASHION_5__2[[#This Row],[overall]]&gt;=4,"Positive",IF(AMAZON_FASHION_5__2[[#This Row],[overall]]&lt;=2,"Negative","Neutral"))</f>
        <v>Positive</v>
      </c>
      <c r="S24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52" spans="1:19" x14ac:dyDescent="0.25">
      <c r="A2452">
        <v>5</v>
      </c>
      <c r="B2452" t="b">
        <v>1</v>
      </c>
      <c r="C2452" s="1">
        <v>43069</v>
      </c>
      <c r="D2452">
        <f>YEAR(AMAZON_FASHION_5__2[[#This Row],[reviewDate]])</f>
        <v>2017</v>
      </c>
      <c r="E2452" s="1" t="str">
        <f>TEXT(AMAZON_FASHION_5__2[[#This Row],[reviewDate]], "mmmm")</f>
        <v>November</v>
      </c>
      <c r="F2452" t="s">
        <v>466</v>
      </c>
      <c r="G2452" t="s">
        <v>1566</v>
      </c>
      <c r="H2452" t="s">
        <v>1567</v>
      </c>
      <c r="I2452" t="s">
        <v>274</v>
      </c>
      <c r="J2452" t="s">
        <v>467</v>
      </c>
      <c r="K2452" t="s">
        <v>468</v>
      </c>
      <c r="L2452" t="s">
        <v>17</v>
      </c>
      <c r="M2452">
        <v>1512000000</v>
      </c>
      <c r="N2452" t="s">
        <v>1628</v>
      </c>
      <c r="O2452" t="s">
        <v>1628</v>
      </c>
      <c r="P2452" t="s">
        <v>1628</v>
      </c>
      <c r="Q2452">
        <f>LEN(AMAZON_FASHION_5__2[[#This Row],[reviewText]])</f>
        <v>10</v>
      </c>
      <c r="R2452" t="str">
        <f>IF(AMAZON_FASHION_5__2[[#This Row],[overall]]&gt;=4,"Positive",IF(AMAZON_FASHION_5__2[[#This Row],[overall]]&lt;=2,"Negative","Neutral"))</f>
        <v>Positive</v>
      </c>
      <c r="S24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53" spans="1:19" x14ac:dyDescent="0.25">
      <c r="A2453">
        <v>3</v>
      </c>
      <c r="B2453" t="b">
        <v>1</v>
      </c>
      <c r="C2453" s="1">
        <v>43069</v>
      </c>
      <c r="D2453">
        <f>YEAR(AMAZON_FASHION_5__2[[#This Row],[reviewDate]])</f>
        <v>2017</v>
      </c>
      <c r="E2453" s="1" t="str">
        <f>TEXT(AMAZON_FASHION_5__2[[#This Row],[reviewDate]], "mmmm")</f>
        <v>November</v>
      </c>
      <c r="F2453" t="s">
        <v>469</v>
      </c>
      <c r="G2453" t="s">
        <v>1566</v>
      </c>
      <c r="H2453" t="s">
        <v>210</v>
      </c>
      <c r="I2453" t="s">
        <v>198</v>
      </c>
      <c r="J2453" t="s">
        <v>63</v>
      </c>
      <c r="K2453" t="s">
        <v>470</v>
      </c>
      <c r="L2453" t="s">
        <v>471</v>
      </c>
      <c r="M2453">
        <v>1512000000</v>
      </c>
      <c r="N2453" t="s">
        <v>1628</v>
      </c>
      <c r="O2453" t="s">
        <v>1628</v>
      </c>
      <c r="P2453" t="s">
        <v>1628</v>
      </c>
      <c r="Q2453">
        <f>LEN(AMAZON_FASHION_5__2[[#This Row],[reviewText]])</f>
        <v>192</v>
      </c>
      <c r="R2453" t="str">
        <f>IF(AMAZON_FASHION_5__2[[#This Row],[overall]]&gt;=4,"Positive",IF(AMAZON_FASHION_5__2[[#This Row],[overall]]&lt;=2,"Negative","Neutral"))</f>
        <v>Neutral</v>
      </c>
      <c r="S24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54" spans="1:19" x14ac:dyDescent="0.25">
      <c r="A2454">
        <v>3</v>
      </c>
      <c r="B2454" t="b">
        <v>1</v>
      </c>
      <c r="C2454" s="1">
        <v>43067</v>
      </c>
      <c r="D2454">
        <f>YEAR(AMAZON_FASHION_5__2[[#This Row],[reviewDate]])</f>
        <v>2017</v>
      </c>
      <c r="E2454" s="1" t="str">
        <f>TEXT(AMAZON_FASHION_5__2[[#This Row],[reviewDate]], "mmmm")</f>
        <v>November</v>
      </c>
      <c r="F2454" t="s">
        <v>472</v>
      </c>
      <c r="G2454" t="s">
        <v>1566</v>
      </c>
      <c r="H2454" t="s">
        <v>1595</v>
      </c>
      <c r="I2454" t="s">
        <v>1455</v>
      </c>
      <c r="J2454" t="s">
        <v>473</v>
      </c>
      <c r="K2454" t="s">
        <v>474</v>
      </c>
      <c r="L2454" t="s">
        <v>475</v>
      </c>
      <c r="M2454">
        <v>1511827200</v>
      </c>
      <c r="N2454" t="s">
        <v>1628</v>
      </c>
      <c r="O2454" t="s">
        <v>1628</v>
      </c>
      <c r="P2454" t="s">
        <v>1628</v>
      </c>
      <c r="Q2454">
        <f>LEN(AMAZON_FASHION_5__2[[#This Row],[reviewText]])</f>
        <v>194</v>
      </c>
      <c r="R2454" t="str">
        <f>IF(AMAZON_FASHION_5__2[[#This Row],[overall]]&gt;=4,"Positive",IF(AMAZON_FASHION_5__2[[#This Row],[overall]]&lt;=2,"Negative","Neutral"))</f>
        <v>Neutral</v>
      </c>
      <c r="S24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55" spans="1:19" x14ac:dyDescent="0.25">
      <c r="A2455">
        <v>4</v>
      </c>
      <c r="B2455" t="b">
        <v>1</v>
      </c>
      <c r="C2455" s="1">
        <v>43067</v>
      </c>
      <c r="D2455">
        <f>YEAR(AMAZON_FASHION_5__2[[#This Row],[reviewDate]])</f>
        <v>2017</v>
      </c>
      <c r="E2455" s="1" t="str">
        <f>TEXT(AMAZON_FASHION_5__2[[#This Row],[reviewDate]], "mmmm")</f>
        <v>November</v>
      </c>
      <c r="F2455" t="s">
        <v>476</v>
      </c>
      <c r="G2455" t="s">
        <v>1566</v>
      </c>
      <c r="H2455" t="s">
        <v>1596</v>
      </c>
      <c r="I2455" t="s">
        <v>396</v>
      </c>
      <c r="J2455" t="s">
        <v>478</v>
      </c>
      <c r="K2455" t="s">
        <v>479</v>
      </c>
      <c r="L2455" t="s">
        <v>480</v>
      </c>
      <c r="M2455">
        <v>1511827200</v>
      </c>
      <c r="N2455" t="s">
        <v>1628</v>
      </c>
      <c r="O2455" t="s">
        <v>1628</v>
      </c>
      <c r="P2455" t="s">
        <v>1628</v>
      </c>
      <c r="Q2455">
        <f>LEN(AMAZON_FASHION_5__2[[#This Row],[reviewText]])</f>
        <v>27</v>
      </c>
      <c r="R2455" t="str">
        <f>IF(AMAZON_FASHION_5__2[[#This Row],[overall]]&gt;=4,"Positive",IF(AMAZON_FASHION_5__2[[#This Row],[overall]]&lt;=2,"Negative","Neutral"))</f>
        <v>Positive</v>
      </c>
      <c r="S24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56" spans="1:19" x14ac:dyDescent="0.25">
      <c r="A2456">
        <v>5</v>
      </c>
      <c r="B2456" t="b">
        <v>1</v>
      </c>
      <c r="C2456" s="1">
        <v>43066</v>
      </c>
      <c r="D2456">
        <f>YEAR(AMAZON_FASHION_5__2[[#This Row],[reviewDate]])</f>
        <v>2017</v>
      </c>
      <c r="E2456" s="1" t="str">
        <f>TEXT(AMAZON_FASHION_5__2[[#This Row],[reviewDate]], "mmmm")</f>
        <v>November</v>
      </c>
      <c r="F2456" t="s">
        <v>481</v>
      </c>
      <c r="G2456" t="s">
        <v>1566</v>
      </c>
      <c r="H2456" t="s">
        <v>1567</v>
      </c>
      <c r="I2456" t="s">
        <v>303</v>
      </c>
      <c r="J2456" t="s">
        <v>482</v>
      </c>
      <c r="K2456" t="s">
        <v>483</v>
      </c>
      <c r="L2456" t="s">
        <v>17</v>
      </c>
      <c r="M2456">
        <v>1511740800</v>
      </c>
      <c r="N2456" t="s">
        <v>1628</v>
      </c>
      <c r="O2456" t="s">
        <v>1628</v>
      </c>
      <c r="P2456" t="s">
        <v>1628</v>
      </c>
      <c r="Q2456">
        <f>LEN(AMAZON_FASHION_5__2[[#This Row],[reviewText]])</f>
        <v>8</v>
      </c>
      <c r="R2456" t="str">
        <f>IF(AMAZON_FASHION_5__2[[#This Row],[overall]]&gt;=4,"Positive",IF(AMAZON_FASHION_5__2[[#This Row],[overall]]&lt;=2,"Negative","Neutral"))</f>
        <v>Positive</v>
      </c>
      <c r="S24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57" spans="1:19" x14ac:dyDescent="0.25">
      <c r="A2457">
        <v>5</v>
      </c>
      <c r="B2457" t="b">
        <v>1</v>
      </c>
      <c r="C2457" s="1">
        <v>43066</v>
      </c>
      <c r="D2457">
        <f>YEAR(AMAZON_FASHION_5__2[[#This Row],[reviewDate]])</f>
        <v>2017</v>
      </c>
      <c r="E2457" s="1" t="str">
        <f>TEXT(AMAZON_FASHION_5__2[[#This Row],[reviewDate]], "mmmm")</f>
        <v>November</v>
      </c>
      <c r="F2457" t="s">
        <v>481</v>
      </c>
      <c r="G2457" t="s">
        <v>1566</v>
      </c>
      <c r="H2457" t="s">
        <v>1567</v>
      </c>
      <c r="I2457" t="s">
        <v>392</v>
      </c>
      <c r="J2457" t="s">
        <v>482</v>
      </c>
      <c r="K2457" t="s">
        <v>483</v>
      </c>
      <c r="L2457" t="s">
        <v>17</v>
      </c>
      <c r="M2457">
        <v>1511740800</v>
      </c>
      <c r="N2457" t="s">
        <v>1628</v>
      </c>
      <c r="O2457" t="s">
        <v>1628</v>
      </c>
      <c r="P2457" t="s">
        <v>1628</v>
      </c>
      <c r="Q2457">
        <f>LEN(AMAZON_FASHION_5__2[[#This Row],[reviewText]])</f>
        <v>8</v>
      </c>
      <c r="R2457" t="str">
        <f>IF(AMAZON_FASHION_5__2[[#This Row],[overall]]&gt;=4,"Positive",IF(AMAZON_FASHION_5__2[[#This Row],[overall]]&lt;=2,"Negative","Neutral"))</f>
        <v>Positive</v>
      </c>
      <c r="S24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58" spans="1:19" x14ac:dyDescent="0.25">
      <c r="A2458">
        <v>1</v>
      </c>
      <c r="B2458" t="b">
        <v>1</v>
      </c>
      <c r="C2458" s="1">
        <v>43058</v>
      </c>
      <c r="D2458">
        <f>YEAR(AMAZON_FASHION_5__2[[#This Row],[reviewDate]])</f>
        <v>2017</v>
      </c>
      <c r="E2458" s="1" t="str">
        <f>TEXT(AMAZON_FASHION_5__2[[#This Row],[reviewDate]], "mmmm")</f>
        <v>November</v>
      </c>
      <c r="F2458" t="s">
        <v>484</v>
      </c>
      <c r="G2458" t="s">
        <v>1566</v>
      </c>
      <c r="H2458" t="s">
        <v>1578</v>
      </c>
      <c r="I2458" t="s">
        <v>198</v>
      </c>
      <c r="J2458" t="s">
        <v>485</v>
      </c>
      <c r="K2458" t="s">
        <v>486</v>
      </c>
      <c r="L2458" t="s">
        <v>487</v>
      </c>
      <c r="M2458">
        <v>1511049600</v>
      </c>
      <c r="N2458" t="s">
        <v>1628</v>
      </c>
      <c r="O2458" t="s">
        <v>1628</v>
      </c>
      <c r="P2458" t="s">
        <v>1628</v>
      </c>
      <c r="Q2458">
        <f>LEN(AMAZON_FASHION_5__2[[#This Row],[reviewText]])</f>
        <v>133</v>
      </c>
      <c r="R2458" t="str">
        <f>IF(AMAZON_FASHION_5__2[[#This Row],[overall]]&gt;=4,"Positive",IF(AMAZON_FASHION_5__2[[#This Row],[overall]]&lt;=2,"Negative","Neutral"))</f>
        <v>Negative</v>
      </c>
      <c r="S24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59" spans="1:19" x14ac:dyDescent="0.25">
      <c r="A2459">
        <v>5</v>
      </c>
      <c r="B2459" t="b">
        <v>1</v>
      </c>
      <c r="C2459" s="1">
        <v>43053</v>
      </c>
      <c r="D2459">
        <f>YEAR(AMAZON_FASHION_5__2[[#This Row],[reviewDate]])</f>
        <v>2017</v>
      </c>
      <c r="E2459" s="1" t="str">
        <f>TEXT(AMAZON_FASHION_5__2[[#This Row],[reviewDate]], "mmmm")</f>
        <v>November</v>
      </c>
      <c r="F2459" t="s">
        <v>488</v>
      </c>
      <c r="G2459" t="s">
        <v>1566</v>
      </c>
      <c r="H2459" t="s">
        <v>1567</v>
      </c>
      <c r="I2459" t="s">
        <v>303</v>
      </c>
      <c r="J2459" t="s">
        <v>489</v>
      </c>
      <c r="K2459" t="s">
        <v>490</v>
      </c>
      <c r="L2459" t="s">
        <v>491</v>
      </c>
      <c r="M2459">
        <v>1510617600</v>
      </c>
      <c r="N2459" t="s">
        <v>1628</v>
      </c>
      <c r="O2459" t="s">
        <v>1628</v>
      </c>
      <c r="P2459" t="s">
        <v>1628</v>
      </c>
      <c r="Q2459">
        <f>LEN(AMAZON_FASHION_5__2[[#This Row],[reviewText]])</f>
        <v>232</v>
      </c>
      <c r="R2459" t="str">
        <f>IF(AMAZON_FASHION_5__2[[#This Row],[overall]]&gt;=4,"Positive",IF(AMAZON_FASHION_5__2[[#This Row],[overall]]&lt;=2,"Negative","Neutral"))</f>
        <v>Positive</v>
      </c>
      <c r="S24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60" spans="1:19" x14ac:dyDescent="0.25">
      <c r="A2460">
        <v>4</v>
      </c>
      <c r="B2460" t="b">
        <v>1</v>
      </c>
      <c r="C2460" s="1">
        <v>43050</v>
      </c>
      <c r="D2460">
        <f>YEAR(AMAZON_FASHION_5__2[[#This Row],[reviewDate]])</f>
        <v>2017</v>
      </c>
      <c r="E2460" s="1" t="str">
        <f>TEXT(AMAZON_FASHION_5__2[[#This Row],[reviewDate]], "mmmm")</f>
        <v>November</v>
      </c>
      <c r="F2460" t="s">
        <v>492</v>
      </c>
      <c r="G2460" t="s">
        <v>1566</v>
      </c>
      <c r="H2460" t="s">
        <v>1571</v>
      </c>
      <c r="I2460" t="s">
        <v>493</v>
      </c>
      <c r="J2460" t="s">
        <v>494</v>
      </c>
      <c r="K2460" t="s">
        <v>495</v>
      </c>
      <c r="L2460" t="s">
        <v>496</v>
      </c>
      <c r="M2460">
        <v>1510358400</v>
      </c>
      <c r="N2460" t="s">
        <v>1628</v>
      </c>
      <c r="O2460" t="s">
        <v>1628</v>
      </c>
      <c r="P2460" t="s">
        <v>1628</v>
      </c>
      <c r="Q2460">
        <f>LEN(AMAZON_FASHION_5__2[[#This Row],[reviewText]])</f>
        <v>104</v>
      </c>
      <c r="R2460" t="str">
        <f>IF(AMAZON_FASHION_5__2[[#This Row],[overall]]&gt;=4,"Positive",IF(AMAZON_FASHION_5__2[[#This Row],[overall]]&lt;=2,"Negative","Neutral"))</f>
        <v>Positive</v>
      </c>
      <c r="S24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61" spans="1:19" x14ac:dyDescent="0.25">
      <c r="A2461">
        <v>5</v>
      </c>
      <c r="B2461" t="b">
        <v>1</v>
      </c>
      <c r="C2461" s="1">
        <v>43049</v>
      </c>
      <c r="D2461">
        <f>YEAR(AMAZON_FASHION_5__2[[#This Row],[reviewDate]])</f>
        <v>2017</v>
      </c>
      <c r="E2461" s="1" t="str">
        <f>TEXT(AMAZON_FASHION_5__2[[#This Row],[reviewDate]], "mmmm")</f>
        <v>November</v>
      </c>
      <c r="F2461" t="s">
        <v>497</v>
      </c>
      <c r="G2461" t="s">
        <v>1566</v>
      </c>
      <c r="H2461" t="s">
        <v>1596</v>
      </c>
      <c r="I2461" t="s">
        <v>396</v>
      </c>
      <c r="J2461" t="s">
        <v>498</v>
      </c>
      <c r="K2461" t="s">
        <v>499</v>
      </c>
      <c r="L2461" t="s">
        <v>17</v>
      </c>
      <c r="M2461">
        <v>1510272000</v>
      </c>
      <c r="N2461" t="s">
        <v>1628</v>
      </c>
      <c r="O2461" t="s">
        <v>1628</v>
      </c>
      <c r="P2461" t="s">
        <v>1628</v>
      </c>
      <c r="Q2461">
        <f>LEN(AMAZON_FASHION_5__2[[#This Row],[reviewText]])</f>
        <v>15</v>
      </c>
      <c r="R2461" t="str">
        <f>IF(AMAZON_FASHION_5__2[[#This Row],[overall]]&gt;=4,"Positive",IF(AMAZON_FASHION_5__2[[#This Row],[overall]]&lt;=2,"Negative","Neutral"))</f>
        <v>Positive</v>
      </c>
      <c r="S24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62" spans="1:19" x14ac:dyDescent="0.25">
      <c r="A2462">
        <v>5</v>
      </c>
      <c r="B2462" t="b">
        <v>1</v>
      </c>
      <c r="C2462" s="1">
        <v>43048</v>
      </c>
      <c r="D2462">
        <f>YEAR(AMAZON_FASHION_5__2[[#This Row],[reviewDate]])</f>
        <v>2017</v>
      </c>
      <c r="E2462" s="1" t="str">
        <f>TEXT(AMAZON_FASHION_5__2[[#This Row],[reviewDate]], "mmmm")</f>
        <v>November</v>
      </c>
      <c r="F2462" t="s">
        <v>500</v>
      </c>
      <c r="G2462" t="s">
        <v>1566</v>
      </c>
      <c r="H2462" t="s">
        <v>1574</v>
      </c>
      <c r="I2462" t="s">
        <v>198</v>
      </c>
      <c r="J2462" t="s">
        <v>63</v>
      </c>
      <c r="K2462" t="s">
        <v>501</v>
      </c>
      <c r="L2462" t="s">
        <v>502</v>
      </c>
      <c r="M2462">
        <v>1510185600</v>
      </c>
      <c r="N2462" t="s">
        <v>1628</v>
      </c>
      <c r="O2462" t="s">
        <v>1628</v>
      </c>
      <c r="P2462" t="s">
        <v>1628</v>
      </c>
      <c r="Q2462">
        <f>LEN(AMAZON_FASHION_5__2[[#This Row],[reviewText]])</f>
        <v>278</v>
      </c>
      <c r="R2462" t="str">
        <f>IF(AMAZON_FASHION_5__2[[#This Row],[overall]]&gt;=4,"Positive",IF(AMAZON_FASHION_5__2[[#This Row],[overall]]&lt;=2,"Negative","Neutral"))</f>
        <v>Positive</v>
      </c>
      <c r="S24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63" spans="1:19" x14ac:dyDescent="0.25">
      <c r="A2463">
        <v>4</v>
      </c>
      <c r="B2463" t="b">
        <v>1</v>
      </c>
      <c r="C2463" s="1">
        <v>43046</v>
      </c>
      <c r="D2463">
        <f>YEAR(AMAZON_FASHION_5__2[[#This Row],[reviewDate]])</f>
        <v>2017</v>
      </c>
      <c r="E2463" s="1" t="str">
        <f>TEXT(AMAZON_FASHION_5__2[[#This Row],[reviewDate]], "mmmm")</f>
        <v>November</v>
      </c>
      <c r="F2463" t="s">
        <v>503</v>
      </c>
      <c r="G2463" t="s">
        <v>1566</v>
      </c>
      <c r="H2463" t="s">
        <v>1567</v>
      </c>
      <c r="I2463" t="s">
        <v>274</v>
      </c>
      <c r="J2463" t="s">
        <v>504</v>
      </c>
      <c r="K2463" t="s">
        <v>505</v>
      </c>
      <c r="L2463" t="s">
        <v>103</v>
      </c>
      <c r="M2463">
        <v>1510012800</v>
      </c>
      <c r="N2463" t="s">
        <v>1628</v>
      </c>
      <c r="O2463" t="s">
        <v>1628</v>
      </c>
      <c r="P2463" t="s">
        <v>1628</v>
      </c>
      <c r="Q2463">
        <f>LEN(AMAZON_FASHION_5__2[[#This Row],[reviewText]])</f>
        <v>8</v>
      </c>
      <c r="R2463" t="str">
        <f>IF(AMAZON_FASHION_5__2[[#This Row],[overall]]&gt;=4,"Positive",IF(AMAZON_FASHION_5__2[[#This Row],[overall]]&lt;=2,"Negative","Neutral"))</f>
        <v>Positive</v>
      </c>
      <c r="S24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64" spans="1:19" x14ac:dyDescent="0.25">
      <c r="A2464">
        <v>2</v>
      </c>
      <c r="B2464" t="b">
        <v>1</v>
      </c>
      <c r="C2464" s="1">
        <v>43044</v>
      </c>
      <c r="D2464">
        <f>YEAR(AMAZON_FASHION_5__2[[#This Row],[reviewDate]])</f>
        <v>2017</v>
      </c>
      <c r="E2464" s="1" t="str">
        <f>TEXT(AMAZON_FASHION_5__2[[#This Row],[reviewDate]], "mmmm")</f>
        <v>November</v>
      </c>
      <c r="F2464" t="s">
        <v>506</v>
      </c>
      <c r="G2464" t="s">
        <v>1566</v>
      </c>
      <c r="H2464" t="s">
        <v>1574</v>
      </c>
      <c r="I2464" t="s">
        <v>507</v>
      </c>
      <c r="J2464" t="s">
        <v>63</v>
      </c>
      <c r="K2464" t="s">
        <v>508</v>
      </c>
      <c r="L2464" t="s">
        <v>509</v>
      </c>
      <c r="M2464">
        <v>1509840000</v>
      </c>
      <c r="N2464" t="s">
        <v>1628</v>
      </c>
      <c r="O2464" t="s">
        <v>1628</v>
      </c>
      <c r="P2464">
        <v>6</v>
      </c>
      <c r="Q2464">
        <f>LEN(AMAZON_FASHION_5__2[[#This Row],[reviewText]])</f>
        <v>467</v>
      </c>
      <c r="R2464" t="str">
        <f>IF(AMAZON_FASHION_5__2[[#This Row],[overall]]&gt;=4,"Positive",IF(AMAZON_FASHION_5__2[[#This Row],[overall]]&lt;=2,"Negative","Neutral"))</f>
        <v>Negative</v>
      </c>
      <c r="S24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65" spans="1:19" x14ac:dyDescent="0.25">
      <c r="A2465">
        <v>5</v>
      </c>
      <c r="B2465" t="b">
        <v>1</v>
      </c>
      <c r="C2465" s="1">
        <v>43043</v>
      </c>
      <c r="D2465">
        <f>YEAR(AMAZON_FASHION_5__2[[#This Row],[reviewDate]])</f>
        <v>2017</v>
      </c>
      <c r="E2465" s="1" t="str">
        <f>TEXT(AMAZON_FASHION_5__2[[#This Row],[reviewDate]], "mmmm")</f>
        <v>November</v>
      </c>
      <c r="F2465" t="s">
        <v>510</v>
      </c>
      <c r="G2465" t="s">
        <v>1566</v>
      </c>
      <c r="H2465" t="s">
        <v>235</v>
      </c>
      <c r="I2465" t="s">
        <v>274</v>
      </c>
      <c r="J2465" t="s">
        <v>511</v>
      </c>
      <c r="K2465" t="s">
        <v>512</v>
      </c>
      <c r="L2465" t="s">
        <v>17</v>
      </c>
      <c r="M2465">
        <v>1509753600</v>
      </c>
      <c r="N2465" t="s">
        <v>1628</v>
      </c>
      <c r="O2465" t="s">
        <v>1628</v>
      </c>
      <c r="P2465" t="s">
        <v>1628</v>
      </c>
      <c r="Q2465">
        <f>LEN(AMAZON_FASHION_5__2[[#This Row],[reviewText]])</f>
        <v>39</v>
      </c>
      <c r="R2465" t="str">
        <f>IF(AMAZON_FASHION_5__2[[#This Row],[overall]]&gt;=4,"Positive",IF(AMAZON_FASHION_5__2[[#This Row],[overall]]&lt;=2,"Negative","Neutral"))</f>
        <v>Positive</v>
      </c>
      <c r="S24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66" spans="1:19" x14ac:dyDescent="0.25">
      <c r="A2466">
        <v>3</v>
      </c>
      <c r="B2466" t="b">
        <v>1</v>
      </c>
      <c r="C2466" s="1">
        <v>43043</v>
      </c>
      <c r="D2466">
        <f>YEAR(AMAZON_FASHION_5__2[[#This Row],[reviewDate]])</f>
        <v>2017</v>
      </c>
      <c r="E2466" s="1" t="str">
        <f>TEXT(AMAZON_FASHION_5__2[[#This Row],[reviewDate]], "mmmm")</f>
        <v>November</v>
      </c>
      <c r="F2466" t="s">
        <v>513</v>
      </c>
      <c r="G2466" t="s">
        <v>1566</v>
      </c>
      <c r="H2466" t="s">
        <v>205</v>
      </c>
      <c r="I2466" t="s">
        <v>507</v>
      </c>
      <c r="J2466" t="s">
        <v>514</v>
      </c>
      <c r="K2466" t="s">
        <v>515</v>
      </c>
      <c r="L2466" t="s">
        <v>101</v>
      </c>
      <c r="M2466">
        <v>1509753600</v>
      </c>
      <c r="N2466" t="s">
        <v>1628</v>
      </c>
      <c r="O2466" t="s">
        <v>1628</v>
      </c>
      <c r="P2466" t="s">
        <v>1628</v>
      </c>
      <c r="Q2466">
        <f>LEN(AMAZON_FASHION_5__2[[#This Row],[reviewText]])</f>
        <v>38</v>
      </c>
      <c r="R2466" t="str">
        <f>IF(AMAZON_FASHION_5__2[[#This Row],[overall]]&gt;=4,"Positive",IF(AMAZON_FASHION_5__2[[#This Row],[overall]]&lt;=2,"Negative","Neutral"))</f>
        <v>Neutral</v>
      </c>
      <c r="S24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67" spans="1:19" x14ac:dyDescent="0.25">
      <c r="A2467">
        <v>4</v>
      </c>
      <c r="B2467" t="b">
        <v>1</v>
      </c>
      <c r="C2467" s="1">
        <v>43042</v>
      </c>
      <c r="D2467">
        <f>YEAR(AMAZON_FASHION_5__2[[#This Row],[reviewDate]])</f>
        <v>2017</v>
      </c>
      <c r="E2467" s="1" t="str">
        <f>TEXT(AMAZON_FASHION_5__2[[#This Row],[reviewDate]], "mmmm")</f>
        <v>November</v>
      </c>
      <c r="F2467" t="s">
        <v>516</v>
      </c>
      <c r="G2467" t="s">
        <v>1566</v>
      </c>
      <c r="H2467" t="s">
        <v>1571</v>
      </c>
      <c r="I2467" t="s">
        <v>274</v>
      </c>
      <c r="J2467" t="s">
        <v>517</v>
      </c>
      <c r="K2467" t="s">
        <v>518</v>
      </c>
      <c r="L2467" t="s">
        <v>519</v>
      </c>
      <c r="M2467">
        <v>1509667200</v>
      </c>
      <c r="N2467" t="s">
        <v>1628</v>
      </c>
      <c r="O2467" t="s">
        <v>1628</v>
      </c>
      <c r="P2467" t="s">
        <v>1628</v>
      </c>
      <c r="Q2467">
        <f>LEN(AMAZON_FASHION_5__2[[#This Row],[reviewText]])</f>
        <v>23</v>
      </c>
      <c r="R2467" t="str">
        <f>IF(AMAZON_FASHION_5__2[[#This Row],[overall]]&gt;=4,"Positive",IF(AMAZON_FASHION_5__2[[#This Row],[overall]]&lt;=2,"Negative","Neutral"))</f>
        <v>Positive</v>
      </c>
      <c r="S24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68" spans="1:19" x14ac:dyDescent="0.25">
      <c r="A2468">
        <v>5</v>
      </c>
      <c r="B2468" t="b">
        <v>1</v>
      </c>
      <c r="C2468" s="1">
        <v>43041</v>
      </c>
      <c r="D2468">
        <f>YEAR(AMAZON_FASHION_5__2[[#This Row],[reviewDate]])</f>
        <v>2017</v>
      </c>
      <c r="E2468" s="1" t="str">
        <f>TEXT(AMAZON_FASHION_5__2[[#This Row],[reviewDate]], "mmmm")</f>
        <v>November</v>
      </c>
      <c r="F2468" t="s">
        <v>520</v>
      </c>
      <c r="G2468" t="s">
        <v>1566</v>
      </c>
      <c r="H2468" t="s">
        <v>230</v>
      </c>
      <c r="I2468" t="s">
        <v>303</v>
      </c>
      <c r="J2468" t="s">
        <v>521</v>
      </c>
      <c r="K2468" t="s">
        <v>522</v>
      </c>
      <c r="L2468" t="s">
        <v>17</v>
      </c>
      <c r="M2468">
        <v>1509580800</v>
      </c>
      <c r="N2468" t="s">
        <v>1628</v>
      </c>
      <c r="O2468" t="s">
        <v>1628</v>
      </c>
      <c r="P2468" t="s">
        <v>1628</v>
      </c>
      <c r="Q2468">
        <f>LEN(AMAZON_FASHION_5__2[[#This Row],[reviewText]])</f>
        <v>10</v>
      </c>
      <c r="R2468" t="str">
        <f>IF(AMAZON_FASHION_5__2[[#This Row],[overall]]&gt;=4,"Positive",IF(AMAZON_FASHION_5__2[[#This Row],[overall]]&lt;=2,"Negative","Neutral"))</f>
        <v>Positive</v>
      </c>
      <c r="S24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69" spans="1:19" x14ac:dyDescent="0.25">
      <c r="A2469">
        <v>4</v>
      </c>
      <c r="B2469" t="b">
        <v>1</v>
      </c>
      <c r="C2469" s="1">
        <v>43039</v>
      </c>
      <c r="D2469">
        <f>YEAR(AMAZON_FASHION_5__2[[#This Row],[reviewDate]])</f>
        <v>2017</v>
      </c>
      <c r="E2469" s="1" t="str">
        <f>TEXT(AMAZON_FASHION_5__2[[#This Row],[reviewDate]], "mmmm")</f>
        <v>October</v>
      </c>
      <c r="F2469" t="s">
        <v>523</v>
      </c>
      <c r="G2469" t="s">
        <v>1566</v>
      </c>
      <c r="H2469" t="s">
        <v>1578</v>
      </c>
      <c r="I2469" t="s">
        <v>524</v>
      </c>
      <c r="J2469" t="s">
        <v>525</v>
      </c>
      <c r="K2469" t="s">
        <v>526</v>
      </c>
      <c r="L2469" t="s">
        <v>527</v>
      </c>
      <c r="M2469">
        <v>1509408000</v>
      </c>
      <c r="N2469" t="s">
        <v>1628</v>
      </c>
      <c r="O2469" t="s">
        <v>1628</v>
      </c>
      <c r="P2469" t="s">
        <v>1628</v>
      </c>
      <c r="Q2469">
        <f>LEN(AMAZON_FASHION_5__2[[#This Row],[reviewText]])</f>
        <v>152</v>
      </c>
      <c r="R2469" t="str">
        <f>IF(AMAZON_FASHION_5__2[[#This Row],[overall]]&gt;=4,"Positive",IF(AMAZON_FASHION_5__2[[#This Row],[overall]]&lt;=2,"Negative","Neutral"))</f>
        <v>Positive</v>
      </c>
      <c r="S24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70" spans="1:19" x14ac:dyDescent="0.25">
      <c r="A2470">
        <v>5</v>
      </c>
      <c r="B2470" t="b">
        <v>1</v>
      </c>
      <c r="C2470" s="1">
        <v>43037</v>
      </c>
      <c r="D2470">
        <f>YEAR(AMAZON_FASHION_5__2[[#This Row],[reviewDate]])</f>
        <v>2017</v>
      </c>
      <c r="E2470" s="1" t="str">
        <f>TEXT(AMAZON_FASHION_5__2[[#This Row],[reviewDate]], "mmmm")</f>
        <v>October</v>
      </c>
      <c r="F2470" t="s">
        <v>528</v>
      </c>
      <c r="G2470" t="s">
        <v>1566</v>
      </c>
      <c r="H2470" t="s">
        <v>235</v>
      </c>
      <c r="I2470" t="s">
        <v>274</v>
      </c>
      <c r="J2470" t="s">
        <v>529</v>
      </c>
      <c r="K2470" t="s">
        <v>530</v>
      </c>
      <c r="L2470" t="s">
        <v>531</v>
      </c>
      <c r="M2470">
        <v>1509235200</v>
      </c>
      <c r="N2470" t="s">
        <v>1628</v>
      </c>
      <c r="O2470" t="s">
        <v>1628</v>
      </c>
      <c r="P2470" t="s">
        <v>1628</v>
      </c>
      <c r="Q2470">
        <f>LEN(AMAZON_FASHION_5__2[[#This Row],[reviewText]])</f>
        <v>21</v>
      </c>
      <c r="R2470" t="str">
        <f>IF(AMAZON_FASHION_5__2[[#This Row],[overall]]&gt;=4,"Positive",IF(AMAZON_FASHION_5__2[[#This Row],[overall]]&lt;=2,"Negative","Neutral"))</f>
        <v>Positive</v>
      </c>
      <c r="S24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71" spans="1:19" x14ac:dyDescent="0.25">
      <c r="A2471">
        <v>5</v>
      </c>
      <c r="B2471" t="b">
        <v>1</v>
      </c>
      <c r="C2471" s="1">
        <v>43034</v>
      </c>
      <c r="D2471">
        <f>YEAR(AMAZON_FASHION_5__2[[#This Row],[reviewDate]])</f>
        <v>2017</v>
      </c>
      <c r="E2471" s="1" t="str">
        <f>TEXT(AMAZON_FASHION_5__2[[#This Row],[reviewDate]], "mmmm")</f>
        <v>October</v>
      </c>
      <c r="F2471" t="s">
        <v>532</v>
      </c>
      <c r="G2471" t="s">
        <v>1566</v>
      </c>
      <c r="H2471" t="s">
        <v>1596</v>
      </c>
      <c r="I2471" t="s">
        <v>198</v>
      </c>
      <c r="J2471" t="s">
        <v>533</v>
      </c>
      <c r="K2471" t="s">
        <v>534</v>
      </c>
      <c r="L2471" t="s">
        <v>535</v>
      </c>
      <c r="M2471">
        <v>1508976000</v>
      </c>
      <c r="N2471" t="s">
        <v>1628</v>
      </c>
      <c r="O2471" t="s">
        <v>1628</v>
      </c>
      <c r="P2471" t="s">
        <v>1628</v>
      </c>
      <c r="Q2471">
        <f>LEN(AMAZON_FASHION_5__2[[#This Row],[reviewText]])</f>
        <v>185</v>
      </c>
      <c r="R2471" t="str">
        <f>IF(AMAZON_FASHION_5__2[[#This Row],[overall]]&gt;=4,"Positive",IF(AMAZON_FASHION_5__2[[#This Row],[overall]]&lt;=2,"Negative","Neutral"))</f>
        <v>Positive</v>
      </c>
      <c r="S24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72" spans="1:19" x14ac:dyDescent="0.25">
      <c r="A2472">
        <v>5</v>
      </c>
      <c r="B2472" t="b">
        <v>1</v>
      </c>
      <c r="C2472" s="1">
        <v>43034</v>
      </c>
      <c r="D2472">
        <f>YEAR(AMAZON_FASHION_5__2[[#This Row],[reviewDate]])</f>
        <v>2017</v>
      </c>
      <c r="E2472" s="1" t="str">
        <f>TEXT(AMAZON_FASHION_5__2[[#This Row],[reviewDate]], "mmmm")</f>
        <v>October</v>
      </c>
      <c r="F2472" t="s">
        <v>536</v>
      </c>
      <c r="G2472" t="s">
        <v>1566</v>
      </c>
      <c r="H2472" t="s">
        <v>197</v>
      </c>
      <c r="I2472" t="s">
        <v>303</v>
      </c>
      <c r="J2472" t="s">
        <v>537</v>
      </c>
      <c r="K2472" t="s">
        <v>538</v>
      </c>
      <c r="L2472" t="s">
        <v>539</v>
      </c>
      <c r="M2472">
        <v>1508976000</v>
      </c>
      <c r="N2472" t="s">
        <v>1628</v>
      </c>
      <c r="O2472" t="s">
        <v>1628</v>
      </c>
      <c r="P2472" t="s">
        <v>1628</v>
      </c>
      <c r="Q2472">
        <f>LEN(AMAZON_FASHION_5__2[[#This Row],[reviewText]])</f>
        <v>351</v>
      </c>
      <c r="R2472" t="str">
        <f>IF(AMAZON_FASHION_5__2[[#This Row],[overall]]&gt;=4,"Positive",IF(AMAZON_FASHION_5__2[[#This Row],[overall]]&lt;=2,"Negative","Neutral"))</f>
        <v>Positive</v>
      </c>
      <c r="S24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73" spans="1:19" x14ac:dyDescent="0.25">
      <c r="A2473">
        <v>5</v>
      </c>
      <c r="B2473" t="b">
        <v>1</v>
      </c>
      <c r="C2473" s="1">
        <v>43033</v>
      </c>
      <c r="D2473">
        <f>YEAR(AMAZON_FASHION_5__2[[#This Row],[reviewDate]])</f>
        <v>2017</v>
      </c>
      <c r="E2473" s="1" t="str">
        <f>TEXT(AMAZON_FASHION_5__2[[#This Row],[reviewDate]], "mmmm")</f>
        <v>October</v>
      </c>
      <c r="F2473" t="s">
        <v>540</v>
      </c>
      <c r="G2473" t="s">
        <v>1566</v>
      </c>
      <c r="H2473" t="s">
        <v>230</v>
      </c>
      <c r="I2473" t="s">
        <v>541</v>
      </c>
      <c r="J2473" t="s">
        <v>542</v>
      </c>
      <c r="K2473" t="s">
        <v>543</v>
      </c>
      <c r="L2473" t="s">
        <v>17</v>
      </c>
      <c r="M2473">
        <v>1508889600</v>
      </c>
      <c r="N2473" t="s">
        <v>1628</v>
      </c>
      <c r="O2473" t="s">
        <v>1628</v>
      </c>
      <c r="P2473" t="s">
        <v>1628</v>
      </c>
      <c r="Q2473">
        <f>LEN(AMAZON_FASHION_5__2[[#This Row],[reviewText]])</f>
        <v>11</v>
      </c>
      <c r="R2473" t="str">
        <f>IF(AMAZON_FASHION_5__2[[#This Row],[overall]]&gt;=4,"Positive",IF(AMAZON_FASHION_5__2[[#This Row],[overall]]&lt;=2,"Negative","Neutral"))</f>
        <v>Positive</v>
      </c>
      <c r="S24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74" spans="1:19" x14ac:dyDescent="0.25">
      <c r="A2474">
        <v>5</v>
      </c>
      <c r="B2474" t="b">
        <v>1</v>
      </c>
      <c r="C2474" s="1">
        <v>43032</v>
      </c>
      <c r="D2474">
        <f>YEAR(AMAZON_FASHION_5__2[[#This Row],[reviewDate]])</f>
        <v>2017</v>
      </c>
      <c r="E2474" s="1" t="str">
        <f>TEXT(AMAZON_FASHION_5__2[[#This Row],[reviewDate]], "mmmm")</f>
        <v>October</v>
      </c>
      <c r="F2474" t="s">
        <v>544</v>
      </c>
      <c r="G2474" t="s">
        <v>1566</v>
      </c>
      <c r="H2474" t="s">
        <v>201</v>
      </c>
      <c r="I2474" t="s">
        <v>507</v>
      </c>
      <c r="J2474" t="s">
        <v>545</v>
      </c>
      <c r="K2474" t="s">
        <v>546</v>
      </c>
      <c r="L2474" t="s">
        <v>17</v>
      </c>
      <c r="M2474">
        <v>1508803200</v>
      </c>
      <c r="N2474" t="s">
        <v>1628</v>
      </c>
      <c r="O2474" t="s">
        <v>1628</v>
      </c>
      <c r="P2474" t="s">
        <v>1628</v>
      </c>
      <c r="Q2474">
        <f>LEN(AMAZON_FASHION_5__2[[#This Row],[reviewText]])</f>
        <v>35</v>
      </c>
      <c r="R2474" t="str">
        <f>IF(AMAZON_FASHION_5__2[[#This Row],[overall]]&gt;=4,"Positive",IF(AMAZON_FASHION_5__2[[#This Row],[overall]]&lt;=2,"Negative","Neutral"))</f>
        <v>Positive</v>
      </c>
      <c r="S24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75" spans="1:19" x14ac:dyDescent="0.25">
      <c r="A2475">
        <v>5</v>
      </c>
      <c r="B2475" t="b">
        <v>1</v>
      </c>
      <c r="C2475" s="1">
        <v>43030</v>
      </c>
      <c r="D2475">
        <f>YEAR(AMAZON_FASHION_5__2[[#This Row],[reviewDate]])</f>
        <v>2017</v>
      </c>
      <c r="E2475" s="1" t="str">
        <f>TEXT(AMAZON_FASHION_5__2[[#This Row],[reviewDate]], "mmmm")</f>
        <v>October</v>
      </c>
      <c r="F2475" t="s">
        <v>547</v>
      </c>
      <c r="G2475" t="s">
        <v>1566</v>
      </c>
      <c r="H2475" t="s">
        <v>1571</v>
      </c>
      <c r="I2475" t="s">
        <v>548</v>
      </c>
      <c r="J2475" t="s">
        <v>549</v>
      </c>
      <c r="K2475" t="s">
        <v>550</v>
      </c>
      <c r="L2475" t="s">
        <v>17</v>
      </c>
      <c r="M2475">
        <v>1508630400</v>
      </c>
      <c r="N2475" t="s">
        <v>1628</v>
      </c>
      <c r="O2475" t="s">
        <v>1628</v>
      </c>
      <c r="P2475" t="s">
        <v>1628</v>
      </c>
      <c r="Q2475">
        <f>LEN(AMAZON_FASHION_5__2[[#This Row],[reviewText]])</f>
        <v>14</v>
      </c>
      <c r="R2475" t="str">
        <f>IF(AMAZON_FASHION_5__2[[#This Row],[overall]]&gt;=4,"Positive",IF(AMAZON_FASHION_5__2[[#This Row],[overall]]&lt;=2,"Negative","Neutral"))</f>
        <v>Positive</v>
      </c>
      <c r="S24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76" spans="1:19" x14ac:dyDescent="0.25">
      <c r="A2476">
        <v>3</v>
      </c>
      <c r="B2476" t="b">
        <v>1</v>
      </c>
      <c r="C2476" s="1">
        <v>43026</v>
      </c>
      <c r="D2476">
        <f>YEAR(AMAZON_FASHION_5__2[[#This Row],[reviewDate]])</f>
        <v>2017</v>
      </c>
      <c r="E2476" s="1" t="str">
        <f>TEXT(AMAZON_FASHION_5__2[[#This Row],[reviewDate]], "mmmm")</f>
        <v>October</v>
      </c>
      <c r="F2476" t="s">
        <v>551</v>
      </c>
      <c r="G2476" t="s">
        <v>1566</v>
      </c>
      <c r="H2476" t="s">
        <v>1567</v>
      </c>
      <c r="I2476" t="s">
        <v>274</v>
      </c>
      <c r="J2476" t="s">
        <v>552</v>
      </c>
      <c r="K2476" t="s">
        <v>553</v>
      </c>
      <c r="L2476" t="s">
        <v>554</v>
      </c>
      <c r="M2476">
        <v>1508284800</v>
      </c>
      <c r="N2476" t="s">
        <v>1628</v>
      </c>
      <c r="O2476" t="s">
        <v>1628</v>
      </c>
      <c r="P2476" t="s">
        <v>1628</v>
      </c>
      <c r="Q2476">
        <f>LEN(AMAZON_FASHION_5__2[[#This Row],[reviewText]])</f>
        <v>201</v>
      </c>
      <c r="R2476" t="str">
        <f>IF(AMAZON_FASHION_5__2[[#This Row],[overall]]&gt;=4,"Positive",IF(AMAZON_FASHION_5__2[[#This Row],[overall]]&lt;=2,"Negative","Neutral"))</f>
        <v>Neutral</v>
      </c>
      <c r="S24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77" spans="1:19" x14ac:dyDescent="0.25">
      <c r="A2477">
        <v>5</v>
      </c>
      <c r="B2477" t="b">
        <v>1</v>
      </c>
      <c r="C2477" s="1">
        <v>43021</v>
      </c>
      <c r="D2477">
        <f>YEAR(AMAZON_FASHION_5__2[[#This Row],[reviewDate]])</f>
        <v>2017</v>
      </c>
      <c r="E2477" s="1" t="str">
        <f>TEXT(AMAZON_FASHION_5__2[[#This Row],[reviewDate]], "mmmm")</f>
        <v>October</v>
      </c>
      <c r="F2477" t="s">
        <v>555</v>
      </c>
      <c r="G2477" t="s">
        <v>1566</v>
      </c>
      <c r="H2477" t="s">
        <v>1578</v>
      </c>
      <c r="I2477" t="s">
        <v>303</v>
      </c>
      <c r="J2477" t="s">
        <v>63</v>
      </c>
      <c r="K2477" t="s">
        <v>556</v>
      </c>
      <c r="L2477" t="s">
        <v>17</v>
      </c>
      <c r="M2477">
        <v>1507852800</v>
      </c>
      <c r="N2477" t="s">
        <v>1628</v>
      </c>
      <c r="O2477" t="s">
        <v>1628</v>
      </c>
      <c r="P2477" t="s">
        <v>1628</v>
      </c>
      <c r="Q2477">
        <f>LEN(AMAZON_FASHION_5__2[[#This Row],[reviewText]])</f>
        <v>25</v>
      </c>
      <c r="R2477" t="str">
        <f>IF(AMAZON_FASHION_5__2[[#This Row],[overall]]&gt;=4,"Positive",IF(AMAZON_FASHION_5__2[[#This Row],[overall]]&lt;=2,"Negative","Neutral"))</f>
        <v>Positive</v>
      </c>
      <c r="S24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78" spans="1:19" x14ac:dyDescent="0.25">
      <c r="A2478">
        <v>3</v>
      </c>
      <c r="B2478" t="b">
        <v>1</v>
      </c>
      <c r="C2478" s="1">
        <v>43018</v>
      </c>
      <c r="D2478">
        <f>YEAR(AMAZON_FASHION_5__2[[#This Row],[reviewDate]])</f>
        <v>2017</v>
      </c>
      <c r="E2478" s="1" t="str">
        <f>TEXT(AMAZON_FASHION_5__2[[#This Row],[reviewDate]], "mmmm")</f>
        <v>October</v>
      </c>
      <c r="F2478" t="s">
        <v>557</v>
      </c>
      <c r="G2478" t="s">
        <v>1566</v>
      </c>
      <c r="H2478" t="s">
        <v>1572</v>
      </c>
      <c r="I2478" t="s">
        <v>198</v>
      </c>
      <c r="J2478" t="s">
        <v>559</v>
      </c>
      <c r="K2478" t="s">
        <v>560</v>
      </c>
      <c r="L2478" t="s">
        <v>561</v>
      </c>
      <c r="M2478">
        <v>1507593600</v>
      </c>
      <c r="N2478" t="s">
        <v>1628</v>
      </c>
      <c r="O2478" t="s">
        <v>1628</v>
      </c>
      <c r="P2478" t="s">
        <v>1628</v>
      </c>
      <c r="Q2478">
        <f>LEN(AMAZON_FASHION_5__2[[#This Row],[reviewText]])</f>
        <v>192</v>
      </c>
      <c r="R2478" t="str">
        <f>IF(AMAZON_FASHION_5__2[[#This Row],[overall]]&gt;=4,"Positive",IF(AMAZON_FASHION_5__2[[#This Row],[overall]]&lt;=2,"Negative","Neutral"))</f>
        <v>Neutral</v>
      </c>
      <c r="S24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79" spans="1:19" x14ac:dyDescent="0.25">
      <c r="A2479">
        <v>5</v>
      </c>
      <c r="B2479" t="b">
        <v>1</v>
      </c>
      <c r="C2479" s="1">
        <v>43011</v>
      </c>
      <c r="D2479">
        <f>YEAR(AMAZON_FASHION_5__2[[#This Row],[reviewDate]])</f>
        <v>2017</v>
      </c>
      <c r="E2479" s="1" t="str">
        <f>TEXT(AMAZON_FASHION_5__2[[#This Row],[reviewDate]], "mmmm")</f>
        <v>October</v>
      </c>
      <c r="F2479" t="s">
        <v>562</v>
      </c>
      <c r="G2479" t="s">
        <v>1566</v>
      </c>
      <c r="H2479" t="s">
        <v>1595</v>
      </c>
      <c r="I2479" t="s">
        <v>99</v>
      </c>
      <c r="J2479" t="s">
        <v>563</v>
      </c>
      <c r="K2479" t="s">
        <v>564</v>
      </c>
      <c r="L2479" t="s">
        <v>565</v>
      </c>
      <c r="M2479">
        <v>1506988800</v>
      </c>
      <c r="N2479" t="s">
        <v>1628</v>
      </c>
      <c r="O2479" t="s">
        <v>1628</v>
      </c>
      <c r="P2479" t="s">
        <v>1628</v>
      </c>
      <c r="Q2479">
        <f>LEN(AMAZON_FASHION_5__2[[#This Row],[reviewText]])</f>
        <v>230</v>
      </c>
      <c r="R2479" t="str">
        <f>IF(AMAZON_FASHION_5__2[[#This Row],[overall]]&gt;=4,"Positive",IF(AMAZON_FASHION_5__2[[#This Row],[overall]]&lt;=2,"Negative","Neutral"))</f>
        <v>Positive</v>
      </c>
      <c r="S24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80" spans="1:19" x14ac:dyDescent="0.25">
      <c r="A2480">
        <v>5</v>
      </c>
      <c r="B2480" t="b">
        <v>1</v>
      </c>
      <c r="C2480" s="1">
        <v>43010</v>
      </c>
      <c r="D2480">
        <f>YEAR(AMAZON_FASHION_5__2[[#This Row],[reviewDate]])</f>
        <v>2017</v>
      </c>
      <c r="E2480" s="1" t="str">
        <f>TEXT(AMAZON_FASHION_5__2[[#This Row],[reviewDate]], "mmmm")</f>
        <v>October</v>
      </c>
      <c r="F2480" t="s">
        <v>566</v>
      </c>
      <c r="G2480" t="s">
        <v>1566</v>
      </c>
      <c r="H2480" t="s">
        <v>1578</v>
      </c>
      <c r="I2480" t="s">
        <v>303</v>
      </c>
      <c r="J2480" t="s">
        <v>63</v>
      </c>
      <c r="K2480" t="s">
        <v>567</v>
      </c>
      <c r="L2480" t="s">
        <v>568</v>
      </c>
      <c r="M2480">
        <v>1506902400</v>
      </c>
      <c r="N2480" t="s">
        <v>1628</v>
      </c>
      <c r="O2480" t="s">
        <v>1628</v>
      </c>
      <c r="P2480" t="s">
        <v>1628</v>
      </c>
      <c r="Q2480">
        <f>LEN(AMAZON_FASHION_5__2[[#This Row],[reviewText]])</f>
        <v>171</v>
      </c>
      <c r="R2480" t="str">
        <f>IF(AMAZON_FASHION_5__2[[#This Row],[overall]]&gt;=4,"Positive",IF(AMAZON_FASHION_5__2[[#This Row],[overall]]&lt;=2,"Negative","Neutral"))</f>
        <v>Positive</v>
      </c>
      <c r="S24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81" spans="1:19" x14ac:dyDescent="0.25">
      <c r="A2481">
        <v>5</v>
      </c>
      <c r="B2481" t="b">
        <v>1</v>
      </c>
      <c r="C2481" s="1">
        <v>43005</v>
      </c>
      <c r="D2481">
        <f>YEAR(AMAZON_FASHION_5__2[[#This Row],[reviewDate]])</f>
        <v>2017</v>
      </c>
      <c r="E2481" s="1" t="str">
        <f>TEXT(AMAZON_FASHION_5__2[[#This Row],[reviewDate]], "mmmm")</f>
        <v>September</v>
      </c>
      <c r="F2481" t="s">
        <v>569</v>
      </c>
      <c r="G2481" t="s">
        <v>1566</v>
      </c>
      <c r="H2481" t="s">
        <v>1567</v>
      </c>
      <c r="I2481" t="s">
        <v>99</v>
      </c>
      <c r="J2481" t="s">
        <v>570</v>
      </c>
      <c r="K2481" t="s">
        <v>571</v>
      </c>
      <c r="L2481" t="s">
        <v>17</v>
      </c>
      <c r="M2481">
        <v>1506470400</v>
      </c>
      <c r="N2481" t="s">
        <v>1628</v>
      </c>
      <c r="O2481" t="s">
        <v>1628</v>
      </c>
      <c r="P2481" t="s">
        <v>1628</v>
      </c>
      <c r="Q2481">
        <f>LEN(AMAZON_FASHION_5__2[[#This Row],[reviewText]])</f>
        <v>12</v>
      </c>
      <c r="R2481" t="str">
        <f>IF(AMAZON_FASHION_5__2[[#This Row],[overall]]&gt;=4,"Positive",IF(AMAZON_FASHION_5__2[[#This Row],[overall]]&lt;=2,"Negative","Neutral"))</f>
        <v>Positive</v>
      </c>
      <c r="S24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82" spans="1:19" x14ac:dyDescent="0.25">
      <c r="A2482">
        <v>5</v>
      </c>
      <c r="B2482" t="b">
        <v>1</v>
      </c>
      <c r="C2482" s="1">
        <v>43005</v>
      </c>
      <c r="D2482">
        <f>YEAR(AMAZON_FASHION_5__2[[#This Row],[reviewDate]])</f>
        <v>2017</v>
      </c>
      <c r="E2482" s="1" t="str">
        <f>TEXT(AMAZON_FASHION_5__2[[#This Row],[reviewDate]], "mmmm")</f>
        <v>September</v>
      </c>
      <c r="F2482" t="s">
        <v>572</v>
      </c>
      <c r="G2482" t="s">
        <v>1566</v>
      </c>
      <c r="H2482" t="s">
        <v>1628</v>
      </c>
      <c r="I2482" t="s">
        <v>1628</v>
      </c>
      <c r="J2482" t="s">
        <v>575</v>
      </c>
      <c r="K2482" t="s">
        <v>576</v>
      </c>
      <c r="L2482" t="s">
        <v>577</v>
      </c>
      <c r="M2482">
        <v>1506470400</v>
      </c>
      <c r="N2482" t="s">
        <v>1628</v>
      </c>
      <c r="O2482" t="s">
        <v>1628</v>
      </c>
      <c r="P2482" t="s">
        <v>1628</v>
      </c>
      <c r="Q2482">
        <f>LEN(AMAZON_FASHION_5__2[[#This Row],[reviewText]])</f>
        <v>70</v>
      </c>
      <c r="R2482" t="str">
        <f>IF(AMAZON_FASHION_5__2[[#This Row],[overall]]&gt;=4,"Positive",IF(AMAZON_FASHION_5__2[[#This Row],[overall]]&lt;=2,"Negative","Neutral"))</f>
        <v>Positive</v>
      </c>
      <c r="S24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83" spans="1:19" x14ac:dyDescent="0.25">
      <c r="A2483">
        <v>5</v>
      </c>
      <c r="B2483" t="b">
        <v>1</v>
      </c>
      <c r="C2483" s="1">
        <v>43004</v>
      </c>
      <c r="D2483">
        <f>YEAR(AMAZON_FASHION_5__2[[#This Row],[reviewDate]])</f>
        <v>2017</v>
      </c>
      <c r="E2483" s="1" t="str">
        <f>TEXT(AMAZON_FASHION_5__2[[#This Row],[reviewDate]], "mmmm")</f>
        <v>September</v>
      </c>
      <c r="F2483" t="s">
        <v>578</v>
      </c>
      <c r="G2483" t="s">
        <v>1566</v>
      </c>
      <c r="H2483" t="s">
        <v>205</v>
      </c>
      <c r="I2483" t="s">
        <v>198</v>
      </c>
      <c r="J2483" t="s">
        <v>579</v>
      </c>
      <c r="K2483" t="s">
        <v>580</v>
      </c>
      <c r="L2483" t="s">
        <v>17</v>
      </c>
      <c r="M2483">
        <v>1506384000</v>
      </c>
      <c r="N2483" t="s">
        <v>1628</v>
      </c>
      <c r="O2483" t="s">
        <v>1628</v>
      </c>
      <c r="P2483" t="s">
        <v>1628</v>
      </c>
      <c r="Q2483">
        <f>LEN(AMAZON_FASHION_5__2[[#This Row],[reviewText]])</f>
        <v>9</v>
      </c>
      <c r="R2483" t="str">
        <f>IF(AMAZON_FASHION_5__2[[#This Row],[overall]]&gt;=4,"Positive",IF(AMAZON_FASHION_5__2[[#This Row],[overall]]&lt;=2,"Negative","Neutral"))</f>
        <v>Positive</v>
      </c>
      <c r="S24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84" spans="1:19" x14ac:dyDescent="0.25">
      <c r="A2484">
        <v>5</v>
      </c>
      <c r="B2484" t="b">
        <v>1</v>
      </c>
      <c r="C2484" s="1">
        <v>43003</v>
      </c>
      <c r="D2484">
        <f>YEAR(AMAZON_FASHION_5__2[[#This Row],[reviewDate]])</f>
        <v>2017</v>
      </c>
      <c r="E2484" s="1" t="str">
        <f>TEXT(AMAZON_FASHION_5__2[[#This Row],[reviewDate]], "mmmm")</f>
        <v>September</v>
      </c>
      <c r="F2484" t="s">
        <v>581</v>
      </c>
      <c r="G2484" t="s">
        <v>1566</v>
      </c>
      <c r="H2484" t="s">
        <v>235</v>
      </c>
      <c r="I2484" t="s">
        <v>198</v>
      </c>
      <c r="J2484" t="s">
        <v>582</v>
      </c>
      <c r="K2484" t="s">
        <v>583</v>
      </c>
      <c r="L2484" t="s">
        <v>17</v>
      </c>
      <c r="M2484">
        <v>1506297600</v>
      </c>
      <c r="N2484" t="s">
        <v>1628</v>
      </c>
      <c r="O2484" t="s">
        <v>1628</v>
      </c>
      <c r="P2484" t="s">
        <v>1628</v>
      </c>
      <c r="Q2484">
        <f>LEN(AMAZON_FASHION_5__2[[#This Row],[reviewText]])</f>
        <v>50</v>
      </c>
      <c r="R2484" t="str">
        <f>IF(AMAZON_FASHION_5__2[[#This Row],[overall]]&gt;=4,"Positive",IF(AMAZON_FASHION_5__2[[#This Row],[overall]]&lt;=2,"Negative","Neutral"))</f>
        <v>Positive</v>
      </c>
      <c r="S24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85" spans="1:19" x14ac:dyDescent="0.25">
      <c r="A2485">
        <v>5</v>
      </c>
      <c r="B2485" t="b">
        <v>1</v>
      </c>
      <c r="C2485" s="1">
        <v>42998</v>
      </c>
      <c r="D2485">
        <f>YEAR(AMAZON_FASHION_5__2[[#This Row],[reviewDate]])</f>
        <v>2017</v>
      </c>
      <c r="E2485" s="1" t="str">
        <f>TEXT(AMAZON_FASHION_5__2[[#This Row],[reviewDate]], "mmmm")</f>
        <v>September</v>
      </c>
      <c r="F2485" t="s">
        <v>584</v>
      </c>
      <c r="G2485" t="s">
        <v>1566</v>
      </c>
      <c r="H2485" t="s">
        <v>1568</v>
      </c>
      <c r="I2485" t="s">
        <v>99</v>
      </c>
      <c r="J2485" t="s">
        <v>63</v>
      </c>
      <c r="K2485" t="s">
        <v>585</v>
      </c>
      <c r="L2485" t="s">
        <v>586</v>
      </c>
      <c r="M2485">
        <v>1505865600</v>
      </c>
      <c r="N2485" t="s">
        <v>1628</v>
      </c>
      <c r="O2485" t="s">
        <v>1628</v>
      </c>
      <c r="P2485" t="s">
        <v>1628</v>
      </c>
      <c r="Q2485">
        <f>LEN(AMAZON_FASHION_5__2[[#This Row],[reviewText]])</f>
        <v>370</v>
      </c>
      <c r="R2485" t="str">
        <f>IF(AMAZON_FASHION_5__2[[#This Row],[overall]]&gt;=4,"Positive",IF(AMAZON_FASHION_5__2[[#This Row],[overall]]&lt;=2,"Negative","Neutral"))</f>
        <v>Positive</v>
      </c>
      <c r="S24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86" spans="1:19" x14ac:dyDescent="0.25">
      <c r="A2486">
        <v>5</v>
      </c>
      <c r="B2486" t="b">
        <v>1</v>
      </c>
      <c r="C2486" s="1">
        <v>42996</v>
      </c>
      <c r="D2486">
        <f>YEAR(AMAZON_FASHION_5__2[[#This Row],[reviewDate]])</f>
        <v>2017</v>
      </c>
      <c r="E2486" s="1" t="str">
        <f>TEXT(AMAZON_FASHION_5__2[[#This Row],[reviewDate]], "mmmm")</f>
        <v>September</v>
      </c>
      <c r="F2486" t="s">
        <v>587</v>
      </c>
      <c r="G2486" t="s">
        <v>1566</v>
      </c>
      <c r="H2486" t="s">
        <v>1571</v>
      </c>
      <c r="I2486" t="s">
        <v>198</v>
      </c>
      <c r="J2486" t="s">
        <v>588</v>
      </c>
      <c r="K2486" t="s">
        <v>589</v>
      </c>
      <c r="L2486" t="s">
        <v>590</v>
      </c>
      <c r="M2486">
        <v>1505692800</v>
      </c>
      <c r="N2486" t="s">
        <v>1628</v>
      </c>
      <c r="O2486" t="s">
        <v>1628</v>
      </c>
      <c r="P2486" t="s">
        <v>1628</v>
      </c>
      <c r="Q2486">
        <f>LEN(AMAZON_FASHION_5__2[[#This Row],[reviewText]])</f>
        <v>49</v>
      </c>
      <c r="R2486" t="str">
        <f>IF(AMAZON_FASHION_5__2[[#This Row],[overall]]&gt;=4,"Positive",IF(AMAZON_FASHION_5__2[[#This Row],[overall]]&lt;=2,"Negative","Neutral"))</f>
        <v>Positive</v>
      </c>
      <c r="S24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87" spans="1:19" x14ac:dyDescent="0.25">
      <c r="A2487">
        <v>5</v>
      </c>
      <c r="B2487" t="b">
        <v>1</v>
      </c>
      <c r="C2487" s="1">
        <v>42994</v>
      </c>
      <c r="D2487">
        <f>YEAR(AMAZON_FASHION_5__2[[#This Row],[reviewDate]])</f>
        <v>2017</v>
      </c>
      <c r="E2487" s="1" t="str">
        <f>TEXT(AMAZON_FASHION_5__2[[#This Row],[reviewDate]], "mmmm")</f>
        <v>September</v>
      </c>
      <c r="F2487" t="s">
        <v>591</v>
      </c>
      <c r="G2487" t="s">
        <v>1566</v>
      </c>
      <c r="H2487" t="s">
        <v>1568</v>
      </c>
      <c r="I2487" t="s">
        <v>507</v>
      </c>
      <c r="J2487" t="s">
        <v>63</v>
      </c>
      <c r="K2487" t="s">
        <v>592</v>
      </c>
      <c r="L2487" t="s">
        <v>593</v>
      </c>
      <c r="M2487">
        <v>1505520000</v>
      </c>
      <c r="N2487" t="s">
        <v>1628</v>
      </c>
      <c r="O2487" t="s">
        <v>1628</v>
      </c>
      <c r="P2487" t="s">
        <v>1628</v>
      </c>
      <c r="Q2487">
        <f>LEN(AMAZON_FASHION_5__2[[#This Row],[reviewText]])</f>
        <v>40</v>
      </c>
      <c r="R2487" t="str">
        <f>IF(AMAZON_FASHION_5__2[[#This Row],[overall]]&gt;=4,"Positive",IF(AMAZON_FASHION_5__2[[#This Row],[overall]]&lt;=2,"Negative","Neutral"))</f>
        <v>Positive</v>
      </c>
      <c r="S24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88" spans="1:19" x14ac:dyDescent="0.25">
      <c r="A2488">
        <v>5</v>
      </c>
      <c r="B2488" t="b">
        <v>1</v>
      </c>
      <c r="C2488" s="1">
        <v>42992</v>
      </c>
      <c r="D2488">
        <f>YEAR(AMAZON_FASHION_5__2[[#This Row],[reviewDate]])</f>
        <v>2017</v>
      </c>
      <c r="E2488" s="1" t="str">
        <f>TEXT(AMAZON_FASHION_5__2[[#This Row],[reviewDate]], "mmmm")</f>
        <v>September</v>
      </c>
      <c r="F2488" t="s">
        <v>594</v>
      </c>
      <c r="G2488" t="s">
        <v>1566</v>
      </c>
      <c r="H2488" t="s">
        <v>1578</v>
      </c>
      <c r="I2488" t="s">
        <v>524</v>
      </c>
      <c r="J2488" t="s">
        <v>1602</v>
      </c>
      <c r="K2488" t="s">
        <v>596</v>
      </c>
      <c r="L2488" t="s">
        <v>597</v>
      </c>
      <c r="M2488">
        <v>1505347200</v>
      </c>
      <c r="N2488" t="s">
        <v>1628</v>
      </c>
      <c r="O2488" t="s">
        <v>1628</v>
      </c>
      <c r="P2488" t="s">
        <v>1628</v>
      </c>
      <c r="Q2488">
        <f>LEN(AMAZON_FASHION_5__2[[#This Row],[reviewText]])</f>
        <v>23</v>
      </c>
      <c r="R2488" t="str">
        <f>IF(AMAZON_FASHION_5__2[[#This Row],[overall]]&gt;=4,"Positive",IF(AMAZON_FASHION_5__2[[#This Row],[overall]]&lt;=2,"Negative","Neutral"))</f>
        <v>Positive</v>
      </c>
      <c r="S24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89" spans="1:19" x14ac:dyDescent="0.25">
      <c r="A2489">
        <v>5</v>
      </c>
      <c r="B2489" t="b">
        <v>1</v>
      </c>
      <c r="C2489" s="1">
        <v>42991</v>
      </c>
      <c r="D2489">
        <f>YEAR(AMAZON_FASHION_5__2[[#This Row],[reviewDate]])</f>
        <v>2017</v>
      </c>
      <c r="E2489" s="1" t="str">
        <f>TEXT(AMAZON_FASHION_5__2[[#This Row],[reviewDate]], "mmmm")</f>
        <v>September</v>
      </c>
      <c r="F2489" t="s">
        <v>598</v>
      </c>
      <c r="G2489" t="s">
        <v>1566</v>
      </c>
      <c r="H2489" t="s">
        <v>1571</v>
      </c>
      <c r="I2489" t="s">
        <v>599</v>
      </c>
      <c r="J2489" t="s">
        <v>600</v>
      </c>
      <c r="K2489" t="s">
        <v>601</v>
      </c>
      <c r="L2489" t="s">
        <v>17</v>
      </c>
      <c r="M2489">
        <v>1505260800</v>
      </c>
      <c r="N2489" t="s">
        <v>1628</v>
      </c>
      <c r="O2489" t="s">
        <v>1628</v>
      </c>
      <c r="P2489" t="s">
        <v>1628</v>
      </c>
      <c r="Q2489">
        <f>LEN(AMAZON_FASHION_5__2[[#This Row],[reviewText]])</f>
        <v>28</v>
      </c>
      <c r="R2489" t="str">
        <f>IF(AMAZON_FASHION_5__2[[#This Row],[overall]]&gt;=4,"Positive",IF(AMAZON_FASHION_5__2[[#This Row],[overall]]&lt;=2,"Negative","Neutral"))</f>
        <v>Positive</v>
      </c>
      <c r="S24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90" spans="1:19" x14ac:dyDescent="0.25">
      <c r="A2490">
        <v>5</v>
      </c>
      <c r="B2490" t="b">
        <v>1</v>
      </c>
      <c r="C2490" s="1">
        <v>42988</v>
      </c>
      <c r="D2490">
        <f>YEAR(AMAZON_FASHION_5__2[[#This Row],[reviewDate]])</f>
        <v>2017</v>
      </c>
      <c r="E2490" s="1" t="str">
        <f>TEXT(AMAZON_FASHION_5__2[[#This Row],[reviewDate]], "mmmm")</f>
        <v>September</v>
      </c>
      <c r="F2490" t="s">
        <v>602</v>
      </c>
      <c r="G2490" t="s">
        <v>1566</v>
      </c>
      <c r="H2490" t="s">
        <v>1567</v>
      </c>
      <c r="I2490" t="s">
        <v>274</v>
      </c>
      <c r="J2490" t="s">
        <v>63</v>
      </c>
      <c r="K2490" t="s">
        <v>603</v>
      </c>
      <c r="L2490" t="s">
        <v>17</v>
      </c>
      <c r="M2490">
        <v>1505001600</v>
      </c>
      <c r="N2490" t="s">
        <v>1628</v>
      </c>
      <c r="O2490" t="s">
        <v>1628</v>
      </c>
      <c r="P2490" t="s">
        <v>1628</v>
      </c>
      <c r="Q2490">
        <f>LEN(AMAZON_FASHION_5__2[[#This Row],[reviewText]])</f>
        <v>48</v>
      </c>
      <c r="R2490" t="str">
        <f>IF(AMAZON_FASHION_5__2[[#This Row],[overall]]&gt;=4,"Positive",IF(AMAZON_FASHION_5__2[[#This Row],[overall]]&lt;=2,"Negative","Neutral"))</f>
        <v>Positive</v>
      </c>
      <c r="S24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91" spans="1:19" x14ac:dyDescent="0.25">
      <c r="A2491">
        <v>5</v>
      </c>
      <c r="B2491" t="b">
        <v>1</v>
      </c>
      <c r="C2491" s="1">
        <v>42985</v>
      </c>
      <c r="D2491">
        <f>YEAR(AMAZON_FASHION_5__2[[#This Row],[reviewDate]])</f>
        <v>2017</v>
      </c>
      <c r="E2491" s="1" t="str">
        <f>TEXT(AMAZON_FASHION_5__2[[#This Row],[reviewDate]], "mmmm")</f>
        <v>September</v>
      </c>
      <c r="F2491" t="s">
        <v>604</v>
      </c>
      <c r="G2491" t="s">
        <v>1566</v>
      </c>
      <c r="H2491" t="s">
        <v>1571</v>
      </c>
      <c r="I2491" t="s">
        <v>507</v>
      </c>
      <c r="J2491" t="s">
        <v>605</v>
      </c>
      <c r="K2491" t="s">
        <v>606</v>
      </c>
      <c r="L2491" t="s">
        <v>607</v>
      </c>
      <c r="M2491">
        <v>1504742400</v>
      </c>
      <c r="N2491" t="s">
        <v>1628</v>
      </c>
      <c r="O2491" t="s">
        <v>1628</v>
      </c>
      <c r="P2491" t="s">
        <v>1628</v>
      </c>
      <c r="Q2491">
        <f>LEN(AMAZON_FASHION_5__2[[#This Row],[reviewText]])</f>
        <v>119</v>
      </c>
      <c r="R2491" t="str">
        <f>IF(AMAZON_FASHION_5__2[[#This Row],[overall]]&gt;=4,"Positive",IF(AMAZON_FASHION_5__2[[#This Row],[overall]]&lt;=2,"Negative","Neutral"))</f>
        <v>Positive</v>
      </c>
      <c r="S24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92" spans="1:19" x14ac:dyDescent="0.25">
      <c r="A2492">
        <v>5</v>
      </c>
      <c r="B2492" t="b">
        <v>1</v>
      </c>
      <c r="C2492" s="1">
        <v>42983</v>
      </c>
      <c r="D2492">
        <f>YEAR(AMAZON_FASHION_5__2[[#This Row],[reviewDate]])</f>
        <v>2017</v>
      </c>
      <c r="E2492" s="1" t="str">
        <f>TEXT(AMAZON_FASHION_5__2[[#This Row],[reviewDate]], "mmmm")</f>
        <v>September</v>
      </c>
      <c r="F2492" t="s">
        <v>608</v>
      </c>
      <c r="G2492" t="s">
        <v>1566</v>
      </c>
      <c r="H2492" t="s">
        <v>235</v>
      </c>
      <c r="I2492" t="s">
        <v>274</v>
      </c>
      <c r="J2492" t="s">
        <v>609</v>
      </c>
      <c r="K2492" t="s">
        <v>610</v>
      </c>
      <c r="L2492" t="s">
        <v>17</v>
      </c>
      <c r="M2492">
        <v>1504569600</v>
      </c>
      <c r="N2492" t="s">
        <v>1628</v>
      </c>
      <c r="O2492" t="s">
        <v>1628</v>
      </c>
      <c r="P2492" t="s">
        <v>1628</v>
      </c>
      <c r="Q2492">
        <f>LEN(AMAZON_FASHION_5__2[[#This Row],[reviewText]])</f>
        <v>16</v>
      </c>
      <c r="R2492" t="str">
        <f>IF(AMAZON_FASHION_5__2[[#This Row],[overall]]&gt;=4,"Positive",IF(AMAZON_FASHION_5__2[[#This Row],[overall]]&lt;=2,"Negative","Neutral"))</f>
        <v>Positive</v>
      </c>
      <c r="S24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93" spans="1:19" x14ac:dyDescent="0.25">
      <c r="A2493">
        <v>5</v>
      </c>
      <c r="B2493" t="b">
        <v>1</v>
      </c>
      <c r="C2493" s="1">
        <v>42982</v>
      </c>
      <c r="D2493">
        <f>YEAR(AMAZON_FASHION_5__2[[#This Row],[reviewDate]])</f>
        <v>2017</v>
      </c>
      <c r="E2493" s="1" t="str">
        <f>TEXT(AMAZON_FASHION_5__2[[#This Row],[reviewDate]], "mmmm")</f>
        <v>September</v>
      </c>
      <c r="F2493" t="s">
        <v>611</v>
      </c>
      <c r="G2493" t="s">
        <v>1566</v>
      </c>
      <c r="H2493" t="s">
        <v>235</v>
      </c>
      <c r="I2493" t="s">
        <v>198</v>
      </c>
      <c r="J2493" t="s">
        <v>612</v>
      </c>
      <c r="K2493" t="s">
        <v>613</v>
      </c>
      <c r="L2493" t="s">
        <v>17</v>
      </c>
      <c r="M2493">
        <v>1504483200</v>
      </c>
      <c r="N2493" t="s">
        <v>1628</v>
      </c>
      <c r="O2493" t="s">
        <v>1628</v>
      </c>
      <c r="P2493" t="s">
        <v>1628</v>
      </c>
      <c r="Q2493">
        <f>LEN(AMAZON_FASHION_5__2[[#This Row],[reviewText]])</f>
        <v>12</v>
      </c>
      <c r="R2493" t="str">
        <f>IF(AMAZON_FASHION_5__2[[#This Row],[overall]]&gt;=4,"Positive",IF(AMAZON_FASHION_5__2[[#This Row],[overall]]&lt;=2,"Negative","Neutral"))</f>
        <v>Positive</v>
      </c>
      <c r="S24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94" spans="1:19" x14ac:dyDescent="0.25">
      <c r="A2494">
        <v>4</v>
      </c>
      <c r="B2494" t="b">
        <v>1</v>
      </c>
      <c r="C2494" s="1">
        <v>42976</v>
      </c>
      <c r="D2494">
        <f>YEAR(AMAZON_FASHION_5__2[[#This Row],[reviewDate]])</f>
        <v>2017</v>
      </c>
      <c r="E2494" s="1" t="str">
        <f>TEXT(AMAZON_FASHION_5__2[[#This Row],[reviewDate]], "mmmm")</f>
        <v>August</v>
      </c>
      <c r="F2494" t="s">
        <v>614</v>
      </c>
      <c r="G2494" t="s">
        <v>1566</v>
      </c>
      <c r="H2494" t="s">
        <v>1571</v>
      </c>
      <c r="I2494" t="s">
        <v>507</v>
      </c>
      <c r="J2494" t="s">
        <v>615</v>
      </c>
      <c r="K2494" t="s">
        <v>616</v>
      </c>
      <c r="L2494" t="s">
        <v>617</v>
      </c>
      <c r="M2494">
        <v>1503964800</v>
      </c>
      <c r="N2494" t="s">
        <v>1628</v>
      </c>
      <c r="O2494" t="s">
        <v>1628</v>
      </c>
      <c r="P2494" t="s">
        <v>1628</v>
      </c>
      <c r="Q2494">
        <f>LEN(AMAZON_FASHION_5__2[[#This Row],[reviewText]])</f>
        <v>118</v>
      </c>
      <c r="R2494" t="str">
        <f>IF(AMAZON_FASHION_5__2[[#This Row],[overall]]&gt;=4,"Positive",IF(AMAZON_FASHION_5__2[[#This Row],[overall]]&lt;=2,"Negative","Neutral"))</f>
        <v>Positive</v>
      </c>
      <c r="S24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95" spans="1:19" x14ac:dyDescent="0.25">
      <c r="A2495">
        <v>1</v>
      </c>
      <c r="B2495" t="b">
        <v>1</v>
      </c>
      <c r="C2495" s="1">
        <v>42976</v>
      </c>
      <c r="D2495">
        <f>YEAR(AMAZON_FASHION_5__2[[#This Row],[reviewDate]])</f>
        <v>2017</v>
      </c>
      <c r="E2495" s="1" t="str">
        <f>TEXT(AMAZON_FASHION_5__2[[#This Row],[reviewDate]], "mmmm")</f>
        <v>August</v>
      </c>
      <c r="F2495" t="s">
        <v>618</v>
      </c>
      <c r="G2495" t="s">
        <v>1566</v>
      </c>
      <c r="H2495" t="s">
        <v>1572</v>
      </c>
      <c r="I2495" t="s">
        <v>198</v>
      </c>
      <c r="J2495" t="s">
        <v>619</v>
      </c>
      <c r="K2495" t="s">
        <v>620</v>
      </c>
      <c r="L2495" t="s">
        <v>65</v>
      </c>
      <c r="M2495">
        <v>1503964800</v>
      </c>
      <c r="N2495" t="s">
        <v>1628</v>
      </c>
      <c r="O2495" t="s">
        <v>1628</v>
      </c>
      <c r="P2495" t="s">
        <v>1628</v>
      </c>
      <c r="Q2495">
        <f>LEN(AMAZON_FASHION_5__2[[#This Row],[reviewText]])</f>
        <v>52</v>
      </c>
      <c r="R2495" t="str">
        <f>IF(AMAZON_FASHION_5__2[[#This Row],[overall]]&gt;=4,"Positive",IF(AMAZON_FASHION_5__2[[#This Row],[overall]]&lt;=2,"Negative","Neutral"))</f>
        <v>Negative</v>
      </c>
      <c r="S24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96" spans="1:19" x14ac:dyDescent="0.25">
      <c r="A2496">
        <v>5</v>
      </c>
      <c r="B2496" t="b">
        <v>1</v>
      </c>
      <c r="C2496" s="1">
        <v>42976</v>
      </c>
      <c r="D2496">
        <f>YEAR(AMAZON_FASHION_5__2[[#This Row],[reviewDate]])</f>
        <v>2017</v>
      </c>
      <c r="E2496" s="1" t="str">
        <f>TEXT(AMAZON_FASHION_5__2[[#This Row],[reviewDate]], "mmmm")</f>
        <v>August</v>
      </c>
      <c r="F2496" t="s">
        <v>621</v>
      </c>
      <c r="G2496" t="s">
        <v>1566</v>
      </c>
      <c r="H2496" t="s">
        <v>210</v>
      </c>
      <c r="I2496" t="s">
        <v>198</v>
      </c>
      <c r="J2496" t="s">
        <v>622</v>
      </c>
      <c r="K2496" t="s">
        <v>623</v>
      </c>
      <c r="L2496" t="s">
        <v>17</v>
      </c>
      <c r="M2496">
        <v>1503964800</v>
      </c>
      <c r="N2496" t="s">
        <v>1628</v>
      </c>
      <c r="O2496" t="s">
        <v>1628</v>
      </c>
      <c r="P2496" t="s">
        <v>1628</v>
      </c>
      <c r="Q2496">
        <f>LEN(AMAZON_FASHION_5__2[[#This Row],[reviewText]])</f>
        <v>30</v>
      </c>
      <c r="R2496" t="str">
        <f>IF(AMAZON_FASHION_5__2[[#This Row],[overall]]&gt;=4,"Positive",IF(AMAZON_FASHION_5__2[[#This Row],[overall]]&lt;=2,"Negative","Neutral"))</f>
        <v>Positive</v>
      </c>
      <c r="S24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97" spans="1:19" x14ac:dyDescent="0.25">
      <c r="A2497">
        <v>5</v>
      </c>
      <c r="B2497" t="b">
        <v>1</v>
      </c>
      <c r="C2497" s="1">
        <v>42974</v>
      </c>
      <c r="D2497">
        <f>YEAR(AMAZON_FASHION_5__2[[#This Row],[reviewDate]])</f>
        <v>2017</v>
      </c>
      <c r="E2497" s="1" t="str">
        <f>TEXT(AMAZON_FASHION_5__2[[#This Row],[reviewDate]], "mmmm")</f>
        <v>August</v>
      </c>
      <c r="F2497" t="s">
        <v>624</v>
      </c>
      <c r="G2497" t="s">
        <v>1566</v>
      </c>
      <c r="H2497" t="s">
        <v>1578</v>
      </c>
      <c r="I2497" t="s">
        <v>99</v>
      </c>
      <c r="J2497" t="s">
        <v>625</v>
      </c>
      <c r="K2497" t="s">
        <v>626</v>
      </c>
      <c r="L2497" t="s">
        <v>627</v>
      </c>
      <c r="M2497">
        <v>1503792000</v>
      </c>
      <c r="N2497" t="s">
        <v>1628</v>
      </c>
      <c r="O2497" t="s">
        <v>1628</v>
      </c>
      <c r="P2497" t="s">
        <v>1628</v>
      </c>
      <c r="Q2497">
        <f>LEN(AMAZON_FASHION_5__2[[#This Row],[reviewText]])</f>
        <v>17</v>
      </c>
      <c r="R2497" t="str">
        <f>IF(AMAZON_FASHION_5__2[[#This Row],[overall]]&gt;=4,"Positive",IF(AMAZON_FASHION_5__2[[#This Row],[overall]]&lt;=2,"Negative","Neutral"))</f>
        <v>Positive</v>
      </c>
      <c r="S24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98" spans="1:19" x14ac:dyDescent="0.25">
      <c r="A2498">
        <v>4</v>
      </c>
      <c r="B2498" t="b">
        <v>1</v>
      </c>
      <c r="C2498" s="1">
        <v>42971</v>
      </c>
      <c r="D2498">
        <f>YEAR(AMAZON_FASHION_5__2[[#This Row],[reviewDate]])</f>
        <v>2017</v>
      </c>
      <c r="E2498" s="1" t="str">
        <f>TEXT(AMAZON_FASHION_5__2[[#This Row],[reviewDate]], "mmmm")</f>
        <v>August</v>
      </c>
      <c r="F2498" t="s">
        <v>628</v>
      </c>
      <c r="G2498" t="s">
        <v>1566</v>
      </c>
      <c r="H2498" t="s">
        <v>1567</v>
      </c>
      <c r="I2498" t="s">
        <v>435</v>
      </c>
      <c r="J2498" t="s">
        <v>629</v>
      </c>
      <c r="K2498" t="s">
        <v>630</v>
      </c>
      <c r="L2498" t="s">
        <v>247</v>
      </c>
      <c r="M2498">
        <v>1503532800</v>
      </c>
      <c r="N2498" t="s">
        <v>1628</v>
      </c>
      <c r="O2498" t="s">
        <v>1628</v>
      </c>
      <c r="P2498" t="s">
        <v>1628</v>
      </c>
      <c r="Q2498">
        <f>LEN(AMAZON_FASHION_5__2[[#This Row],[reviewText]])</f>
        <v>225</v>
      </c>
      <c r="R2498" t="str">
        <f>IF(AMAZON_FASHION_5__2[[#This Row],[overall]]&gt;=4,"Positive",IF(AMAZON_FASHION_5__2[[#This Row],[overall]]&lt;=2,"Negative","Neutral"))</f>
        <v>Positive</v>
      </c>
      <c r="S24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499" spans="1:19" x14ac:dyDescent="0.25">
      <c r="A2499">
        <v>1</v>
      </c>
      <c r="B2499" t="b">
        <v>1</v>
      </c>
      <c r="C2499" s="1">
        <v>42971</v>
      </c>
      <c r="D2499">
        <f>YEAR(AMAZON_FASHION_5__2[[#This Row],[reviewDate]])</f>
        <v>2017</v>
      </c>
      <c r="E2499" s="1" t="str">
        <f>TEXT(AMAZON_FASHION_5__2[[#This Row],[reviewDate]], "mmmm")</f>
        <v>August</v>
      </c>
      <c r="F2499" t="s">
        <v>631</v>
      </c>
      <c r="G2499" t="s">
        <v>1566</v>
      </c>
      <c r="H2499" t="s">
        <v>1568</v>
      </c>
      <c r="I2499" t="s">
        <v>411</v>
      </c>
      <c r="J2499" t="s">
        <v>632</v>
      </c>
      <c r="K2499" t="s">
        <v>633</v>
      </c>
      <c r="L2499" t="s">
        <v>634</v>
      </c>
      <c r="M2499">
        <v>1503532800</v>
      </c>
      <c r="N2499" t="s">
        <v>1628</v>
      </c>
      <c r="O2499" t="s">
        <v>1628</v>
      </c>
      <c r="P2499" t="s">
        <v>1628</v>
      </c>
      <c r="Q2499">
        <f>LEN(AMAZON_FASHION_5__2[[#This Row],[reviewText]])</f>
        <v>213</v>
      </c>
      <c r="R2499" t="str">
        <f>IF(AMAZON_FASHION_5__2[[#This Row],[overall]]&gt;=4,"Positive",IF(AMAZON_FASHION_5__2[[#This Row],[overall]]&lt;=2,"Negative","Neutral"))</f>
        <v>Negative</v>
      </c>
      <c r="S24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00" spans="1:19" x14ac:dyDescent="0.25">
      <c r="A2500">
        <v>5</v>
      </c>
      <c r="B2500" t="b">
        <v>1</v>
      </c>
      <c r="C2500" s="1">
        <v>42968</v>
      </c>
      <c r="D2500">
        <f>YEAR(AMAZON_FASHION_5__2[[#This Row],[reviewDate]])</f>
        <v>2017</v>
      </c>
      <c r="E2500" s="1" t="str">
        <f>TEXT(AMAZON_FASHION_5__2[[#This Row],[reviewDate]], "mmmm")</f>
        <v>August</v>
      </c>
      <c r="F2500" t="s">
        <v>635</v>
      </c>
      <c r="G2500" t="s">
        <v>1566</v>
      </c>
      <c r="H2500" t="s">
        <v>477</v>
      </c>
      <c r="I2500" t="s">
        <v>303</v>
      </c>
      <c r="J2500" t="s">
        <v>636</v>
      </c>
      <c r="K2500" t="s">
        <v>637</v>
      </c>
      <c r="L2500" t="s">
        <v>638</v>
      </c>
      <c r="M2500">
        <v>1503273600</v>
      </c>
      <c r="N2500" t="s">
        <v>1628</v>
      </c>
      <c r="O2500" t="s">
        <v>1628</v>
      </c>
      <c r="P2500" t="s">
        <v>1628</v>
      </c>
      <c r="Q2500">
        <f>LEN(AMAZON_FASHION_5__2[[#This Row],[reviewText]])</f>
        <v>55</v>
      </c>
      <c r="R2500" t="str">
        <f>IF(AMAZON_FASHION_5__2[[#This Row],[overall]]&gt;=4,"Positive",IF(AMAZON_FASHION_5__2[[#This Row],[overall]]&lt;=2,"Negative","Neutral"))</f>
        <v>Positive</v>
      </c>
      <c r="S25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01" spans="1:19" x14ac:dyDescent="0.25">
      <c r="A2501">
        <v>5</v>
      </c>
      <c r="B2501" t="b">
        <v>1</v>
      </c>
      <c r="C2501" s="1">
        <v>42967</v>
      </c>
      <c r="D2501">
        <f>YEAR(AMAZON_FASHION_5__2[[#This Row],[reviewDate]])</f>
        <v>2017</v>
      </c>
      <c r="E2501" s="1" t="str">
        <f>TEXT(AMAZON_FASHION_5__2[[#This Row],[reviewDate]], "mmmm")</f>
        <v>August</v>
      </c>
      <c r="F2501" t="s">
        <v>639</v>
      </c>
      <c r="G2501" t="s">
        <v>1566</v>
      </c>
      <c r="H2501" t="s">
        <v>1574</v>
      </c>
      <c r="I2501" t="s">
        <v>198</v>
      </c>
      <c r="J2501" t="s">
        <v>640</v>
      </c>
      <c r="K2501" t="s">
        <v>406</v>
      </c>
      <c r="L2501" t="s">
        <v>17</v>
      </c>
      <c r="M2501">
        <v>1503187200</v>
      </c>
      <c r="N2501" t="s">
        <v>1628</v>
      </c>
      <c r="O2501" t="s">
        <v>1628</v>
      </c>
      <c r="P2501" t="s">
        <v>1628</v>
      </c>
      <c r="Q2501">
        <f>LEN(AMAZON_FASHION_5__2[[#This Row],[reviewText]])</f>
        <v>10</v>
      </c>
      <c r="R2501" t="str">
        <f>IF(AMAZON_FASHION_5__2[[#This Row],[overall]]&gt;=4,"Positive",IF(AMAZON_FASHION_5__2[[#This Row],[overall]]&lt;=2,"Negative","Neutral"))</f>
        <v>Positive</v>
      </c>
      <c r="S25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02" spans="1:19" x14ac:dyDescent="0.25">
      <c r="A2502">
        <v>3</v>
      </c>
      <c r="B2502" t="b">
        <v>1</v>
      </c>
      <c r="C2502" s="1">
        <v>42964</v>
      </c>
      <c r="D2502">
        <f>YEAR(AMAZON_FASHION_5__2[[#This Row],[reviewDate]])</f>
        <v>2017</v>
      </c>
      <c r="E2502" s="1" t="str">
        <f>TEXT(AMAZON_FASHION_5__2[[#This Row],[reviewDate]], "mmmm")</f>
        <v>August</v>
      </c>
      <c r="F2502" t="s">
        <v>641</v>
      </c>
      <c r="G2502" t="s">
        <v>1566</v>
      </c>
      <c r="H2502" t="s">
        <v>1596</v>
      </c>
      <c r="I2502" t="s">
        <v>642</v>
      </c>
      <c r="J2502" t="s">
        <v>643</v>
      </c>
      <c r="K2502" t="s">
        <v>644</v>
      </c>
      <c r="L2502" t="s">
        <v>645</v>
      </c>
      <c r="M2502">
        <v>1502928000</v>
      </c>
      <c r="N2502" t="s">
        <v>1628</v>
      </c>
      <c r="O2502" t="s">
        <v>1628</v>
      </c>
      <c r="P2502" t="s">
        <v>1628</v>
      </c>
      <c r="Q2502">
        <f>LEN(AMAZON_FASHION_5__2[[#This Row],[reviewText]])</f>
        <v>50</v>
      </c>
      <c r="R2502" t="str">
        <f>IF(AMAZON_FASHION_5__2[[#This Row],[overall]]&gt;=4,"Positive",IF(AMAZON_FASHION_5__2[[#This Row],[overall]]&lt;=2,"Negative","Neutral"))</f>
        <v>Neutral</v>
      </c>
      <c r="S25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03" spans="1:19" x14ac:dyDescent="0.25">
      <c r="A2503">
        <v>5</v>
      </c>
      <c r="B2503" t="b">
        <v>1</v>
      </c>
      <c r="C2503" s="1">
        <v>42964</v>
      </c>
      <c r="D2503">
        <f>YEAR(AMAZON_FASHION_5__2[[#This Row],[reviewDate]])</f>
        <v>2017</v>
      </c>
      <c r="E2503" s="1" t="str">
        <f>TEXT(AMAZON_FASHION_5__2[[#This Row],[reviewDate]], "mmmm")</f>
        <v>August</v>
      </c>
      <c r="F2503" t="s">
        <v>646</v>
      </c>
      <c r="G2503" t="s">
        <v>1566</v>
      </c>
      <c r="H2503" t="s">
        <v>1578</v>
      </c>
      <c r="I2503" t="s">
        <v>198</v>
      </c>
      <c r="J2503" t="s">
        <v>647</v>
      </c>
      <c r="K2503" t="s">
        <v>648</v>
      </c>
      <c r="L2503" t="s">
        <v>17</v>
      </c>
      <c r="M2503">
        <v>1502928000</v>
      </c>
      <c r="N2503" t="s">
        <v>1628</v>
      </c>
      <c r="O2503" t="s">
        <v>1628</v>
      </c>
      <c r="P2503" t="s">
        <v>1628</v>
      </c>
      <c r="Q2503">
        <f>LEN(AMAZON_FASHION_5__2[[#This Row],[reviewText]])</f>
        <v>37</v>
      </c>
      <c r="R2503" t="str">
        <f>IF(AMAZON_FASHION_5__2[[#This Row],[overall]]&gt;=4,"Positive",IF(AMAZON_FASHION_5__2[[#This Row],[overall]]&lt;=2,"Negative","Neutral"))</f>
        <v>Positive</v>
      </c>
      <c r="S25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04" spans="1:19" x14ac:dyDescent="0.25">
      <c r="A2504">
        <v>5</v>
      </c>
      <c r="B2504" t="b">
        <v>1</v>
      </c>
      <c r="C2504" s="1">
        <v>42962</v>
      </c>
      <c r="D2504">
        <f>YEAR(AMAZON_FASHION_5__2[[#This Row],[reviewDate]])</f>
        <v>2017</v>
      </c>
      <c r="E2504" s="1" t="str">
        <f>TEXT(AMAZON_FASHION_5__2[[#This Row],[reviewDate]], "mmmm")</f>
        <v>August</v>
      </c>
      <c r="F2504" t="s">
        <v>649</v>
      </c>
      <c r="G2504" t="s">
        <v>1566</v>
      </c>
      <c r="H2504" t="s">
        <v>61</v>
      </c>
      <c r="I2504" t="s">
        <v>344</v>
      </c>
      <c r="J2504" t="s">
        <v>63</v>
      </c>
      <c r="K2504" t="s">
        <v>650</v>
      </c>
      <c r="L2504" t="s">
        <v>17</v>
      </c>
      <c r="M2504">
        <v>1502755200</v>
      </c>
      <c r="N2504" t="s">
        <v>1628</v>
      </c>
      <c r="O2504" t="s">
        <v>1628</v>
      </c>
      <c r="P2504" t="s">
        <v>1628</v>
      </c>
      <c r="Q2504">
        <f>LEN(AMAZON_FASHION_5__2[[#This Row],[reviewText]])</f>
        <v>16</v>
      </c>
      <c r="R2504" t="str">
        <f>IF(AMAZON_FASHION_5__2[[#This Row],[overall]]&gt;=4,"Positive",IF(AMAZON_FASHION_5__2[[#This Row],[overall]]&lt;=2,"Negative","Neutral"))</f>
        <v>Positive</v>
      </c>
      <c r="S25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05" spans="1:19" x14ac:dyDescent="0.25">
      <c r="A2505">
        <v>5</v>
      </c>
      <c r="B2505" t="b">
        <v>1</v>
      </c>
      <c r="C2505" s="1">
        <v>42961</v>
      </c>
      <c r="D2505">
        <f>YEAR(AMAZON_FASHION_5__2[[#This Row],[reviewDate]])</f>
        <v>2017</v>
      </c>
      <c r="E2505" s="1" t="str">
        <f>TEXT(AMAZON_FASHION_5__2[[#This Row],[reviewDate]], "mmmm")</f>
        <v>August</v>
      </c>
      <c r="F2505" t="s">
        <v>651</v>
      </c>
      <c r="G2505" t="s">
        <v>1566</v>
      </c>
      <c r="H2505" t="s">
        <v>1571</v>
      </c>
      <c r="I2505" t="s">
        <v>198</v>
      </c>
      <c r="J2505" t="s">
        <v>652</v>
      </c>
      <c r="K2505" t="s">
        <v>653</v>
      </c>
      <c r="L2505" t="s">
        <v>654</v>
      </c>
      <c r="M2505">
        <v>1502668800</v>
      </c>
      <c r="N2505" t="s">
        <v>1628</v>
      </c>
      <c r="O2505" t="s">
        <v>1628</v>
      </c>
      <c r="P2505" t="s">
        <v>1628</v>
      </c>
      <c r="Q2505">
        <f>LEN(AMAZON_FASHION_5__2[[#This Row],[reviewText]])</f>
        <v>145</v>
      </c>
      <c r="R2505" t="str">
        <f>IF(AMAZON_FASHION_5__2[[#This Row],[overall]]&gt;=4,"Positive",IF(AMAZON_FASHION_5__2[[#This Row],[overall]]&lt;=2,"Negative","Neutral"))</f>
        <v>Positive</v>
      </c>
      <c r="S25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06" spans="1:19" x14ac:dyDescent="0.25">
      <c r="A2506">
        <v>5</v>
      </c>
      <c r="B2506" t="b">
        <v>1</v>
      </c>
      <c r="C2506" s="1">
        <v>42959</v>
      </c>
      <c r="D2506">
        <f>YEAR(AMAZON_FASHION_5__2[[#This Row],[reviewDate]])</f>
        <v>2017</v>
      </c>
      <c r="E2506" s="1" t="str">
        <f>TEXT(AMAZON_FASHION_5__2[[#This Row],[reviewDate]], "mmmm")</f>
        <v>August</v>
      </c>
      <c r="F2506" t="s">
        <v>655</v>
      </c>
      <c r="G2506" t="s">
        <v>1566</v>
      </c>
      <c r="H2506" t="s">
        <v>210</v>
      </c>
      <c r="I2506" t="s">
        <v>198</v>
      </c>
      <c r="J2506" t="s">
        <v>656</v>
      </c>
      <c r="K2506" t="s">
        <v>657</v>
      </c>
      <c r="L2506" t="s">
        <v>658</v>
      </c>
      <c r="M2506">
        <v>1502496000</v>
      </c>
      <c r="N2506" t="s">
        <v>1628</v>
      </c>
      <c r="O2506" t="s">
        <v>1628</v>
      </c>
      <c r="P2506" t="s">
        <v>1628</v>
      </c>
      <c r="Q2506">
        <f>LEN(AMAZON_FASHION_5__2[[#This Row],[reviewText]])</f>
        <v>230</v>
      </c>
      <c r="R2506" t="str">
        <f>IF(AMAZON_FASHION_5__2[[#This Row],[overall]]&gt;=4,"Positive",IF(AMAZON_FASHION_5__2[[#This Row],[overall]]&lt;=2,"Negative","Neutral"))</f>
        <v>Positive</v>
      </c>
      <c r="S25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07" spans="1:19" x14ac:dyDescent="0.25">
      <c r="A2507">
        <v>4</v>
      </c>
      <c r="B2507" t="b">
        <v>1</v>
      </c>
      <c r="C2507" s="1">
        <v>42958</v>
      </c>
      <c r="D2507">
        <f>YEAR(AMAZON_FASHION_5__2[[#This Row],[reviewDate]])</f>
        <v>2017</v>
      </c>
      <c r="E2507" s="1" t="str">
        <f>TEXT(AMAZON_FASHION_5__2[[#This Row],[reviewDate]], "mmmm")</f>
        <v>August</v>
      </c>
      <c r="F2507" t="s">
        <v>659</v>
      </c>
      <c r="G2507" t="s">
        <v>1566</v>
      </c>
      <c r="H2507" t="s">
        <v>1596</v>
      </c>
      <c r="I2507" t="s">
        <v>198</v>
      </c>
      <c r="J2507" t="s">
        <v>660</v>
      </c>
      <c r="K2507" t="s">
        <v>661</v>
      </c>
      <c r="L2507" t="s">
        <v>103</v>
      </c>
      <c r="M2507">
        <v>1502409600</v>
      </c>
      <c r="N2507" t="s">
        <v>1628</v>
      </c>
      <c r="O2507" t="s">
        <v>1628</v>
      </c>
      <c r="P2507" t="s">
        <v>1628</v>
      </c>
      <c r="Q2507">
        <f>LEN(AMAZON_FASHION_5__2[[#This Row],[reviewText]])</f>
        <v>59</v>
      </c>
      <c r="R2507" t="str">
        <f>IF(AMAZON_FASHION_5__2[[#This Row],[overall]]&gt;=4,"Positive",IF(AMAZON_FASHION_5__2[[#This Row],[overall]]&lt;=2,"Negative","Neutral"))</f>
        <v>Positive</v>
      </c>
      <c r="S25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08" spans="1:19" x14ac:dyDescent="0.25">
      <c r="A2508">
        <v>3</v>
      </c>
      <c r="B2508" t="b">
        <v>1</v>
      </c>
      <c r="C2508" s="1">
        <v>42955</v>
      </c>
      <c r="D2508">
        <f>YEAR(AMAZON_FASHION_5__2[[#This Row],[reviewDate]])</f>
        <v>2017</v>
      </c>
      <c r="E2508" s="1" t="str">
        <f>TEXT(AMAZON_FASHION_5__2[[#This Row],[reviewDate]], "mmmm")</f>
        <v>August</v>
      </c>
      <c r="F2508" t="s">
        <v>662</v>
      </c>
      <c r="G2508" t="s">
        <v>1566</v>
      </c>
      <c r="H2508" t="s">
        <v>210</v>
      </c>
      <c r="I2508" t="s">
        <v>198</v>
      </c>
      <c r="J2508" t="s">
        <v>663</v>
      </c>
      <c r="K2508" t="s">
        <v>664</v>
      </c>
      <c r="L2508" t="s">
        <v>665</v>
      </c>
      <c r="M2508">
        <v>1502150400</v>
      </c>
      <c r="N2508" t="s">
        <v>1628</v>
      </c>
      <c r="O2508" t="s">
        <v>1628</v>
      </c>
      <c r="P2508" t="s">
        <v>1628</v>
      </c>
      <c r="Q2508">
        <f>LEN(AMAZON_FASHION_5__2[[#This Row],[reviewText]])</f>
        <v>138</v>
      </c>
      <c r="R2508" t="str">
        <f>IF(AMAZON_FASHION_5__2[[#This Row],[overall]]&gt;=4,"Positive",IF(AMAZON_FASHION_5__2[[#This Row],[overall]]&lt;=2,"Negative","Neutral"))</f>
        <v>Neutral</v>
      </c>
      <c r="S25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09" spans="1:19" x14ac:dyDescent="0.25">
      <c r="A2509">
        <v>5</v>
      </c>
      <c r="B2509" t="b">
        <v>1</v>
      </c>
      <c r="C2509" s="1">
        <v>42955</v>
      </c>
      <c r="D2509">
        <f>YEAR(AMAZON_FASHION_5__2[[#This Row],[reviewDate]])</f>
        <v>2017</v>
      </c>
      <c r="E2509" s="1" t="str">
        <f>TEXT(AMAZON_FASHION_5__2[[#This Row],[reviewDate]], "mmmm")</f>
        <v>August</v>
      </c>
      <c r="F2509" t="s">
        <v>666</v>
      </c>
      <c r="G2509" t="s">
        <v>1566</v>
      </c>
      <c r="H2509" t="s">
        <v>1600</v>
      </c>
      <c r="I2509" t="s">
        <v>198</v>
      </c>
      <c r="J2509" t="s">
        <v>667</v>
      </c>
      <c r="K2509" t="s">
        <v>668</v>
      </c>
      <c r="L2509" t="s">
        <v>17</v>
      </c>
      <c r="M2509">
        <v>1502150400</v>
      </c>
      <c r="N2509" t="s">
        <v>1628</v>
      </c>
      <c r="O2509" t="s">
        <v>1628</v>
      </c>
      <c r="P2509" t="s">
        <v>1628</v>
      </c>
      <c r="Q2509">
        <f>LEN(AMAZON_FASHION_5__2[[#This Row],[reviewText]])</f>
        <v>27</v>
      </c>
      <c r="R2509" t="str">
        <f>IF(AMAZON_FASHION_5__2[[#This Row],[overall]]&gt;=4,"Positive",IF(AMAZON_FASHION_5__2[[#This Row],[overall]]&lt;=2,"Negative","Neutral"))</f>
        <v>Positive</v>
      </c>
      <c r="S25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10" spans="1:19" x14ac:dyDescent="0.25">
      <c r="A2510">
        <v>5</v>
      </c>
      <c r="B2510" t="b">
        <v>1</v>
      </c>
      <c r="C2510" s="1">
        <v>42954</v>
      </c>
      <c r="D2510">
        <f>YEAR(AMAZON_FASHION_5__2[[#This Row],[reviewDate]])</f>
        <v>2017</v>
      </c>
      <c r="E2510" s="1" t="str">
        <f>TEXT(AMAZON_FASHION_5__2[[#This Row],[reviewDate]], "mmmm")</f>
        <v>August</v>
      </c>
      <c r="F2510" t="s">
        <v>669</v>
      </c>
      <c r="G2510" t="s">
        <v>1566</v>
      </c>
      <c r="H2510" t="s">
        <v>1571</v>
      </c>
      <c r="I2510" t="s">
        <v>396</v>
      </c>
      <c r="J2510" t="s">
        <v>670</v>
      </c>
      <c r="K2510" t="s">
        <v>671</v>
      </c>
      <c r="L2510" t="s">
        <v>17</v>
      </c>
      <c r="M2510">
        <v>1502064000</v>
      </c>
      <c r="N2510" t="s">
        <v>1628</v>
      </c>
      <c r="O2510" t="s">
        <v>1628</v>
      </c>
      <c r="P2510" t="s">
        <v>1628</v>
      </c>
      <c r="Q2510">
        <f>LEN(AMAZON_FASHION_5__2[[#This Row],[reviewText]])</f>
        <v>10</v>
      </c>
      <c r="R2510" t="str">
        <f>IF(AMAZON_FASHION_5__2[[#This Row],[overall]]&gt;=4,"Positive",IF(AMAZON_FASHION_5__2[[#This Row],[overall]]&lt;=2,"Negative","Neutral"))</f>
        <v>Positive</v>
      </c>
      <c r="S25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11" spans="1:19" x14ac:dyDescent="0.25">
      <c r="A2511">
        <v>5</v>
      </c>
      <c r="B2511" t="b">
        <v>1</v>
      </c>
      <c r="C2511" s="1">
        <v>42951</v>
      </c>
      <c r="D2511">
        <f>YEAR(AMAZON_FASHION_5__2[[#This Row],[reviewDate]])</f>
        <v>2017</v>
      </c>
      <c r="E2511" s="1" t="str">
        <f>TEXT(AMAZON_FASHION_5__2[[#This Row],[reviewDate]], "mmmm")</f>
        <v>August</v>
      </c>
      <c r="F2511" t="s">
        <v>672</v>
      </c>
      <c r="G2511" t="s">
        <v>1566</v>
      </c>
      <c r="H2511" t="s">
        <v>235</v>
      </c>
      <c r="I2511" t="s">
        <v>274</v>
      </c>
      <c r="J2511" t="s">
        <v>673</v>
      </c>
      <c r="K2511" t="s">
        <v>674</v>
      </c>
      <c r="L2511" t="s">
        <v>675</v>
      </c>
      <c r="M2511">
        <v>1501804800</v>
      </c>
      <c r="N2511" t="s">
        <v>1628</v>
      </c>
      <c r="O2511" t="s">
        <v>1628</v>
      </c>
      <c r="P2511" t="s">
        <v>1628</v>
      </c>
      <c r="Q2511">
        <f>LEN(AMAZON_FASHION_5__2[[#This Row],[reviewText]])</f>
        <v>114</v>
      </c>
      <c r="R2511" t="str">
        <f>IF(AMAZON_FASHION_5__2[[#This Row],[overall]]&gt;=4,"Positive",IF(AMAZON_FASHION_5__2[[#This Row],[overall]]&lt;=2,"Negative","Neutral"))</f>
        <v>Positive</v>
      </c>
      <c r="S25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12" spans="1:19" x14ac:dyDescent="0.25">
      <c r="A2512">
        <v>3</v>
      </c>
      <c r="B2512" t="b">
        <v>1</v>
      </c>
      <c r="C2512" s="1">
        <v>42949</v>
      </c>
      <c r="D2512">
        <f>YEAR(AMAZON_FASHION_5__2[[#This Row],[reviewDate]])</f>
        <v>2017</v>
      </c>
      <c r="E2512" s="1" t="str">
        <f>TEXT(AMAZON_FASHION_5__2[[#This Row],[reviewDate]], "mmmm")</f>
        <v>August</v>
      </c>
      <c r="F2512" t="s">
        <v>676</v>
      </c>
      <c r="G2512" t="s">
        <v>1566</v>
      </c>
      <c r="H2512" t="s">
        <v>1585</v>
      </c>
      <c r="I2512" t="s">
        <v>198</v>
      </c>
      <c r="J2512" t="s">
        <v>678</v>
      </c>
      <c r="K2512" t="s">
        <v>679</v>
      </c>
      <c r="L2512" t="s">
        <v>680</v>
      </c>
      <c r="M2512">
        <v>1501632000</v>
      </c>
      <c r="N2512" t="s">
        <v>1628</v>
      </c>
      <c r="O2512" t="s">
        <v>1628</v>
      </c>
      <c r="P2512" t="s">
        <v>1628</v>
      </c>
      <c r="Q2512">
        <f>LEN(AMAZON_FASHION_5__2[[#This Row],[reviewText]])</f>
        <v>264</v>
      </c>
      <c r="R2512" t="str">
        <f>IF(AMAZON_FASHION_5__2[[#This Row],[overall]]&gt;=4,"Positive",IF(AMAZON_FASHION_5__2[[#This Row],[overall]]&lt;=2,"Negative","Neutral"))</f>
        <v>Neutral</v>
      </c>
      <c r="S25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13" spans="1:19" x14ac:dyDescent="0.25">
      <c r="A2513">
        <v>5</v>
      </c>
      <c r="B2513" t="b">
        <v>1</v>
      </c>
      <c r="C2513" s="1">
        <v>42936</v>
      </c>
      <c r="D2513">
        <f>YEAR(AMAZON_FASHION_5__2[[#This Row],[reviewDate]])</f>
        <v>2017</v>
      </c>
      <c r="E2513" s="1" t="str">
        <f>TEXT(AMAZON_FASHION_5__2[[#This Row],[reviewDate]], "mmmm")</f>
        <v>July</v>
      </c>
      <c r="F2513" t="s">
        <v>681</v>
      </c>
      <c r="G2513" t="s">
        <v>1566</v>
      </c>
      <c r="H2513" t="s">
        <v>210</v>
      </c>
      <c r="I2513" t="s">
        <v>198</v>
      </c>
      <c r="J2513" t="s">
        <v>63</v>
      </c>
      <c r="K2513" t="s">
        <v>682</v>
      </c>
      <c r="L2513" t="s">
        <v>365</v>
      </c>
      <c r="M2513">
        <v>1500508800</v>
      </c>
      <c r="N2513" t="s">
        <v>1628</v>
      </c>
      <c r="O2513" t="s">
        <v>1628</v>
      </c>
      <c r="P2513" t="s">
        <v>1628</v>
      </c>
      <c r="Q2513">
        <f>LEN(AMAZON_FASHION_5__2[[#This Row],[reviewText]])</f>
        <v>34</v>
      </c>
      <c r="R2513" t="str">
        <f>IF(AMAZON_FASHION_5__2[[#This Row],[overall]]&gt;=4,"Positive",IF(AMAZON_FASHION_5__2[[#This Row],[overall]]&lt;=2,"Negative","Neutral"))</f>
        <v>Positive</v>
      </c>
      <c r="S25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14" spans="1:19" x14ac:dyDescent="0.25">
      <c r="A2514">
        <v>5</v>
      </c>
      <c r="B2514" t="b">
        <v>1</v>
      </c>
      <c r="C2514" s="1">
        <v>42934</v>
      </c>
      <c r="D2514">
        <f>YEAR(AMAZON_FASHION_5__2[[#This Row],[reviewDate]])</f>
        <v>2017</v>
      </c>
      <c r="E2514" s="1" t="str">
        <f>TEXT(AMAZON_FASHION_5__2[[#This Row],[reviewDate]], "mmmm")</f>
        <v>July</v>
      </c>
      <c r="F2514" t="s">
        <v>683</v>
      </c>
      <c r="G2514" t="s">
        <v>1566</v>
      </c>
      <c r="H2514" t="s">
        <v>1571</v>
      </c>
      <c r="I2514" t="s">
        <v>507</v>
      </c>
      <c r="J2514" t="s">
        <v>684</v>
      </c>
      <c r="K2514" t="s">
        <v>685</v>
      </c>
      <c r="L2514" t="s">
        <v>686</v>
      </c>
      <c r="M2514">
        <v>1500336000</v>
      </c>
      <c r="N2514" t="s">
        <v>1628</v>
      </c>
      <c r="O2514" t="s">
        <v>1628</v>
      </c>
      <c r="P2514" t="s">
        <v>1628</v>
      </c>
      <c r="Q2514">
        <f>LEN(AMAZON_FASHION_5__2[[#This Row],[reviewText]])</f>
        <v>124</v>
      </c>
      <c r="R2514" t="str">
        <f>IF(AMAZON_FASHION_5__2[[#This Row],[overall]]&gt;=4,"Positive",IF(AMAZON_FASHION_5__2[[#This Row],[overall]]&lt;=2,"Negative","Neutral"))</f>
        <v>Positive</v>
      </c>
      <c r="S25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15" spans="1:19" x14ac:dyDescent="0.25">
      <c r="A2515">
        <v>4</v>
      </c>
      <c r="B2515" t="b">
        <v>1</v>
      </c>
      <c r="C2515" s="1">
        <v>42934</v>
      </c>
      <c r="D2515">
        <f>YEAR(AMAZON_FASHION_5__2[[#This Row],[reviewDate]])</f>
        <v>2017</v>
      </c>
      <c r="E2515" s="1" t="str">
        <f>TEXT(AMAZON_FASHION_5__2[[#This Row],[reviewDate]], "mmmm")</f>
        <v>July</v>
      </c>
      <c r="F2515" t="s">
        <v>687</v>
      </c>
      <c r="G2515" t="s">
        <v>1566</v>
      </c>
      <c r="H2515" t="s">
        <v>1568</v>
      </c>
      <c r="I2515" t="s">
        <v>344</v>
      </c>
      <c r="J2515" t="s">
        <v>688</v>
      </c>
      <c r="K2515" t="s">
        <v>689</v>
      </c>
      <c r="L2515" t="s">
        <v>103</v>
      </c>
      <c r="M2515">
        <v>1500336000</v>
      </c>
      <c r="N2515" t="s">
        <v>1628</v>
      </c>
      <c r="O2515" t="s">
        <v>1628</v>
      </c>
      <c r="P2515" t="s">
        <v>1628</v>
      </c>
      <c r="Q2515">
        <f>LEN(AMAZON_FASHION_5__2[[#This Row],[reviewText]])</f>
        <v>28</v>
      </c>
      <c r="R2515" t="str">
        <f>IF(AMAZON_FASHION_5__2[[#This Row],[overall]]&gt;=4,"Positive",IF(AMAZON_FASHION_5__2[[#This Row],[overall]]&lt;=2,"Negative","Neutral"))</f>
        <v>Positive</v>
      </c>
      <c r="S25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16" spans="1:19" x14ac:dyDescent="0.25">
      <c r="A2516">
        <v>5</v>
      </c>
      <c r="B2516" t="b">
        <v>1</v>
      </c>
      <c r="C2516" s="1">
        <v>42934</v>
      </c>
      <c r="D2516">
        <f>YEAR(AMAZON_FASHION_5__2[[#This Row],[reviewDate]])</f>
        <v>2017</v>
      </c>
      <c r="E2516" s="1" t="str">
        <f>TEXT(AMAZON_FASHION_5__2[[#This Row],[reviewDate]], "mmmm")</f>
        <v>July</v>
      </c>
      <c r="F2516" t="s">
        <v>690</v>
      </c>
      <c r="G2516" t="s">
        <v>1566</v>
      </c>
      <c r="H2516" t="s">
        <v>1574</v>
      </c>
      <c r="I2516" t="s">
        <v>198</v>
      </c>
      <c r="J2516" t="s">
        <v>691</v>
      </c>
      <c r="K2516" t="s">
        <v>692</v>
      </c>
      <c r="L2516" t="s">
        <v>693</v>
      </c>
      <c r="M2516">
        <v>1500336000</v>
      </c>
      <c r="N2516" t="s">
        <v>1628</v>
      </c>
      <c r="O2516" t="s">
        <v>1628</v>
      </c>
      <c r="P2516" t="s">
        <v>1628</v>
      </c>
      <c r="Q2516">
        <f>LEN(AMAZON_FASHION_5__2[[#This Row],[reviewText]])</f>
        <v>184</v>
      </c>
      <c r="R2516" t="str">
        <f>IF(AMAZON_FASHION_5__2[[#This Row],[overall]]&gt;=4,"Positive",IF(AMAZON_FASHION_5__2[[#This Row],[overall]]&lt;=2,"Negative","Neutral"))</f>
        <v>Positive</v>
      </c>
      <c r="S25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17" spans="1:19" x14ac:dyDescent="0.25">
      <c r="A2517">
        <v>5</v>
      </c>
      <c r="B2517" t="b">
        <v>1</v>
      </c>
      <c r="C2517" s="1">
        <v>42934</v>
      </c>
      <c r="D2517">
        <f>YEAR(AMAZON_FASHION_5__2[[#This Row],[reviewDate]])</f>
        <v>2017</v>
      </c>
      <c r="E2517" s="1" t="str">
        <f>TEXT(AMAZON_FASHION_5__2[[#This Row],[reviewDate]], "mmmm")</f>
        <v>July</v>
      </c>
      <c r="F2517" t="s">
        <v>694</v>
      </c>
      <c r="G2517" t="s">
        <v>1566</v>
      </c>
      <c r="H2517" t="s">
        <v>205</v>
      </c>
      <c r="I2517" t="s">
        <v>198</v>
      </c>
      <c r="J2517" t="s">
        <v>695</v>
      </c>
      <c r="K2517" t="s">
        <v>18</v>
      </c>
      <c r="L2517" t="s">
        <v>17</v>
      </c>
      <c r="M2517">
        <v>1500336000</v>
      </c>
      <c r="N2517" t="s">
        <v>1628</v>
      </c>
      <c r="O2517" t="s">
        <v>1628</v>
      </c>
      <c r="P2517" t="s">
        <v>1628</v>
      </c>
      <c r="Q2517">
        <f>LEN(AMAZON_FASHION_5__2[[#This Row],[reviewText]])</f>
        <v>0</v>
      </c>
      <c r="R2517" t="str">
        <f>IF(AMAZON_FASHION_5__2[[#This Row],[overall]]&gt;=4,"Positive",IF(AMAZON_FASHION_5__2[[#This Row],[overall]]&lt;=2,"Negative","Neutral"))</f>
        <v>Positive</v>
      </c>
      <c r="S25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18" spans="1:19" x14ac:dyDescent="0.25">
      <c r="A2518">
        <v>5</v>
      </c>
      <c r="B2518" t="b">
        <v>1</v>
      </c>
      <c r="C2518" s="1">
        <v>42934</v>
      </c>
      <c r="D2518">
        <f>YEAR(AMAZON_FASHION_5__2[[#This Row],[reviewDate]])</f>
        <v>2017</v>
      </c>
      <c r="E2518" s="1" t="str">
        <f>TEXT(AMAZON_FASHION_5__2[[#This Row],[reviewDate]], "mmmm")</f>
        <v>July</v>
      </c>
      <c r="F2518" t="s">
        <v>696</v>
      </c>
      <c r="G2518" t="s">
        <v>1566</v>
      </c>
      <c r="H2518" t="s">
        <v>1567</v>
      </c>
      <c r="I2518" t="s">
        <v>99</v>
      </c>
      <c r="J2518" t="s">
        <v>697</v>
      </c>
      <c r="K2518" t="s">
        <v>276</v>
      </c>
      <c r="L2518" t="s">
        <v>17</v>
      </c>
      <c r="M2518">
        <v>1500336000</v>
      </c>
      <c r="N2518" t="s">
        <v>1628</v>
      </c>
      <c r="O2518" t="s">
        <v>1628</v>
      </c>
      <c r="P2518" t="s">
        <v>1628</v>
      </c>
      <c r="Q2518">
        <f>LEN(AMAZON_FASHION_5__2[[#This Row],[reviewText]])</f>
        <v>4</v>
      </c>
      <c r="R2518" t="str">
        <f>IF(AMAZON_FASHION_5__2[[#This Row],[overall]]&gt;=4,"Positive",IF(AMAZON_FASHION_5__2[[#This Row],[overall]]&lt;=2,"Negative","Neutral"))</f>
        <v>Positive</v>
      </c>
      <c r="S25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19" spans="1:19" x14ac:dyDescent="0.25">
      <c r="A2519">
        <v>5</v>
      </c>
      <c r="B2519" t="b">
        <v>1</v>
      </c>
      <c r="C2519" s="1">
        <v>42934</v>
      </c>
      <c r="D2519">
        <f>YEAR(AMAZON_FASHION_5__2[[#This Row],[reviewDate]])</f>
        <v>2017</v>
      </c>
      <c r="E2519" s="1" t="str">
        <f>TEXT(AMAZON_FASHION_5__2[[#This Row],[reviewDate]], "mmmm")</f>
        <v>July</v>
      </c>
      <c r="F2519" t="s">
        <v>698</v>
      </c>
      <c r="G2519" t="s">
        <v>1566</v>
      </c>
      <c r="H2519" t="s">
        <v>1567</v>
      </c>
      <c r="I2519" t="s">
        <v>642</v>
      </c>
      <c r="J2519" t="s">
        <v>63</v>
      </c>
      <c r="K2519" t="s">
        <v>699</v>
      </c>
      <c r="L2519" t="s">
        <v>700</v>
      </c>
      <c r="M2519">
        <v>1500336000</v>
      </c>
      <c r="N2519" t="s">
        <v>1628</v>
      </c>
      <c r="O2519" t="s">
        <v>1628</v>
      </c>
      <c r="P2519" t="s">
        <v>1628</v>
      </c>
      <c r="Q2519">
        <f>LEN(AMAZON_FASHION_5__2[[#This Row],[reviewText]])</f>
        <v>99</v>
      </c>
      <c r="R2519" t="str">
        <f>IF(AMAZON_FASHION_5__2[[#This Row],[overall]]&gt;=4,"Positive",IF(AMAZON_FASHION_5__2[[#This Row],[overall]]&lt;=2,"Negative","Neutral"))</f>
        <v>Positive</v>
      </c>
      <c r="S25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20" spans="1:19" x14ac:dyDescent="0.25">
      <c r="A2520">
        <v>5</v>
      </c>
      <c r="B2520" t="b">
        <v>1</v>
      </c>
      <c r="C2520" s="1">
        <v>42934</v>
      </c>
      <c r="D2520">
        <f>YEAR(AMAZON_FASHION_5__2[[#This Row],[reviewDate]])</f>
        <v>2017</v>
      </c>
      <c r="E2520" s="1" t="str">
        <f>TEXT(AMAZON_FASHION_5__2[[#This Row],[reviewDate]], "mmmm")</f>
        <v>July</v>
      </c>
      <c r="F2520" t="s">
        <v>701</v>
      </c>
      <c r="G2520" t="s">
        <v>1566</v>
      </c>
      <c r="H2520" t="s">
        <v>1578</v>
      </c>
      <c r="I2520" t="s">
        <v>198</v>
      </c>
      <c r="J2520" t="s">
        <v>702</v>
      </c>
      <c r="K2520" t="s">
        <v>703</v>
      </c>
      <c r="L2520" t="s">
        <v>704</v>
      </c>
      <c r="M2520">
        <v>1500336000</v>
      </c>
      <c r="N2520" t="s">
        <v>1628</v>
      </c>
      <c r="O2520" t="s">
        <v>1628</v>
      </c>
      <c r="P2520" t="s">
        <v>1628</v>
      </c>
      <c r="Q2520">
        <f>LEN(AMAZON_FASHION_5__2[[#This Row],[reviewText]])</f>
        <v>178</v>
      </c>
      <c r="R2520" t="str">
        <f>IF(AMAZON_FASHION_5__2[[#This Row],[overall]]&gt;=4,"Positive",IF(AMAZON_FASHION_5__2[[#This Row],[overall]]&lt;=2,"Negative","Neutral"))</f>
        <v>Positive</v>
      </c>
      <c r="S25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21" spans="1:19" x14ac:dyDescent="0.25">
      <c r="A2521">
        <v>5</v>
      </c>
      <c r="B2521" t="b">
        <v>1</v>
      </c>
      <c r="C2521" s="1">
        <v>42931</v>
      </c>
      <c r="D2521">
        <f>YEAR(AMAZON_FASHION_5__2[[#This Row],[reviewDate]])</f>
        <v>2017</v>
      </c>
      <c r="E2521" s="1" t="str">
        <f>TEXT(AMAZON_FASHION_5__2[[#This Row],[reviewDate]], "mmmm")</f>
        <v>July</v>
      </c>
      <c r="F2521" t="s">
        <v>705</v>
      </c>
      <c r="G2521" t="s">
        <v>1566</v>
      </c>
      <c r="H2521" t="s">
        <v>1598</v>
      </c>
      <c r="I2521" t="s">
        <v>396</v>
      </c>
      <c r="J2521" t="s">
        <v>706</v>
      </c>
      <c r="K2521" t="s">
        <v>707</v>
      </c>
      <c r="L2521" t="s">
        <v>17</v>
      </c>
      <c r="M2521">
        <v>1500076800</v>
      </c>
      <c r="N2521" t="s">
        <v>1628</v>
      </c>
      <c r="O2521" t="s">
        <v>1628</v>
      </c>
      <c r="P2521" t="s">
        <v>1628</v>
      </c>
      <c r="Q2521">
        <f>LEN(AMAZON_FASHION_5__2[[#This Row],[reviewText]])</f>
        <v>30</v>
      </c>
      <c r="R2521" t="str">
        <f>IF(AMAZON_FASHION_5__2[[#This Row],[overall]]&gt;=4,"Positive",IF(AMAZON_FASHION_5__2[[#This Row],[overall]]&lt;=2,"Negative","Neutral"))</f>
        <v>Positive</v>
      </c>
      <c r="S25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22" spans="1:19" x14ac:dyDescent="0.25">
      <c r="A2522">
        <v>3</v>
      </c>
      <c r="B2522" t="b">
        <v>1</v>
      </c>
      <c r="C2522" s="1">
        <v>42931</v>
      </c>
      <c r="D2522">
        <f>YEAR(AMAZON_FASHION_5__2[[#This Row],[reviewDate]])</f>
        <v>2017</v>
      </c>
      <c r="E2522" s="1" t="str">
        <f>TEXT(AMAZON_FASHION_5__2[[#This Row],[reviewDate]], "mmmm")</f>
        <v>July</v>
      </c>
      <c r="F2522" t="s">
        <v>708</v>
      </c>
      <c r="G2522" t="s">
        <v>1566</v>
      </c>
      <c r="H2522" t="s">
        <v>1571</v>
      </c>
      <c r="I2522" t="s">
        <v>274</v>
      </c>
      <c r="J2522" t="s">
        <v>709</v>
      </c>
      <c r="K2522" t="s">
        <v>710</v>
      </c>
      <c r="L2522" t="s">
        <v>711</v>
      </c>
      <c r="M2522">
        <v>1500076800</v>
      </c>
      <c r="N2522" t="s">
        <v>1628</v>
      </c>
      <c r="O2522" t="s">
        <v>1628</v>
      </c>
      <c r="P2522" t="s">
        <v>1628</v>
      </c>
      <c r="Q2522">
        <f>LEN(AMAZON_FASHION_5__2[[#This Row],[reviewText]])</f>
        <v>130</v>
      </c>
      <c r="R2522" t="str">
        <f>IF(AMAZON_FASHION_5__2[[#This Row],[overall]]&gt;=4,"Positive",IF(AMAZON_FASHION_5__2[[#This Row],[overall]]&lt;=2,"Negative","Neutral"))</f>
        <v>Neutral</v>
      </c>
      <c r="S25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23" spans="1:19" x14ac:dyDescent="0.25">
      <c r="A2523">
        <v>5</v>
      </c>
      <c r="B2523" t="b">
        <v>1</v>
      </c>
      <c r="C2523" s="1">
        <v>42925</v>
      </c>
      <c r="D2523">
        <f>YEAR(AMAZON_FASHION_5__2[[#This Row],[reviewDate]])</f>
        <v>2017</v>
      </c>
      <c r="E2523" s="1" t="str">
        <f>TEXT(AMAZON_FASHION_5__2[[#This Row],[reviewDate]], "mmmm")</f>
        <v>July</v>
      </c>
      <c r="F2523" t="s">
        <v>712</v>
      </c>
      <c r="G2523" t="s">
        <v>1566</v>
      </c>
      <c r="H2523" t="s">
        <v>1596</v>
      </c>
      <c r="I2523" t="s">
        <v>419</v>
      </c>
      <c r="J2523" t="s">
        <v>713</v>
      </c>
      <c r="K2523" t="s">
        <v>714</v>
      </c>
      <c r="L2523" t="s">
        <v>715</v>
      </c>
      <c r="M2523">
        <v>1499558400</v>
      </c>
      <c r="N2523" t="s">
        <v>1628</v>
      </c>
      <c r="O2523" t="s">
        <v>1628</v>
      </c>
      <c r="P2523" t="s">
        <v>1628</v>
      </c>
      <c r="Q2523">
        <f>LEN(AMAZON_FASHION_5__2[[#This Row],[reviewText]])</f>
        <v>112</v>
      </c>
      <c r="R2523" t="str">
        <f>IF(AMAZON_FASHION_5__2[[#This Row],[overall]]&gt;=4,"Positive",IF(AMAZON_FASHION_5__2[[#This Row],[overall]]&lt;=2,"Negative","Neutral"))</f>
        <v>Positive</v>
      </c>
      <c r="S25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24" spans="1:19" x14ac:dyDescent="0.25">
      <c r="A2524">
        <v>5</v>
      </c>
      <c r="B2524" t="b">
        <v>1</v>
      </c>
      <c r="C2524" s="1">
        <v>42924</v>
      </c>
      <c r="D2524">
        <f>YEAR(AMAZON_FASHION_5__2[[#This Row],[reviewDate]])</f>
        <v>2017</v>
      </c>
      <c r="E2524" s="1" t="str">
        <f>TEXT(AMAZON_FASHION_5__2[[#This Row],[reviewDate]], "mmmm")</f>
        <v>July</v>
      </c>
      <c r="F2524" t="s">
        <v>716</v>
      </c>
      <c r="G2524" t="s">
        <v>1566</v>
      </c>
      <c r="H2524" t="s">
        <v>1603</v>
      </c>
      <c r="I2524" t="s">
        <v>336</v>
      </c>
      <c r="J2524" t="s">
        <v>718</v>
      </c>
      <c r="K2524" t="s">
        <v>719</v>
      </c>
      <c r="L2524" t="s">
        <v>720</v>
      </c>
      <c r="M2524">
        <v>1499472000</v>
      </c>
      <c r="N2524" t="s">
        <v>1628</v>
      </c>
      <c r="O2524" t="s">
        <v>1628</v>
      </c>
      <c r="P2524" t="s">
        <v>1628</v>
      </c>
      <c r="Q2524">
        <f>LEN(AMAZON_FASHION_5__2[[#This Row],[reviewText]])</f>
        <v>22</v>
      </c>
      <c r="R2524" t="str">
        <f>IF(AMAZON_FASHION_5__2[[#This Row],[overall]]&gt;=4,"Positive",IF(AMAZON_FASHION_5__2[[#This Row],[overall]]&lt;=2,"Negative","Neutral"))</f>
        <v>Positive</v>
      </c>
      <c r="S25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25" spans="1:19" x14ac:dyDescent="0.25">
      <c r="A2525">
        <v>4</v>
      </c>
      <c r="B2525" t="b">
        <v>1</v>
      </c>
      <c r="C2525" s="1">
        <v>42923</v>
      </c>
      <c r="D2525">
        <f>YEAR(AMAZON_FASHION_5__2[[#This Row],[reviewDate]])</f>
        <v>2017</v>
      </c>
      <c r="E2525" s="1" t="str">
        <f>TEXT(AMAZON_FASHION_5__2[[#This Row],[reviewDate]], "mmmm")</f>
        <v>July</v>
      </c>
      <c r="F2525" t="s">
        <v>721</v>
      </c>
      <c r="G2525" t="s">
        <v>1566</v>
      </c>
      <c r="H2525" t="s">
        <v>1578</v>
      </c>
      <c r="I2525" t="s">
        <v>198</v>
      </c>
      <c r="J2525" t="s">
        <v>722</v>
      </c>
      <c r="K2525" t="s">
        <v>723</v>
      </c>
      <c r="L2525" t="s">
        <v>724</v>
      </c>
      <c r="M2525">
        <v>1499385600</v>
      </c>
      <c r="N2525" t="s">
        <v>1628</v>
      </c>
      <c r="O2525" t="s">
        <v>1628</v>
      </c>
      <c r="P2525" t="s">
        <v>1628</v>
      </c>
      <c r="Q2525">
        <f>LEN(AMAZON_FASHION_5__2[[#This Row],[reviewText]])</f>
        <v>453</v>
      </c>
      <c r="R2525" t="str">
        <f>IF(AMAZON_FASHION_5__2[[#This Row],[overall]]&gt;=4,"Positive",IF(AMAZON_FASHION_5__2[[#This Row],[overall]]&lt;=2,"Negative","Neutral"))</f>
        <v>Positive</v>
      </c>
      <c r="S25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26" spans="1:19" x14ac:dyDescent="0.25">
      <c r="A2526">
        <v>3</v>
      </c>
      <c r="B2526" t="b">
        <v>0</v>
      </c>
      <c r="C2526" s="1">
        <v>42917</v>
      </c>
      <c r="D2526">
        <f>YEAR(AMAZON_FASHION_5__2[[#This Row],[reviewDate]])</f>
        <v>2017</v>
      </c>
      <c r="E2526" s="1" t="str">
        <f>TEXT(AMAZON_FASHION_5__2[[#This Row],[reviewDate]], "mmmm")</f>
        <v>July</v>
      </c>
      <c r="F2526" t="s">
        <v>725</v>
      </c>
      <c r="G2526" t="s">
        <v>1566</v>
      </c>
      <c r="H2526" t="s">
        <v>1595</v>
      </c>
      <c r="I2526" t="s">
        <v>99</v>
      </c>
      <c r="J2526" t="s">
        <v>726</v>
      </c>
      <c r="K2526" t="s">
        <v>727</v>
      </c>
      <c r="L2526" t="s">
        <v>728</v>
      </c>
      <c r="M2526">
        <v>1498867200</v>
      </c>
      <c r="N2526" t="s">
        <v>1628</v>
      </c>
      <c r="O2526" t="s">
        <v>1628</v>
      </c>
      <c r="P2526" t="s">
        <v>1628</v>
      </c>
      <c r="Q2526">
        <f>LEN(AMAZON_FASHION_5__2[[#This Row],[reviewText]])</f>
        <v>566</v>
      </c>
      <c r="R2526" t="str">
        <f>IF(AMAZON_FASHION_5__2[[#This Row],[overall]]&gt;=4,"Positive",IF(AMAZON_FASHION_5__2[[#This Row],[overall]]&lt;=2,"Negative","Neutral"))</f>
        <v>Neutral</v>
      </c>
      <c r="S25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27" spans="1:19" x14ac:dyDescent="0.25">
      <c r="A2527">
        <v>5</v>
      </c>
      <c r="B2527" t="b">
        <v>1</v>
      </c>
      <c r="C2527" s="1">
        <v>42916</v>
      </c>
      <c r="D2527">
        <f>YEAR(AMAZON_FASHION_5__2[[#This Row],[reviewDate]])</f>
        <v>2017</v>
      </c>
      <c r="E2527" s="1" t="str">
        <f>TEXT(AMAZON_FASHION_5__2[[#This Row],[reviewDate]], "mmmm")</f>
        <v>June</v>
      </c>
      <c r="F2527" t="s">
        <v>729</v>
      </c>
      <c r="G2527" t="s">
        <v>1566</v>
      </c>
      <c r="H2527" t="s">
        <v>1578</v>
      </c>
      <c r="I2527" t="s">
        <v>198</v>
      </c>
      <c r="J2527" t="s">
        <v>730</v>
      </c>
      <c r="K2527" t="s">
        <v>731</v>
      </c>
      <c r="L2527" t="s">
        <v>732</v>
      </c>
      <c r="M2527">
        <v>1498780800</v>
      </c>
      <c r="N2527" t="s">
        <v>1628</v>
      </c>
      <c r="O2527" t="s">
        <v>1628</v>
      </c>
      <c r="P2527" t="s">
        <v>1628</v>
      </c>
      <c r="Q2527">
        <f>LEN(AMAZON_FASHION_5__2[[#This Row],[reviewText]])</f>
        <v>5</v>
      </c>
      <c r="R2527" t="str">
        <f>IF(AMAZON_FASHION_5__2[[#This Row],[overall]]&gt;=4,"Positive",IF(AMAZON_FASHION_5__2[[#This Row],[overall]]&lt;=2,"Negative","Neutral"))</f>
        <v>Positive</v>
      </c>
      <c r="S25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28" spans="1:19" x14ac:dyDescent="0.25">
      <c r="A2528">
        <v>5</v>
      </c>
      <c r="B2528" t="b">
        <v>1</v>
      </c>
      <c r="C2528" s="1">
        <v>42914</v>
      </c>
      <c r="D2528">
        <f>YEAR(AMAZON_FASHION_5__2[[#This Row],[reviewDate]])</f>
        <v>2017</v>
      </c>
      <c r="E2528" s="1" t="str">
        <f>TEXT(AMAZON_FASHION_5__2[[#This Row],[reviewDate]], "mmmm")</f>
        <v>June</v>
      </c>
      <c r="F2528" t="s">
        <v>733</v>
      </c>
      <c r="G2528" t="s">
        <v>1566</v>
      </c>
      <c r="H2528" t="s">
        <v>1568</v>
      </c>
      <c r="I2528" t="s">
        <v>493</v>
      </c>
      <c r="J2528" t="s">
        <v>734</v>
      </c>
      <c r="K2528" t="s">
        <v>735</v>
      </c>
      <c r="L2528" t="s">
        <v>17</v>
      </c>
      <c r="M2528">
        <v>1498608000</v>
      </c>
      <c r="N2528" t="s">
        <v>1628</v>
      </c>
      <c r="O2528" t="s">
        <v>1628</v>
      </c>
      <c r="P2528" t="s">
        <v>1628</v>
      </c>
      <c r="Q2528">
        <f>LEN(AMAZON_FASHION_5__2[[#This Row],[reviewText]])</f>
        <v>18</v>
      </c>
      <c r="R2528" t="str">
        <f>IF(AMAZON_FASHION_5__2[[#This Row],[overall]]&gt;=4,"Positive",IF(AMAZON_FASHION_5__2[[#This Row],[overall]]&lt;=2,"Negative","Neutral"))</f>
        <v>Positive</v>
      </c>
      <c r="S25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29" spans="1:19" x14ac:dyDescent="0.25">
      <c r="A2529">
        <v>5</v>
      </c>
      <c r="B2529" t="b">
        <v>1</v>
      </c>
      <c r="C2529" s="1">
        <v>42912</v>
      </c>
      <c r="D2529">
        <f>YEAR(AMAZON_FASHION_5__2[[#This Row],[reviewDate]])</f>
        <v>2017</v>
      </c>
      <c r="E2529" s="1" t="str">
        <f>TEXT(AMAZON_FASHION_5__2[[#This Row],[reviewDate]], "mmmm")</f>
        <v>June</v>
      </c>
      <c r="F2529" t="s">
        <v>736</v>
      </c>
      <c r="G2529" t="s">
        <v>1566</v>
      </c>
      <c r="H2529" t="s">
        <v>1578</v>
      </c>
      <c r="I2529" t="s">
        <v>524</v>
      </c>
      <c r="J2529" t="s">
        <v>737</v>
      </c>
      <c r="K2529" t="s">
        <v>738</v>
      </c>
      <c r="L2529" t="s">
        <v>17</v>
      </c>
      <c r="M2529">
        <v>1498435200</v>
      </c>
      <c r="N2529" t="s">
        <v>1628</v>
      </c>
      <c r="O2529" t="s">
        <v>1628</v>
      </c>
      <c r="P2529" t="s">
        <v>1628</v>
      </c>
      <c r="Q2529">
        <f>LEN(AMAZON_FASHION_5__2[[#This Row],[reviewText]])</f>
        <v>8</v>
      </c>
      <c r="R2529" t="str">
        <f>IF(AMAZON_FASHION_5__2[[#This Row],[overall]]&gt;=4,"Positive",IF(AMAZON_FASHION_5__2[[#This Row],[overall]]&lt;=2,"Negative","Neutral"))</f>
        <v>Positive</v>
      </c>
      <c r="S25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30" spans="1:19" x14ac:dyDescent="0.25">
      <c r="A2530">
        <v>5</v>
      </c>
      <c r="B2530" t="b">
        <v>1</v>
      </c>
      <c r="C2530" s="1">
        <v>42907</v>
      </c>
      <c r="D2530">
        <f>YEAR(AMAZON_FASHION_5__2[[#This Row],[reviewDate]])</f>
        <v>2017</v>
      </c>
      <c r="E2530" s="1" t="str">
        <f>TEXT(AMAZON_FASHION_5__2[[#This Row],[reviewDate]], "mmmm")</f>
        <v>June</v>
      </c>
      <c r="F2530" t="s">
        <v>739</v>
      </c>
      <c r="G2530" t="s">
        <v>1566</v>
      </c>
      <c r="H2530" t="s">
        <v>1567</v>
      </c>
      <c r="I2530" t="s">
        <v>303</v>
      </c>
      <c r="J2530" t="s">
        <v>63</v>
      </c>
      <c r="K2530" t="s">
        <v>740</v>
      </c>
      <c r="L2530" t="s">
        <v>741</v>
      </c>
      <c r="M2530">
        <v>1498003200</v>
      </c>
      <c r="N2530" t="s">
        <v>1628</v>
      </c>
      <c r="O2530" t="s">
        <v>1628</v>
      </c>
      <c r="P2530" t="s">
        <v>1628</v>
      </c>
      <c r="Q2530">
        <f>LEN(AMAZON_FASHION_5__2[[#This Row],[reviewText]])</f>
        <v>141</v>
      </c>
      <c r="R2530" t="str">
        <f>IF(AMAZON_FASHION_5__2[[#This Row],[overall]]&gt;=4,"Positive",IF(AMAZON_FASHION_5__2[[#This Row],[overall]]&lt;=2,"Negative","Neutral"))</f>
        <v>Positive</v>
      </c>
      <c r="S25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31" spans="1:19" x14ac:dyDescent="0.25">
      <c r="A2531">
        <v>5</v>
      </c>
      <c r="B2531" t="b">
        <v>1</v>
      </c>
      <c r="C2531" s="1">
        <v>42906</v>
      </c>
      <c r="D2531">
        <f>YEAR(AMAZON_FASHION_5__2[[#This Row],[reviewDate]])</f>
        <v>2017</v>
      </c>
      <c r="E2531" s="1" t="str">
        <f>TEXT(AMAZON_FASHION_5__2[[#This Row],[reviewDate]], "mmmm")</f>
        <v>June</v>
      </c>
      <c r="F2531" t="s">
        <v>742</v>
      </c>
      <c r="G2531" t="s">
        <v>1566</v>
      </c>
      <c r="H2531" t="s">
        <v>1488</v>
      </c>
      <c r="I2531" t="s">
        <v>336</v>
      </c>
      <c r="J2531" t="s">
        <v>743</v>
      </c>
      <c r="K2531" t="s">
        <v>744</v>
      </c>
      <c r="L2531" t="s">
        <v>745</v>
      </c>
      <c r="M2531">
        <v>1497916800</v>
      </c>
      <c r="N2531" t="s">
        <v>1628</v>
      </c>
      <c r="O2531" t="s">
        <v>1628</v>
      </c>
      <c r="P2531" t="s">
        <v>1628</v>
      </c>
      <c r="Q2531">
        <f>LEN(AMAZON_FASHION_5__2[[#This Row],[reviewText]])</f>
        <v>275</v>
      </c>
      <c r="R2531" t="str">
        <f>IF(AMAZON_FASHION_5__2[[#This Row],[overall]]&gt;=4,"Positive",IF(AMAZON_FASHION_5__2[[#This Row],[overall]]&lt;=2,"Negative","Neutral"))</f>
        <v>Positive</v>
      </c>
      <c r="S25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32" spans="1:19" x14ac:dyDescent="0.25">
      <c r="A2532">
        <v>5</v>
      </c>
      <c r="B2532" t="b">
        <v>1</v>
      </c>
      <c r="C2532" s="1">
        <v>42906</v>
      </c>
      <c r="D2532">
        <f>YEAR(AMAZON_FASHION_5__2[[#This Row],[reviewDate]])</f>
        <v>2017</v>
      </c>
      <c r="E2532" s="1" t="str">
        <f>TEXT(AMAZON_FASHION_5__2[[#This Row],[reviewDate]], "mmmm")</f>
        <v>June</v>
      </c>
      <c r="F2532" t="s">
        <v>746</v>
      </c>
      <c r="G2532" t="s">
        <v>1566</v>
      </c>
      <c r="H2532" t="s">
        <v>1578</v>
      </c>
      <c r="I2532" t="s">
        <v>198</v>
      </c>
      <c r="J2532" t="s">
        <v>747</v>
      </c>
      <c r="K2532" t="s">
        <v>748</v>
      </c>
      <c r="L2532" t="s">
        <v>749</v>
      </c>
      <c r="M2532">
        <v>1497916800</v>
      </c>
      <c r="N2532" t="s">
        <v>1628</v>
      </c>
      <c r="O2532" t="s">
        <v>1628</v>
      </c>
      <c r="P2532" t="s">
        <v>1628</v>
      </c>
      <c r="Q2532">
        <f>LEN(AMAZON_FASHION_5__2[[#This Row],[reviewText]])</f>
        <v>69</v>
      </c>
      <c r="R2532" t="str">
        <f>IF(AMAZON_FASHION_5__2[[#This Row],[overall]]&gt;=4,"Positive",IF(AMAZON_FASHION_5__2[[#This Row],[overall]]&lt;=2,"Negative","Neutral"))</f>
        <v>Positive</v>
      </c>
      <c r="S25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33" spans="1:19" x14ac:dyDescent="0.25">
      <c r="A2533">
        <v>4</v>
      </c>
      <c r="B2533" t="b">
        <v>1</v>
      </c>
      <c r="C2533" s="1">
        <v>42905</v>
      </c>
      <c r="D2533">
        <f>YEAR(AMAZON_FASHION_5__2[[#This Row],[reviewDate]])</f>
        <v>2017</v>
      </c>
      <c r="E2533" s="1" t="str">
        <f>TEXT(AMAZON_FASHION_5__2[[#This Row],[reviewDate]], "mmmm")</f>
        <v>June</v>
      </c>
      <c r="F2533" t="s">
        <v>750</v>
      </c>
      <c r="G2533" t="s">
        <v>1566</v>
      </c>
      <c r="H2533" t="s">
        <v>1578</v>
      </c>
      <c r="I2533" t="s">
        <v>198</v>
      </c>
      <c r="J2533" t="s">
        <v>751</v>
      </c>
      <c r="K2533" t="s">
        <v>752</v>
      </c>
      <c r="L2533" t="s">
        <v>103</v>
      </c>
      <c r="M2533">
        <v>1497830400</v>
      </c>
      <c r="N2533" t="s">
        <v>1628</v>
      </c>
      <c r="O2533" t="s">
        <v>1628</v>
      </c>
      <c r="P2533" t="s">
        <v>1628</v>
      </c>
      <c r="Q2533">
        <f>LEN(AMAZON_FASHION_5__2[[#This Row],[reviewText]])</f>
        <v>12</v>
      </c>
      <c r="R2533" t="str">
        <f>IF(AMAZON_FASHION_5__2[[#This Row],[overall]]&gt;=4,"Positive",IF(AMAZON_FASHION_5__2[[#This Row],[overall]]&lt;=2,"Negative","Neutral"))</f>
        <v>Positive</v>
      </c>
      <c r="S25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34" spans="1:19" x14ac:dyDescent="0.25">
      <c r="A2534">
        <v>5</v>
      </c>
      <c r="B2534" t="b">
        <v>1</v>
      </c>
      <c r="C2534" s="1">
        <v>42905</v>
      </c>
      <c r="D2534">
        <f>YEAR(AMAZON_FASHION_5__2[[#This Row],[reviewDate]])</f>
        <v>2017</v>
      </c>
      <c r="E2534" s="1" t="str">
        <f>TEXT(AMAZON_FASHION_5__2[[#This Row],[reviewDate]], "mmmm")</f>
        <v>June</v>
      </c>
      <c r="F2534" t="s">
        <v>753</v>
      </c>
      <c r="G2534" t="s">
        <v>1566</v>
      </c>
      <c r="H2534" t="s">
        <v>1600</v>
      </c>
      <c r="I2534" t="s">
        <v>198</v>
      </c>
      <c r="J2534" t="s">
        <v>754</v>
      </c>
      <c r="K2534" t="s">
        <v>755</v>
      </c>
      <c r="L2534" t="s">
        <v>756</v>
      </c>
      <c r="M2534">
        <v>1497830400</v>
      </c>
      <c r="N2534" t="s">
        <v>1628</v>
      </c>
      <c r="O2534" t="s">
        <v>1628</v>
      </c>
      <c r="P2534" t="s">
        <v>1628</v>
      </c>
      <c r="Q2534">
        <f>LEN(AMAZON_FASHION_5__2[[#This Row],[reviewText]])</f>
        <v>108</v>
      </c>
      <c r="R2534" t="str">
        <f>IF(AMAZON_FASHION_5__2[[#This Row],[overall]]&gt;=4,"Positive",IF(AMAZON_FASHION_5__2[[#This Row],[overall]]&lt;=2,"Negative","Neutral"))</f>
        <v>Positive</v>
      </c>
      <c r="S25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35" spans="1:19" x14ac:dyDescent="0.25">
      <c r="A2535">
        <v>5</v>
      </c>
      <c r="B2535" t="b">
        <v>1</v>
      </c>
      <c r="C2535" s="1">
        <v>42905</v>
      </c>
      <c r="D2535">
        <f>YEAR(AMAZON_FASHION_5__2[[#This Row],[reviewDate]])</f>
        <v>2017</v>
      </c>
      <c r="E2535" s="1" t="str">
        <f>TEXT(AMAZON_FASHION_5__2[[#This Row],[reviewDate]], "mmmm")</f>
        <v>June</v>
      </c>
      <c r="F2535" t="s">
        <v>757</v>
      </c>
      <c r="G2535" t="s">
        <v>1566</v>
      </c>
      <c r="H2535" t="s">
        <v>210</v>
      </c>
      <c r="I2535" t="s">
        <v>198</v>
      </c>
      <c r="J2535" t="s">
        <v>63</v>
      </c>
      <c r="K2535" t="s">
        <v>758</v>
      </c>
      <c r="L2535" t="s">
        <v>759</v>
      </c>
      <c r="M2535">
        <v>1497830400</v>
      </c>
      <c r="N2535" t="s">
        <v>1628</v>
      </c>
      <c r="O2535" t="s">
        <v>1628</v>
      </c>
      <c r="P2535" t="s">
        <v>1628</v>
      </c>
      <c r="Q2535">
        <f>LEN(AMAZON_FASHION_5__2[[#This Row],[reviewText]])</f>
        <v>76</v>
      </c>
      <c r="R2535" t="str">
        <f>IF(AMAZON_FASHION_5__2[[#This Row],[overall]]&gt;=4,"Positive",IF(AMAZON_FASHION_5__2[[#This Row],[overall]]&lt;=2,"Negative","Neutral"))</f>
        <v>Positive</v>
      </c>
      <c r="S25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36" spans="1:19" x14ac:dyDescent="0.25">
      <c r="A2536">
        <v>3</v>
      </c>
      <c r="B2536" t="b">
        <v>1</v>
      </c>
      <c r="C2536" s="1">
        <v>42902</v>
      </c>
      <c r="D2536">
        <f>YEAR(AMAZON_FASHION_5__2[[#This Row],[reviewDate]])</f>
        <v>2017</v>
      </c>
      <c r="E2536" s="1" t="str">
        <f>TEXT(AMAZON_FASHION_5__2[[#This Row],[reviewDate]], "mmmm")</f>
        <v>June</v>
      </c>
      <c r="F2536" t="s">
        <v>760</v>
      </c>
      <c r="G2536" t="s">
        <v>1566</v>
      </c>
      <c r="H2536" t="s">
        <v>205</v>
      </c>
      <c r="I2536" t="s">
        <v>198</v>
      </c>
      <c r="J2536" t="s">
        <v>761</v>
      </c>
      <c r="K2536" t="s">
        <v>762</v>
      </c>
      <c r="L2536" t="s">
        <v>763</v>
      </c>
      <c r="M2536">
        <v>1497571200</v>
      </c>
      <c r="N2536" t="s">
        <v>1628</v>
      </c>
      <c r="O2536" t="s">
        <v>1628</v>
      </c>
      <c r="P2536" t="s">
        <v>1628</v>
      </c>
      <c r="Q2536">
        <f>LEN(AMAZON_FASHION_5__2[[#This Row],[reviewText]])</f>
        <v>468</v>
      </c>
      <c r="R2536" t="str">
        <f>IF(AMAZON_FASHION_5__2[[#This Row],[overall]]&gt;=4,"Positive",IF(AMAZON_FASHION_5__2[[#This Row],[overall]]&lt;=2,"Negative","Neutral"))</f>
        <v>Neutral</v>
      </c>
      <c r="S25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37" spans="1:19" x14ac:dyDescent="0.25">
      <c r="A2537">
        <v>5</v>
      </c>
      <c r="B2537" t="b">
        <v>1</v>
      </c>
      <c r="C2537" s="1">
        <v>42901</v>
      </c>
      <c r="D2537">
        <f>YEAR(AMAZON_FASHION_5__2[[#This Row],[reviewDate]])</f>
        <v>2017</v>
      </c>
      <c r="E2537" s="1" t="str">
        <f>TEXT(AMAZON_FASHION_5__2[[#This Row],[reviewDate]], "mmmm")</f>
        <v>June</v>
      </c>
      <c r="F2537" t="s">
        <v>764</v>
      </c>
      <c r="G2537" t="s">
        <v>1566</v>
      </c>
      <c r="H2537" t="s">
        <v>235</v>
      </c>
      <c r="I2537" t="s">
        <v>198</v>
      </c>
      <c r="J2537" t="s">
        <v>765</v>
      </c>
      <c r="K2537" t="s">
        <v>766</v>
      </c>
      <c r="L2537" t="s">
        <v>767</v>
      </c>
      <c r="M2537">
        <v>1497484800</v>
      </c>
      <c r="N2537" t="s">
        <v>1628</v>
      </c>
      <c r="O2537" t="s">
        <v>1628</v>
      </c>
      <c r="P2537" t="s">
        <v>1628</v>
      </c>
      <c r="Q2537">
        <f>LEN(AMAZON_FASHION_5__2[[#This Row],[reviewText]])</f>
        <v>125</v>
      </c>
      <c r="R2537" t="str">
        <f>IF(AMAZON_FASHION_5__2[[#This Row],[overall]]&gt;=4,"Positive",IF(AMAZON_FASHION_5__2[[#This Row],[overall]]&lt;=2,"Negative","Neutral"))</f>
        <v>Positive</v>
      </c>
      <c r="S25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38" spans="1:19" x14ac:dyDescent="0.25">
      <c r="A2538">
        <v>5</v>
      </c>
      <c r="B2538" t="b">
        <v>1</v>
      </c>
      <c r="C2538" s="1">
        <v>42901</v>
      </c>
      <c r="D2538">
        <f>YEAR(AMAZON_FASHION_5__2[[#This Row],[reviewDate]])</f>
        <v>2017</v>
      </c>
      <c r="E2538" s="1" t="str">
        <f>TEXT(AMAZON_FASHION_5__2[[#This Row],[reviewDate]], "mmmm")</f>
        <v>June</v>
      </c>
      <c r="F2538" t="s">
        <v>768</v>
      </c>
      <c r="G2538" t="s">
        <v>1566</v>
      </c>
      <c r="H2538" t="s">
        <v>1567</v>
      </c>
      <c r="I2538" t="s">
        <v>419</v>
      </c>
      <c r="J2538" t="s">
        <v>769</v>
      </c>
      <c r="K2538" t="s">
        <v>770</v>
      </c>
      <c r="L2538" t="s">
        <v>17</v>
      </c>
      <c r="M2538">
        <v>1497484800</v>
      </c>
      <c r="N2538" t="s">
        <v>1628</v>
      </c>
      <c r="O2538" t="s">
        <v>1628</v>
      </c>
      <c r="P2538" t="s">
        <v>1628</v>
      </c>
      <c r="Q2538">
        <f>LEN(AMAZON_FASHION_5__2[[#This Row],[reviewText]])</f>
        <v>56</v>
      </c>
      <c r="R2538" t="str">
        <f>IF(AMAZON_FASHION_5__2[[#This Row],[overall]]&gt;=4,"Positive",IF(AMAZON_FASHION_5__2[[#This Row],[overall]]&lt;=2,"Negative","Neutral"))</f>
        <v>Positive</v>
      </c>
      <c r="S25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39" spans="1:19" x14ac:dyDescent="0.25">
      <c r="A2539">
        <v>5</v>
      </c>
      <c r="B2539" t="b">
        <v>1</v>
      </c>
      <c r="C2539" s="1">
        <v>42900</v>
      </c>
      <c r="D2539">
        <f>YEAR(AMAZON_FASHION_5__2[[#This Row],[reviewDate]])</f>
        <v>2017</v>
      </c>
      <c r="E2539" s="1" t="str">
        <f>TEXT(AMAZON_FASHION_5__2[[#This Row],[reviewDate]], "mmmm")</f>
        <v>June</v>
      </c>
      <c r="F2539" t="s">
        <v>771</v>
      </c>
      <c r="G2539" t="s">
        <v>1566</v>
      </c>
      <c r="H2539" t="s">
        <v>1578</v>
      </c>
      <c r="I2539" t="s">
        <v>211</v>
      </c>
      <c r="J2539" t="s">
        <v>63</v>
      </c>
      <c r="K2539" t="s">
        <v>772</v>
      </c>
      <c r="L2539" t="s">
        <v>17</v>
      </c>
      <c r="M2539">
        <v>1497398400</v>
      </c>
      <c r="N2539" t="s">
        <v>1628</v>
      </c>
      <c r="O2539" t="s">
        <v>1628</v>
      </c>
      <c r="P2539" t="s">
        <v>1628</v>
      </c>
      <c r="Q2539">
        <f>LEN(AMAZON_FASHION_5__2[[#This Row],[reviewText]])</f>
        <v>21</v>
      </c>
      <c r="R2539" t="str">
        <f>IF(AMAZON_FASHION_5__2[[#This Row],[overall]]&gt;=4,"Positive",IF(AMAZON_FASHION_5__2[[#This Row],[overall]]&lt;=2,"Negative","Neutral"))</f>
        <v>Positive</v>
      </c>
      <c r="S25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40" spans="1:19" x14ac:dyDescent="0.25">
      <c r="A2540">
        <v>5</v>
      </c>
      <c r="B2540" t="b">
        <v>1</v>
      </c>
      <c r="C2540" s="1">
        <v>42899</v>
      </c>
      <c r="D2540">
        <f>YEAR(AMAZON_FASHION_5__2[[#This Row],[reviewDate]])</f>
        <v>2017</v>
      </c>
      <c r="E2540" s="1" t="str">
        <f>TEXT(AMAZON_FASHION_5__2[[#This Row],[reviewDate]], "mmmm")</f>
        <v>June</v>
      </c>
      <c r="F2540" t="s">
        <v>773</v>
      </c>
      <c r="G2540" t="s">
        <v>1566</v>
      </c>
      <c r="H2540" t="s">
        <v>1568</v>
      </c>
      <c r="I2540" t="s">
        <v>493</v>
      </c>
      <c r="J2540" t="s">
        <v>774</v>
      </c>
      <c r="K2540" t="s">
        <v>775</v>
      </c>
      <c r="L2540" t="s">
        <v>17</v>
      </c>
      <c r="M2540">
        <v>1497312000</v>
      </c>
      <c r="N2540" t="s">
        <v>1628</v>
      </c>
      <c r="O2540" t="s">
        <v>1628</v>
      </c>
      <c r="P2540" t="s">
        <v>1628</v>
      </c>
      <c r="Q2540">
        <f>LEN(AMAZON_FASHION_5__2[[#This Row],[reviewText]])</f>
        <v>64</v>
      </c>
      <c r="R2540" t="str">
        <f>IF(AMAZON_FASHION_5__2[[#This Row],[overall]]&gt;=4,"Positive",IF(AMAZON_FASHION_5__2[[#This Row],[overall]]&lt;=2,"Negative","Neutral"))</f>
        <v>Positive</v>
      </c>
      <c r="S25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41" spans="1:19" x14ac:dyDescent="0.25">
      <c r="A2541">
        <v>5</v>
      </c>
      <c r="B2541" t="b">
        <v>1</v>
      </c>
      <c r="C2541" s="1">
        <v>42894</v>
      </c>
      <c r="D2541">
        <f>YEAR(AMAZON_FASHION_5__2[[#This Row],[reviewDate]])</f>
        <v>2017</v>
      </c>
      <c r="E2541" s="1" t="str">
        <f>TEXT(AMAZON_FASHION_5__2[[#This Row],[reviewDate]], "mmmm")</f>
        <v>June</v>
      </c>
      <c r="F2541" t="s">
        <v>776</v>
      </c>
      <c r="G2541" t="s">
        <v>1566</v>
      </c>
      <c r="H2541" t="s">
        <v>1568</v>
      </c>
      <c r="I2541" t="s">
        <v>303</v>
      </c>
      <c r="J2541" t="s">
        <v>777</v>
      </c>
      <c r="K2541" t="s">
        <v>778</v>
      </c>
      <c r="L2541" t="s">
        <v>17</v>
      </c>
      <c r="M2541">
        <v>1496880000</v>
      </c>
      <c r="N2541" t="s">
        <v>1628</v>
      </c>
      <c r="O2541" t="s">
        <v>1628</v>
      </c>
      <c r="P2541" t="s">
        <v>1628</v>
      </c>
      <c r="Q2541">
        <f>LEN(AMAZON_FASHION_5__2[[#This Row],[reviewText]])</f>
        <v>27</v>
      </c>
      <c r="R2541" t="str">
        <f>IF(AMAZON_FASHION_5__2[[#This Row],[overall]]&gt;=4,"Positive",IF(AMAZON_FASHION_5__2[[#This Row],[overall]]&lt;=2,"Negative","Neutral"))</f>
        <v>Positive</v>
      </c>
      <c r="S25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42" spans="1:19" x14ac:dyDescent="0.25">
      <c r="A2542">
        <v>1</v>
      </c>
      <c r="B2542" t="b">
        <v>1</v>
      </c>
      <c r="C2542" s="1">
        <v>42891</v>
      </c>
      <c r="D2542">
        <f>YEAR(AMAZON_FASHION_5__2[[#This Row],[reviewDate]])</f>
        <v>2017</v>
      </c>
      <c r="E2542" s="1" t="str">
        <f>TEXT(AMAZON_FASHION_5__2[[#This Row],[reviewDate]], "mmmm")</f>
        <v>June</v>
      </c>
      <c r="F2542" t="s">
        <v>779</v>
      </c>
      <c r="G2542" t="s">
        <v>1566</v>
      </c>
      <c r="H2542" t="s">
        <v>1477</v>
      </c>
      <c r="I2542" t="s">
        <v>336</v>
      </c>
      <c r="J2542" t="s">
        <v>780</v>
      </c>
      <c r="K2542" t="s">
        <v>781</v>
      </c>
      <c r="L2542" t="s">
        <v>782</v>
      </c>
      <c r="M2542">
        <v>1496620800</v>
      </c>
      <c r="N2542" t="s">
        <v>1628</v>
      </c>
      <c r="O2542" t="s">
        <v>1628</v>
      </c>
      <c r="P2542" t="s">
        <v>1628</v>
      </c>
      <c r="Q2542">
        <f>LEN(AMAZON_FASHION_5__2[[#This Row],[reviewText]])</f>
        <v>75</v>
      </c>
      <c r="R2542" t="str">
        <f>IF(AMAZON_FASHION_5__2[[#This Row],[overall]]&gt;=4,"Positive",IF(AMAZON_FASHION_5__2[[#This Row],[overall]]&lt;=2,"Negative","Neutral"))</f>
        <v>Negative</v>
      </c>
      <c r="S25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43" spans="1:19" x14ac:dyDescent="0.25">
      <c r="A2543">
        <v>5</v>
      </c>
      <c r="B2543" t="b">
        <v>1</v>
      </c>
      <c r="C2543" s="1">
        <v>42888</v>
      </c>
      <c r="D2543">
        <f>YEAR(AMAZON_FASHION_5__2[[#This Row],[reviewDate]])</f>
        <v>2017</v>
      </c>
      <c r="E2543" s="1" t="str">
        <f>TEXT(AMAZON_FASHION_5__2[[#This Row],[reviewDate]], "mmmm")</f>
        <v>June</v>
      </c>
      <c r="F2543" t="s">
        <v>783</v>
      </c>
      <c r="G2543" t="s">
        <v>1566</v>
      </c>
      <c r="H2543" t="s">
        <v>1571</v>
      </c>
      <c r="I2543" t="s">
        <v>198</v>
      </c>
      <c r="J2543" t="s">
        <v>784</v>
      </c>
      <c r="K2543" t="s">
        <v>785</v>
      </c>
      <c r="L2543" t="s">
        <v>17</v>
      </c>
      <c r="M2543">
        <v>1496361600</v>
      </c>
      <c r="N2543" t="s">
        <v>1628</v>
      </c>
      <c r="O2543" t="s">
        <v>1628</v>
      </c>
      <c r="P2543" t="s">
        <v>1628</v>
      </c>
      <c r="Q2543">
        <f>LEN(AMAZON_FASHION_5__2[[#This Row],[reviewText]])</f>
        <v>91</v>
      </c>
      <c r="R2543" t="str">
        <f>IF(AMAZON_FASHION_5__2[[#This Row],[overall]]&gt;=4,"Positive",IF(AMAZON_FASHION_5__2[[#This Row],[overall]]&lt;=2,"Negative","Neutral"))</f>
        <v>Positive</v>
      </c>
      <c r="S25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44" spans="1:19" x14ac:dyDescent="0.25">
      <c r="A2544">
        <v>5</v>
      </c>
      <c r="B2544" t="b">
        <v>1</v>
      </c>
      <c r="C2544" s="1">
        <v>42885</v>
      </c>
      <c r="D2544">
        <f>YEAR(AMAZON_FASHION_5__2[[#This Row],[reviewDate]])</f>
        <v>2017</v>
      </c>
      <c r="E2544" s="1" t="str">
        <f>TEXT(AMAZON_FASHION_5__2[[#This Row],[reviewDate]], "mmmm")</f>
        <v>May</v>
      </c>
      <c r="F2544" t="s">
        <v>786</v>
      </c>
      <c r="G2544" t="s">
        <v>1566</v>
      </c>
      <c r="H2544" t="s">
        <v>1574</v>
      </c>
      <c r="I2544" t="s">
        <v>198</v>
      </c>
      <c r="J2544" t="s">
        <v>787</v>
      </c>
      <c r="K2544" t="s">
        <v>543</v>
      </c>
      <c r="L2544" t="s">
        <v>17</v>
      </c>
      <c r="M2544">
        <v>1496102400</v>
      </c>
      <c r="N2544" t="s">
        <v>1628</v>
      </c>
      <c r="O2544" t="s">
        <v>1628</v>
      </c>
      <c r="P2544" t="s">
        <v>1628</v>
      </c>
      <c r="Q2544">
        <f>LEN(AMAZON_FASHION_5__2[[#This Row],[reviewText]])</f>
        <v>11</v>
      </c>
      <c r="R2544" t="str">
        <f>IF(AMAZON_FASHION_5__2[[#This Row],[overall]]&gt;=4,"Positive",IF(AMAZON_FASHION_5__2[[#This Row],[overall]]&lt;=2,"Negative","Neutral"))</f>
        <v>Positive</v>
      </c>
      <c r="S25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45" spans="1:19" x14ac:dyDescent="0.25">
      <c r="A2545">
        <v>5</v>
      </c>
      <c r="B2545" t="b">
        <v>1</v>
      </c>
      <c r="C2545" s="1">
        <v>42885</v>
      </c>
      <c r="D2545">
        <f>YEAR(AMAZON_FASHION_5__2[[#This Row],[reviewDate]])</f>
        <v>2017</v>
      </c>
      <c r="E2545" s="1" t="str">
        <f>TEXT(AMAZON_FASHION_5__2[[#This Row],[reviewDate]], "mmmm")</f>
        <v>May</v>
      </c>
      <c r="F2545" t="s">
        <v>788</v>
      </c>
      <c r="G2545" t="s">
        <v>1566</v>
      </c>
      <c r="H2545" t="s">
        <v>1596</v>
      </c>
      <c r="I2545" t="s">
        <v>344</v>
      </c>
      <c r="J2545" t="s">
        <v>789</v>
      </c>
      <c r="K2545" t="s">
        <v>790</v>
      </c>
      <c r="L2545" t="s">
        <v>791</v>
      </c>
      <c r="M2545">
        <v>1496102400</v>
      </c>
      <c r="N2545" t="s">
        <v>1628</v>
      </c>
      <c r="O2545" t="s">
        <v>1628</v>
      </c>
      <c r="P2545" t="s">
        <v>1628</v>
      </c>
      <c r="Q2545">
        <f>LEN(AMAZON_FASHION_5__2[[#This Row],[reviewText]])</f>
        <v>61</v>
      </c>
      <c r="R2545" t="str">
        <f>IF(AMAZON_FASHION_5__2[[#This Row],[overall]]&gt;=4,"Positive",IF(AMAZON_FASHION_5__2[[#This Row],[overall]]&lt;=2,"Negative","Neutral"))</f>
        <v>Positive</v>
      </c>
      <c r="S25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46" spans="1:19" x14ac:dyDescent="0.25">
      <c r="A2546">
        <v>4</v>
      </c>
      <c r="B2546" t="b">
        <v>1</v>
      </c>
      <c r="C2546" s="1">
        <v>42884</v>
      </c>
      <c r="D2546">
        <f>YEAR(AMAZON_FASHION_5__2[[#This Row],[reviewDate]])</f>
        <v>2017</v>
      </c>
      <c r="E2546" s="1" t="str">
        <f>TEXT(AMAZON_FASHION_5__2[[#This Row],[reviewDate]], "mmmm")</f>
        <v>May</v>
      </c>
      <c r="F2546" t="s">
        <v>792</v>
      </c>
      <c r="G2546" t="s">
        <v>1566</v>
      </c>
      <c r="H2546" t="s">
        <v>1488</v>
      </c>
      <c r="I2546" t="s">
        <v>336</v>
      </c>
      <c r="J2546" t="s">
        <v>793</v>
      </c>
      <c r="K2546" t="s">
        <v>794</v>
      </c>
      <c r="L2546" t="s">
        <v>795</v>
      </c>
      <c r="M2546">
        <v>1496016000</v>
      </c>
      <c r="N2546" t="s">
        <v>1628</v>
      </c>
      <c r="O2546" t="s">
        <v>1628</v>
      </c>
      <c r="P2546" t="s">
        <v>1628</v>
      </c>
      <c r="Q2546">
        <f>LEN(AMAZON_FASHION_5__2[[#This Row],[reviewText]])</f>
        <v>65</v>
      </c>
      <c r="R2546" t="str">
        <f>IF(AMAZON_FASHION_5__2[[#This Row],[overall]]&gt;=4,"Positive",IF(AMAZON_FASHION_5__2[[#This Row],[overall]]&lt;=2,"Negative","Neutral"))</f>
        <v>Positive</v>
      </c>
      <c r="S25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47" spans="1:19" x14ac:dyDescent="0.25">
      <c r="A2547">
        <v>3</v>
      </c>
      <c r="B2547" t="b">
        <v>1</v>
      </c>
      <c r="C2547" s="1">
        <v>42880</v>
      </c>
      <c r="D2547">
        <f>YEAR(AMAZON_FASHION_5__2[[#This Row],[reviewDate]])</f>
        <v>2017</v>
      </c>
      <c r="E2547" s="1" t="str">
        <f>TEXT(AMAZON_FASHION_5__2[[#This Row],[reviewDate]], "mmmm")</f>
        <v>May</v>
      </c>
      <c r="F2547" t="s">
        <v>796</v>
      </c>
      <c r="G2547" t="s">
        <v>1566</v>
      </c>
      <c r="H2547" t="s">
        <v>1596</v>
      </c>
      <c r="I2547" t="s">
        <v>198</v>
      </c>
      <c r="J2547" t="s">
        <v>797</v>
      </c>
      <c r="K2547" t="s">
        <v>798</v>
      </c>
      <c r="L2547" t="s">
        <v>799</v>
      </c>
      <c r="M2547">
        <v>1495670400</v>
      </c>
      <c r="N2547" t="s">
        <v>1628</v>
      </c>
      <c r="O2547" t="s">
        <v>1628</v>
      </c>
      <c r="P2547" t="s">
        <v>1628</v>
      </c>
      <c r="Q2547">
        <f>LEN(AMAZON_FASHION_5__2[[#This Row],[reviewText]])</f>
        <v>40</v>
      </c>
      <c r="R2547" t="str">
        <f>IF(AMAZON_FASHION_5__2[[#This Row],[overall]]&gt;=4,"Positive",IF(AMAZON_FASHION_5__2[[#This Row],[overall]]&lt;=2,"Negative","Neutral"))</f>
        <v>Neutral</v>
      </c>
      <c r="S25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48" spans="1:19" x14ac:dyDescent="0.25">
      <c r="A2548">
        <v>5</v>
      </c>
      <c r="B2548" t="b">
        <v>1</v>
      </c>
      <c r="C2548" s="1">
        <v>42877</v>
      </c>
      <c r="D2548">
        <f>YEAR(AMAZON_FASHION_5__2[[#This Row],[reviewDate]])</f>
        <v>2017</v>
      </c>
      <c r="E2548" s="1" t="str">
        <f>TEXT(AMAZON_FASHION_5__2[[#This Row],[reviewDate]], "mmmm")</f>
        <v>May</v>
      </c>
      <c r="F2548" t="s">
        <v>800</v>
      </c>
      <c r="G2548" t="s">
        <v>1566</v>
      </c>
      <c r="H2548" t="s">
        <v>1571</v>
      </c>
      <c r="I2548" t="s">
        <v>198</v>
      </c>
      <c r="J2548" t="s">
        <v>801</v>
      </c>
      <c r="K2548" t="s">
        <v>802</v>
      </c>
      <c r="L2548" t="s">
        <v>803</v>
      </c>
      <c r="M2548">
        <v>1495411200</v>
      </c>
      <c r="N2548" t="s">
        <v>1628</v>
      </c>
      <c r="O2548" t="s">
        <v>1628</v>
      </c>
      <c r="P2548" t="s">
        <v>1628</v>
      </c>
      <c r="Q2548">
        <f>LEN(AMAZON_FASHION_5__2[[#This Row],[reviewText]])</f>
        <v>45</v>
      </c>
      <c r="R2548" t="str">
        <f>IF(AMAZON_FASHION_5__2[[#This Row],[overall]]&gt;=4,"Positive",IF(AMAZON_FASHION_5__2[[#This Row],[overall]]&lt;=2,"Negative","Neutral"))</f>
        <v>Positive</v>
      </c>
      <c r="S25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49" spans="1:19" x14ac:dyDescent="0.25">
      <c r="A2549">
        <v>5</v>
      </c>
      <c r="B2549" t="b">
        <v>1</v>
      </c>
      <c r="C2549" s="1">
        <v>42877</v>
      </c>
      <c r="D2549">
        <f>YEAR(AMAZON_FASHION_5__2[[#This Row],[reviewDate]])</f>
        <v>2017</v>
      </c>
      <c r="E2549" s="1" t="str">
        <f>TEXT(AMAZON_FASHION_5__2[[#This Row],[reviewDate]], "mmmm")</f>
        <v>May</v>
      </c>
      <c r="F2549" t="s">
        <v>804</v>
      </c>
      <c r="G2549" t="s">
        <v>1566</v>
      </c>
      <c r="H2549" t="s">
        <v>210</v>
      </c>
      <c r="I2549" t="s">
        <v>198</v>
      </c>
      <c r="J2549" t="s">
        <v>805</v>
      </c>
      <c r="K2549" t="s">
        <v>806</v>
      </c>
      <c r="L2549" t="s">
        <v>807</v>
      </c>
      <c r="M2549">
        <v>1495411200</v>
      </c>
      <c r="N2549" t="s">
        <v>1628</v>
      </c>
      <c r="O2549" t="s">
        <v>1628</v>
      </c>
      <c r="P2549" t="s">
        <v>1628</v>
      </c>
      <c r="Q2549">
        <f>LEN(AMAZON_FASHION_5__2[[#This Row],[reviewText]])</f>
        <v>86</v>
      </c>
      <c r="R2549" t="str">
        <f>IF(AMAZON_FASHION_5__2[[#This Row],[overall]]&gt;=4,"Positive",IF(AMAZON_FASHION_5__2[[#This Row],[overall]]&lt;=2,"Negative","Neutral"))</f>
        <v>Positive</v>
      </c>
      <c r="S25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50" spans="1:19" x14ac:dyDescent="0.25">
      <c r="A2550">
        <v>5</v>
      </c>
      <c r="B2550" t="b">
        <v>0</v>
      </c>
      <c r="C2550" s="1">
        <v>42874</v>
      </c>
      <c r="D2550">
        <f>YEAR(AMAZON_FASHION_5__2[[#This Row],[reviewDate]])</f>
        <v>2017</v>
      </c>
      <c r="E2550" s="1" t="str">
        <f>TEXT(AMAZON_FASHION_5__2[[#This Row],[reviewDate]], "mmmm")</f>
        <v>May</v>
      </c>
      <c r="F2550" t="s">
        <v>808</v>
      </c>
      <c r="G2550" t="s">
        <v>1566</v>
      </c>
      <c r="H2550" t="s">
        <v>1489</v>
      </c>
      <c r="I2550" t="s">
        <v>336</v>
      </c>
      <c r="J2550" t="s">
        <v>810</v>
      </c>
      <c r="K2550" t="s">
        <v>811</v>
      </c>
      <c r="L2550" t="s">
        <v>812</v>
      </c>
      <c r="M2550">
        <v>1495152000</v>
      </c>
      <c r="N2550" t="s">
        <v>1628</v>
      </c>
      <c r="O2550" t="s">
        <v>1628</v>
      </c>
      <c r="P2550">
        <v>2</v>
      </c>
      <c r="Q2550">
        <f>LEN(AMAZON_FASHION_5__2[[#This Row],[reviewText]])</f>
        <v>109</v>
      </c>
      <c r="R2550" t="str">
        <f>IF(AMAZON_FASHION_5__2[[#This Row],[overall]]&gt;=4,"Positive",IF(AMAZON_FASHION_5__2[[#This Row],[overall]]&lt;=2,"Negative","Neutral"))</f>
        <v>Positive</v>
      </c>
      <c r="S25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51" spans="1:19" x14ac:dyDescent="0.25">
      <c r="A2551">
        <v>5</v>
      </c>
      <c r="B2551" t="b">
        <v>0</v>
      </c>
      <c r="C2551" s="1">
        <v>42874</v>
      </c>
      <c r="D2551">
        <f>YEAR(AMAZON_FASHION_5__2[[#This Row],[reviewDate]])</f>
        <v>2017</v>
      </c>
      <c r="E2551" s="1" t="str">
        <f>TEXT(AMAZON_FASHION_5__2[[#This Row],[reviewDate]], "mmmm")</f>
        <v>May</v>
      </c>
      <c r="F2551" t="s">
        <v>808</v>
      </c>
      <c r="G2551" t="s">
        <v>1566</v>
      </c>
      <c r="H2551" t="s">
        <v>1596</v>
      </c>
      <c r="I2551" t="s">
        <v>396</v>
      </c>
      <c r="J2551" t="s">
        <v>810</v>
      </c>
      <c r="K2551" t="s">
        <v>813</v>
      </c>
      <c r="L2551" t="s">
        <v>814</v>
      </c>
      <c r="M2551">
        <v>1495152000</v>
      </c>
      <c r="N2551" t="s">
        <v>1628</v>
      </c>
      <c r="O2551" t="s">
        <v>1628</v>
      </c>
      <c r="P2551">
        <v>4</v>
      </c>
      <c r="Q2551">
        <f>LEN(AMAZON_FASHION_5__2[[#This Row],[reviewText]])</f>
        <v>274</v>
      </c>
      <c r="R2551" t="str">
        <f>IF(AMAZON_FASHION_5__2[[#This Row],[overall]]&gt;=4,"Positive",IF(AMAZON_FASHION_5__2[[#This Row],[overall]]&lt;=2,"Negative","Neutral"))</f>
        <v>Positive</v>
      </c>
      <c r="S25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52" spans="1:19" x14ac:dyDescent="0.25">
      <c r="A2552">
        <v>4</v>
      </c>
      <c r="B2552" t="b">
        <v>1</v>
      </c>
      <c r="C2552" s="1">
        <v>42873</v>
      </c>
      <c r="D2552">
        <f>YEAR(AMAZON_FASHION_5__2[[#This Row],[reviewDate]])</f>
        <v>2017</v>
      </c>
      <c r="E2552" s="1" t="str">
        <f>TEXT(AMAZON_FASHION_5__2[[#This Row],[reviewDate]], "mmmm")</f>
        <v>May</v>
      </c>
      <c r="F2552" t="s">
        <v>815</v>
      </c>
      <c r="G2552" t="s">
        <v>1566</v>
      </c>
      <c r="H2552" t="s">
        <v>1578</v>
      </c>
      <c r="I2552" t="s">
        <v>198</v>
      </c>
      <c r="J2552" t="s">
        <v>816</v>
      </c>
      <c r="K2552" t="s">
        <v>817</v>
      </c>
      <c r="L2552" t="s">
        <v>818</v>
      </c>
      <c r="M2552">
        <v>1495065600</v>
      </c>
      <c r="N2552" t="s">
        <v>1628</v>
      </c>
      <c r="O2552" t="s">
        <v>1628</v>
      </c>
      <c r="P2552" t="s">
        <v>1628</v>
      </c>
      <c r="Q2552">
        <f>LEN(AMAZON_FASHION_5__2[[#This Row],[reviewText]])</f>
        <v>20</v>
      </c>
      <c r="R2552" t="str">
        <f>IF(AMAZON_FASHION_5__2[[#This Row],[overall]]&gt;=4,"Positive",IF(AMAZON_FASHION_5__2[[#This Row],[overall]]&lt;=2,"Negative","Neutral"))</f>
        <v>Positive</v>
      </c>
      <c r="S25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53" spans="1:19" x14ac:dyDescent="0.25">
      <c r="A2553">
        <v>4</v>
      </c>
      <c r="B2553" t="b">
        <v>1</v>
      </c>
      <c r="C2553" s="1">
        <v>42870</v>
      </c>
      <c r="D2553">
        <f>YEAR(AMAZON_FASHION_5__2[[#This Row],[reviewDate]])</f>
        <v>2017</v>
      </c>
      <c r="E2553" s="1" t="str">
        <f>TEXT(AMAZON_FASHION_5__2[[#This Row],[reviewDate]], "mmmm")</f>
        <v>May</v>
      </c>
      <c r="F2553" t="s">
        <v>819</v>
      </c>
      <c r="G2553" t="s">
        <v>1566</v>
      </c>
      <c r="H2553" t="s">
        <v>1578</v>
      </c>
      <c r="I2553" t="s">
        <v>524</v>
      </c>
      <c r="J2553" t="s">
        <v>820</v>
      </c>
      <c r="K2553" t="s">
        <v>821</v>
      </c>
      <c r="L2553" t="s">
        <v>103</v>
      </c>
      <c r="M2553">
        <v>1494806400</v>
      </c>
      <c r="N2553" t="s">
        <v>1628</v>
      </c>
      <c r="O2553" t="s">
        <v>1628</v>
      </c>
      <c r="P2553" t="s">
        <v>1628</v>
      </c>
      <c r="Q2553">
        <f>LEN(AMAZON_FASHION_5__2[[#This Row],[reviewText]])</f>
        <v>40</v>
      </c>
      <c r="R2553" t="str">
        <f>IF(AMAZON_FASHION_5__2[[#This Row],[overall]]&gt;=4,"Positive",IF(AMAZON_FASHION_5__2[[#This Row],[overall]]&lt;=2,"Negative","Neutral"))</f>
        <v>Positive</v>
      </c>
      <c r="S25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54" spans="1:19" x14ac:dyDescent="0.25">
      <c r="A2554">
        <v>3</v>
      </c>
      <c r="B2554" t="b">
        <v>1</v>
      </c>
      <c r="C2554" s="1">
        <v>42865</v>
      </c>
      <c r="D2554">
        <f>YEAR(AMAZON_FASHION_5__2[[#This Row],[reviewDate]])</f>
        <v>2017</v>
      </c>
      <c r="E2554" s="1" t="str">
        <f>TEXT(AMAZON_FASHION_5__2[[#This Row],[reviewDate]], "mmmm")</f>
        <v>May</v>
      </c>
      <c r="F2554" t="s">
        <v>822</v>
      </c>
      <c r="G2554" t="s">
        <v>1566</v>
      </c>
      <c r="H2554" t="s">
        <v>210</v>
      </c>
      <c r="I2554" t="s">
        <v>198</v>
      </c>
      <c r="J2554" t="s">
        <v>823</v>
      </c>
      <c r="K2554" t="s">
        <v>824</v>
      </c>
      <c r="L2554" t="s">
        <v>825</v>
      </c>
      <c r="M2554">
        <v>1494374400</v>
      </c>
      <c r="N2554" t="s">
        <v>1628</v>
      </c>
      <c r="O2554" t="s">
        <v>1628</v>
      </c>
      <c r="P2554" t="s">
        <v>1628</v>
      </c>
      <c r="Q2554">
        <f>LEN(AMAZON_FASHION_5__2[[#This Row],[reviewText]])</f>
        <v>170</v>
      </c>
      <c r="R2554" t="str">
        <f>IF(AMAZON_FASHION_5__2[[#This Row],[overall]]&gt;=4,"Positive",IF(AMAZON_FASHION_5__2[[#This Row],[overall]]&lt;=2,"Negative","Neutral"))</f>
        <v>Neutral</v>
      </c>
      <c r="S25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55" spans="1:19" x14ac:dyDescent="0.25">
      <c r="A2555">
        <v>5</v>
      </c>
      <c r="B2555" t="b">
        <v>1</v>
      </c>
      <c r="C2555" s="1">
        <v>42862</v>
      </c>
      <c r="D2555">
        <f>YEAR(AMAZON_FASHION_5__2[[#This Row],[reviewDate]])</f>
        <v>2017</v>
      </c>
      <c r="E2555" s="1" t="str">
        <f>TEXT(AMAZON_FASHION_5__2[[#This Row],[reviewDate]], "mmmm")</f>
        <v>May</v>
      </c>
      <c r="F2555" t="s">
        <v>826</v>
      </c>
      <c r="G2555" t="s">
        <v>1566</v>
      </c>
      <c r="H2555" t="s">
        <v>1599</v>
      </c>
      <c r="I2555" t="s">
        <v>827</v>
      </c>
      <c r="J2555" t="s">
        <v>828</v>
      </c>
      <c r="K2555" t="s">
        <v>829</v>
      </c>
      <c r="L2555" t="s">
        <v>830</v>
      </c>
      <c r="M2555">
        <v>1494115200</v>
      </c>
      <c r="N2555" t="s">
        <v>1628</v>
      </c>
      <c r="O2555" t="s">
        <v>1628</v>
      </c>
      <c r="P2555" t="s">
        <v>1628</v>
      </c>
      <c r="Q2555">
        <f>LEN(AMAZON_FASHION_5__2[[#This Row],[reviewText]])</f>
        <v>193</v>
      </c>
      <c r="R2555" t="str">
        <f>IF(AMAZON_FASHION_5__2[[#This Row],[overall]]&gt;=4,"Positive",IF(AMAZON_FASHION_5__2[[#This Row],[overall]]&lt;=2,"Negative","Neutral"))</f>
        <v>Positive</v>
      </c>
      <c r="S25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56" spans="1:19" x14ac:dyDescent="0.25">
      <c r="A2556">
        <v>5</v>
      </c>
      <c r="B2556" t="b">
        <v>1</v>
      </c>
      <c r="C2556" s="1">
        <v>42861</v>
      </c>
      <c r="D2556">
        <f>YEAR(AMAZON_FASHION_5__2[[#This Row],[reviewDate]])</f>
        <v>2017</v>
      </c>
      <c r="E2556" s="1" t="str">
        <f>TEXT(AMAZON_FASHION_5__2[[#This Row],[reviewDate]], "mmmm")</f>
        <v>May</v>
      </c>
      <c r="F2556" t="s">
        <v>831</v>
      </c>
      <c r="G2556" t="s">
        <v>1566</v>
      </c>
      <c r="H2556" t="s">
        <v>1603</v>
      </c>
      <c r="I2556" t="s">
        <v>336</v>
      </c>
      <c r="J2556" t="s">
        <v>832</v>
      </c>
      <c r="K2556" t="s">
        <v>833</v>
      </c>
      <c r="L2556" t="s">
        <v>834</v>
      </c>
      <c r="M2556">
        <v>1494028800</v>
      </c>
      <c r="N2556" t="s">
        <v>1628</v>
      </c>
      <c r="O2556" t="s">
        <v>1628</v>
      </c>
      <c r="P2556" t="s">
        <v>1628</v>
      </c>
      <c r="Q2556">
        <f>LEN(AMAZON_FASHION_5__2[[#This Row],[reviewText]])</f>
        <v>126</v>
      </c>
      <c r="R2556" t="str">
        <f>IF(AMAZON_FASHION_5__2[[#This Row],[overall]]&gt;=4,"Positive",IF(AMAZON_FASHION_5__2[[#This Row],[overall]]&lt;=2,"Negative","Neutral"))</f>
        <v>Positive</v>
      </c>
      <c r="S25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57" spans="1:19" x14ac:dyDescent="0.25">
      <c r="A2557">
        <v>5</v>
      </c>
      <c r="B2557" t="b">
        <v>1</v>
      </c>
      <c r="C2557" s="1">
        <v>42860</v>
      </c>
      <c r="D2557">
        <f>YEAR(AMAZON_FASHION_5__2[[#This Row],[reviewDate]])</f>
        <v>2017</v>
      </c>
      <c r="E2557" s="1" t="str">
        <f>TEXT(AMAZON_FASHION_5__2[[#This Row],[reviewDate]], "mmmm")</f>
        <v>May</v>
      </c>
      <c r="F2557" t="s">
        <v>835</v>
      </c>
      <c r="G2557" t="s">
        <v>1566</v>
      </c>
      <c r="H2557" t="s">
        <v>1571</v>
      </c>
      <c r="I2557" t="s">
        <v>396</v>
      </c>
      <c r="J2557" t="s">
        <v>836</v>
      </c>
      <c r="K2557" t="s">
        <v>837</v>
      </c>
      <c r="L2557" t="s">
        <v>838</v>
      </c>
      <c r="M2557">
        <v>1493942400</v>
      </c>
      <c r="N2557" t="s">
        <v>1628</v>
      </c>
      <c r="O2557" t="s">
        <v>1628</v>
      </c>
      <c r="P2557" t="s">
        <v>1628</v>
      </c>
      <c r="Q2557">
        <f>LEN(AMAZON_FASHION_5__2[[#This Row],[reviewText]])</f>
        <v>110</v>
      </c>
      <c r="R2557" t="str">
        <f>IF(AMAZON_FASHION_5__2[[#This Row],[overall]]&gt;=4,"Positive",IF(AMAZON_FASHION_5__2[[#This Row],[overall]]&lt;=2,"Negative","Neutral"))</f>
        <v>Positive</v>
      </c>
      <c r="S25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58" spans="1:19" x14ac:dyDescent="0.25">
      <c r="A2558">
        <v>5</v>
      </c>
      <c r="B2558" t="b">
        <v>1</v>
      </c>
      <c r="C2558" s="1">
        <v>42858</v>
      </c>
      <c r="D2558">
        <f>YEAR(AMAZON_FASHION_5__2[[#This Row],[reviewDate]])</f>
        <v>2017</v>
      </c>
      <c r="E2558" s="1" t="str">
        <f>TEXT(AMAZON_FASHION_5__2[[#This Row],[reviewDate]], "mmmm")</f>
        <v>May</v>
      </c>
      <c r="F2558" t="s">
        <v>839</v>
      </c>
      <c r="G2558" t="s">
        <v>1566</v>
      </c>
      <c r="H2558" t="s">
        <v>205</v>
      </c>
      <c r="I2558" t="s">
        <v>198</v>
      </c>
      <c r="J2558" t="s">
        <v>840</v>
      </c>
      <c r="K2558" t="s">
        <v>841</v>
      </c>
      <c r="L2558" t="s">
        <v>17</v>
      </c>
      <c r="M2558">
        <v>1493769600</v>
      </c>
      <c r="N2558" t="s">
        <v>1628</v>
      </c>
      <c r="O2558" t="s">
        <v>1628</v>
      </c>
      <c r="P2558" t="s">
        <v>1628</v>
      </c>
      <c r="Q2558">
        <f>LEN(AMAZON_FASHION_5__2[[#This Row],[reviewText]])</f>
        <v>42</v>
      </c>
      <c r="R2558" t="str">
        <f>IF(AMAZON_FASHION_5__2[[#This Row],[overall]]&gt;=4,"Positive",IF(AMAZON_FASHION_5__2[[#This Row],[overall]]&lt;=2,"Negative","Neutral"))</f>
        <v>Positive</v>
      </c>
      <c r="S25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59" spans="1:19" x14ac:dyDescent="0.25">
      <c r="A2559">
        <v>5</v>
      </c>
      <c r="B2559" t="b">
        <v>1</v>
      </c>
      <c r="C2559" s="1">
        <v>42858</v>
      </c>
      <c r="D2559">
        <f>YEAR(AMAZON_FASHION_5__2[[#This Row],[reviewDate]])</f>
        <v>2017</v>
      </c>
      <c r="E2559" s="1" t="str">
        <f>TEXT(AMAZON_FASHION_5__2[[#This Row],[reviewDate]], "mmmm")</f>
        <v>May</v>
      </c>
      <c r="F2559" t="s">
        <v>842</v>
      </c>
      <c r="G2559" t="s">
        <v>1566</v>
      </c>
      <c r="H2559" t="s">
        <v>1571</v>
      </c>
      <c r="I2559" t="s">
        <v>198</v>
      </c>
      <c r="J2559" t="s">
        <v>843</v>
      </c>
      <c r="K2559" t="s">
        <v>844</v>
      </c>
      <c r="L2559" t="s">
        <v>17</v>
      </c>
      <c r="M2559">
        <v>1493769600</v>
      </c>
      <c r="N2559" t="s">
        <v>1628</v>
      </c>
      <c r="O2559" t="s">
        <v>1628</v>
      </c>
      <c r="P2559" t="s">
        <v>1628</v>
      </c>
      <c r="Q2559">
        <f>LEN(AMAZON_FASHION_5__2[[#This Row],[reviewText]])</f>
        <v>12</v>
      </c>
      <c r="R2559" t="str">
        <f>IF(AMAZON_FASHION_5__2[[#This Row],[overall]]&gt;=4,"Positive",IF(AMAZON_FASHION_5__2[[#This Row],[overall]]&lt;=2,"Negative","Neutral"))</f>
        <v>Positive</v>
      </c>
      <c r="S25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60" spans="1:19" x14ac:dyDescent="0.25">
      <c r="A2560">
        <v>4</v>
      </c>
      <c r="B2560" t="b">
        <v>1</v>
      </c>
      <c r="C2560" s="1">
        <v>42857</v>
      </c>
      <c r="D2560">
        <f>YEAR(AMAZON_FASHION_5__2[[#This Row],[reviewDate]])</f>
        <v>2017</v>
      </c>
      <c r="E2560" s="1" t="str">
        <f>TEXT(AMAZON_FASHION_5__2[[#This Row],[reviewDate]], "mmmm")</f>
        <v>May</v>
      </c>
      <c r="F2560" t="s">
        <v>845</v>
      </c>
      <c r="G2560" t="s">
        <v>1566</v>
      </c>
      <c r="H2560" t="s">
        <v>1599</v>
      </c>
      <c r="I2560" t="s">
        <v>827</v>
      </c>
      <c r="J2560" t="s">
        <v>846</v>
      </c>
      <c r="K2560" t="s">
        <v>847</v>
      </c>
      <c r="L2560" t="s">
        <v>812</v>
      </c>
      <c r="M2560">
        <v>1493683200</v>
      </c>
      <c r="N2560" t="s">
        <v>1628</v>
      </c>
      <c r="O2560" t="s">
        <v>1628</v>
      </c>
      <c r="P2560" t="s">
        <v>1628</v>
      </c>
      <c r="Q2560">
        <f>LEN(AMAZON_FASHION_5__2[[#This Row],[reviewText]])</f>
        <v>86</v>
      </c>
      <c r="R2560" t="str">
        <f>IF(AMAZON_FASHION_5__2[[#This Row],[overall]]&gt;=4,"Positive",IF(AMAZON_FASHION_5__2[[#This Row],[overall]]&lt;=2,"Negative","Neutral"))</f>
        <v>Positive</v>
      </c>
      <c r="S25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61" spans="1:19" x14ac:dyDescent="0.25">
      <c r="A2561">
        <v>5</v>
      </c>
      <c r="B2561" t="b">
        <v>1</v>
      </c>
      <c r="C2561" s="1">
        <v>42856</v>
      </c>
      <c r="D2561">
        <f>YEAR(AMAZON_FASHION_5__2[[#This Row],[reviewDate]])</f>
        <v>2017</v>
      </c>
      <c r="E2561" s="1" t="str">
        <f>TEXT(AMAZON_FASHION_5__2[[#This Row],[reviewDate]], "mmmm")</f>
        <v>May</v>
      </c>
      <c r="F2561" t="s">
        <v>848</v>
      </c>
      <c r="G2561" t="s">
        <v>1566</v>
      </c>
      <c r="H2561" t="s">
        <v>320</v>
      </c>
      <c r="I2561" t="s">
        <v>849</v>
      </c>
      <c r="J2561" t="s">
        <v>850</v>
      </c>
      <c r="K2561" t="s">
        <v>851</v>
      </c>
      <c r="L2561" t="s">
        <v>17</v>
      </c>
      <c r="M2561">
        <v>1493596800</v>
      </c>
      <c r="N2561" t="s">
        <v>1628</v>
      </c>
      <c r="O2561" t="s">
        <v>1628</v>
      </c>
      <c r="P2561" t="s">
        <v>1628</v>
      </c>
      <c r="Q2561">
        <f>LEN(AMAZON_FASHION_5__2[[#This Row],[reviewText]])</f>
        <v>89</v>
      </c>
      <c r="R2561" t="str">
        <f>IF(AMAZON_FASHION_5__2[[#This Row],[overall]]&gt;=4,"Positive",IF(AMAZON_FASHION_5__2[[#This Row],[overall]]&lt;=2,"Negative","Neutral"))</f>
        <v>Positive</v>
      </c>
      <c r="S25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62" spans="1:19" x14ac:dyDescent="0.25">
      <c r="A2562">
        <v>5</v>
      </c>
      <c r="B2562" t="b">
        <v>1</v>
      </c>
      <c r="C2562" s="1">
        <v>42853</v>
      </c>
      <c r="D2562">
        <f>YEAR(AMAZON_FASHION_5__2[[#This Row],[reviewDate]])</f>
        <v>2017</v>
      </c>
      <c r="E2562" s="1" t="str">
        <f>TEXT(AMAZON_FASHION_5__2[[#This Row],[reviewDate]], "mmmm")</f>
        <v>April</v>
      </c>
      <c r="F2562" t="s">
        <v>852</v>
      </c>
      <c r="G2562" t="s">
        <v>1566</v>
      </c>
      <c r="H2562" t="s">
        <v>1568</v>
      </c>
      <c r="I2562" t="s">
        <v>211</v>
      </c>
      <c r="J2562" t="s">
        <v>853</v>
      </c>
      <c r="K2562" t="s">
        <v>854</v>
      </c>
      <c r="L2562" t="s">
        <v>17</v>
      </c>
      <c r="M2562">
        <v>1493337600</v>
      </c>
      <c r="N2562" t="s">
        <v>1628</v>
      </c>
      <c r="O2562" t="s">
        <v>1628</v>
      </c>
      <c r="P2562" t="s">
        <v>1628</v>
      </c>
      <c r="Q2562">
        <f>LEN(AMAZON_FASHION_5__2[[#This Row],[reviewText]])</f>
        <v>12</v>
      </c>
      <c r="R2562" t="str">
        <f>IF(AMAZON_FASHION_5__2[[#This Row],[overall]]&gt;=4,"Positive",IF(AMAZON_FASHION_5__2[[#This Row],[overall]]&lt;=2,"Negative","Neutral"))</f>
        <v>Positive</v>
      </c>
      <c r="S25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63" spans="1:19" x14ac:dyDescent="0.25">
      <c r="A2563">
        <v>4</v>
      </c>
      <c r="B2563" t="b">
        <v>1</v>
      </c>
      <c r="C2563" s="1">
        <v>42852</v>
      </c>
      <c r="D2563">
        <f>YEAR(AMAZON_FASHION_5__2[[#This Row],[reviewDate]])</f>
        <v>2017</v>
      </c>
      <c r="E2563" s="1" t="str">
        <f>TEXT(AMAZON_FASHION_5__2[[#This Row],[reviewDate]], "mmmm")</f>
        <v>April</v>
      </c>
      <c r="F2563" t="s">
        <v>855</v>
      </c>
      <c r="G2563" t="s">
        <v>1566</v>
      </c>
      <c r="H2563" t="s">
        <v>1489</v>
      </c>
      <c r="I2563" t="s">
        <v>336</v>
      </c>
      <c r="J2563" t="s">
        <v>63</v>
      </c>
      <c r="K2563" t="s">
        <v>856</v>
      </c>
      <c r="L2563" t="s">
        <v>103</v>
      </c>
      <c r="M2563">
        <v>1493251200</v>
      </c>
      <c r="N2563" t="s">
        <v>1628</v>
      </c>
      <c r="O2563" t="s">
        <v>1628</v>
      </c>
      <c r="P2563" t="s">
        <v>1628</v>
      </c>
      <c r="Q2563">
        <f>LEN(AMAZON_FASHION_5__2[[#This Row],[reviewText]])</f>
        <v>58</v>
      </c>
      <c r="R2563" t="str">
        <f>IF(AMAZON_FASHION_5__2[[#This Row],[overall]]&gt;=4,"Positive",IF(AMAZON_FASHION_5__2[[#This Row],[overall]]&lt;=2,"Negative","Neutral"))</f>
        <v>Positive</v>
      </c>
      <c r="S25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64" spans="1:19" x14ac:dyDescent="0.25">
      <c r="A2564">
        <v>4</v>
      </c>
      <c r="B2564" t="b">
        <v>1</v>
      </c>
      <c r="C2564" s="1">
        <v>42852</v>
      </c>
      <c r="D2564">
        <f>YEAR(AMAZON_FASHION_5__2[[#This Row],[reviewDate]])</f>
        <v>2017</v>
      </c>
      <c r="E2564" s="1" t="str">
        <f>TEXT(AMAZON_FASHION_5__2[[#This Row],[reviewDate]], "mmmm")</f>
        <v>April</v>
      </c>
      <c r="F2564" t="s">
        <v>857</v>
      </c>
      <c r="G2564" t="s">
        <v>1566</v>
      </c>
      <c r="H2564" t="s">
        <v>1478</v>
      </c>
      <c r="I2564" t="s">
        <v>336</v>
      </c>
      <c r="J2564" t="s">
        <v>859</v>
      </c>
      <c r="K2564" t="s">
        <v>860</v>
      </c>
      <c r="L2564" t="s">
        <v>861</v>
      </c>
      <c r="M2564">
        <v>1493251200</v>
      </c>
      <c r="N2564" t="s">
        <v>1628</v>
      </c>
      <c r="O2564" t="s">
        <v>1628</v>
      </c>
      <c r="P2564" t="s">
        <v>1628</v>
      </c>
      <c r="Q2564">
        <f>LEN(AMAZON_FASHION_5__2[[#This Row],[reviewText]])</f>
        <v>199</v>
      </c>
      <c r="R2564" t="str">
        <f>IF(AMAZON_FASHION_5__2[[#This Row],[overall]]&gt;=4,"Positive",IF(AMAZON_FASHION_5__2[[#This Row],[overall]]&lt;=2,"Negative","Neutral"))</f>
        <v>Positive</v>
      </c>
      <c r="S25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65" spans="1:19" x14ac:dyDescent="0.25">
      <c r="A2565">
        <v>5</v>
      </c>
      <c r="B2565" t="b">
        <v>1</v>
      </c>
      <c r="C2565" s="1">
        <v>42851</v>
      </c>
      <c r="D2565">
        <f>YEAR(AMAZON_FASHION_5__2[[#This Row],[reviewDate]])</f>
        <v>2017</v>
      </c>
      <c r="E2565" s="1" t="str">
        <f>TEXT(AMAZON_FASHION_5__2[[#This Row],[reviewDate]], "mmmm")</f>
        <v>April</v>
      </c>
      <c r="F2565" t="s">
        <v>862</v>
      </c>
      <c r="G2565" t="s">
        <v>1566</v>
      </c>
      <c r="H2565" t="s">
        <v>235</v>
      </c>
      <c r="I2565" t="s">
        <v>198</v>
      </c>
      <c r="J2565" t="s">
        <v>863</v>
      </c>
      <c r="K2565" t="s">
        <v>864</v>
      </c>
      <c r="L2565" t="s">
        <v>17</v>
      </c>
      <c r="M2565">
        <v>1493164800</v>
      </c>
      <c r="N2565" t="s">
        <v>1628</v>
      </c>
      <c r="O2565" t="s">
        <v>1628</v>
      </c>
      <c r="P2565" t="s">
        <v>1628</v>
      </c>
      <c r="Q2565">
        <f>LEN(AMAZON_FASHION_5__2[[#This Row],[reviewText]])</f>
        <v>28</v>
      </c>
      <c r="R2565" t="str">
        <f>IF(AMAZON_FASHION_5__2[[#This Row],[overall]]&gt;=4,"Positive",IF(AMAZON_FASHION_5__2[[#This Row],[overall]]&lt;=2,"Negative","Neutral"))</f>
        <v>Positive</v>
      </c>
      <c r="S25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66" spans="1:19" x14ac:dyDescent="0.25">
      <c r="A2566">
        <v>5</v>
      </c>
      <c r="B2566" t="b">
        <v>1</v>
      </c>
      <c r="C2566" s="1">
        <v>42850</v>
      </c>
      <c r="D2566">
        <f>YEAR(AMAZON_FASHION_5__2[[#This Row],[reviewDate]])</f>
        <v>2017</v>
      </c>
      <c r="E2566" s="1" t="str">
        <f>TEXT(AMAZON_FASHION_5__2[[#This Row],[reviewDate]], "mmmm")</f>
        <v>April</v>
      </c>
      <c r="F2566" t="s">
        <v>865</v>
      </c>
      <c r="G2566" t="s">
        <v>1566</v>
      </c>
      <c r="H2566" t="s">
        <v>1488</v>
      </c>
      <c r="I2566" t="s">
        <v>336</v>
      </c>
      <c r="J2566" t="s">
        <v>866</v>
      </c>
      <c r="K2566" t="s">
        <v>867</v>
      </c>
      <c r="L2566" t="s">
        <v>868</v>
      </c>
      <c r="M2566">
        <v>1493078400</v>
      </c>
      <c r="N2566" t="s">
        <v>1628</v>
      </c>
      <c r="O2566" t="s">
        <v>1628</v>
      </c>
      <c r="P2566" t="s">
        <v>1628</v>
      </c>
      <c r="Q2566">
        <f>LEN(AMAZON_FASHION_5__2[[#This Row],[reviewText]])</f>
        <v>235</v>
      </c>
      <c r="R2566" t="str">
        <f>IF(AMAZON_FASHION_5__2[[#This Row],[overall]]&gt;=4,"Positive",IF(AMAZON_FASHION_5__2[[#This Row],[overall]]&lt;=2,"Negative","Neutral"))</f>
        <v>Positive</v>
      </c>
      <c r="S25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67" spans="1:19" x14ac:dyDescent="0.25">
      <c r="A2567">
        <v>4</v>
      </c>
      <c r="B2567" t="b">
        <v>1</v>
      </c>
      <c r="C2567" s="1">
        <v>42849</v>
      </c>
      <c r="D2567">
        <f>YEAR(AMAZON_FASHION_5__2[[#This Row],[reviewDate]])</f>
        <v>2017</v>
      </c>
      <c r="E2567" s="1" t="str">
        <f>TEXT(AMAZON_FASHION_5__2[[#This Row],[reviewDate]], "mmmm")</f>
        <v>April</v>
      </c>
      <c r="F2567" t="s">
        <v>869</v>
      </c>
      <c r="G2567" t="s">
        <v>1566</v>
      </c>
      <c r="H2567" t="s">
        <v>1578</v>
      </c>
      <c r="I2567" t="s">
        <v>198</v>
      </c>
      <c r="J2567" t="s">
        <v>870</v>
      </c>
      <c r="K2567" t="s">
        <v>871</v>
      </c>
      <c r="L2567" t="s">
        <v>872</v>
      </c>
      <c r="M2567">
        <v>1492992000</v>
      </c>
      <c r="N2567" t="s">
        <v>1628</v>
      </c>
      <c r="O2567" t="s">
        <v>1628</v>
      </c>
      <c r="P2567" t="s">
        <v>1628</v>
      </c>
      <c r="Q2567">
        <f>LEN(AMAZON_FASHION_5__2[[#This Row],[reviewText]])</f>
        <v>140</v>
      </c>
      <c r="R2567" t="str">
        <f>IF(AMAZON_FASHION_5__2[[#This Row],[overall]]&gt;=4,"Positive",IF(AMAZON_FASHION_5__2[[#This Row],[overall]]&lt;=2,"Negative","Neutral"))</f>
        <v>Positive</v>
      </c>
      <c r="S25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68" spans="1:19" x14ac:dyDescent="0.25">
      <c r="A2568">
        <v>5</v>
      </c>
      <c r="B2568" t="b">
        <v>1</v>
      </c>
      <c r="C2568" s="1">
        <v>42849</v>
      </c>
      <c r="D2568">
        <f>YEAR(AMAZON_FASHION_5__2[[#This Row],[reviewDate]])</f>
        <v>2017</v>
      </c>
      <c r="E2568" s="1" t="str">
        <f>TEXT(AMAZON_FASHION_5__2[[#This Row],[reviewDate]], "mmmm")</f>
        <v>April</v>
      </c>
      <c r="F2568" t="s">
        <v>873</v>
      </c>
      <c r="G2568" t="s">
        <v>1566</v>
      </c>
      <c r="H2568" t="s">
        <v>1574</v>
      </c>
      <c r="I2568" t="s">
        <v>524</v>
      </c>
      <c r="J2568" t="s">
        <v>63</v>
      </c>
      <c r="K2568" t="s">
        <v>874</v>
      </c>
      <c r="L2568" t="s">
        <v>17</v>
      </c>
      <c r="M2568">
        <v>1492992000</v>
      </c>
      <c r="N2568" t="s">
        <v>1628</v>
      </c>
      <c r="O2568" t="s">
        <v>1628</v>
      </c>
      <c r="P2568" t="s">
        <v>1628</v>
      </c>
      <c r="Q2568">
        <f>LEN(AMAZON_FASHION_5__2[[#This Row],[reviewText]])</f>
        <v>39</v>
      </c>
      <c r="R2568" t="str">
        <f>IF(AMAZON_FASHION_5__2[[#This Row],[overall]]&gt;=4,"Positive",IF(AMAZON_FASHION_5__2[[#This Row],[overall]]&lt;=2,"Negative","Neutral"))</f>
        <v>Positive</v>
      </c>
      <c r="S25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69" spans="1:19" x14ac:dyDescent="0.25">
      <c r="A2569">
        <v>5</v>
      </c>
      <c r="B2569" t="b">
        <v>1</v>
      </c>
      <c r="C2569" s="1">
        <v>42845</v>
      </c>
      <c r="D2569">
        <f>YEAR(AMAZON_FASHION_5__2[[#This Row],[reviewDate]])</f>
        <v>2017</v>
      </c>
      <c r="E2569" s="1" t="str">
        <f>TEXT(AMAZON_FASHION_5__2[[#This Row],[reviewDate]], "mmmm")</f>
        <v>April</v>
      </c>
      <c r="F2569" t="s">
        <v>875</v>
      </c>
      <c r="G2569" t="s">
        <v>1566</v>
      </c>
      <c r="H2569" t="s">
        <v>1571</v>
      </c>
      <c r="I2569" t="s">
        <v>198</v>
      </c>
      <c r="J2569" t="s">
        <v>63</v>
      </c>
      <c r="K2569" t="s">
        <v>715</v>
      </c>
      <c r="L2569" t="s">
        <v>17</v>
      </c>
      <c r="M2569">
        <v>1492646400</v>
      </c>
      <c r="N2569" t="s">
        <v>1628</v>
      </c>
      <c r="O2569" t="s">
        <v>1628</v>
      </c>
      <c r="P2569" t="s">
        <v>1628</v>
      </c>
      <c r="Q2569">
        <f>LEN(AMAZON_FASHION_5__2[[#This Row],[reviewText]])</f>
        <v>7</v>
      </c>
      <c r="R2569" t="str">
        <f>IF(AMAZON_FASHION_5__2[[#This Row],[overall]]&gt;=4,"Positive",IF(AMAZON_FASHION_5__2[[#This Row],[overall]]&lt;=2,"Negative","Neutral"))</f>
        <v>Positive</v>
      </c>
      <c r="S25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70" spans="1:19" x14ac:dyDescent="0.25">
      <c r="A2570">
        <v>5</v>
      </c>
      <c r="B2570" t="b">
        <v>1</v>
      </c>
      <c r="C2570" s="1">
        <v>42844</v>
      </c>
      <c r="D2570">
        <f>YEAR(AMAZON_FASHION_5__2[[#This Row],[reviewDate]])</f>
        <v>2017</v>
      </c>
      <c r="E2570" s="1" t="str">
        <f>TEXT(AMAZON_FASHION_5__2[[#This Row],[reviewDate]], "mmmm")</f>
        <v>April</v>
      </c>
      <c r="F2570" t="s">
        <v>876</v>
      </c>
      <c r="G2570" t="s">
        <v>1566</v>
      </c>
      <c r="H2570" t="s">
        <v>210</v>
      </c>
      <c r="I2570" t="s">
        <v>198</v>
      </c>
      <c r="J2570" t="s">
        <v>63</v>
      </c>
      <c r="K2570" t="s">
        <v>877</v>
      </c>
      <c r="L2570" t="s">
        <v>17</v>
      </c>
      <c r="M2570">
        <v>1492560000</v>
      </c>
      <c r="N2570" t="s">
        <v>1628</v>
      </c>
      <c r="O2570" t="s">
        <v>1628</v>
      </c>
      <c r="P2570" t="s">
        <v>1628</v>
      </c>
      <c r="Q2570">
        <f>LEN(AMAZON_FASHION_5__2[[#This Row],[reviewText]])</f>
        <v>9</v>
      </c>
      <c r="R2570" t="str">
        <f>IF(AMAZON_FASHION_5__2[[#This Row],[overall]]&gt;=4,"Positive",IF(AMAZON_FASHION_5__2[[#This Row],[overall]]&lt;=2,"Negative","Neutral"))</f>
        <v>Positive</v>
      </c>
      <c r="S25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71" spans="1:19" x14ac:dyDescent="0.25">
      <c r="A2571">
        <v>5</v>
      </c>
      <c r="B2571" t="b">
        <v>0</v>
      </c>
      <c r="C2571" s="1">
        <v>42843</v>
      </c>
      <c r="D2571">
        <f>YEAR(AMAZON_FASHION_5__2[[#This Row],[reviewDate]])</f>
        <v>2017</v>
      </c>
      <c r="E2571" s="1" t="str">
        <f>TEXT(AMAZON_FASHION_5__2[[#This Row],[reviewDate]], "mmmm")</f>
        <v>April</v>
      </c>
      <c r="F2571" t="s">
        <v>878</v>
      </c>
      <c r="G2571" t="s">
        <v>1566</v>
      </c>
      <c r="H2571" t="s">
        <v>1578</v>
      </c>
      <c r="I2571" t="s">
        <v>198</v>
      </c>
      <c r="J2571" t="s">
        <v>879</v>
      </c>
      <c r="K2571" t="s">
        <v>880</v>
      </c>
      <c r="L2571" t="s">
        <v>881</v>
      </c>
      <c r="M2571">
        <v>1492473600</v>
      </c>
      <c r="N2571" t="s">
        <v>1628</v>
      </c>
      <c r="O2571" t="s">
        <v>1628</v>
      </c>
      <c r="P2571" t="s">
        <v>1628</v>
      </c>
      <c r="Q2571">
        <f>LEN(AMAZON_FASHION_5__2[[#This Row],[reviewText]])</f>
        <v>115</v>
      </c>
      <c r="R2571" t="str">
        <f>IF(AMAZON_FASHION_5__2[[#This Row],[overall]]&gt;=4,"Positive",IF(AMAZON_FASHION_5__2[[#This Row],[overall]]&lt;=2,"Negative","Neutral"))</f>
        <v>Positive</v>
      </c>
      <c r="S25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72" spans="1:19" x14ac:dyDescent="0.25">
      <c r="A2572">
        <v>5</v>
      </c>
      <c r="B2572" t="b">
        <v>1</v>
      </c>
      <c r="C2572" s="1">
        <v>42842</v>
      </c>
      <c r="D2572">
        <f>YEAR(AMAZON_FASHION_5__2[[#This Row],[reviewDate]])</f>
        <v>2017</v>
      </c>
      <c r="E2572" s="1" t="str">
        <f>TEXT(AMAZON_FASHION_5__2[[#This Row],[reviewDate]], "mmmm")</f>
        <v>April</v>
      </c>
      <c r="F2572" t="s">
        <v>882</v>
      </c>
      <c r="G2572" t="s">
        <v>1566</v>
      </c>
      <c r="H2572" t="s">
        <v>1571</v>
      </c>
      <c r="I2572" t="s">
        <v>198</v>
      </c>
      <c r="J2572" t="s">
        <v>883</v>
      </c>
      <c r="K2572" t="s">
        <v>884</v>
      </c>
      <c r="L2572" t="s">
        <v>543</v>
      </c>
      <c r="M2572">
        <v>1492387200</v>
      </c>
      <c r="N2572" t="s">
        <v>1628</v>
      </c>
      <c r="O2572" t="s">
        <v>1628</v>
      </c>
      <c r="P2572" t="s">
        <v>1628</v>
      </c>
      <c r="Q2572">
        <f>LEN(AMAZON_FASHION_5__2[[#This Row],[reviewText]])</f>
        <v>62</v>
      </c>
      <c r="R2572" t="str">
        <f>IF(AMAZON_FASHION_5__2[[#This Row],[overall]]&gt;=4,"Positive",IF(AMAZON_FASHION_5__2[[#This Row],[overall]]&lt;=2,"Negative","Neutral"))</f>
        <v>Positive</v>
      </c>
      <c r="S25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73" spans="1:19" x14ac:dyDescent="0.25">
      <c r="A2573">
        <v>5</v>
      </c>
      <c r="B2573" t="b">
        <v>1</v>
      </c>
      <c r="C2573" s="1">
        <v>42840</v>
      </c>
      <c r="D2573">
        <f>YEAR(AMAZON_FASHION_5__2[[#This Row],[reviewDate]])</f>
        <v>2017</v>
      </c>
      <c r="E2573" s="1" t="str">
        <f>TEXT(AMAZON_FASHION_5__2[[#This Row],[reviewDate]], "mmmm")</f>
        <v>April</v>
      </c>
      <c r="F2573" t="s">
        <v>885</v>
      </c>
      <c r="G2573" t="s">
        <v>1566</v>
      </c>
      <c r="H2573" t="s">
        <v>1595</v>
      </c>
      <c r="I2573" t="s">
        <v>1455</v>
      </c>
      <c r="J2573" t="s">
        <v>886</v>
      </c>
      <c r="K2573" t="s">
        <v>887</v>
      </c>
      <c r="L2573" t="s">
        <v>247</v>
      </c>
      <c r="M2573">
        <v>1492214400</v>
      </c>
      <c r="N2573" t="s">
        <v>1628</v>
      </c>
      <c r="O2573" t="s">
        <v>1628</v>
      </c>
      <c r="P2573" t="s">
        <v>1628</v>
      </c>
      <c r="Q2573">
        <f>LEN(AMAZON_FASHION_5__2[[#This Row],[reviewText]])</f>
        <v>112</v>
      </c>
      <c r="R2573" t="str">
        <f>IF(AMAZON_FASHION_5__2[[#This Row],[overall]]&gt;=4,"Positive",IF(AMAZON_FASHION_5__2[[#This Row],[overall]]&lt;=2,"Negative","Neutral"))</f>
        <v>Positive</v>
      </c>
      <c r="S25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74" spans="1:19" x14ac:dyDescent="0.25">
      <c r="A2574">
        <v>5</v>
      </c>
      <c r="B2574" t="b">
        <v>1</v>
      </c>
      <c r="C2574" s="1">
        <v>42839</v>
      </c>
      <c r="D2574">
        <f>YEAR(AMAZON_FASHION_5__2[[#This Row],[reviewDate]])</f>
        <v>2017</v>
      </c>
      <c r="E2574" s="1" t="str">
        <f>TEXT(AMAZON_FASHION_5__2[[#This Row],[reviewDate]], "mmmm")</f>
        <v>April</v>
      </c>
      <c r="F2574" t="s">
        <v>888</v>
      </c>
      <c r="G2574" t="s">
        <v>1566</v>
      </c>
      <c r="H2574" t="s">
        <v>235</v>
      </c>
      <c r="I2574" t="s">
        <v>198</v>
      </c>
      <c r="J2574" t="s">
        <v>63</v>
      </c>
      <c r="K2574" t="s">
        <v>889</v>
      </c>
      <c r="L2574" t="s">
        <v>17</v>
      </c>
      <c r="M2574">
        <v>1492128000</v>
      </c>
      <c r="N2574" t="s">
        <v>1628</v>
      </c>
      <c r="O2574" t="s">
        <v>1628</v>
      </c>
      <c r="P2574" t="s">
        <v>1628</v>
      </c>
      <c r="Q2574">
        <f>LEN(AMAZON_FASHION_5__2[[#This Row],[reviewText]])</f>
        <v>38</v>
      </c>
      <c r="R2574" t="str">
        <f>IF(AMAZON_FASHION_5__2[[#This Row],[overall]]&gt;=4,"Positive",IF(AMAZON_FASHION_5__2[[#This Row],[overall]]&lt;=2,"Negative","Neutral"))</f>
        <v>Positive</v>
      </c>
      <c r="S25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75" spans="1:19" x14ac:dyDescent="0.25">
      <c r="A2575">
        <v>4</v>
      </c>
      <c r="B2575" t="b">
        <v>1</v>
      </c>
      <c r="C2575" s="1">
        <v>42836</v>
      </c>
      <c r="D2575">
        <f>YEAR(AMAZON_FASHION_5__2[[#This Row],[reviewDate]])</f>
        <v>2017</v>
      </c>
      <c r="E2575" s="1" t="str">
        <f>TEXT(AMAZON_FASHION_5__2[[#This Row],[reviewDate]], "mmmm")</f>
        <v>April</v>
      </c>
      <c r="F2575" t="s">
        <v>890</v>
      </c>
      <c r="G2575" t="s">
        <v>1566</v>
      </c>
      <c r="H2575" t="s">
        <v>1600</v>
      </c>
      <c r="I2575" t="s">
        <v>198</v>
      </c>
      <c r="J2575" t="s">
        <v>891</v>
      </c>
      <c r="K2575" t="s">
        <v>892</v>
      </c>
      <c r="L2575" t="s">
        <v>893</v>
      </c>
      <c r="M2575">
        <v>1491868800</v>
      </c>
      <c r="N2575" t="s">
        <v>1628</v>
      </c>
      <c r="O2575" t="s">
        <v>1628</v>
      </c>
      <c r="P2575" t="s">
        <v>1628</v>
      </c>
      <c r="Q2575">
        <f>LEN(AMAZON_FASHION_5__2[[#This Row],[reviewText]])</f>
        <v>67</v>
      </c>
      <c r="R2575" t="str">
        <f>IF(AMAZON_FASHION_5__2[[#This Row],[overall]]&gt;=4,"Positive",IF(AMAZON_FASHION_5__2[[#This Row],[overall]]&lt;=2,"Negative","Neutral"))</f>
        <v>Positive</v>
      </c>
      <c r="S25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76" spans="1:19" x14ac:dyDescent="0.25">
      <c r="A2576">
        <v>5</v>
      </c>
      <c r="B2576" t="b">
        <v>1</v>
      </c>
      <c r="C2576" s="1">
        <v>42836</v>
      </c>
      <c r="D2576">
        <f>YEAR(AMAZON_FASHION_5__2[[#This Row],[reviewDate]])</f>
        <v>2017</v>
      </c>
      <c r="E2576" s="1" t="str">
        <f>TEXT(AMAZON_FASHION_5__2[[#This Row],[reviewDate]], "mmmm")</f>
        <v>April</v>
      </c>
      <c r="F2576" t="s">
        <v>894</v>
      </c>
      <c r="G2576" t="s">
        <v>1566</v>
      </c>
      <c r="H2576" t="s">
        <v>1500</v>
      </c>
      <c r="I2576" t="s">
        <v>336</v>
      </c>
      <c r="J2576" t="s">
        <v>896</v>
      </c>
      <c r="K2576" t="s">
        <v>897</v>
      </c>
      <c r="L2576" t="s">
        <v>17</v>
      </c>
      <c r="M2576">
        <v>1491868800</v>
      </c>
      <c r="N2576" t="s">
        <v>1628</v>
      </c>
      <c r="O2576" t="s">
        <v>1628</v>
      </c>
      <c r="P2576" t="s">
        <v>1628</v>
      </c>
      <c r="Q2576">
        <f>LEN(AMAZON_FASHION_5__2[[#This Row],[reviewText]])</f>
        <v>13</v>
      </c>
      <c r="R2576" t="str">
        <f>IF(AMAZON_FASHION_5__2[[#This Row],[overall]]&gt;=4,"Positive",IF(AMAZON_FASHION_5__2[[#This Row],[overall]]&lt;=2,"Negative","Neutral"))</f>
        <v>Positive</v>
      </c>
      <c r="S25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77" spans="1:19" x14ac:dyDescent="0.25">
      <c r="A2577">
        <v>5</v>
      </c>
      <c r="B2577" t="b">
        <v>1</v>
      </c>
      <c r="C2577" s="1">
        <v>42835</v>
      </c>
      <c r="D2577">
        <f>YEAR(AMAZON_FASHION_5__2[[#This Row],[reviewDate]])</f>
        <v>2017</v>
      </c>
      <c r="E2577" s="1" t="str">
        <f>TEXT(AMAZON_FASHION_5__2[[#This Row],[reviewDate]], "mmmm")</f>
        <v>April</v>
      </c>
      <c r="F2577" t="s">
        <v>898</v>
      </c>
      <c r="G2577" t="s">
        <v>1566</v>
      </c>
      <c r="H2577" t="s">
        <v>1568</v>
      </c>
      <c r="I2577" t="s">
        <v>411</v>
      </c>
      <c r="J2577" t="s">
        <v>899</v>
      </c>
      <c r="K2577" t="s">
        <v>900</v>
      </c>
      <c r="L2577" t="s">
        <v>901</v>
      </c>
      <c r="M2577">
        <v>1491782400</v>
      </c>
      <c r="N2577" t="s">
        <v>1628</v>
      </c>
      <c r="O2577" t="s">
        <v>1628</v>
      </c>
      <c r="P2577" t="s">
        <v>1628</v>
      </c>
      <c r="Q2577">
        <f>LEN(AMAZON_FASHION_5__2[[#This Row],[reviewText]])</f>
        <v>49</v>
      </c>
      <c r="R2577" t="str">
        <f>IF(AMAZON_FASHION_5__2[[#This Row],[overall]]&gt;=4,"Positive",IF(AMAZON_FASHION_5__2[[#This Row],[overall]]&lt;=2,"Negative","Neutral"))</f>
        <v>Positive</v>
      </c>
      <c r="S25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78" spans="1:19" x14ac:dyDescent="0.25">
      <c r="A2578">
        <v>5</v>
      </c>
      <c r="B2578" t="b">
        <v>1</v>
      </c>
      <c r="C2578" s="1">
        <v>42835</v>
      </c>
      <c r="D2578">
        <f>YEAR(AMAZON_FASHION_5__2[[#This Row],[reviewDate]])</f>
        <v>2017</v>
      </c>
      <c r="E2578" s="1" t="str">
        <f>TEXT(AMAZON_FASHION_5__2[[#This Row],[reviewDate]], "mmmm")</f>
        <v>April</v>
      </c>
      <c r="F2578" t="s">
        <v>902</v>
      </c>
      <c r="G2578" t="s">
        <v>1566</v>
      </c>
      <c r="H2578" t="s">
        <v>1598</v>
      </c>
      <c r="I2578" t="s">
        <v>396</v>
      </c>
      <c r="J2578" t="s">
        <v>903</v>
      </c>
      <c r="K2578" t="s">
        <v>904</v>
      </c>
      <c r="L2578" t="s">
        <v>905</v>
      </c>
      <c r="M2578">
        <v>1491782400</v>
      </c>
      <c r="N2578" t="s">
        <v>1628</v>
      </c>
      <c r="O2578" t="s">
        <v>1628</v>
      </c>
      <c r="P2578" t="s">
        <v>1628</v>
      </c>
      <c r="Q2578">
        <f>LEN(AMAZON_FASHION_5__2[[#This Row],[reviewText]])</f>
        <v>17</v>
      </c>
      <c r="R2578" t="str">
        <f>IF(AMAZON_FASHION_5__2[[#This Row],[overall]]&gt;=4,"Positive",IF(AMAZON_FASHION_5__2[[#This Row],[overall]]&lt;=2,"Negative","Neutral"))</f>
        <v>Positive</v>
      </c>
      <c r="S25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79" spans="1:19" x14ac:dyDescent="0.25">
      <c r="A2579">
        <v>4</v>
      </c>
      <c r="B2579" t="b">
        <v>1</v>
      </c>
      <c r="C2579" s="1">
        <v>42835</v>
      </c>
      <c r="D2579">
        <f>YEAR(AMAZON_FASHION_5__2[[#This Row],[reviewDate]])</f>
        <v>2017</v>
      </c>
      <c r="E2579" s="1" t="str">
        <f>TEXT(AMAZON_FASHION_5__2[[#This Row],[reviewDate]], "mmmm")</f>
        <v>April</v>
      </c>
      <c r="F2579" t="s">
        <v>906</v>
      </c>
      <c r="G2579" t="s">
        <v>1566</v>
      </c>
      <c r="H2579" t="s">
        <v>1600</v>
      </c>
      <c r="I2579" t="s">
        <v>411</v>
      </c>
      <c r="J2579" t="s">
        <v>907</v>
      </c>
      <c r="K2579" t="s">
        <v>908</v>
      </c>
      <c r="L2579" t="s">
        <v>909</v>
      </c>
      <c r="M2579">
        <v>1491782400</v>
      </c>
      <c r="N2579" t="s">
        <v>1628</v>
      </c>
      <c r="O2579" t="s">
        <v>1628</v>
      </c>
      <c r="P2579" t="s">
        <v>1628</v>
      </c>
      <c r="Q2579">
        <f>LEN(AMAZON_FASHION_5__2[[#This Row],[reviewText]])</f>
        <v>177</v>
      </c>
      <c r="R2579" t="str">
        <f>IF(AMAZON_FASHION_5__2[[#This Row],[overall]]&gt;=4,"Positive",IF(AMAZON_FASHION_5__2[[#This Row],[overall]]&lt;=2,"Negative","Neutral"))</f>
        <v>Positive</v>
      </c>
      <c r="S25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80" spans="1:19" x14ac:dyDescent="0.25">
      <c r="A2580">
        <v>5</v>
      </c>
      <c r="B2580" t="b">
        <v>1</v>
      </c>
      <c r="C2580" s="1">
        <v>42833</v>
      </c>
      <c r="D2580">
        <f>YEAR(AMAZON_FASHION_5__2[[#This Row],[reviewDate]])</f>
        <v>2017</v>
      </c>
      <c r="E2580" s="1" t="str">
        <f>TEXT(AMAZON_FASHION_5__2[[#This Row],[reviewDate]], "mmmm")</f>
        <v>April</v>
      </c>
      <c r="F2580" t="s">
        <v>910</v>
      </c>
      <c r="G2580" t="s">
        <v>1566</v>
      </c>
      <c r="H2580" t="s">
        <v>1571</v>
      </c>
      <c r="I2580" t="s">
        <v>198</v>
      </c>
      <c r="J2580" t="s">
        <v>63</v>
      </c>
      <c r="K2580" t="s">
        <v>911</v>
      </c>
      <c r="L2580" t="s">
        <v>912</v>
      </c>
      <c r="M2580">
        <v>1491609600</v>
      </c>
      <c r="N2580" t="s">
        <v>1628</v>
      </c>
      <c r="O2580" t="s">
        <v>1628</v>
      </c>
      <c r="P2580" t="s">
        <v>1628</v>
      </c>
      <c r="Q2580">
        <f>LEN(AMAZON_FASHION_5__2[[#This Row],[reviewText]])</f>
        <v>163</v>
      </c>
      <c r="R2580" t="str">
        <f>IF(AMAZON_FASHION_5__2[[#This Row],[overall]]&gt;=4,"Positive",IF(AMAZON_FASHION_5__2[[#This Row],[overall]]&lt;=2,"Negative","Neutral"))</f>
        <v>Positive</v>
      </c>
      <c r="S25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81" spans="1:19" x14ac:dyDescent="0.25">
      <c r="A2581">
        <v>4</v>
      </c>
      <c r="B2581" t="b">
        <v>1</v>
      </c>
      <c r="C2581" s="1">
        <v>42830</v>
      </c>
      <c r="D2581">
        <f>YEAR(AMAZON_FASHION_5__2[[#This Row],[reviewDate]])</f>
        <v>2017</v>
      </c>
      <c r="E2581" s="1" t="str">
        <f>TEXT(AMAZON_FASHION_5__2[[#This Row],[reviewDate]], "mmmm")</f>
        <v>April</v>
      </c>
      <c r="F2581" t="s">
        <v>913</v>
      </c>
      <c r="G2581" t="s">
        <v>1566</v>
      </c>
      <c r="H2581" t="s">
        <v>1596</v>
      </c>
      <c r="I2581" t="s">
        <v>198</v>
      </c>
      <c r="J2581" t="s">
        <v>63</v>
      </c>
      <c r="K2581" t="s">
        <v>914</v>
      </c>
      <c r="L2581" t="s">
        <v>103</v>
      </c>
      <c r="M2581">
        <v>1491350400</v>
      </c>
      <c r="N2581" t="s">
        <v>1628</v>
      </c>
      <c r="O2581" t="s">
        <v>1628</v>
      </c>
      <c r="P2581" t="s">
        <v>1628</v>
      </c>
      <c r="Q2581">
        <f>LEN(AMAZON_FASHION_5__2[[#This Row],[reviewText]])</f>
        <v>17</v>
      </c>
      <c r="R2581" t="str">
        <f>IF(AMAZON_FASHION_5__2[[#This Row],[overall]]&gt;=4,"Positive",IF(AMAZON_FASHION_5__2[[#This Row],[overall]]&lt;=2,"Negative","Neutral"))</f>
        <v>Positive</v>
      </c>
      <c r="S25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82" spans="1:19" x14ac:dyDescent="0.25">
      <c r="A2582">
        <v>5</v>
      </c>
      <c r="B2582" t="b">
        <v>1</v>
      </c>
      <c r="C2582" s="1">
        <v>42830</v>
      </c>
      <c r="D2582">
        <f>YEAR(AMAZON_FASHION_5__2[[#This Row],[reviewDate]])</f>
        <v>2017</v>
      </c>
      <c r="E2582" s="1" t="str">
        <f>TEXT(AMAZON_FASHION_5__2[[#This Row],[reviewDate]], "mmmm")</f>
        <v>April</v>
      </c>
      <c r="F2582" t="s">
        <v>915</v>
      </c>
      <c r="G2582" t="s">
        <v>1566</v>
      </c>
      <c r="H2582" t="s">
        <v>210</v>
      </c>
      <c r="I2582" t="s">
        <v>198</v>
      </c>
      <c r="J2582" t="s">
        <v>916</v>
      </c>
      <c r="K2582" t="s">
        <v>917</v>
      </c>
      <c r="L2582" t="s">
        <v>17</v>
      </c>
      <c r="M2582">
        <v>1491350400</v>
      </c>
      <c r="N2582" t="s">
        <v>1628</v>
      </c>
      <c r="O2582" t="s">
        <v>1628</v>
      </c>
      <c r="P2582" t="s">
        <v>1628</v>
      </c>
      <c r="Q2582">
        <f>LEN(AMAZON_FASHION_5__2[[#This Row],[reviewText]])</f>
        <v>30</v>
      </c>
      <c r="R2582" t="str">
        <f>IF(AMAZON_FASHION_5__2[[#This Row],[overall]]&gt;=4,"Positive",IF(AMAZON_FASHION_5__2[[#This Row],[overall]]&lt;=2,"Negative","Neutral"))</f>
        <v>Positive</v>
      </c>
      <c r="S25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83" spans="1:19" x14ac:dyDescent="0.25">
      <c r="A2583">
        <v>5</v>
      </c>
      <c r="B2583" t="b">
        <v>1</v>
      </c>
      <c r="C2583" s="1">
        <v>42829</v>
      </c>
      <c r="D2583">
        <f>YEAR(AMAZON_FASHION_5__2[[#This Row],[reviewDate]])</f>
        <v>2017</v>
      </c>
      <c r="E2583" s="1" t="str">
        <f>TEXT(AMAZON_FASHION_5__2[[#This Row],[reviewDate]], "mmmm")</f>
        <v>April</v>
      </c>
      <c r="F2583" t="s">
        <v>918</v>
      </c>
      <c r="G2583" t="s">
        <v>1566</v>
      </c>
      <c r="H2583" t="s">
        <v>1596</v>
      </c>
      <c r="I2583" t="s">
        <v>827</v>
      </c>
      <c r="J2583" t="s">
        <v>919</v>
      </c>
      <c r="K2583" t="s">
        <v>920</v>
      </c>
      <c r="L2583" t="s">
        <v>17</v>
      </c>
      <c r="M2583">
        <v>1491264000</v>
      </c>
      <c r="N2583" t="s">
        <v>1628</v>
      </c>
      <c r="O2583" t="s">
        <v>1628</v>
      </c>
      <c r="P2583" t="s">
        <v>1628</v>
      </c>
      <c r="Q2583">
        <f>LEN(AMAZON_FASHION_5__2[[#This Row],[reviewText]])</f>
        <v>38</v>
      </c>
      <c r="R2583" t="str">
        <f>IF(AMAZON_FASHION_5__2[[#This Row],[overall]]&gt;=4,"Positive",IF(AMAZON_FASHION_5__2[[#This Row],[overall]]&lt;=2,"Negative","Neutral"))</f>
        <v>Positive</v>
      </c>
      <c r="S25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84" spans="1:19" x14ac:dyDescent="0.25">
      <c r="A2584">
        <v>5</v>
      </c>
      <c r="B2584" t="b">
        <v>1</v>
      </c>
      <c r="C2584" s="1">
        <v>42827</v>
      </c>
      <c r="D2584">
        <f>YEAR(AMAZON_FASHION_5__2[[#This Row],[reviewDate]])</f>
        <v>2017</v>
      </c>
      <c r="E2584" s="1" t="str">
        <f>TEXT(AMAZON_FASHION_5__2[[#This Row],[reviewDate]], "mmmm")</f>
        <v>April</v>
      </c>
      <c r="F2584" t="s">
        <v>921</v>
      </c>
      <c r="G2584" t="s">
        <v>1566</v>
      </c>
      <c r="H2584" t="s">
        <v>1598</v>
      </c>
      <c r="I2584" t="s">
        <v>344</v>
      </c>
      <c r="J2584" t="s">
        <v>922</v>
      </c>
      <c r="K2584" t="s">
        <v>923</v>
      </c>
      <c r="L2584" t="s">
        <v>17</v>
      </c>
      <c r="M2584">
        <v>1491091200</v>
      </c>
      <c r="N2584" t="s">
        <v>1628</v>
      </c>
      <c r="O2584" t="s">
        <v>1628</v>
      </c>
      <c r="P2584" t="s">
        <v>1628</v>
      </c>
      <c r="Q2584">
        <f>LEN(AMAZON_FASHION_5__2[[#This Row],[reviewText]])</f>
        <v>39</v>
      </c>
      <c r="R2584" t="str">
        <f>IF(AMAZON_FASHION_5__2[[#This Row],[overall]]&gt;=4,"Positive",IF(AMAZON_FASHION_5__2[[#This Row],[overall]]&lt;=2,"Negative","Neutral"))</f>
        <v>Positive</v>
      </c>
      <c r="S25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85" spans="1:19" x14ac:dyDescent="0.25">
      <c r="A2585">
        <v>4</v>
      </c>
      <c r="B2585" t="b">
        <v>1</v>
      </c>
      <c r="C2585" s="1">
        <v>42824</v>
      </c>
      <c r="D2585">
        <f>YEAR(AMAZON_FASHION_5__2[[#This Row],[reviewDate]])</f>
        <v>2017</v>
      </c>
      <c r="E2585" s="1" t="str">
        <f>TEXT(AMAZON_FASHION_5__2[[#This Row],[reviewDate]], "mmmm")</f>
        <v>March</v>
      </c>
      <c r="F2585" t="s">
        <v>924</v>
      </c>
      <c r="G2585" t="s">
        <v>1566</v>
      </c>
      <c r="H2585" t="s">
        <v>205</v>
      </c>
      <c r="I2585" t="s">
        <v>198</v>
      </c>
      <c r="J2585" t="s">
        <v>925</v>
      </c>
      <c r="K2585" t="s">
        <v>926</v>
      </c>
      <c r="L2585" t="s">
        <v>927</v>
      </c>
      <c r="M2585">
        <v>1490832000</v>
      </c>
      <c r="N2585" t="s">
        <v>1628</v>
      </c>
      <c r="O2585" t="s">
        <v>1628</v>
      </c>
      <c r="P2585" t="s">
        <v>1628</v>
      </c>
      <c r="Q2585">
        <f>LEN(AMAZON_FASHION_5__2[[#This Row],[reviewText]])</f>
        <v>87</v>
      </c>
      <c r="R2585" t="str">
        <f>IF(AMAZON_FASHION_5__2[[#This Row],[overall]]&gt;=4,"Positive",IF(AMAZON_FASHION_5__2[[#This Row],[overall]]&lt;=2,"Negative","Neutral"))</f>
        <v>Positive</v>
      </c>
      <c r="S25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86" spans="1:19" x14ac:dyDescent="0.25">
      <c r="A2586">
        <v>5</v>
      </c>
      <c r="B2586" t="b">
        <v>1</v>
      </c>
      <c r="C2586" s="1">
        <v>42823</v>
      </c>
      <c r="D2586">
        <f>YEAR(AMAZON_FASHION_5__2[[#This Row],[reviewDate]])</f>
        <v>2017</v>
      </c>
      <c r="E2586" s="1" t="str">
        <f>TEXT(AMAZON_FASHION_5__2[[#This Row],[reviewDate]], "mmmm")</f>
        <v>March</v>
      </c>
      <c r="F2586" t="s">
        <v>928</v>
      </c>
      <c r="G2586" t="s">
        <v>1566</v>
      </c>
      <c r="H2586" t="s">
        <v>1568</v>
      </c>
      <c r="I2586" t="s">
        <v>411</v>
      </c>
      <c r="J2586" t="s">
        <v>929</v>
      </c>
      <c r="K2586" t="s">
        <v>930</v>
      </c>
      <c r="L2586" t="s">
        <v>931</v>
      </c>
      <c r="M2586">
        <v>1490745600</v>
      </c>
      <c r="N2586" t="s">
        <v>1628</v>
      </c>
      <c r="O2586" t="s">
        <v>1628</v>
      </c>
      <c r="P2586" t="s">
        <v>1628</v>
      </c>
      <c r="Q2586">
        <f>LEN(AMAZON_FASHION_5__2[[#This Row],[reviewText]])</f>
        <v>120</v>
      </c>
      <c r="R2586" t="str">
        <f>IF(AMAZON_FASHION_5__2[[#This Row],[overall]]&gt;=4,"Positive",IF(AMAZON_FASHION_5__2[[#This Row],[overall]]&lt;=2,"Negative","Neutral"))</f>
        <v>Positive</v>
      </c>
      <c r="S25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87" spans="1:19" x14ac:dyDescent="0.25">
      <c r="A2587">
        <v>2</v>
      </c>
      <c r="B2587" t="b">
        <v>1</v>
      </c>
      <c r="C2587" s="1">
        <v>42820</v>
      </c>
      <c r="D2587">
        <f>YEAR(AMAZON_FASHION_5__2[[#This Row],[reviewDate]])</f>
        <v>2017</v>
      </c>
      <c r="E2587" s="1" t="str">
        <f>TEXT(AMAZON_FASHION_5__2[[#This Row],[reviewDate]], "mmmm")</f>
        <v>March</v>
      </c>
      <c r="F2587" t="s">
        <v>932</v>
      </c>
      <c r="G2587" t="s">
        <v>1566</v>
      </c>
      <c r="H2587" t="s">
        <v>1596</v>
      </c>
      <c r="I2587" t="s">
        <v>211</v>
      </c>
      <c r="J2587" t="s">
        <v>933</v>
      </c>
      <c r="K2587" t="s">
        <v>934</v>
      </c>
      <c r="L2587" t="s">
        <v>935</v>
      </c>
      <c r="M2587">
        <v>1490486400</v>
      </c>
      <c r="N2587" t="s">
        <v>1628</v>
      </c>
      <c r="O2587" t="s">
        <v>1628</v>
      </c>
      <c r="P2587" t="s">
        <v>1628</v>
      </c>
      <c r="Q2587">
        <f>LEN(AMAZON_FASHION_5__2[[#This Row],[reviewText]])</f>
        <v>178</v>
      </c>
      <c r="R2587" t="str">
        <f>IF(AMAZON_FASHION_5__2[[#This Row],[overall]]&gt;=4,"Positive",IF(AMAZON_FASHION_5__2[[#This Row],[overall]]&lt;=2,"Negative","Neutral"))</f>
        <v>Negative</v>
      </c>
      <c r="S25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88" spans="1:19" x14ac:dyDescent="0.25">
      <c r="A2588">
        <v>1</v>
      </c>
      <c r="B2588" t="b">
        <v>1</v>
      </c>
      <c r="C2588" s="1">
        <v>42819</v>
      </c>
      <c r="D2588">
        <f>YEAR(AMAZON_FASHION_5__2[[#This Row],[reviewDate]])</f>
        <v>2017</v>
      </c>
      <c r="E2588" s="1" t="str">
        <f>TEXT(AMAZON_FASHION_5__2[[#This Row],[reviewDate]], "mmmm")</f>
        <v>March</v>
      </c>
      <c r="F2588" t="s">
        <v>936</v>
      </c>
      <c r="G2588" t="s">
        <v>1566</v>
      </c>
      <c r="H2588" t="s">
        <v>1488</v>
      </c>
      <c r="I2588" t="s">
        <v>336</v>
      </c>
      <c r="J2588" t="s">
        <v>937</v>
      </c>
      <c r="K2588" t="s">
        <v>938</v>
      </c>
      <c r="L2588" t="s">
        <v>65</v>
      </c>
      <c r="M2588">
        <v>1490400000</v>
      </c>
      <c r="N2588" t="s">
        <v>1628</v>
      </c>
      <c r="O2588" t="s">
        <v>1628</v>
      </c>
      <c r="P2588" t="s">
        <v>1628</v>
      </c>
      <c r="Q2588">
        <f>LEN(AMAZON_FASHION_5__2[[#This Row],[reviewText]])</f>
        <v>84</v>
      </c>
      <c r="R2588" t="str">
        <f>IF(AMAZON_FASHION_5__2[[#This Row],[overall]]&gt;=4,"Positive",IF(AMAZON_FASHION_5__2[[#This Row],[overall]]&lt;=2,"Negative","Neutral"))</f>
        <v>Negative</v>
      </c>
      <c r="S25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89" spans="1:19" x14ac:dyDescent="0.25">
      <c r="A2589">
        <v>5</v>
      </c>
      <c r="B2589" t="b">
        <v>1</v>
      </c>
      <c r="C2589" s="1">
        <v>42818</v>
      </c>
      <c r="D2589">
        <f>YEAR(AMAZON_FASHION_5__2[[#This Row],[reviewDate]])</f>
        <v>2017</v>
      </c>
      <c r="E2589" s="1" t="str">
        <f>TEXT(AMAZON_FASHION_5__2[[#This Row],[reviewDate]], "mmmm")</f>
        <v>March</v>
      </c>
      <c r="F2589" t="s">
        <v>939</v>
      </c>
      <c r="G2589" t="s">
        <v>1566</v>
      </c>
      <c r="H2589" t="s">
        <v>235</v>
      </c>
      <c r="I2589" t="s">
        <v>198</v>
      </c>
      <c r="J2589" t="s">
        <v>63</v>
      </c>
      <c r="K2589" t="s">
        <v>940</v>
      </c>
      <c r="L2589" t="s">
        <v>17</v>
      </c>
      <c r="M2589">
        <v>1490313600</v>
      </c>
      <c r="N2589" t="s">
        <v>1628</v>
      </c>
      <c r="O2589" t="s">
        <v>1628</v>
      </c>
      <c r="P2589" t="s">
        <v>1628</v>
      </c>
      <c r="Q2589">
        <f>LEN(AMAZON_FASHION_5__2[[#This Row],[reviewText]])</f>
        <v>10</v>
      </c>
      <c r="R2589" t="str">
        <f>IF(AMAZON_FASHION_5__2[[#This Row],[overall]]&gt;=4,"Positive",IF(AMAZON_FASHION_5__2[[#This Row],[overall]]&lt;=2,"Negative","Neutral"))</f>
        <v>Positive</v>
      </c>
      <c r="S25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90" spans="1:19" x14ac:dyDescent="0.25">
      <c r="A2590">
        <v>5</v>
      </c>
      <c r="B2590" t="b">
        <v>1</v>
      </c>
      <c r="C2590" s="1">
        <v>42818</v>
      </c>
      <c r="D2590">
        <f>YEAR(AMAZON_FASHION_5__2[[#This Row],[reviewDate]])</f>
        <v>2017</v>
      </c>
      <c r="E2590" s="1" t="str">
        <f>TEXT(AMAZON_FASHION_5__2[[#This Row],[reviewDate]], "mmmm")</f>
        <v>March</v>
      </c>
      <c r="F2590" t="s">
        <v>941</v>
      </c>
      <c r="G2590" t="s">
        <v>1566</v>
      </c>
      <c r="H2590" t="s">
        <v>210</v>
      </c>
      <c r="I2590" t="s">
        <v>198</v>
      </c>
      <c r="J2590" t="s">
        <v>942</v>
      </c>
      <c r="K2590" t="s">
        <v>943</v>
      </c>
      <c r="L2590" t="s">
        <v>944</v>
      </c>
      <c r="M2590">
        <v>1490313600</v>
      </c>
      <c r="N2590" t="s">
        <v>1628</v>
      </c>
      <c r="O2590" t="s">
        <v>1628</v>
      </c>
      <c r="P2590" t="s">
        <v>1628</v>
      </c>
      <c r="Q2590">
        <f>LEN(AMAZON_FASHION_5__2[[#This Row],[reviewText]])</f>
        <v>225</v>
      </c>
      <c r="R2590" t="str">
        <f>IF(AMAZON_FASHION_5__2[[#This Row],[overall]]&gt;=4,"Positive",IF(AMAZON_FASHION_5__2[[#This Row],[overall]]&lt;=2,"Negative","Neutral"))</f>
        <v>Positive</v>
      </c>
      <c r="S25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91" spans="1:19" x14ac:dyDescent="0.25">
      <c r="A2591">
        <v>5</v>
      </c>
      <c r="B2591" t="b">
        <v>1</v>
      </c>
      <c r="C2591" s="1">
        <v>42817</v>
      </c>
      <c r="D2591">
        <f>YEAR(AMAZON_FASHION_5__2[[#This Row],[reviewDate]])</f>
        <v>2017</v>
      </c>
      <c r="E2591" s="1" t="str">
        <f>TEXT(AMAZON_FASHION_5__2[[#This Row],[reviewDate]], "mmmm")</f>
        <v>March</v>
      </c>
      <c r="F2591" t="s">
        <v>945</v>
      </c>
      <c r="G2591" t="s">
        <v>1566</v>
      </c>
      <c r="H2591" t="s">
        <v>230</v>
      </c>
      <c r="I2591" t="s">
        <v>574</v>
      </c>
      <c r="J2591" t="s">
        <v>946</v>
      </c>
      <c r="K2591" t="s">
        <v>947</v>
      </c>
      <c r="L2591" t="s">
        <v>948</v>
      </c>
      <c r="M2591">
        <v>1490227200</v>
      </c>
      <c r="N2591" t="s">
        <v>1628</v>
      </c>
      <c r="O2591" t="s">
        <v>1628</v>
      </c>
      <c r="P2591">
        <v>3</v>
      </c>
      <c r="Q2591">
        <f>LEN(AMAZON_FASHION_5__2[[#This Row],[reviewText]])</f>
        <v>401</v>
      </c>
      <c r="R2591" t="str">
        <f>IF(AMAZON_FASHION_5__2[[#This Row],[overall]]&gt;=4,"Positive",IF(AMAZON_FASHION_5__2[[#This Row],[overall]]&lt;=2,"Negative","Neutral"))</f>
        <v>Positive</v>
      </c>
      <c r="S25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92" spans="1:19" x14ac:dyDescent="0.25">
      <c r="A2592">
        <v>5</v>
      </c>
      <c r="B2592" t="b">
        <v>1</v>
      </c>
      <c r="C2592" s="1">
        <v>42815</v>
      </c>
      <c r="D2592">
        <f>YEAR(AMAZON_FASHION_5__2[[#This Row],[reviewDate]])</f>
        <v>2017</v>
      </c>
      <c r="E2592" s="1" t="str">
        <f>TEXT(AMAZON_FASHION_5__2[[#This Row],[reviewDate]], "mmmm")</f>
        <v>March</v>
      </c>
      <c r="F2592" t="s">
        <v>949</v>
      </c>
      <c r="G2592" t="s">
        <v>1566</v>
      </c>
      <c r="H2592" t="s">
        <v>1567</v>
      </c>
      <c r="I2592" t="s">
        <v>419</v>
      </c>
      <c r="J2592" t="s">
        <v>950</v>
      </c>
      <c r="K2592" t="s">
        <v>951</v>
      </c>
      <c r="L2592" t="s">
        <v>543</v>
      </c>
      <c r="M2592">
        <v>1490054400</v>
      </c>
      <c r="N2592" t="s">
        <v>1628</v>
      </c>
      <c r="O2592" t="s">
        <v>1628</v>
      </c>
      <c r="P2592" t="s">
        <v>1628</v>
      </c>
      <c r="Q2592">
        <f>LEN(AMAZON_FASHION_5__2[[#This Row],[reviewText]])</f>
        <v>110</v>
      </c>
      <c r="R2592" t="str">
        <f>IF(AMAZON_FASHION_5__2[[#This Row],[overall]]&gt;=4,"Positive",IF(AMAZON_FASHION_5__2[[#This Row],[overall]]&lt;=2,"Negative","Neutral"))</f>
        <v>Positive</v>
      </c>
      <c r="S25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93" spans="1:19" x14ac:dyDescent="0.25">
      <c r="A2593">
        <v>4</v>
      </c>
      <c r="B2593" t="b">
        <v>1</v>
      </c>
      <c r="C2593" s="1">
        <v>42814</v>
      </c>
      <c r="D2593">
        <f>YEAR(AMAZON_FASHION_5__2[[#This Row],[reviewDate]])</f>
        <v>2017</v>
      </c>
      <c r="E2593" s="1" t="str">
        <f>TEXT(AMAZON_FASHION_5__2[[#This Row],[reviewDate]], "mmmm")</f>
        <v>March</v>
      </c>
      <c r="F2593" t="s">
        <v>952</v>
      </c>
      <c r="G2593" t="s">
        <v>1566</v>
      </c>
      <c r="H2593" t="s">
        <v>1596</v>
      </c>
      <c r="I2593" t="s">
        <v>344</v>
      </c>
      <c r="J2593" t="s">
        <v>953</v>
      </c>
      <c r="K2593" t="s">
        <v>954</v>
      </c>
      <c r="L2593" t="s">
        <v>955</v>
      </c>
      <c r="M2593">
        <v>1489968000</v>
      </c>
      <c r="N2593" t="s">
        <v>1628</v>
      </c>
      <c r="O2593" t="s">
        <v>1628</v>
      </c>
      <c r="P2593" t="s">
        <v>1628</v>
      </c>
      <c r="Q2593">
        <f>LEN(AMAZON_FASHION_5__2[[#This Row],[reviewText]])</f>
        <v>23</v>
      </c>
      <c r="R2593" t="str">
        <f>IF(AMAZON_FASHION_5__2[[#This Row],[overall]]&gt;=4,"Positive",IF(AMAZON_FASHION_5__2[[#This Row],[overall]]&lt;=2,"Negative","Neutral"))</f>
        <v>Positive</v>
      </c>
      <c r="S25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94" spans="1:19" x14ac:dyDescent="0.25">
      <c r="A2594">
        <v>5</v>
      </c>
      <c r="B2594" t="b">
        <v>1</v>
      </c>
      <c r="C2594" s="1">
        <v>42812</v>
      </c>
      <c r="D2594">
        <f>YEAR(AMAZON_FASHION_5__2[[#This Row],[reviewDate]])</f>
        <v>2017</v>
      </c>
      <c r="E2594" s="1" t="str">
        <f>TEXT(AMAZON_FASHION_5__2[[#This Row],[reviewDate]], "mmmm")</f>
        <v>March</v>
      </c>
      <c r="F2594" t="s">
        <v>956</v>
      </c>
      <c r="G2594" t="s">
        <v>1566</v>
      </c>
      <c r="H2594" t="s">
        <v>1578</v>
      </c>
      <c r="I2594" t="s">
        <v>198</v>
      </c>
      <c r="J2594" t="s">
        <v>957</v>
      </c>
      <c r="K2594" t="s">
        <v>958</v>
      </c>
      <c r="L2594" t="s">
        <v>17</v>
      </c>
      <c r="M2594">
        <v>1489795200</v>
      </c>
      <c r="N2594" t="s">
        <v>1628</v>
      </c>
      <c r="O2594" t="s">
        <v>1628</v>
      </c>
      <c r="P2594" t="s">
        <v>1628</v>
      </c>
      <c r="Q2594">
        <f>LEN(AMAZON_FASHION_5__2[[#This Row],[reviewText]])</f>
        <v>40</v>
      </c>
      <c r="R2594" t="str">
        <f>IF(AMAZON_FASHION_5__2[[#This Row],[overall]]&gt;=4,"Positive",IF(AMAZON_FASHION_5__2[[#This Row],[overall]]&lt;=2,"Negative","Neutral"))</f>
        <v>Positive</v>
      </c>
      <c r="S25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95" spans="1:19" x14ac:dyDescent="0.25">
      <c r="A2595">
        <v>5</v>
      </c>
      <c r="B2595" t="b">
        <v>1</v>
      </c>
      <c r="C2595" s="1">
        <v>42812</v>
      </c>
      <c r="D2595">
        <f>YEAR(AMAZON_FASHION_5__2[[#This Row],[reviewDate]])</f>
        <v>2017</v>
      </c>
      <c r="E2595" s="1" t="str">
        <f>TEXT(AMAZON_FASHION_5__2[[#This Row],[reviewDate]], "mmmm")</f>
        <v>March</v>
      </c>
      <c r="F2595" t="s">
        <v>959</v>
      </c>
      <c r="G2595" t="s">
        <v>1566</v>
      </c>
      <c r="H2595" t="s">
        <v>1578</v>
      </c>
      <c r="I2595" t="s">
        <v>419</v>
      </c>
      <c r="J2595" t="s">
        <v>960</v>
      </c>
      <c r="K2595" t="s">
        <v>961</v>
      </c>
      <c r="L2595" t="s">
        <v>962</v>
      </c>
      <c r="M2595">
        <v>1489795200</v>
      </c>
      <c r="N2595" t="s">
        <v>1628</v>
      </c>
      <c r="O2595" t="s">
        <v>1628</v>
      </c>
      <c r="P2595">
        <v>8</v>
      </c>
      <c r="Q2595">
        <f>LEN(AMAZON_FASHION_5__2[[#This Row],[reviewText]])</f>
        <v>267</v>
      </c>
      <c r="R2595" t="str">
        <f>IF(AMAZON_FASHION_5__2[[#This Row],[overall]]&gt;=4,"Positive",IF(AMAZON_FASHION_5__2[[#This Row],[overall]]&lt;=2,"Negative","Neutral"))</f>
        <v>Positive</v>
      </c>
      <c r="S25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96" spans="1:19" x14ac:dyDescent="0.25">
      <c r="A2596">
        <v>3</v>
      </c>
      <c r="B2596" t="b">
        <v>1</v>
      </c>
      <c r="C2596" s="1">
        <v>42811</v>
      </c>
      <c r="D2596">
        <f>YEAR(AMAZON_FASHION_5__2[[#This Row],[reviewDate]])</f>
        <v>2017</v>
      </c>
      <c r="E2596" s="1" t="str">
        <f>TEXT(AMAZON_FASHION_5__2[[#This Row],[reviewDate]], "mmmm")</f>
        <v>March</v>
      </c>
      <c r="F2596" t="s">
        <v>963</v>
      </c>
      <c r="G2596" t="s">
        <v>1566</v>
      </c>
      <c r="H2596" t="s">
        <v>1596</v>
      </c>
      <c r="I2596" t="s">
        <v>344</v>
      </c>
      <c r="J2596" t="s">
        <v>1076</v>
      </c>
      <c r="K2596" t="s">
        <v>965</v>
      </c>
      <c r="L2596" t="s">
        <v>966</v>
      </c>
      <c r="M2596">
        <v>1489708800</v>
      </c>
      <c r="N2596" t="s">
        <v>1628</v>
      </c>
      <c r="O2596" t="s">
        <v>1628</v>
      </c>
      <c r="P2596" t="s">
        <v>1628</v>
      </c>
      <c r="Q2596">
        <f>LEN(AMAZON_FASHION_5__2[[#This Row],[reviewText]])</f>
        <v>143</v>
      </c>
      <c r="R2596" t="str">
        <f>IF(AMAZON_FASHION_5__2[[#This Row],[overall]]&gt;=4,"Positive",IF(AMAZON_FASHION_5__2[[#This Row],[overall]]&lt;=2,"Negative","Neutral"))</f>
        <v>Neutral</v>
      </c>
      <c r="S25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97" spans="1:19" x14ac:dyDescent="0.25">
      <c r="A2597">
        <v>4</v>
      </c>
      <c r="B2597" t="b">
        <v>1</v>
      </c>
      <c r="C2597" s="1">
        <v>42809</v>
      </c>
      <c r="D2597">
        <f>YEAR(AMAZON_FASHION_5__2[[#This Row],[reviewDate]])</f>
        <v>2017</v>
      </c>
      <c r="E2597" s="1" t="str">
        <f>TEXT(AMAZON_FASHION_5__2[[#This Row],[reviewDate]], "mmmm")</f>
        <v>March</v>
      </c>
      <c r="F2597" t="s">
        <v>967</v>
      </c>
      <c r="G2597" t="s">
        <v>1566</v>
      </c>
      <c r="H2597" t="s">
        <v>1578</v>
      </c>
      <c r="I2597" t="s">
        <v>524</v>
      </c>
      <c r="J2597" t="s">
        <v>968</v>
      </c>
      <c r="K2597" t="s">
        <v>969</v>
      </c>
      <c r="L2597" t="s">
        <v>970</v>
      </c>
      <c r="M2597">
        <v>1489536000</v>
      </c>
      <c r="N2597" t="s">
        <v>1628</v>
      </c>
      <c r="O2597" t="s">
        <v>1628</v>
      </c>
      <c r="P2597" t="s">
        <v>1628</v>
      </c>
      <c r="Q2597">
        <f>LEN(AMAZON_FASHION_5__2[[#This Row],[reviewText]])</f>
        <v>118</v>
      </c>
      <c r="R2597" t="str">
        <f>IF(AMAZON_FASHION_5__2[[#This Row],[overall]]&gt;=4,"Positive",IF(AMAZON_FASHION_5__2[[#This Row],[overall]]&lt;=2,"Negative","Neutral"))</f>
        <v>Positive</v>
      </c>
      <c r="S25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98" spans="1:19" x14ac:dyDescent="0.25">
      <c r="A2598">
        <v>3</v>
      </c>
      <c r="B2598" t="b">
        <v>1</v>
      </c>
      <c r="C2598" s="1">
        <v>42809</v>
      </c>
      <c r="D2598">
        <f>YEAR(AMAZON_FASHION_5__2[[#This Row],[reviewDate]])</f>
        <v>2017</v>
      </c>
      <c r="E2598" s="1" t="str">
        <f>TEXT(AMAZON_FASHION_5__2[[#This Row],[reviewDate]], "mmmm")</f>
        <v>March</v>
      </c>
      <c r="F2598" t="s">
        <v>971</v>
      </c>
      <c r="G2598" t="s">
        <v>1566</v>
      </c>
      <c r="H2598" t="s">
        <v>1568</v>
      </c>
      <c r="I2598" t="s">
        <v>411</v>
      </c>
      <c r="J2598" t="s">
        <v>972</v>
      </c>
      <c r="K2598" t="s">
        <v>973</v>
      </c>
      <c r="L2598" t="s">
        <v>974</v>
      </c>
      <c r="M2598">
        <v>1489536000</v>
      </c>
      <c r="N2598" t="s">
        <v>1628</v>
      </c>
      <c r="O2598" t="s">
        <v>1628</v>
      </c>
      <c r="P2598">
        <v>2</v>
      </c>
      <c r="Q2598">
        <f>LEN(AMAZON_FASHION_5__2[[#This Row],[reviewText]])</f>
        <v>150</v>
      </c>
      <c r="R2598" t="str">
        <f>IF(AMAZON_FASHION_5__2[[#This Row],[overall]]&gt;=4,"Positive",IF(AMAZON_FASHION_5__2[[#This Row],[overall]]&lt;=2,"Negative","Neutral"))</f>
        <v>Neutral</v>
      </c>
      <c r="S25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599" spans="1:19" x14ac:dyDescent="0.25">
      <c r="A2599">
        <v>5</v>
      </c>
      <c r="B2599" t="b">
        <v>1</v>
      </c>
      <c r="C2599" s="1">
        <v>42809</v>
      </c>
      <c r="D2599">
        <f>YEAR(AMAZON_FASHION_5__2[[#This Row],[reviewDate]])</f>
        <v>2017</v>
      </c>
      <c r="E2599" s="1" t="str">
        <f>TEXT(AMAZON_FASHION_5__2[[#This Row],[reviewDate]], "mmmm")</f>
        <v>March</v>
      </c>
      <c r="F2599" t="s">
        <v>975</v>
      </c>
      <c r="G2599" t="s">
        <v>1566</v>
      </c>
      <c r="H2599" t="s">
        <v>1578</v>
      </c>
      <c r="I2599" t="s">
        <v>524</v>
      </c>
      <c r="J2599" t="s">
        <v>976</v>
      </c>
      <c r="K2599" t="s">
        <v>977</v>
      </c>
      <c r="L2599" t="s">
        <v>17</v>
      </c>
      <c r="M2599">
        <v>1489536000</v>
      </c>
      <c r="N2599" t="s">
        <v>1628</v>
      </c>
      <c r="O2599" t="s">
        <v>1628</v>
      </c>
      <c r="P2599" t="s">
        <v>1628</v>
      </c>
      <c r="Q2599">
        <f>LEN(AMAZON_FASHION_5__2[[#This Row],[reviewText]])</f>
        <v>40</v>
      </c>
      <c r="R2599" t="str">
        <f>IF(AMAZON_FASHION_5__2[[#This Row],[overall]]&gt;=4,"Positive",IF(AMAZON_FASHION_5__2[[#This Row],[overall]]&lt;=2,"Negative","Neutral"))</f>
        <v>Positive</v>
      </c>
      <c r="S25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00" spans="1:19" x14ac:dyDescent="0.25">
      <c r="A2600">
        <v>5</v>
      </c>
      <c r="B2600" t="b">
        <v>1</v>
      </c>
      <c r="C2600" s="1">
        <v>42808</v>
      </c>
      <c r="D2600">
        <f>YEAR(AMAZON_FASHION_5__2[[#This Row],[reviewDate]])</f>
        <v>2017</v>
      </c>
      <c r="E2600" s="1" t="str">
        <f>TEXT(AMAZON_FASHION_5__2[[#This Row],[reviewDate]], "mmmm")</f>
        <v>March</v>
      </c>
      <c r="F2600" t="s">
        <v>978</v>
      </c>
      <c r="G2600" t="s">
        <v>1566</v>
      </c>
      <c r="H2600" t="s">
        <v>1598</v>
      </c>
      <c r="I2600" t="s">
        <v>827</v>
      </c>
      <c r="J2600" t="s">
        <v>979</v>
      </c>
      <c r="K2600" t="s">
        <v>980</v>
      </c>
      <c r="L2600" t="s">
        <v>17</v>
      </c>
      <c r="M2600">
        <v>1489449600</v>
      </c>
      <c r="N2600" t="s">
        <v>1628</v>
      </c>
      <c r="O2600" t="s">
        <v>1628</v>
      </c>
      <c r="P2600" t="s">
        <v>1628</v>
      </c>
      <c r="Q2600">
        <f>LEN(AMAZON_FASHION_5__2[[#This Row],[reviewText]])</f>
        <v>33</v>
      </c>
      <c r="R2600" t="str">
        <f>IF(AMAZON_FASHION_5__2[[#This Row],[overall]]&gt;=4,"Positive",IF(AMAZON_FASHION_5__2[[#This Row],[overall]]&lt;=2,"Negative","Neutral"))</f>
        <v>Positive</v>
      </c>
      <c r="S26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01" spans="1:19" x14ac:dyDescent="0.25">
      <c r="A2601">
        <v>5</v>
      </c>
      <c r="B2601" t="b">
        <v>1</v>
      </c>
      <c r="C2601" s="1">
        <v>42807</v>
      </c>
      <c r="D2601">
        <f>YEAR(AMAZON_FASHION_5__2[[#This Row],[reviewDate]])</f>
        <v>2017</v>
      </c>
      <c r="E2601" s="1" t="str">
        <f>TEXT(AMAZON_FASHION_5__2[[#This Row],[reviewDate]], "mmmm")</f>
        <v>March</v>
      </c>
      <c r="F2601" t="s">
        <v>981</v>
      </c>
      <c r="G2601" t="s">
        <v>1566</v>
      </c>
      <c r="H2601" t="s">
        <v>1567</v>
      </c>
      <c r="I2601" t="s">
        <v>524</v>
      </c>
      <c r="J2601" t="s">
        <v>982</v>
      </c>
      <c r="K2601" t="s">
        <v>983</v>
      </c>
      <c r="L2601" t="s">
        <v>984</v>
      </c>
      <c r="M2601">
        <v>1489363200</v>
      </c>
      <c r="N2601" t="s">
        <v>1628</v>
      </c>
      <c r="O2601" t="s">
        <v>1628</v>
      </c>
      <c r="P2601" t="s">
        <v>1628</v>
      </c>
      <c r="Q2601">
        <f>LEN(AMAZON_FASHION_5__2[[#This Row],[reviewText]])</f>
        <v>297</v>
      </c>
      <c r="R2601" t="str">
        <f>IF(AMAZON_FASHION_5__2[[#This Row],[overall]]&gt;=4,"Positive",IF(AMAZON_FASHION_5__2[[#This Row],[overall]]&lt;=2,"Negative","Neutral"))</f>
        <v>Positive</v>
      </c>
      <c r="S26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02" spans="1:19" x14ac:dyDescent="0.25">
      <c r="A2602">
        <v>5</v>
      </c>
      <c r="B2602" t="b">
        <v>1</v>
      </c>
      <c r="C2602" s="1">
        <v>42806</v>
      </c>
      <c r="D2602">
        <f>YEAR(AMAZON_FASHION_5__2[[#This Row],[reviewDate]])</f>
        <v>2017</v>
      </c>
      <c r="E2602" s="1" t="str">
        <f>TEXT(AMAZON_FASHION_5__2[[#This Row],[reviewDate]], "mmmm")</f>
        <v>March</v>
      </c>
      <c r="F2602" t="s">
        <v>985</v>
      </c>
      <c r="G2602" t="s">
        <v>1566</v>
      </c>
      <c r="H2602" t="s">
        <v>235</v>
      </c>
      <c r="I2602" t="s">
        <v>198</v>
      </c>
      <c r="J2602" t="s">
        <v>986</v>
      </c>
      <c r="K2602" t="s">
        <v>987</v>
      </c>
      <c r="L2602" t="s">
        <v>988</v>
      </c>
      <c r="M2602">
        <v>1489276800</v>
      </c>
      <c r="N2602" t="s">
        <v>1628</v>
      </c>
      <c r="O2602" t="s">
        <v>1628</v>
      </c>
      <c r="P2602" t="s">
        <v>1628</v>
      </c>
      <c r="Q2602">
        <f>LEN(AMAZON_FASHION_5__2[[#This Row],[reviewText]])</f>
        <v>81</v>
      </c>
      <c r="R2602" t="str">
        <f>IF(AMAZON_FASHION_5__2[[#This Row],[overall]]&gt;=4,"Positive",IF(AMAZON_FASHION_5__2[[#This Row],[overall]]&lt;=2,"Negative","Neutral"))</f>
        <v>Positive</v>
      </c>
      <c r="S26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03" spans="1:19" x14ac:dyDescent="0.25">
      <c r="A2603">
        <v>5</v>
      </c>
      <c r="B2603" t="b">
        <v>1</v>
      </c>
      <c r="C2603" s="1">
        <v>42802</v>
      </c>
      <c r="D2603">
        <f>YEAR(AMAZON_FASHION_5__2[[#This Row],[reviewDate]])</f>
        <v>2017</v>
      </c>
      <c r="E2603" s="1" t="str">
        <f>TEXT(AMAZON_FASHION_5__2[[#This Row],[reviewDate]], "mmmm")</f>
        <v>March</v>
      </c>
      <c r="F2603" t="s">
        <v>989</v>
      </c>
      <c r="G2603" t="s">
        <v>1566</v>
      </c>
      <c r="H2603" t="s">
        <v>1596</v>
      </c>
      <c r="I2603" t="s">
        <v>198</v>
      </c>
      <c r="J2603" t="s">
        <v>990</v>
      </c>
      <c r="K2603" t="s">
        <v>991</v>
      </c>
      <c r="L2603" t="s">
        <v>17</v>
      </c>
      <c r="M2603">
        <v>1488931200</v>
      </c>
      <c r="N2603" t="s">
        <v>1628</v>
      </c>
      <c r="O2603" t="s">
        <v>1628</v>
      </c>
      <c r="P2603" t="s">
        <v>1628</v>
      </c>
      <c r="Q2603">
        <f>LEN(AMAZON_FASHION_5__2[[#This Row],[reviewText]])</f>
        <v>13</v>
      </c>
      <c r="R2603" t="str">
        <f>IF(AMAZON_FASHION_5__2[[#This Row],[overall]]&gt;=4,"Positive",IF(AMAZON_FASHION_5__2[[#This Row],[overall]]&lt;=2,"Negative","Neutral"))</f>
        <v>Positive</v>
      </c>
      <c r="S26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04" spans="1:19" x14ac:dyDescent="0.25">
      <c r="A2604">
        <v>4</v>
      </c>
      <c r="B2604" t="b">
        <v>1</v>
      </c>
      <c r="C2604" s="1">
        <v>42802</v>
      </c>
      <c r="D2604">
        <f>YEAR(AMAZON_FASHION_5__2[[#This Row],[reviewDate]])</f>
        <v>2017</v>
      </c>
      <c r="E2604" s="1" t="str">
        <f>TEXT(AMAZON_FASHION_5__2[[#This Row],[reviewDate]], "mmmm")</f>
        <v>March</v>
      </c>
      <c r="F2604" t="s">
        <v>992</v>
      </c>
      <c r="G2604" t="s">
        <v>1566</v>
      </c>
      <c r="H2604" t="s">
        <v>1598</v>
      </c>
      <c r="I2604" t="s">
        <v>827</v>
      </c>
      <c r="J2604" t="s">
        <v>63</v>
      </c>
      <c r="K2604" t="s">
        <v>993</v>
      </c>
      <c r="L2604" t="s">
        <v>994</v>
      </c>
      <c r="M2604">
        <v>1488931200</v>
      </c>
      <c r="N2604" t="s">
        <v>1628</v>
      </c>
      <c r="O2604" t="s">
        <v>1628</v>
      </c>
      <c r="P2604" t="s">
        <v>1628</v>
      </c>
      <c r="Q2604">
        <f>LEN(AMAZON_FASHION_5__2[[#This Row],[reviewText]])</f>
        <v>182</v>
      </c>
      <c r="R2604" t="str">
        <f>IF(AMAZON_FASHION_5__2[[#This Row],[overall]]&gt;=4,"Positive",IF(AMAZON_FASHION_5__2[[#This Row],[overall]]&lt;=2,"Negative","Neutral"))</f>
        <v>Positive</v>
      </c>
      <c r="S26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05" spans="1:19" x14ac:dyDescent="0.25">
      <c r="A2605">
        <v>4</v>
      </c>
      <c r="B2605" t="b">
        <v>1</v>
      </c>
      <c r="C2605" s="1">
        <v>42802</v>
      </c>
      <c r="D2605">
        <f>YEAR(AMAZON_FASHION_5__2[[#This Row],[reviewDate]])</f>
        <v>2017</v>
      </c>
      <c r="E2605" s="1" t="str">
        <f>TEXT(AMAZON_FASHION_5__2[[#This Row],[reviewDate]], "mmmm")</f>
        <v>March</v>
      </c>
      <c r="F2605" t="s">
        <v>992</v>
      </c>
      <c r="G2605" t="s">
        <v>1566</v>
      </c>
      <c r="H2605" t="s">
        <v>1598</v>
      </c>
      <c r="I2605" t="s">
        <v>344</v>
      </c>
      <c r="J2605" t="s">
        <v>63</v>
      </c>
      <c r="K2605" t="s">
        <v>993</v>
      </c>
      <c r="L2605" t="s">
        <v>994</v>
      </c>
      <c r="M2605">
        <v>1488931200</v>
      </c>
      <c r="N2605" t="s">
        <v>1628</v>
      </c>
      <c r="O2605" t="s">
        <v>1628</v>
      </c>
      <c r="P2605" t="s">
        <v>1628</v>
      </c>
      <c r="Q2605">
        <f>LEN(AMAZON_FASHION_5__2[[#This Row],[reviewText]])</f>
        <v>182</v>
      </c>
      <c r="R2605" t="str">
        <f>IF(AMAZON_FASHION_5__2[[#This Row],[overall]]&gt;=4,"Positive",IF(AMAZON_FASHION_5__2[[#This Row],[overall]]&lt;=2,"Negative","Neutral"))</f>
        <v>Positive</v>
      </c>
      <c r="S26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06" spans="1:19" x14ac:dyDescent="0.25">
      <c r="A2606">
        <v>5</v>
      </c>
      <c r="B2606" t="b">
        <v>1</v>
      </c>
      <c r="C2606" s="1">
        <v>42800</v>
      </c>
      <c r="D2606">
        <f>YEAR(AMAZON_FASHION_5__2[[#This Row],[reviewDate]])</f>
        <v>2017</v>
      </c>
      <c r="E2606" s="1" t="str">
        <f>TEXT(AMAZON_FASHION_5__2[[#This Row],[reviewDate]], "mmmm")</f>
        <v>March</v>
      </c>
      <c r="F2606" t="s">
        <v>995</v>
      </c>
      <c r="G2606" t="s">
        <v>1566</v>
      </c>
      <c r="H2606" t="s">
        <v>1571</v>
      </c>
      <c r="I2606" t="s">
        <v>198</v>
      </c>
      <c r="J2606" t="s">
        <v>996</v>
      </c>
      <c r="K2606" t="s">
        <v>997</v>
      </c>
      <c r="L2606" t="s">
        <v>17</v>
      </c>
      <c r="M2606">
        <v>1488758400</v>
      </c>
      <c r="N2606" t="s">
        <v>1628</v>
      </c>
      <c r="O2606" t="s">
        <v>1628</v>
      </c>
      <c r="P2606" t="s">
        <v>1628</v>
      </c>
      <c r="Q2606">
        <f>LEN(AMAZON_FASHION_5__2[[#This Row],[reviewText]])</f>
        <v>10</v>
      </c>
      <c r="R2606" t="str">
        <f>IF(AMAZON_FASHION_5__2[[#This Row],[overall]]&gt;=4,"Positive",IF(AMAZON_FASHION_5__2[[#This Row],[overall]]&lt;=2,"Negative","Neutral"))</f>
        <v>Positive</v>
      </c>
      <c r="S26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07" spans="1:19" x14ac:dyDescent="0.25">
      <c r="A2607">
        <v>5</v>
      </c>
      <c r="B2607" t="b">
        <v>0</v>
      </c>
      <c r="C2607" s="1">
        <v>42792</v>
      </c>
      <c r="D2607">
        <f>YEAR(AMAZON_FASHION_5__2[[#This Row],[reviewDate]])</f>
        <v>2017</v>
      </c>
      <c r="E2607" s="1" t="str">
        <f>TEXT(AMAZON_FASHION_5__2[[#This Row],[reviewDate]], "mmmm")</f>
        <v>February</v>
      </c>
      <c r="F2607" t="s">
        <v>998</v>
      </c>
      <c r="G2607" t="s">
        <v>1566</v>
      </c>
      <c r="H2607" t="s">
        <v>1595</v>
      </c>
      <c r="I2607" t="s">
        <v>1455</v>
      </c>
      <c r="J2607" t="s">
        <v>1604</v>
      </c>
      <c r="K2607" t="s">
        <v>1000</v>
      </c>
      <c r="L2607" t="s">
        <v>1001</v>
      </c>
      <c r="M2607">
        <v>1488067200</v>
      </c>
      <c r="N2607" t="s">
        <v>1628</v>
      </c>
      <c r="O2607" t="s">
        <v>1628</v>
      </c>
      <c r="P2607" t="s">
        <v>1628</v>
      </c>
      <c r="Q2607">
        <f>LEN(AMAZON_FASHION_5__2[[#This Row],[reviewText]])</f>
        <v>206</v>
      </c>
      <c r="R2607" t="str">
        <f>IF(AMAZON_FASHION_5__2[[#This Row],[overall]]&gt;=4,"Positive",IF(AMAZON_FASHION_5__2[[#This Row],[overall]]&lt;=2,"Negative","Neutral"))</f>
        <v>Positive</v>
      </c>
      <c r="S26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08" spans="1:19" x14ac:dyDescent="0.25">
      <c r="A2608">
        <v>4</v>
      </c>
      <c r="B2608" t="b">
        <v>1</v>
      </c>
      <c r="C2608" s="1">
        <v>42790</v>
      </c>
      <c r="D2608">
        <f>YEAR(AMAZON_FASHION_5__2[[#This Row],[reviewDate]])</f>
        <v>2017</v>
      </c>
      <c r="E2608" s="1" t="str">
        <f>TEXT(AMAZON_FASHION_5__2[[#This Row],[reviewDate]], "mmmm")</f>
        <v>February</v>
      </c>
      <c r="F2608" t="s">
        <v>1002</v>
      </c>
      <c r="G2608" t="s">
        <v>1566</v>
      </c>
      <c r="H2608" t="s">
        <v>1574</v>
      </c>
      <c r="I2608" t="s">
        <v>198</v>
      </c>
      <c r="J2608" t="s">
        <v>1003</v>
      </c>
      <c r="K2608" t="s">
        <v>1004</v>
      </c>
      <c r="L2608" t="s">
        <v>1005</v>
      </c>
      <c r="M2608">
        <v>1487894400</v>
      </c>
      <c r="N2608" t="s">
        <v>1628</v>
      </c>
      <c r="O2608" t="s">
        <v>1628</v>
      </c>
      <c r="P2608" t="s">
        <v>1628</v>
      </c>
      <c r="Q2608">
        <f>LEN(AMAZON_FASHION_5__2[[#This Row],[reviewText]])</f>
        <v>171</v>
      </c>
      <c r="R2608" t="str">
        <f>IF(AMAZON_FASHION_5__2[[#This Row],[overall]]&gt;=4,"Positive",IF(AMAZON_FASHION_5__2[[#This Row],[overall]]&lt;=2,"Negative","Neutral"))</f>
        <v>Positive</v>
      </c>
      <c r="S26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09" spans="1:19" x14ac:dyDescent="0.25">
      <c r="A2609">
        <v>5</v>
      </c>
      <c r="B2609" t="b">
        <v>1</v>
      </c>
      <c r="C2609" s="1">
        <v>42790</v>
      </c>
      <c r="D2609">
        <f>YEAR(AMAZON_FASHION_5__2[[#This Row],[reviewDate]])</f>
        <v>2017</v>
      </c>
      <c r="E2609" s="1" t="str">
        <f>TEXT(AMAZON_FASHION_5__2[[#This Row],[reviewDate]], "mmmm")</f>
        <v>February</v>
      </c>
      <c r="F2609" t="s">
        <v>1006</v>
      </c>
      <c r="G2609" t="s">
        <v>1566</v>
      </c>
      <c r="H2609" t="s">
        <v>1574</v>
      </c>
      <c r="I2609" t="s">
        <v>198</v>
      </c>
      <c r="J2609" t="s">
        <v>1007</v>
      </c>
      <c r="K2609" t="s">
        <v>1008</v>
      </c>
      <c r="L2609" t="s">
        <v>17</v>
      </c>
      <c r="M2609">
        <v>1487894400</v>
      </c>
      <c r="N2609" t="s">
        <v>1628</v>
      </c>
      <c r="O2609" t="s">
        <v>1628</v>
      </c>
      <c r="P2609" t="s">
        <v>1628</v>
      </c>
      <c r="Q2609">
        <f>LEN(AMAZON_FASHION_5__2[[#This Row],[reviewText]])</f>
        <v>12</v>
      </c>
      <c r="R2609" t="str">
        <f>IF(AMAZON_FASHION_5__2[[#This Row],[overall]]&gt;=4,"Positive",IF(AMAZON_FASHION_5__2[[#This Row],[overall]]&lt;=2,"Negative","Neutral"))</f>
        <v>Positive</v>
      </c>
      <c r="S26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10" spans="1:19" x14ac:dyDescent="0.25">
      <c r="A2610">
        <v>4</v>
      </c>
      <c r="B2610" t="b">
        <v>1</v>
      </c>
      <c r="C2610" s="1">
        <v>42787</v>
      </c>
      <c r="D2610">
        <f>YEAR(AMAZON_FASHION_5__2[[#This Row],[reviewDate]])</f>
        <v>2017</v>
      </c>
      <c r="E2610" s="1" t="str">
        <f>TEXT(AMAZON_FASHION_5__2[[#This Row],[reviewDate]], "mmmm")</f>
        <v>February</v>
      </c>
      <c r="F2610" t="s">
        <v>1009</v>
      </c>
      <c r="G2610" t="s">
        <v>1566</v>
      </c>
      <c r="H2610" t="s">
        <v>1578</v>
      </c>
      <c r="I2610" t="s">
        <v>642</v>
      </c>
      <c r="J2610" t="s">
        <v>1010</v>
      </c>
      <c r="K2610" t="s">
        <v>1011</v>
      </c>
      <c r="L2610" t="s">
        <v>1012</v>
      </c>
      <c r="M2610">
        <v>1487635200</v>
      </c>
      <c r="N2610" t="s">
        <v>1628</v>
      </c>
      <c r="O2610" t="s">
        <v>1628</v>
      </c>
      <c r="P2610" t="s">
        <v>1628</v>
      </c>
      <c r="Q2610">
        <f>LEN(AMAZON_FASHION_5__2[[#This Row],[reviewText]])</f>
        <v>126</v>
      </c>
      <c r="R2610" t="str">
        <f>IF(AMAZON_FASHION_5__2[[#This Row],[overall]]&gt;=4,"Positive",IF(AMAZON_FASHION_5__2[[#This Row],[overall]]&lt;=2,"Negative","Neutral"))</f>
        <v>Positive</v>
      </c>
      <c r="S26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11" spans="1:19" x14ac:dyDescent="0.25">
      <c r="A2611">
        <v>5</v>
      </c>
      <c r="B2611" t="b">
        <v>1</v>
      </c>
      <c r="C2611" s="1">
        <v>42787</v>
      </c>
      <c r="D2611">
        <f>YEAR(AMAZON_FASHION_5__2[[#This Row],[reviewDate]])</f>
        <v>2017</v>
      </c>
      <c r="E2611" s="1" t="str">
        <f>TEXT(AMAZON_FASHION_5__2[[#This Row],[reviewDate]], "mmmm")</f>
        <v>February</v>
      </c>
      <c r="F2611" t="s">
        <v>1013</v>
      </c>
      <c r="G2611" t="s">
        <v>1566</v>
      </c>
      <c r="H2611" t="s">
        <v>210</v>
      </c>
      <c r="I2611" t="s">
        <v>198</v>
      </c>
      <c r="J2611" t="s">
        <v>1014</v>
      </c>
      <c r="K2611" t="s">
        <v>1015</v>
      </c>
      <c r="L2611" t="s">
        <v>17</v>
      </c>
      <c r="M2611">
        <v>1487635200</v>
      </c>
      <c r="N2611" t="s">
        <v>1628</v>
      </c>
      <c r="O2611" t="s">
        <v>1628</v>
      </c>
      <c r="P2611" t="s">
        <v>1628</v>
      </c>
      <c r="Q2611">
        <f>LEN(AMAZON_FASHION_5__2[[#This Row],[reviewText]])</f>
        <v>56</v>
      </c>
      <c r="R2611" t="str">
        <f>IF(AMAZON_FASHION_5__2[[#This Row],[overall]]&gt;=4,"Positive",IF(AMAZON_FASHION_5__2[[#This Row],[overall]]&lt;=2,"Negative","Neutral"))</f>
        <v>Positive</v>
      </c>
      <c r="S26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12" spans="1:19" x14ac:dyDescent="0.25">
      <c r="A2612">
        <v>3</v>
      </c>
      <c r="B2612" t="b">
        <v>1</v>
      </c>
      <c r="C2612" s="1">
        <v>42782</v>
      </c>
      <c r="D2612">
        <f>YEAR(AMAZON_FASHION_5__2[[#This Row],[reviewDate]])</f>
        <v>2017</v>
      </c>
      <c r="E2612" s="1" t="str">
        <f>TEXT(AMAZON_FASHION_5__2[[#This Row],[reviewDate]], "mmmm")</f>
        <v>February</v>
      </c>
      <c r="F2612" t="s">
        <v>1016</v>
      </c>
      <c r="G2612" t="s">
        <v>1566</v>
      </c>
      <c r="H2612" t="s">
        <v>1574</v>
      </c>
      <c r="I2612" t="s">
        <v>524</v>
      </c>
      <c r="J2612" t="s">
        <v>63</v>
      </c>
      <c r="K2612" t="s">
        <v>1017</v>
      </c>
      <c r="L2612" t="s">
        <v>1018</v>
      </c>
      <c r="M2612">
        <v>1487203200</v>
      </c>
      <c r="N2612" t="s">
        <v>1628</v>
      </c>
      <c r="O2612" t="s">
        <v>1628</v>
      </c>
      <c r="P2612" t="s">
        <v>1628</v>
      </c>
      <c r="Q2612">
        <f>LEN(AMAZON_FASHION_5__2[[#This Row],[reviewText]])</f>
        <v>198</v>
      </c>
      <c r="R2612" t="str">
        <f>IF(AMAZON_FASHION_5__2[[#This Row],[overall]]&gt;=4,"Positive",IF(AMAZON_FASHION_5__2[[#This Row],[overall]]&lt;=2,"Negative","Neutral"))</f>
        <v>Neutral</v>
      </c>
      <c r="S26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13" spans="1:19" x14ac:dyDescent="0.25">
      <c r="A2613">
        <v>5</v>
      </c>
      <c r="B2613" t="b">
        <v>1</v>
      </c>
      <c r="C2613" s="1">
        <v>42781</v>
      </c>
      <c r="D2613">
        <f>YEAR(AMAZON_FASHION_5__2[[#This Row],[reviewDate]])</f>
        <v>2017</v>
      </c>
      <c r="E2613" s="1" t="str">
        <f>TEXT(AMAZON_FASHION_5__2[[#This Row],[reviewDate]], "mmmm")</f>
        <v>February</v>
      </c>
      <c r="F2613" t="s">
        <v>1019</v>
      </c>
      <c r="G2613" t="s">
        <v>1566</v>
      </c>
      <c r="H2613" t="s">
        <v>1568</v>
      </c>
      <c r="I2613" t="s">
        <v>827</v>
      </c>
      <c r="J2613" t="s">
        <v>1020</v>
      </c>
      <c r="K2613" t="s">
        <v>1021</v>
      </c>
      <c r="L2613" t="s">
        <v>1022</v>
      </c>
      <c r="M2613">
        <v>1487116800</v>
      </c>
      <c r="N2613" t="s">
        <v>1628</v>
      </c>
      <c r="O2613" t="s">
        <v>1628</v>
      </c>
      <c r="P2613">
        <v>5</v>
      </c>
      <c r="Q2613">
        <f>LEN(AMAZON_FASHION_5__2[[#This Row],[reviewText]])</f>
        <v>388</v>
      </c>
      <c r="R2613" t="str">
        <f>IF(AMAZON_FASHION_5__2[[#This Row],[overall]]&gt;=4,"Positive",IF(AMAZON_FASHION_5__2[[#This Row],[overall]]&lt;=2,"Negative","Neutral"))</f>
        <v>Positive</v>
      </c>
      <c r="S26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14" spans="1:19" x14ac:dyDescent="0.25">
      <c r="A2614">
        <v>5</v>
      </c>
      <c r="B2614" t="b">
        <v>1</v>
      </c>
      <c r="C2614" s="1">
        <v>42779</v>
      </c>
      <c r="D2614">
        <f>YEAR(AMAZON_FASHION_5__2[[#This Row],[reviewDate]])</f>
        <v>2017</v>
      </c>
      <c r="E2614" s="1" t="str">
        <f>TEXT(AMAZON_FASHION_5__2[[#This Row],[reviewDate]], "mmmm")</f>
        <v>February</v>
      </c>
      <c r="F2614" t="s">
        <v>1023</v>
      </c>
      <c r="G2614" t="s">
        <v>1566</v>
      </c>
      <c r="H2614" t="s">
        <v>205</v>
      </c>
      <c r="I2614" t="s">
        <v>198</v>
      </c>
      <c r="J2614" t="s">
        <v>1024</v>
      </c>
      <c r="K2614" t="s">
        <v>1025</v>
      </c>
      <c r="L2614" t="s">
        <v>1026</v>
      </c>
      <c r="M2614">
        <v>1486944000</v>
      </c>
      <c r="N2614" t="s">
        <v>1628</v>
      </c>
      <c r="O2614" t="s">
        <v>1628</v>
      </c>
      <c r="P2614" t="s">
        <v>1628</v>
      </c>
      <c r="Q2614">
        <f>LEN(AMAZON_FASHION_5__2[[#This Row],[reviewText]])</f>
        <v>87</v>
      </c>
      <c r="R2614" t="str">
        <f>IF(AMAZON_FASHION_5__2[[#This Row],[overall]]&gt;=4,"Positive",IF(AMAZON_FASHION_5__2[[#This Row],[overall]]&lt;=2,"Negative","Neutral"))</f>
        <v>Positive</v>
      </c>
      <c r="S26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15" spans="1:19" x14ac:dyDescent="0.25">
      <c r="A2615">
        <v>5</v>
      </c>
      <c r="B2615" t="b">
        <v>1</v>
      </c>
      <c r="C2615" s="1">
        <v>42778</v>
      </c>
      <c r="D2615">
        <f>YEAR(AMAZON_FASHION_5__2[[#This Row],[reviewDate]])</f>
        <v>2017</v>
      </c>
      <c r="E2615" s="1" t="str">
        <f>TEXT(AMAZON_FASHION_5__2[[#This Row],[reviewDate]], "mmmm")</f>
        <v>February</v>
      </c>
      <c r="F2615" t="s">
        <v>1027</v>
      </c>
      <c r="G2615" t="s">
        <v>1566</v>
      </c>
      <c r="H2615" t="s">
        <v>1578</v>
      </c>
      <c r="I2615" t="s">
        <v>198</v>
      </c>
      <c r="J2615" t="s">
        <v>1028</v>
      </c>
      <c r="K2615" t="s">
        <v>1029</v>
      </c>
      <c r="L2615" t="s">
        <v>1030</v>
      </c>
      <c r="M2615">
        <v>1486857600</v>
      </c>
      <c r="N2615" t="s">
        <v>1628</v>
      </c>
      <c r="O2615" t="s">
        <v>1628</v>
      </c>
      <c r="P2615" t="s">
        <v>1628</v>
      </c>
      <c r="Q2615">
        <f>LEN(AMAZON_FASHION_5__2[[#This Row],[reviewText]])</f>
        <v>140</v>
      </c>
      <c r="R2615" t="str">
        <f>IF(AMAZON_FASHION_5__2[[#This Row],[overall]]&gt;=4,"Positive",IF(AMAZON_FASHION_5__2[[#This Row],[overall]]&lt;=2,"Negative","Neutral"))</f>
        <v>Positive</v>
      </c>
      <c r="S26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16" spans="1:19" x14ac:dyDescent="0.25">
      <c r="A2616">
        <v>5</v>
      </c>
      <c r="B2616" t="b">
        <v>1</v>
      </c>
      <c r="C2616" s="1">
        <v>42777</v>
      </c>
      <c r="D2616">
        <f>YEAR(AMAZON_FASHION_5__2[[#This Row],[reviewDate]])</f>
        <v>2017</v>
      </c>
      <c r="E2616" s="1" t="str">
        <f>TEXT(AMAZON_FASHION_5__2[[#This Row],[reviewDate]], "mmmm")</f>
        <v>February</v>
      </c>
      <c r="F2616" t="s">
        <v>1031</v>
      </c>
      <c r="G2616" t="s">
        <v>1566</v>
      </c>
      <c r="H2616" t="s">
        <v>320</v>
      </c>
      <c r="I2616" t="s">
        <v>198</v>
      </c>
      <c r="J2616" t="s">
        <v>1032</v>
      </c>
      <c r="K2616" t="s">
        <v>1033</v>
      </c>
      <c r="L2616" t="s">
        <v>17</v>
      </c>
      <c r="M2616">
        <v>1486771200</v>
      </c>
      <c r="N2616" t="s">
        <v>1628</v>
      </c>
      <c r="O2616" t="s">
        <v>1628</v>
      </c>
      <c r="P2616" t="s">
        <v>1628</v>
      </c>
      <c r="Q2616">
        <f>LEN(AMAZON_FASHION_5__2[[#This Row],[reviewText]])</f>
        <v>28</v>
      </c>
      <c r="R2616" t="str">
        <f>IF(AMAZON_FASHION_5__2[[#This Row],[overall]]&gt;=4,"Positive",IF(AMAZON_FASHION_5__2[[#This Row],[overall]]&lt;=2,"Negative","Neutral"))</f>
        <v>Positive</v>
      </c>
      <c r="S26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17" spans="1:19" x14ac:dyDescent="0.25">
      <c r="A2617">
        <v>4</v>
      </c>
      <c r="B2617" t="b">
        <v>1</v>
      </c>
      <c r="C2617" s="1">
        <v>42774</v>
      </c>
      <c r="D2617">
        <f>YEAR(AMAZON_FASHION_5__2[[#This Row],[reviewDate]])</f>
        <v>2017</v>
      </c>
      <c r="E2617" s="1" t="str">
        <f>TEXT(AMAZON_FASHION_5__2[[#This Row],[reviewDate]], "mmmm")</f>
        <v>February</v>
      </c>
      <c r="F2617" t="s">
        <v>1034</v>
      </c>
      <c r="G2617" t="s">
        <v>1566</v>
      </c>
      <c r="H2617" t="s">
        <v>1578</v>
      </c>
      <c r="I2617" t="s">
        <v>827</v>
      </c>
      <c r="J2617" t="s">
        <v>1035</v>
      </c>
      <c r="K2617" t="s">
        <v>1036</v>
      </c>
      <c r="L2617" t="s">
        <v>1037</v>
      </c>
      <c r="M2617">
        <v>1486512000</v>
      </c>
      <c r="N2617" t="s">
        <v>1628</v>
      </c>
      <c r="O2617" t="s">
        <v>1628</v>
      </c>
      <c r="P2617">
        <v>4</v>
      </c>
      <c r="Q2617">
        <f>LEN(AMAZON_FASHION_5__2[[#This Row],[reviewText]])</f>
        <v>570</v>
      </c>
      <c r="R2617" t="str">
        <f>IF(AMAZON_FASHION_5__2[[#This Row],[overall]]&gt;=4,"Positive",IF(AMAZON_FASHION_5__2[[#This Row],[overall]]&lt;=2,"Negative","Neutral"))</f>
        <v>Positive</v>
      </c>
      <c r="S26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18" spans="1:19" x14ac:dyDescent="0.25">
      <c r="A2618">
        <v>4</v>
      </c>
      <c r="B2618" t="b">
        <v>1</v>
      </c>
      <c r="C2618" s="1">
        <v>42772</v>
      </c>
      <c r="D2618">
        <f>YEAR(AMAZON_FASHION_5__2[[#This Row],[reviewDate]])</f>
        <v>2017</v>
      </c>
      <c r="E2618" s="1" t="str">
        <f>TEXT(AMAZON_FASHION_5__2[[#This Row],[reviewDate]], "mmmm")</f>
        <v>February</v>
      </c>
      <c r="F2618" t="s">
        <v>1038</v>
      </c>
      <c r="G2618" t="s">
        <v>1566</v>
      </c>
      <c r="H2618" t="s">
        <v>201</v>
      </c>
      <c r="I2618" t="s">
        <v>236</v>
      </c>
      <c r="J2618" t="s">
        <v>1039</v>
      </c>
      <c r="K2618" t="s">
        <v>1040</v>
      </c>
      <c r="L2618" t="s">
        <v>1041</v>
      </c>
      <c r="M2618">
        <v>1486339200</v>
      </c>
      <c r="N2618" t="s">
        <v>1628</v>
      </c>
      <c r="O2618" t="s">
        <v>1628</v>
      </c>
      <c r="P2618" t="s">
        <v>1628</v>
      </c>
      <c r="Q2618">
        <f>LEN(AMAZON_FASHION_5__2[[#This Row],[reviewText]])</f>
        <v>316</v>
      </c>
      <c r="R2618" t="str">
        <f>IF(AMAZON_FASHION_5__2[[#This Row],[overall]]&gt;=4,"Positive",IF(AMAZON_FASHION_5__2[[#This Row],[overall]]&lt;=2,"Negative","Neutral"))</f>
        <v>Positive</v>
      </c>
      <c r="S26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19" spans="1:19" x14ac:dyDescent="0.25">
      <c r="A2619">
        <v>2</v>
      </c>
      <c r="B2619" t="b">
        <v>1</v>
      </c>
      <c r="C2619" s="1">
        <v>42768</v>
      </c>
      <c r="D2619">
        <f>YEAR(AMAZON_FASHION_5__2[[#This Row],[reviewDate]])</f>
        <v>2017</v>
      </c>
      <c r="E2619" s="1" t="str">
        <f>TEXT(AMAZON_FASHION_5__2[[#This Row],[reviewDate]], "mmmm")</f>
        <v>February</v>
      </c>
      <c r="F2619" t="s">
        <v>1042</v>
      </c>
      <c r="G2619" t="s">
        <v>1566</v>
      </c>
      <c r="H2619" t="s">
        <v>1598</v>
      </c>
      <c r="I2619" t="s">
        <v>344</v>
      </c>
      <c r="J2619" t="s">
        <v>63</v>
      </c>
      <c r="K2619" t="s">
        <v>1043</v>
      </c>
      <c r="L2619" t="s">
        <v>1044</v>
      </c>
      <c r="M2619">
        <v>1485993600</v>
      </c>
      <c r="N2619" t="s">
        <v>1628</v>
      </c>
      <c r="O2619" t="s">
        <v>1628</v>
      </c>
      <c r="P2619" t="s">
        <v>1628</v>
      </c>
      <c r="Q2619">
        <f>LEN(AMAZON_FASHION_5__2[[#This Row],[reviewText]])</f>
        <v>107</v>
      </c>
      <c r="R2619" t="str">
        <f>IF(AMAZON_FASHION_5__2[[#This Row],[overall]]&gt;=4,"Positive",IF(AMAZON_FASHION_5__2[[#This Row],[overall]]&lt;=2,"Negative","Neutral"))</f>
        <v>Negative</v>
      </c>
      <c r="S26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20" spans="1:19" x14ac:dyDescent="0.25">
      <c r="A2620">
        <v>5</v>
      </c>
      <c r="B2620" t="b">
        <v>1</v>
      </c>
      <c r="C2620" s="1">
        <v>42767</v>
      </c>
      <c r="D2620">
        <f>YEAR(AMAZON_FASHION_5__2[[#This Row],[reviewDate]])</f>
        <v>2017</v>
      </c>
      <c r="E2620" s="1" t="str">
        <f>TEXT(AMAZON_FASHION_5__2[[#This Row],[reviewDate]], "mmmm")</f>
        <v>February</v>
      </c>
      <c r="F2620" t="s">
        <v>158</v>
      </c>
      <c r="G2620" t="s">
        <v>1566</v>
      </c>
      <c r="H2620" t="s">
        <v>320</v>
      </c>
      <c r="I2620" t="s">
        <v>198</v>
      </c>
      <c r="J2620" t="s">
        <v>160</v>
      </c>
      <c r="K2620" t="s">
        <v>1045</v>
      </c>
      <c r="L2620" t="s">
        <v>1046</v>
      </c>
      <c r="M2620">
        <v>1485907200</v>
      </c>
      <c r="N2620" t="s">
        <v>1628</v>
      </c>
      <c r="O2620" t="s">
        <v>1628</v>
      </c>
      <c r="P2620" t="s">
        <v>1628</v>
      </c>
      <c r="Q2620">
        <f>LEN(AMAZON_FASHION_5__2[[#This Row],[reviewText]])</f>
        <v>122</v>
      </c>
      <c r="R2620" t="str">
        <f>IF(AMAZON_FASHION_5__2[[#This Row],[overall]]&gt;=4,"Positive",IF(AMAZON_FASHION_5__2[[#This Row],[overall]]&lt;=2,"Negative","Neutral"))</f>
        <v>Positive</v>
      </c>
      <c r="S26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21" spans="1:19" x14ac:dyDescent="0.25">
      <c r="A2621">
        <v>3</v>
      </c>
      <c r="B2621" t="b">
        <v>1</v>
      </c>
      <c r="C2621" s="1">
        <v>42766</v>
      </c>
      <c r="D2621">
        <f>YEAR(AMAZON_FASHION_5__2[[#This Row],[reviewDate]])</f>
        <v>2017</v>
      </c>
      <c r="E2621" s="1" t="str">
        <f>TEXT(AMAZON_FASHION_5__2[[#This Row],[reviewDate]], "mmmm")</f>
        <v>January</v>
      </c>
      <c r="F2621" t="s">
        <v>1047</v>
      </c>
      <c r="G2621" t="s">
        <v>1566</v>
      </c>
      <c r="H2621" t="s">
        <v>1568</v>
      </c>
      <c r="I2621" t="s">
        <v>419</v>
      </c>
      <c r="J2621" t="s">
        <v>1048</v>
      </c>
      <c r="K2621" t="s">
        <v>1049</v>
      </c>
      <c r="L2621" t="s">
        <v>101</v>
      </c>
      <c r="M2621">
        <v>1485820800</v>
      </c>
      <c r="N2621" t="s">
        <v>1628</v>
      </c>
      <c r="O2621" t="s">
        <v>1628</v>
      </c>
      <c r="P2621">
        <v>3</v>
      </c>
      <c r="Q2621">
        <f>LEN(AMAZON_FASHION_5__2[[#This Row],[reviewText]])</f>
        <v>7</v>
      </c>
      <c r="R2621" t="str">
        <f>IF(AMAZON_FASHION_5__2[[#This Row],[overall]]&gt;=4,"Positive",IF(AMAZON_FASHION_5__2[[#This Row],[overall]]&lt;=2,"Negative","Neutral"))</f>
        <v>Neutral</v>
      </c>
      <c r="S26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22" spans="1:19" x14ac:dyDescent="0.25">
      <c r="A2622">
        <v>5</v>
      </c>
      <c r="B2622" t="b">
        <v>1</v>
      </c>
      <c r="C2622" s="1">
        <v>42760</v>
      </c>
      <c r="D2622">
        <f>YEAR(AMAZON_FASHION_5__2[[#This Row],[reviewDate]])</f>
        <v>2017</v>
      </c>
      <c r="E2622" s="1" t="str">
        <f>TEXT(AMAZON_FASHION_5__2[[#This Row],[reviewDate]], "mmmm")</f>
        <v>January</v>
      </c>
      <c r="F2622" t="s">
        <v>1050</v>
      </c>
      <c r="G2622" t="s">
        <v>1566</v>
      </c>
      <c r="H2622" t="s">
        <v>1574</v>
      </c>
      <c r="I2622" t="s">
        <v>524</v>
      </c>
      <c r="J2622" t="s">
        <v>63</v>
      </c>
      <c r="K2622" t="s">
        <v>1051</v>
      </c>
      <c r="L2622" t="s">
        <v>1052</v>
      </c>
      <c r="M2622">
        <v>1485302400</v>
      </c>
      <c r="N2622" t="s">
        <v>1628</v>
      </c>
      <c r="O2622" t="s">
        <v>1628</v>
      </c>
      <c r="P2622" t="s">
        <v>1628</v>
      </c>
      <c r="Q2622">
        <f>LEN(AMAZON_FASHION_5__2[[#This Row],[reviewText]])</f>
        <v>521</v>
      </c>
      <c r="R2622" t="str">
        <f>IF(AMAZON_FASHION_5__2[[#This Row],[overall]]&gt;=4,"Positive",IF(AMAZON_FASHION_5__2[[#This Row],[overall]]&lt;=2,"Negative","Neutral"))</f>
        <v>Positive</v>
      </c>
      <c r="S26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23" spans="1:19" x14ac:dyDescent="0.25">
      <c r="A2623">
        <v>5</v>
      </c>
      <c r="B2623" t="b">
        <v>1</v>
      </c>
      <c r="C2623" s="1">
        <v>42757</v>
      </c>
      <c r="D2623">
        <f>YEAR(AMAZON_FASHION_5__2[[#This Row],[reviewDate]])</f>
        <v>2017</v>
      </c>
      <c r="E2623" s="1" t="str">
        <f>TEXT(AMAZON_FASHION_5__2[[#This Row],[reviewDate]], "mmmm")</f>
        <v>January</v>
      </c>
      <c r="F2623" t="s">
        <v>1053</v>
      </c>
      <c r="G2623" t="s">
        <v>1566</v>
      </c>
      <c r="H2623" t="s">
        <v>1598</v>
      </c>
      <c r="I2623" t="s">
        <v>827</v>
      </c>
      <c r="J2623" t="s">
        <v>1054</v>
      </c>
      <c r="K2623" t="s">
        <v>1055</v>
      </c>
      <c r="L2623" t="s">
        <v>1056</v>
      </c>
      <c r="M2623">
        <v>1485043200</v>
      </c>
      <c r="N2623" t="s">
        <v>1628</v>
      </c>
      <c r="O2623" t="s">
        <v>1628</v>
      </c>
      <c r="P2623" t="s">
        <v>1628</v>
      </c>
      <c r="Q2623">
        <f>LEN(AMAZON_FASHION_5__2[[#This Row],[reviewText]])</f>
        <v>90</v>
      </c>
      <c r="R2623" t="str">
        <f>IF(AMAZON_FASHION_5__2[[#This Row],[overall]]&gt;=4,"Positive",IF(AMAZON_FASHION_5__2[[#This Row],[overall]]&lt;=2,"Negative","Neutral"))</f>
        <v>Positive</v>
      </c>
      <c r="S26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24" spans="1:19" x14ac:dyDescent="0.25">
      <c r="A2624">
        <v>5</v>
      </c>
      <c r="B2624" t="b">
        <v>1</v>
      </c>
      <c r="C2624" s="1">
        <v>42755</v>
      </c>
      <c r="D2624">
        <f>YEAR(AMAZON_FASHION_5__2[[#This Row],[reviewDate]])</f>
        <v>2017</v>
      </c>
      <c r="E2624" s="1" t="str">
        <f>TEXT(AMAZON_FASHION_5__2[[#This Row],[reviewDate]], "mmmm")</f>
        <v>January</v>
      </c>
      <c r="F2624" t="s">
        <v>1057</v>
      </c>
      <c r="G2624" t="s">
        <v>1566</v>
      </c>
      <c r="H2624" t="s">
        <v>1567</v>
      </c>
      <c r="I2624" t="s">
        <v>524</v>
      </c>
      <c r="J2624" t="s">
        <v>1058</v>
      </c>
      <c r="K2624" t="s">
        <v>1059</v>
      </c>
      <c r="L2624" t="s">
        <v>1060</v>
      </c>
      <c r="M2624">
        <v>1484870400</v>
      </c>
      <c r="N2624" t="s">
        <v>1628</v>
      </c>
      <c r="O2624" t="s">
        <v>1628</v>
      </c>
      <c r="P2624" t="s">
        <v>1628</v>
      </c>
      <c r="Q2624">
        <f>LEN(AMAZON_FASHION_5__2[[#This Row],[reviewText]])</f>
        <v>40</v>
      </c>
      <c r="R2624" t="str">
        <f>IF(AMAZON_FASHION_5__2[[#This Row],[overall]]&gt;=4,"Positive",IF(AMAZON_FASHION_5__2[[#This Row],[overall]]&lt;=2,"Negative","Neutral"))</f>
        <v>Positive</v>
      </c>
      <c r="S26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25" spans="1:19" x14ac:dyDescent="0.25">
      <c r="A2625">
        <v>5</v>
      </c>
      <c r="B2625" t="b">
        <v>1</v>
      </c>
      <c r="C2625" s="1">
        <v>42753</v>
      </c>
      <c r="D2625">
        <f>YEAR(AMAZON_FASHION_5__2[[#This Row],[reviewDate]])</f>
        <v>2017</v>
      </c>
      <c r="E2625" s="1" t="str">
        <f>TEXT(AMAZON_FASHION_5__2[[#This Row],[reviewDate]], "mmmm")</f>
        <v>January</v>
      </c>
      <c r="F2625" t="s">
        <v>1061</v>
      </c>
      <c r="G2625" t="s">
        <v>1566</v>
      </c>
      <c r="H2625" t="s">
        <v>1571</v>
      </c>
      <c r="I2625" t="s">
        <v>396</v>
      </c>
      <c r="J2625" t="s">
        <v>1062</v>
      </c>
      <c r="K2625" t="s">
        <v>1063</v>
      </c>
      <c r="L2625" t="s">
        <v>1064</v>
      </c>
      <c r="M2625">
        <v>1484697600</v>
      </c>
      <c r="N2625" t="s">
        <v>1628</v>
      </c>
      <c r="O2625" t="s">
        <v>1628</v>
      </c>
      <c r="P2625" t="s">
        <v>1628</v>
      </c>
      <c r="Q2625">
        <f>LEN(AMAZON_FASHION_5__2[[#This Row],[reviewText]])</f>
        <v>105</v>
      </c>
      <c r="R2625" t="str">
        <f>IF(AMAZON_FASHION_5__2[[#This Row],[overall]]&gt;=4,"Positive",IF(AMAZON_FASHION_5__2[[#This Row],[overall]]&lt;=2,"Negative","Neutral"))</f>
        <v>Positive</v>
      </c>
      <c r="S26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26" spans="1:19" x14ac:dyDescent="0.25">
      <c r="A2626">
        <v>2</v>
      </c>
      <c r="B2626" t="b">
        <v>1</v>
      </c>
      <c r="C2626" s="1">
        <v>42753</v>
      </c>
      <c r="D2626">
        <f>YEAR(AMAZON_FASHION_5__2[[#This Row],[reviewDate]])</f>
        <v>2017</v>
      </c>
      <c r="E2626" s="1" t="str">
        <f>TEXT(AMAZON_FASHION_5__2[[#This Row],[reviewDate]], "mmmm")</f>
        <v>January</v>
      </c>
      <c r="F2626" t="s">
        <v>1065</v>
      </c>
      <c r="G2626" t="s">
        <v>1566</v>
      </c>
      <c r="H2626" t="s">
        <v>1571</v>
      </c>
      <c r="I2626" t="s">
        <v>198</v>
      </c>
      <c r="J2626" t="s">
        <v>1066</v>
      </c>
      <c r="K2626" t="s">
        <v>1067</v>
      </c>
      <c r="L2626" t="s">
        <v>1068</v>
      </c>
      <c r="M2626">
        <v>1484697600</v>
      </c>
      <c r="N2626" t="s">
        <v>1628</v>
      </c>
      <c r="O2626" t="s">
        <v>1628</v>
      </c>
      <c r="P2626" t="s">
        <v>1628</v>
      </c>
      <c r="Q2626">
        <f>LEN(AMAZON_FASHION_5__2[[#This Row],[reviewText]])</f>
        <v>118</v>
      </c>
      <c r="R2626" t="str">
        <f>IF(AMAZON_FASHION_5__2[[#This Row],[overall]]&gt;=4,"Positive",IF(AMAZON_FASHION_5__2[[#This Row],[overall]]&lt;=2,"Negative","Neutral"))</f>
        <v>Negative</v>
      </c>
      <c r="S26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27" spans="1:19" x14ac:dyDescent="0.25">
      <c r="A2627">
        <v>5</v>
      </c>
      <c r="B2627" t="b">
        <v>1</v>
      </c>
      <c r="C2627" s="1">
        <v>42753</v>
      </c>
      <c r="D2627">
        <f>YEAR(AMAZON_FASHION_5__2[[#This Row],[reviewDate]])</f>
        <v>2017</v>
      </c>
      <c r="E2627" s="1" t="str">
        <f>TEXT(AMAZON_FASHION_5__2[[#This Row],[reviewDate]], "mmmm")</f>
        <v>January</v>
      </c>
      <c r="F2627" t="s">
        <v>1069</v>
      </c>
      <c r="G2627" t="s">
        <v>1566</v>
      </c>
      <c r="H2627" t="s">
        <v>1574</v>
      </c>
      <c r="I2627" t="s">
        <v>211</v>
      </c>
      <c r="J2627" t="s">
        <v>1070</v>
      </c>
      <c r="K2627" t="s">
        <v>1071</v>
      </c>
      <c r="L2627" t="s">
        <v>1072</v>
      </c>
      <c r="M2627">
        <v>1484697600</v>
      </c>
      <c r="N2627" t="s">
        <v>1628</v>
      </c>
      <c r="O2627" t="s">
        <v>1628</v>
      </c>
      <c r="P2627" t="s">
        <v>1628</v>
      </c>
      <c r="Q2627">
        <f>LEN(AMAZON_FASHION_5__2[[#This Row],[reviewText]])</f>
        <v>88</v>
      </c>
      <c r="R2627" t="str">
        <f>IF(AMAZON_FASHION_5__2[[#This Row],[overall]]&gt;=4,"Positive",IF(AMAZON_FASHION_5__2[[#This Row],[overall]]&lt;=2,"Negative","Neutral"))</f>
        <v>Positive</v>
      </c>
      <c r="S26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28" spans="1:19" x14ac:dyDescent="0.25">
      <c r="A2628">
        <v>5</v>
      </c>
      <c r="B2628" t="b">
        <v>1</v>
      </c>
      <c r="C2628" s="1">
        <v>42753</v>
      </c>
      <c r="D2628">
        <f>YEAR(AMAZON_FASHION_5__2[[#This Row],[reviewDate]])</f>
        <v>2017</v>
      </c>
      <c r="E2628" s="1" t="str">
        <f>TEXT(AMAZON_FASHION_5__2[[#This Row],[reviewDate]], "mmmm")</f>
        <v>January</v>
      </c>
      <c r="F2628" t="s">
        <v>1073</v>
      </c>
      <c r="G2628" t="s">
        <v>1566</v>
      </c>
      <c r="H2628" t="s">
        <v>1568</v>
      </c>
      <c r="I2628" t="s">
        <v>99</v>
      </c>
      <c r="J2628" t="s">
        <v>63</v>
      </c>
      <c r="K2628" t="s">
        <v>1074</v>
      </c>
      <c r="L2628" t="s">
        <v>17</v>
      </c>
      <c r="M2628">
        <v>1484697600</v>
      </c>
      <c r="N2628" t="s">
        <v>1628</v>
      </c>
      <c r="O2628" t="s">
        <v>1628</v>
      </c>
      <c r="P2628" t="s">
        <v>1628</v>
      </c>
      <c r="Q2628">
        <f>LEN(AMAZON_FASHION_5__2[[#This Row],[reviewText]])</f>
        <v>11</v>
      </c>
      <c r="R2628" t="str">
        <f>IF(AMAZON_FASHION_5__2[[#This Row],[overall]]&gt;=4,"Positive",IF(AMAZON_FASHION_5__2[[#This Row],[overall]]&lt;=2,"Negative","Neutral"))</f>
        <v>Positive</v>
      </c>
      <c r="S26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29" spans="1:19" x14ac:dyDescent="0.25">
      <c r="A2629">
        <v>4</v>
      </c>
      <c r="B2629" t="b">
        <v>1</v>
      </c>
      <c r="C2629" s="1">
        <v>42753</v>
      </c>
      <c r="D2629">
        <f>YEAR(AMAZON_FASHION_5__2[[#This Row],[reviewDate]])</f>
        <v>2017</v>
      </c>
      <c r="E2629" s="1" t="str">
        <f>TEXT(AMAZON_FASHION_5__2[[#This Row],[reviewDate]], "mmmm")</f>
        <v>January</v>
      </c>
      <c r="F2629" t="s">
        <v>1075</v>
      </c>
      <c r="G2629" t="s">
        <v>1566</v>
      </c>
      <c r="H2629" t="s">
        <v>1578</v>
      </c>
      <c r="I2629" t="s">
        <v>198</v>
      </c>
      <c r="J2629" t="s">
        <v>1076</v>
      </c>
      <c r="K2629" t="s">
        <v>1077</v>
      </c>
      <c r="L2629" t="s">
        <v>1078</v>
      </c>
      <c r="M2629">
        <v>1484697600</v>
      </c>
      <c r="N2629" t="s">
        <v>1628</v>
      </c>
      <c r="O2629" t="s">
        <v>1628</v>
      </c>
      <c r="P2629" t="s">
        <v>1628</v>
      </c>
      <c r="Q2629">
        <f>LEN(AMAZON_FASHION_5__2[[#This Row],[reviewText]])</f>
        <v>316</v>
      </c>
      <c r="R2629" t="str">
        <f>IF(AMAZON_FASHION_5__2[[#This Row],[overall]]&gt;=4,"Positive",IF(AMAZON_FASHION_5__2[[#This Row],[overall]]&lt;=2,"Negative","Neutral"))</f>
        <v>Positive</v>
      </c>
      <c r="S26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30" spans="1:19" x14ac:dyDescent="0.25">
      <c r="A2630">
        <v>1</v>
      </c>
      <c r="B2630" t="b">
        <v>1</v>
      </c>
      <c r="C2630" s="1">
        <v>42750</v>
      </c>
      <c r="D2630">
        <f>YEAR(AMAZON_FASHION_5__2[[#This Row],[reviewDate]])</f>
        <v>2017</v>
      </c>
      <c r="E2630" s="1" t="str">
        <f>TEXT(AMAZON_FASHION_5__2[[#This Row],[reviewDate]], "mmmm")</f>
        <v>January</v>
      </c>
      <c r="F2630" t="s">
        <v>1079</v>
      </c>
      <c r="G2630" t="s">
        <v>1566</v>
      </c>
      <c r="H2630" t="s">
        <v>1568</v>
      </c>
      <c r="I2630" t="s">
        <v>411</v>
      </c>
      <c r="J2630" t="s">
        <v>1080</v>
      </c>
      <c r="K2630" t="s">
        <v>1081</v>
      </c>
      <c r="L2630" t="s">
        <v>1082</v>
      </c>
      <c r="M2630">
        <v>1484438400</v>
      </c>
      <c r="N2630" t="s">
        <v>1628</v>
      </c>
      <c r="O2630" t="s">
        <v>1628</v>
      </c>
      <c r="P2630">
        <v>21</v>
      </c>
      <c r="Q2630">
        <f>LEN(AMAZON_FASHION_5__2[[#This Row],[reviewText]])</f>
        <v>69</v>
      </c>
      <c r="R2630" t="str">
        <f>IF(AMAZON_FASHION_5__2[[#This Row],[overall]]&gt;=4,"Positive",IF(AMAZON_FASHION_5__2[[#This Row],[overall]]&lt;=2,"Negative","Neutral"))</f>
        <v>Negative</v>
      </c>
      <c r="S26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31" spans="1:19" x14ac:dyDescent="0.25">
      <c r="A2631">
        <v>4</v>
      </c>
      <c r="B2631" t="b">
        <v>1</v>
      </c>
      <c r="C2631" s="1">
        <v>42748</v>
      </c>
      <c r="D2631">
        <f>YEAR(AMAZON_FASHION_5__2[[#This Row],[reviewDate]])</f>
        <v>2017</v>
      </c>
      <c r="E2631" s="1" t="str">
        <f>TEXT(AMAZON_FASHION_5__2[[#This Row],[reviewDate]], "mmmm")</f>
        <v>January</v>
      </c>
      <c r="F2631" t="s">
        <v>1083</v>
      </c>
      <c r="G2631" t="s">
        <v>1566</v>
      </c>
      <c r="H2631" t="s">
        <v>1598</v>
      </c>
      <c r="I2631" t="s">
        <v>1084</v>
      </c>
      <c r="J2631" t="s">
        <v>63</v>
      </c>
      <c r="K2631" t="s">
        <v>1085</v>
      </c>
      <c r="L2631" t="s">
        <v>1086</v>
      </c>
      <c r="M2631">
        <v>1484265600</v>
      </c>
      <c r="N2631" t="s">
        <v>1628</v>
      </c>
      <c r="O2631" t="s">
        <v>1628</v>
      </c>
      <c r="P2631" t="s">
        <v>1628</v>
      </c>
      <c r="Q2631">
        <f>LEN(AMAZON_FASHION_5__2[[#This Row],[reviewText]])</f>
        <v>187</v>
      </c>
      <c r="R2631" t="str">
        <f>IF(AMAZON_FASHION_5__2[[#This Row],[overall]]&gt;=4,"Positive",IF(AMAZON_FASHION_5__2[[#This Row],[overall]]&lt;=2,"Negative","Neutral"))</f>
        <v>Positive</v>
      </c>
      <c r="S26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32" spans="1:19" x14ac:dyDescent="0.25">
      <c r="A2632">
        <v>5</v>
      </c>
      <c r="B2632" t="b">
        <v>1</v>
      </c>
      <c r="C2632" s="1">
        <v>42747</v>
      </c>
      <c r="D2632">
        <f>YEAR(AMAZON_FASHION_5__2[[#This Row],[reviewDate]])</f>
        <v>2017</v>
      </c>
      <c r="E2632" s="1" t="str">
        <f>TEXT(AMAZON_FASHION_5__2[[#This Row],[reviewDate]], "mmmm")</f>
        <v>January</v>
      </c>
      <c r="F2632" t="s">
        <v>1087</v>
      </c>
      <c r="G2632" t="s">
        <v>1566</v>
      </c>
      <c r="H2632" t="s">
        <v>1571</v>
      </c>
      <c r="I2632" t="s">
        <v>507</v>
      </c>
      <c r="J2632" t="s">
        <v>1088</v>
      </c>
      <c r="K2632" t="s">
        <v>1089</v>
      </c>
      <c r="L2632" t="s">
        <v>1090</v>
      </c>
      <c r="M2632">
        <v>1484179200</v>
      </c>
      <c r="N2632" t="s">
        <v>1628</v>
      </c>
      <c r="O2632" t="s">
        <v>1628</v>
      </c>
      <c r="P2632" t="s">
        <v>1628</v>
      </c>
      <c r="Q2632">
        <f>LEN(AMAZON_FASHION_5__2[[#This Row],[reviewText]])</f>
        <v>216</v>
      </c>
      <c r="R2632" t="str">
        <f>IF(AMAZON_FASHION_5__2[[#This Row],[overall]]&gt;=4,"Positive",IF(AMAZON_FASHION_5__2[[#This Row],[overall]]&lt;=2,"Negative","Neutral"))</f>
        <v>Positive</v>
      </c>
      <c r="S26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33" spans="1:19" x14ac:dyDescent="0.25">
      <c r="A2633">
        <v>5</v>
      </c>
      <c r="B2633" t="b">
        <v>1</v>
      </c>
      <c r="C2633" s="1">
        <v>42747</v>
      </c>
      <c r="D2633">
        <f>YEAR(AMAZON_FASHION_5__2[[#This Row],[reviewDate]])</f>
        <v>2017</v>
      </c>
      <c r="E2633" s="1" t="str">
        <f>TEXT(AMAZON_FASHION_5__2[[#This Row],[reviewDate]], "mmmm")</f>
        <v>January</v>
      </c>
      <c r="F2633" t="s">
        <v>1091</v>
      </c>
      <c r="G2633" t="s">
        <v>1566</v>
      </c>
      <c r="H2633" t="s">
        <v>1578</v>
      </c>
      <c r="I2633" t="s">
        <v>198</v>
      </c>
      <c r="J2633" t="s">
        <v>1092</v>
      </c>
      <c r="K2633" t="s">
        <v>1093</v>
      </c>
      <c r="L2633" t="s">
        <v>17</v>
      </c>
      <c r="M2633">
        <v>1484179200</v>
      </c>
      <c r="N2633" t="s">
        <v>1628</v>
      </c>
      <c r="O2633" t="s">
        <v>1628</v>
      </c>
      <c r="P2633" t="s">
        <v>1628</v>
      </c>
      <c r="Q2633">
        <f>LEN(AMAZON_FASHION_5__2[[#This Row],[reviewText]])</f>
        <v>20</v>
      </c>
      <c r="R2633" t="str">
        <f>IF(AMAZON_FASHION_5__2[[#This Row],[overall]]&gt;=4,"Positive",IF(AMAZON_FASHION_5__2[[#This Row],[overall]]&lt;=2,"Negative","Neutral"))</f>
        <v>Positive</v>
      </c>
      <c r="S26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34" spans="1:19" x14ac:dyDescent="0.25">
      <c r="A2634">
        <v>5</v>
      </c>
      <c r="B2634" t="b">
        <v>1</v>
      </c>
      <c r="C2634" s="1">
        <v>42745</v>
      </c>
      <c r="D2634">
        <f>YEAR(AMAZON_FASHION_5__2[[#This Row],[reviewDate]])</f>
        <v>2017</v>
      </c>
      <c r="E2634" s="1" t="str">
        <f>TEXT(AMAZON_FASHION_5__2[[#This Row],[reviewDate]], "mmmm")</f>
        <v>January</v>
      </c>
      <c r="F2634" t="s">
        <v>1094</v>
      </c>
      <c r="G2634" t="s">
        <v>1566</v>
      </c>
      <c r="H2634" t="s">
        <v>1568</v>
      </c>
      <c r="I2634" t="s">
        <v>574</v>
      </c>
      <c r="J2634" t="s">
        <v>63</v>
      </c>
      <c r="K2634" t="s">
        <v>914</v>
      </c>
      <c r="L2634" t="s">
        <v>17</v>
      </c>
      <c r="M2634">
        <v>1484006400</v>
      </c>
      <c r="N2634" t="s">
        <v>1628</v>
      </c>
      <c r="O2634" t="s">
        <v>1628</v>
      </c>
      <c r="P2634" t="s">
        <v>1628</v>
      </c>
      <c r="Q2634">
        <f>LEN(AMAZON_FASHION_5__2[[#This Row],[reviewText]])</f>
        <v>17</v>
      </c>
      <c r="R2634" t="str">
        <f>IF(AMAZON_FASHION_5__2[[#This Row],[overall]]&gt;=4,"Positive",IF(AMAZON_FASHION_5__2[[#This Row],[overall]]&lt;=2,"Negative","Neutral"))</f>
        <v>Positive</v>
      </c>
      <c r="S26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35" spans="1:19" x14ac:dyDescent="0.25">
      <c r="A2635">
        <v>5</v>
      </c>
      <c r="B2635" t="b">
        <v>1</v>
      </c>
      <c r="C2635" s="1">
        <v>42742</v>
      </c>
      <c r="D2635">
        <f>YEAR(AMAZON_FASHION_5__2[[#This Row],[reviewDate]])</f>
        <v>2017</v>
      </c>
      <c r="E2635" s="1" t="str">
        <f>TEXT(AMAZON_FASHION_5__2[[#This Row],[reviewDate]], "mmmm")</f>
        <v>January</v>
      </c>
      <c r="F2635" t="s">
        <v>1095</v>
      </c>
      <c r="G2635" t="s">
        <v>1566</v>
      </c>
      <c r="H2635" t="s">
        <v>235</v>
      </c>
      <c r="I2635" t="s">
        <v>1084</v>
      </c>
      <c r="J2635" t="s">
        <v>63</v>
      </c>
      <c r="K2635" t="s">
        <v>1096</v>
      </c>
      <c r="L2635" t="s">
        <v>1097</v>
      </c>
      <c r="M2635">
        <v>1483747200</v>
      </c>
      <c r="N2635" t="s">
        <v>1628</v>
      </c>
      <c r="O2635" t="s">
        <v>1628</v>
      </c>
      <c r="P2635" t="s">
        <v>1628</v>
      </c>
      <c r="Q2635">
        <f>LEN(AMAZON_FASHION_5__2[[#This Row],[reviewText]])</f>
        <v>92</v>
      </c>
      <c r="R2635" t="str">
        <f>IF(AMAZON_FASHION_5__2[[#This Row],[overall]]&gt;=4,"Positive",IF(AMAZON_FASHION_5__2[[#This Row],[overall]]&lt;=2,"Negative","Neutral"))</f>
        <v>Positive</v>
      </c>
      <c r="S26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36" spans="1:19" x14ac:dyDescent="0.25">
      <c r="A2636">
        <v>5</v>
      </c>
      <c r="B2636" t="b">
        <v>1</v>
      </c>
      <c r="C2636" s="1">
        <v>42742</v>
      </c>
      <c r="D2636">
        <f>YEAR(AMAZON_FASHION_5__2[[#This Row],[reviewDate]])</f>
        <v>2017</v>
      </c>
      <c r="E2636" s="1" t="str">
        <f>TEXT(AMAZON_FASHION_5__2[[#This Row],[reviewDate]], "mmmm")</f>
        <v>January</v>
      </c>
      <c r="F2636" t="s">
        <v>1098</v>
      </c>
      <c r="G2636" t="s">
        <v>1566</v>
      </c>
      <c r="H2636" t="s">
        <v>320</v>
      </c>
      <c r="I2636" t="s">
        <v>1084</v>
      </c>
      <c r="J2636" t="s">
        <v>1099</v>
      </c>
      <c r="K2636" t="s">
        <v>1100</v>
      </c>
      <c r="L2636" t="s">
        <v>970</v>
      </c>
      <c r="M2636">
        <v>1483747200</v>
      </c>
      <c r="N2636" t="s">
        <v>1628</v>
      </c>
      <c r="O2636" t="s">
        <v>1628</v>
      </c>
      <c r="P2636" t="s">
        <v>1628</v>
      </c>
      <c r="Q2636">
        <f>LEN(AMAZON_FASHION_5__2[[#This Row],[reviewText]])</f>
        <v>182</v>
      </c>
      <c r="R2636" t="str">
        <f>IF(AMAZON_FASHION_5__2[[#This Row],[overall]]&gt;=4,"Positive",IF(AMAZON_FASHION_5__2[[#This Row],[overall]]&lt;=2,"Negative","Neutral"))</f>
        <v>Positive</v>
      </c>
      <c r="S26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37" spans="1:19" x14ac:dyDescent="0.25">
      <c r="A2637">
        <v>4</v>
      </c>
      <c r="B2637" t="b">
        <v>1</v>
      </c>
      <c r="C2637" s="1">
        <v>42741</v>
      </c>
      <c r="D2637">
        <f>YEAR(AMAZON_FASHION_5__2[[#This Row],[reviewDate]])</f>
        <v>2017</v>
      </c>
      <c r="E2637" s="1" t="str">
        <f>TEXT(AMAZON_FASHION_5__2[[#This Row],[reviewDate]], "mmmm")</f>
        <v>January</v>
      </c>
      <c r="F2637" t="s">
        <v>1101</v>
      </c>
      <c r="G2637" t="s">
        <v>1566</v>
      </c>
      <c r="H2637" t="s">
        <v>1574</v>
      </c>
      <c r="I2637" t="s">
        <v>1084</v>
      </c>
      <c r="J2637" t="s">
        <v>63</v>
      </c>
      <c r="K2637" t="s">
        <v>1102</v>
      </c>
      <c r="L2637" t="s">
        <v>1103</v>
      </c>
      <c r="M2637">
        <v>1483660800</v>
      </c>
      <c r="N2637" t="s">
        <v>1628</v>
      </c>
      <c r="O2637" t="s">
        <v>1628</v>
      </c>
      <c r="P2637" t="s">
        <v>1628</v>
      </c>
      <c r="Q2637">
        <f>LEN(AMAZON_FASHION_5__2[[#This Row],[reviewText]])</f>
        <v>219</v>
      </c>
      <c r="R2637" t="str">
        <f>IF(AMAZON_FASHION_5__2[[#This Row],[overall]]&gt;=4,"Positive",IF(AMAZON_FASHION_5__2[[#This Row],[overall]]&lt;=2,"Negative","Neutral"))</f>
        <v>Positive</v>
      </c>
      <c r="S26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38" spans="1:19" x14ac:dyDescent="0.25">
      <c r="A2638">
        <v>1</v>
      </c>
      <c r="B2638" t="b">
        <v>1</v>
      </c>
      <c r="C2638" s="1">
        <v>42739</v>
      </c>
      <c r="D2638">
        <f>YEAR(AMAZON_FASHION_5__2[[#This Row],[reviewDate]])</f>
        <v>2017</v>
      </c>
      <c r="E2638" s="1" t="str">
        <f>TEXT(AMAZON_FASHION_5__2[[#This Row],[reviewDate]], "mmmm")</f>
        <v>January</v>
      </c>
      <c r="F2638" t="s">
        <v>1104</v>
      </c>
      <c r="G2638" t="s">
        <v>1566</v>
      </c>
      <c r="H2638" t="s">
        <v>205</v>
      </c>
      <c r="I2638" t="s">
        <v>211</v>
      </c>
      <c r="J2638" t="s">
        <v>1605</v>
      </c>
      <c r="K2638" t="s">
        <v>1106</v>
      </c>
      <c r="L2638" t="s">
        <v>1107</v>
      </c>
      <c r="M2638">
        <v>1483488000</v>
      </c>
      <c r="N2638" t="s">
        <v>1628</v>
      </c>
      <c r="O2638" t="s">
        <v>1628</v>
      </c>
      <c r="P2638" t="s">
        <v>1628</v>
      </c>
      <c r="Q2638">
        <f>LEN(AMAZON_FASHION_5__2[[#This Row],[reviewText]])</f>
        <v>258</v>
      </c>
      <c r="R2638" t="str">
        <f>IF(AMAZON_FASHION_5__2[[#This Row],[overall]]&gt;=4,"Positive",IF(AMAZON_FASHION_5__2[[#This Row],[overall]]&lt;=2,"Negative","Neutral"))</f>
        <v>Negative</v>
      </c>
      <c r="S26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39" spans="1:19" x14ac:dyDescent="0.25">
      <c r="A2639">
        <v>5</v>
      </c>
      <c r="B2639" t="b">
        <v>1</v>
      </c>
      <c r="C2639" s="1">
        <v>42739</v>
      </c>
      <c r="D2639">
        <f>YEAR(AMAZON_FASHION_5__2[[#This Row],[reviewDate]])</f>
        <v>2017</v>
      </c>
      <c r="E2639" s="1" t="str">
        <f>TEXT(AMAZON_FASHION_5__2[[#This Row],[reviewDate]], "mmmm")</f>
        <v>January</v>
      </c>
      <c r="F2639" t="s">
        <v>1108</v>
      </c>
      <c r="G2639" t="s">
        <v>1566</v>
      </c>
      <c r="H2639" t="s">
        <v>1568</v>
      </c>
      <c r="I2639" t="s">
        <v>99</v>
      </c>
      <c r="J2639" t="s">
        <v>1109</v>
      </c>
      <c r="K2639" t="s">
        <v>1110</v>
      </c>
      <c r="L2639" t="s">
        <v>1111</v>
      </c>
      <c r="M2639">
        <v>1483488000</v>
      </c>
      <c r="N2639" t="s">
        <v>1628</v>
      </c>
      <c r="O2639" t="s">
        <v>1628</v>
      </c>
      <c r="P2639" t="s">
        <v>1628</v>
      </c>
      <c r="Q2639">
        <f>LEN(AMAZON_FASHION_5__2[[#This Row],[reviewText]])</f>
        <v>69</v>
      </c>
      <c r="R2639" t="str">
        <f>IF(AMAZON_FASHION_5__2[[#This Row],[overall]]&gt;=4,"Positive",IF(AMAZON_FASHION_5__2[[#This Row],[overall]]&lt;=2,"Negative","Neutral"))</f>
        <v>Positive</v>
      </c>
      <c r="S26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40" spans="1:19" x14ac:dyDescent="0.25">
      <c r="A2640">
        <v>5</v>
      </c>
      <c r="B2640" t="b">
        <v>1</v>
      </c>
      <c r="C2640" s="1">
        <v>42736</v>
      </c>
      <c r="D2640">
        <f>YEAR(AMAZON_FASHION_5__2[[#This Row],[reviewDate]])</f>
        <v>2017</v>
      </c>
      <c r="E2640" s="1" t="str">
        <f>TEXT(AMAZON_FASHION_5__2[[#This Row],[reviewDate]], "mmmm")</f>
        <v>January</v>
      </c>
      <c r="F2640" t="s">
        <v>1112</v>
      </c>
      <c r="G2640" t="s">
        <v>1566</v>
      </c>
      <c r="H2640" t="s">
        <v>1574</v>
      </c>
      <c r="I2640" t="s">
        <v>1084</v>
      </c>
      <c r="J2640" t="s">
        <v>1113</v>
      </c>
      <c r="K2640" t="s">
        <v>1114</v>
      </c>
      <c r="L2640" t="s">
        <v>17</v>
      </c>
      <c r="M2640">
        <v>1483228800</v>
      </c>
      <c r="N2640" t="s">
        <v>1628</v>
      </c>
      <c r="O2640" t="s">
        <v>1628</v>
      </c>
      <c r="P2640" t="s">
        <v>1628</v>
      </c>
      <c r="Q2640">
        <f>LEN(AMAZON_FASHION_5__2[[#This Row],[reviewText]])</f>
        <v>32</v>
      </c>
      <c r="R2640" t="str">
        <f>IF(AMAZON_FASHION_5__2[[#This Row],[overall]]&gt;=4,"Positive",IF(AMAZON_FASHION_5__2[[#This Row],[overall]]&lt;=2,"Negative","Neutral"))</f>
        <v>Positive</v>
      </c>
      <c r="S26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41" spans="1:19" x14ac:dyDescent="0.25">
      <c r="A2641">
        <v>5</v>
      </c>
      <c r="B2641" t="b">
        <v>1</v>
      </c>
      <c r="C2641" s="1">
        <v>42736</v>
      </c>
      <c r="D2641">
        <f>YEAR(AMAZON_FASHION_5__2[[#This Row],[reviewDate]])</f>
        <v>2017</v>
      </c>
      <c r="E2641" s="1" t="str">
        <f>TEXT(AMAZON_FASHION_5__2[[#This Row],[reviewDate]], "mmmm")</f>
        <v>January</v>
      </c>
      <c r="F2641" t="s">
        <v>1115</v>
      </c>
      <c r="G2641" t="s">
        <v>1566</v>
      </c>
      <c r="H2641" t="s">
        <v>205</v>
      </c>
      <c r="I2641" t="s">
        <v>198</v>
      </c>
      <c r="J2641" t="s">
        <v>1116</v>
      </c>
      <c r="K2641" t="s">
        <v>1117</v>
      </c>
      <c r="L2641" t="s">
        <v>17</v>
      </c>
      <c r="M2641">
        <v>1483228800</v>
      </c>
      <c r="N2641" t="s">
        <v>1628</v>
      </c>
      <c r="O2641" t="s">
        <v>1628</v>
      </c>
      <c r="P2641" t="s">
        <v>1628</v>
      </c>
      <c r="Q2641">
        <f>LEN(AMAZON_FASHION_5__2[[#This Row],[reviewText]])</f>
        <v>36</v>
      </c>
      <c r="R2641" t="str">
        <f>IF(AMAZON_FASHION_5__2[[#This Row],[overall]]&gt;=4,"Positive",IF(AMAZON_FASHION_5__2[[#This Row],[overall]]&lt;=2,"Negative","Neutral"))</f>
        <v>Positive</v>
      </c>
      <c r="S26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42" spans="1:19" x14ac:dyDescent="0.25">
      <c r="A2642">
        <v>5</v>
      </c>
      <c r="B2642" t="b">
        <v>1</v>
      </c>
      <c r="C2642" s="1">
        <v>42735</v>
      </c>
      <c r="D2642">
        <f>YEAR(AMAZON_FASHION_5__2[[#This Row],[reviewDate]])</f>
        <v>2016</v>
      </c>
      <c r="E2642" s="1" t="str">
        <f>TEXT(AMAZON_FASHION_5__2[[#This Row],[reviewDate]], "mmmm")</f>
        <v>December</v>
      </c>
      <c r="F2642" t="s">
        <v>1118</v>
      </c>
      <c r="G2642" t="s">
        <v>1566</v>
      </c>
      <c r="H2642" t="s">
        <v>1578</v>
      </c>
      <c r="I2642" t="s">
        <v>198</v>
      </c>
      <c r="J2642" t="s">
        <v>1119</v>
      </c>
      <c r="K2642" t="s">
        <v>1120</v>
      </c>
      <c r="L2642" t="s">
        <v>1121</v>
      </c>
      <c r="M2642">
        <v>1483142400</v>
      </c>
      <c r="N2642" t="s">
        <v>1628</v>
      </c>
      <c r="O2642" t="s">
        <v>1628</v>
      </c>
      <c r="P2642" t="s">
        <v>1628</v>
      </c>
      <c r="Q2642">
        <f>LEN(AMAZON_FASHION_5__2[[#This Row],[reviewText]])</f>
        <v>169</v>
      </c>
      <c r="R2642" t="str">
        <f>IF(AMAZON_FASHION_5__2[[#This Row],[overall]]&gt;=4,"Positive",IF(AMAZON_FASHION_5__2[[#This Row],[overall]]&lt;=2,"Negative","Neutral"))</f>
        <v>Positive</v>
      </c>
      <c r="S26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43" spans="1:19" x14ac:dyDescent="0.25">
      <c r="A2643">
        <v>5</v>
      </c>
      <c r="B2643" t="b">
        <v>1</v>
      </c>
      <c r="C2643" s="1">
        <v>42733</v>
      </c>
      <c r="D2643">
        <f>YEAR(AMAZON_FASHION_5__2[[#This Row],[reviewDate]])</f>
        <v>2016</v>
      </c>
      <c r="E2643" s="1" t="str">
        <f>TEXT(AMAZON_FASHION_5__2[[#This Row],[reviewDate]], "mmmm")</f>
        <v>December</v>
      </c>
      <c r="F2643" t="s">
        <v>1122</v>
      </c>
      <c r="G2643" t="s">
        <v>1566</v>
      </c>
      <c r="H2643" t="s">
        <v>1578</v>
      </c>
      <c r="I2643" t="s">
        <v>198</v>
      </c>
      <c r="J2643" t="s">
        <v>1123</v>
      </c>
      <c r="K2643" t="s">
        <v>1124</v>
      </c>
      <c r="L2643" t="s">
        <v>17</v>
      </c>
      <c r="M2643">
        <v>1482969600</v>
      </c>
      <c r="N2643" t="s">
        <v>1628</v>
      </c>
      <c r="O2643" t="s">
        <v>1628</v>
      </c>
      <c r="P2643" t="s">
        <v>1628</v>
      </c>
      <c r="Q2643">
        <f>LEN(AMAZON_FASHION_5__2[[#This Row],[reviewText]])</f>
        <v>37</v>
      </c>
      <c r="R2643" t="str">
        <f>IF(AMAZON_FASHION_5__2[[#This Row],[overall]]&gt;=4,"Positive",IF(AMAZON_FASHION_5__2[[#This Row],[overall]]&lt;=2,"Negative","Neutral"))</f>
        <v>Positive</v>
      </c>
      <c r="S26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44" spans="1:19" x14ac:dyDescent="0.25">
      <c r="A2644">
        <v>5</v>
      </c>
      <c r="B2644" t="b">
        <v>1</v>
      </c>
      <c r="C2644" s="1">
        <v>42733</v>
      </c>
      <c r="D2644">
        <f>YEAR(AMAZON_FASHION_5__2[[#This Row],[reviewDate]])</f>
        <v>2016</v>
      </c>
      <c r="E2644" s="1" t="str">
        <f>TEXT(AMAZON_FASHION_5__2[[#This Row],[reviewDate]], "mmmm")</f>
        <v>December</v>
      </c>
      <c r="F2644" t="s">
        <v>1125</v>
      </c>
      <c r="G2644" t="s">
        <v>1566</v>
      </c>
      <c r="H2644" t="s">
        <v>1567</v>
      </c>
      <c r="I2644" t="s">
        <v>1084</v>
      </c>
      <c r="J2644" t="s">
        <v>63</v>
      </c>
      <c r="K2644" t="s">
        <v>1126</v>
      </c>
      <c r="L2644" t="s">
        <v>17</v>
      </c>
      <c r="M2644">
        <v>1482969600</v>
      </c>
      <c r="N2644" t="s">
        <v>1628</v>
      </c>
      <c r="O2644" t="s">
        <v>1628</v>
      </c>
      <c r="P2644" t="s">
        <v>1628</v>
      </c>
      <c r="Q2644">
        <f>LEN(AMAZON_FASHION_5__2[[#This Row],[reviewText]])</f>
        <v>45</v>
      </c>
      <c r="R2644" t="str">
        <f>IF(AMAZON_FASHION_5__2[[#This Row],[overall]]&gt;=4,"Positive",IF(AMAZON_FASHION_5__2[[#This Row],[overall]]&lt;=2,"Negative","Neutral"))</f>
        <v>Positive</v>
      </c>
      <c r="S26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45" spans="1:19" x14ac:dyDescent="0.25">
      <c r="A2645">
        <v>5</v>
      </c>
      <c r="B2645" t="b">
        <v>1</v>
      </c>
      <c r="C2645" s="1">
        <v>42732</v>
      </c>
      <c r="D2645">
        <f>YEAR(AMAZON_FASHION_5__2[[#This Row],[reviewDate]])</f>
        <v>2016</v>
      </c>
      <c r="E2645" s="1" t="str">
        <f>TEXT(AMAZON_FASHION_5__2[[#This Row],[reviewDate]], "mmmm")</f>
        <v>December</v>
      </c>
      <c r="F2645" t="s">
        <v>1127</v>
      </c>
      <c r="G2645" t="s">
        <v>1566</v>
      </c>
      <c r="H2645" t="s">
        <v>1578</v>
      </c>
      <c r="I2645" t="s">
        <v>198</v>
      </c>
      <c r="J2645" t="s">
        <v>63</v>
      </c>
      <c r="K2645" t="s">
        <v>483</v>
      </c>
      <c r="L2645" t="s">
        <v>1128</v>
      </c>
      <c r="M2645">
        <v>1482883200</v>
      </c>
      <c r="N2645" t="s">
        <v>1628</v>
      </c>
      <c r="O2645" t="s">
        <v>1628</v>
      </c>
      <c r="P2645" t="s">
        <v>1628</v>
      </c>
      <c r="Q2645">
        <f>LEN(AMAZON_FASHION_5__2[[#This Row],[reviewText]])</f>
        <v>8</v>
      </c>
      <c r="R2645" t="str">
        <f>IF(AMAZON_FASHION_5__2[[#This Row],[overall]]&gt;=4,"Positive",IF(AMAZON_FASHION_5__2[[#This Row],[overall]]&lt;=2,"Negative","Neutral"))</f>
        <v>Positive</v>
      </c>
      <c r="S26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46" spans="1:19" x14ac:dyDescent="0.25">
      <c r="A2646">
        <v>5</v>
      </c>
      <c r="B2646" t="b">
        <v>1</v>
      </c>
      <c r="C2646" s="1">
        <v>42732</v>
      </c>
      <c r="D2646">
        <f>YEAR(AMAZON_FASHION_5__2[[#This Row],[reviewDate]])</f>
        <v>2016</v>
      </c>
      <c r="E2646" s="1" t="str">
        <f>TEXT(AMAZON_FASHION_5__2[[#This Row],[reviewDate]], "mmmm")</f>
        <v>December</v>
      </c>
      <c r="F2646" t="s">
        <v>1129</v>
      </c>
      <c r="G2646" t="s">
        <v>1566</v>
      </c>
      <c r="H2646" t="s">
        <v>1571</v>
      </c>
      <c r="I2646" t="s">
        <v>211</v>
      </c>
      <c r="J2646" t="s">
        <v>1130</v>
      </c>
      <c r="K2646" t="s">
        <v>1131</v>
      </c>
      <c r="L2646" t="s">
        <v>1132</v>
      </c>
      <c r="M2646">
        <v>1482883200</v>
      </c>
      <c r="N2646" t="s">
        <v>1628</v>
      </c>
      <c r="O2646" t="s">
        <v>1628</v>
      </c>
      <c r="P2646" t="s">
        <v>1628</v>
      </c>
      <c r="Q2646">
        <f>LEN(AMAZON_FASHION_5__2[[#This Row],[reviewText]])</f>
        <v>134</v>
      </c>
      <c r="R2646" t="str">
        <f>IF(AMAZON_FASHION_5__2[[#This Row],[overall]]&gt;=4,"Positive",IF(AMAZON_FASHION_5__2[[#This Row],[overall]]&lt;=2,"Negative","Neutral"))</f>
        <v>Positive</v>
      </c>
      <c r="S26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47" spans="1:19" x14ac:dyDescent="0.25">
      <c r="A2647">
        <v>5</v>
      </c>
      <c r="B2647" t="b">
        <v>1</v>
      </c>
      <c r="C2647" s="1">
        <v>42731</v>
      </c>
      <c r="D2647">
        <f>YEAR(AMAZON_FASHION_5__2[[#This Row],[reviewDate]])</f>
        <v>2016</v>
      </c>
      <c r="E2647" s="1" t="str">
        <f>TEXT(AMAZON_FASHION_5__2[[#This Row],[reviewDate]], "mmmm")</f>
        <v>December</v>
      </c>
      <c r="F2647" t="s">
        <v>1133</v>
      </c>
      <c r="G2647" t="s">
        <v>1566</v>
      </c>
      <c r="H2647" t="s">
        <v>205</v>
      </c>
      <c r="I2647" t="s">
        <v>198</v>
      </c>
      <c r="J2647" t="s">
        <v>1134</v>
      </c>
      <c r="K2647" t="s">
        <v>1135</v>
      </c>
      <c r="L2647" t="s">
        <v>17</v>
      </c>
      <c r="M2647">
        <v>1482796800</v>
      </c>
      <c r="N2647" t="s">
        <v>1628</v>
      </c>
      <c r="O2647" t="s">
        <v>1628</v>
      </c>
      <c r="P2647" t="s">
        <v>1628</v>
      </c>
      <c r="Q2647">
        <f>LEN(AMAZON_FASHION_5__2[[#This Row],[reviewText]])</f>
        <v>32</v>
      </c>
      <c r="R2647" t="str">
        <f>IF(AMAZON_FASHION_5__2[[#This Row],[overall]]&gt;=4,"Positive",IF(AMAZON_FASHION_5__2[[#This Row],[overall]]&lt;=2,"Negative","Neutral"))</f>
        <v>Positive</v>
      </c>
      <c r="S26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48" spans="1:19" x14ac:dyDescent="0.25">
      <c r="A2648">
        <v>2</v>
      </c>
      <c r="B2648" t="b">
        <v>1</v>
      </c>
      <c r="C2648" s="1">
        <v>42729</v>
      </c>
      <c r="D2648">
        <f>YEAR(AMAZON_FASHION_5__2[[#This Row],[reviewDate]])</f>
        <v>2016</v>
      </c>
      <c r="E2648" s="1" t="str">
        <f>TEXT(AMAZON_FASHION_5__2[[#This Row],[reviewDate]], "mmmm")</f>
        <v>December</v>
      </c>
      <c r="F2648" t="s">
        <v>1136</v>
      </c>
      <c r="G2648" t="s">
        <v>1566</v>
      </c>
      <c r="H2648" t="s">
        <v>1596</v>
      </c>
      <c r="I2648" t="s">
        <v>396</v>
      </c>
      <c r="J2648" t="s">
        <v>1137</v>
      </c>
      <c r="K2648" t="s">
        <v>1138</v>
      </c>
      <c r="L2648" t="s">
        <v>1139</v>
      </c>
      <c r="M2648">
        <v>1482624000</v>
      </c>
      <c r="N2648" t="s">
        <v>1628</v>
      </c>
      <c r="O2648" t="s">
        <v>1628</v>
      </c>
      <c r="P2648">
        <v>2</v>
      </c>
      <c r="Q2648">
        <f>LEN(AMAZON_FASHION_5__2[[#This Row],[reviewText]])</f>
        <v>108</v>
      </c>
      <c r="R2648" t="str">
        <f>IF(AMAZON_FASHION_5__2[[#This Row],[overall]]&gt;=4,"Positive",IF(AMAZON_FASHION_5__2[[#This Row],[overall]]&lt;=2,"Negative","Neutral"))</f>
        <v>Negative</v>
      </c>
      <c r="S26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49" spans="1:19" x14ac:dyDescent="0.25">
      <c r="A2649">
        <v>5</v>
      </c>
      <c r="B2649" t="b">
        <v>1</v>
      </c>
      <c r="C2649" s="1">
        <v>42727</v>
      </c>
      <c r="D2649">
        <f>YEAR(AMAZON_FASHION_5__2[[#This Row],[reviewDate]])</f>
        <v>2016</v>
      </c>
      <c r="E2649" s="1" t="str">
        <f>TEXT(AMAZON_FASHION_5__2[[#This Row],[reviewDate]], "mmmm")</f>
        <v>December</v>
      </c>
      <c r="F2649" t="s">
        <v>1140</v>
      </c>
      <c r="G2649" t="s">
        <v>1566</v>
      </c>
      <c r="H2649" t="s">
        <v>1596</v>
      </c>
      <c r="I2649" t="s">
        <v>574</v>
      </c>
      <c r="J2649" t="s">
        <v>1141</v>
      </c>
      <c r="K2649" t="s">
        <v>1142</v>
      </c>
      <c r="L2649" t="s">
        <v>1143</v>
      </c>
      <c r="M2649">
        <v>1482451200</v>
      </c>
      <c r="N2649" t="s">
        <v>1628</v>
      </c>
      <c r="O2649" t="s">
        <v>1628</v>
      </c>
      <c r="P2649" t="s">
        <v>1628</v>
      </c>
      <c r="Q2649">
        <f>LEN(AMAZON_FASHION_5__2[[#This Row],[reviewText]])</f>
        <v>198</v>
      </c>
      <c r="R2649" t="str">
        <f>IF(AMAZON_FASHION_5__2[[#This Row],[overall]]&gt;=4,"Positive",IF(AMAZON_FASHION_5__2[[#This Row],[overall]]&lt;=2,"Negative","Neutral"))</f>
        <v>Positive</v>
      </c>
      <c r="S26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50" spans="1:19" x14ac:dyDescent="0.25">
      <c r="A2650">
        <v>5</v>
      </c>
      <c r="B2650" t="b">
        <v>1</v>
      </c>
      <c r="C2650" s="1">
        <v>42726</v>
      </c>
      <c r="D2650">
        <f>YEAR(AMAZON_FASHION_5__2[[#This Row],[reviewDate]])</f>
        <v>2016</v>
      </c>
      <c r="E2650" s="1" t="str">
        <f>TEXT(AMAZON_FASHION_5__2[[#This Row],[reviewDate]], "mmmm")</f>
        <v>December</v>
      </c>
      <c r="F2650" t="s">
        <v>1144</v>
      </c>
      <c r="G2650" t="s">
        <v>1566</v>
      </c>
      <c r="H2650" t="s">
        <v>1597</v>
      </c>
      <c r="I2650" t="s">
        <v>411</v>
      </c>
      <c r="J2650" t="s">
        <v>63</v>
      </c>
      <c r="K2650" t="s">
        <v>1146</v>
      </c>
      <c r="L2650" t="s">
        <v>17</v>
      </c>
      <c r="M2650">
        <v>1482364800</v>
      </c>
      <c r="N2650" t="s">
        <v>1628</v>
      </c>
      <c r="O2650" t="s">
        <v>1628</v>
      </c>
      <c r="P2650" t="s">
        <v>1628</v>
      </c>
      <c r="Q2650">
        <f>LEN(AMAZON_FASHION_5__2[[#This Row],[reviewText]])</f>
        <v>105</v>
      </c>
      <c r="R2650" t="str">
        <f>IF(AMAZON_FASHION_5__2[[#This Row],[overall]]&gt;=4,"Positive",IF(AMAZON_FASHION_5__2[[#This Row],[overall]]&lt;=2,"Negative","Neutral"))</f>
        <v>Positive</v>
      </c>
      <c r="S26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51" spans="1:19" x14ac:dyDescent="0.25">
      <c r="A2651">
        <v>2</v>
      </c>
      <c r="B2651" t="b">
        <v>1</v>
      </c>
      <c r="C2651" s="1">
        <v>42720</v>
      </c>
      <c r="D2651">
        <f>YEAR(AMAZON_FASHION_5__2[[#This Row],[reviewDate]])</f>
        <v>2016</v>
      </c>
      <c r="E2651" s="1" t="str">
        <f>TEXT(AMAZON_FASHION_5__2[[#This Row],[reviewDate]], "mmmm")</f>
        <v>December</v>
      </c>
      <c r="F2651" t="s">
        <v>1147</v>
      </c>
      <c r="G2651" t="s">
        <v>1566</v>
      </c>
      <c r="H2651" t="s">
        <v>1578</v>
      </c>
      <c r="I2651" t="s">
        <v>524</v>
      </c>
      <c r="J2651" t="s">
        <v>1148</v>
      </c>
      <c r="K2651" t="s">
        <v>1149</v>
      </c>
      <c r="L2651" t="s">
        <v>1150</v>
      </c>
      <c r="M2651">
        <v>1481846400</v>
      </c>
      <c r="N2651" t="s">
        <v>1628</v>
      </c>
      <c r="O2651" t="s">
        <v>1628</v>
      </c>
      <c r="P2651" t="s">
        <v>1628</v>
      </c>
      <c r="Q2651">
        <f>LEN(AMAZON_FASHION_5__2[[#This Row],[reviewText]])</f>
        <v>63</v>
      </c>
      <c r="R2651" t="str">
        <f>IF(AMAZON_FASHION_5__2[[#This Row],[overall]]&gt;=4,"Positive",IF(AMAZON_FASHION_5__2[[#This Row],[overall]]&lt;=2,"Negative","Neutral"))</f>
        <v>Negative</v>
      </c>
      <c r="S26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52" spans="1:19" x14ac:dyDescent="0.25">
      <c r="A2652">
        <v>1</v>
      </c>
      <c r="B2652" t="b">
        <v>1</v>
      </c>
      <c r="C2652" s="1">
        <v>42719</v>
      </c>
      <c r="D2652">
        <f>YEAR(AMAZON_FASHION_5__2[[#This Row],[reviewDate]])</f>
        <v>2016</v>
      </c>
      <c r="E2652" s="1" t="str">
        <f>TEXT(AMAZON_FASHION_5__2[[#This Row],[reviewDate]], "mmmm")</f>
        <v>December</v>
      </c>
      <c r="F2652" t="s">
        <v>1151</v>
      </c>
      <c r="G2652" t="s">
        <v>1566</v>
      </c>
      <c r="H2652" t="s">
        <v>1574</v>
      </c>
      <c r="I2652" t="s">
        <v>1084</v>
      </c>
      <c r="J2652" t="s">
        <v>63</v>
      </c>
      <c r="K2652" t="s">
        <v>1152</v>
      </c>
      <c r="L2652" t="s">
        <v>65</v>
      </c>
      <c r="M2652">
        <v>1481760000</v>
      </c>
      <c r="N2652" t="s">
        <v>1628</v>
      </c>
      <c r="O2652" t="s">
        <v>1628</v>
      </c>
      <c r="P2652" t="s">
        <v>1628</v>
      </c>
      <c r="Q2652">
        <f>LEN(AMAZON_FASHION_5__2[[#This Row],[reviewText]])</f>
        <v>11</v>
      </c>
      <c r="R2652" t="str">
        <f>IF(AMAZON_FASHION_5__2[[#This Row],[overall]]&gt;=4,"Positive",IF(AMAZON_FASHION_5__2[[#This Row],[overall]]&lt;=2,"Negative","Neutral"))</f>
        <v>Negative</v>
      </c>
      <c r="S26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53" spans="1:19" x14ac:dyDescent="0.25">
      <c r="A2653">
        <v>5</v>
      </c>
      <c r="B2653" t="b">
        <v>1</v>
      </c>
      <c r="C2653" s="1">
        <v>42716</v>
      </c>
      <c r="D2653">
        <f>YEAR(AMAZON_FASHION_5__2[[#This Row],[reviewDate]])</f>
        <v>2016</v>
      </c>
      <c r="E2653" s="1" t="str">
        <f>TEXT(AMAZON_FASHION_5__2[[#This Row],[reviewDate]], "mmmm")</f>
        <v>December</v>
      </c>
      <c r="F2653" t="s">
        <v>1153</v>
      </c>
      <c r="G2653" t="s">
        <v>1566</v>
      </c>
      <c r="H2653" t="s">
        <v>1477</v>
      </c>
      <c r="I2653" t="s">
        <v>336</v>
      </c>
      <c r="J2653" t="s">
        <v>1154</v>
      </c>
      <c r="K2653" t="s">
        <v>1155</v>
      </c>
      <c r="L2653" t="s">
        <v>276</v>
      </c>
      <c r="M2653">
        <v>1481500800</v>
      </c>
      <c r="N2653" t="s">
        <v>1628</v>
      </c>
      <c r="O2653" t="s">
        <v>1628</v>
      </c>
      <c r="P2653" t="s">
        <v>1628</v>
      </c>
      <c r="Q2653">
        <f>LEN(AMAZON_FASHION_5__2[[#This Row],[reviewText]])</f>
        <v>15</v>
      </c>
      <c r="R2653" t="str">
        <f>IF(AMAZON_FASHION_5__2[[#This Row],[overall]]&gt;=4,"Positive",IF(AMAZON_FASHION_5__2[[#This Row],[overall]]&lt;=2,"Negative","Neutral"))</f>
        <v>Positive</v>
      </c>
      <c r="S26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54" spans="1:19" x14ac:dyDescent="0.25">
      <c r="A2654">
        <v>5</v>
      </c>
      <c r="B2654" t="b">
        <v>1</v>
      </c>
      <c r="C2654" s="1">
        <v>42716</v>
      </c>
      <c r="D2654">
        <f>YEAR(AMAZON_FASHION_5__2[[#This Row],[reviewDate]])</f>
        <v>2016</v>
      </c>
      <c r="E2654" s="1" t="str">
        <f>TEXT(AMAZON_FASHION_5__2[[#This Row],[reviewDate]], "mmmm")</f>
        <v>December</v>
      </c>
      <c r="F2654" t="s">
        <v>1156</v>
      </c>
      <c r="G2654" t="s">
        <v>1566</v>
      </c>
      <c r="H2654" t="s">
        <v>235</v>
      </c>
      <c r="I2654" t="s">
        <v>198</v>
      </c>
      <c r="J2654" t="s">
        <v>1157</v>
      </c>
      <c r="K2654" t="s">
        <v>1158</v>
      </c>
      <c r="L2654" t="s">
        <v>30</v>
      </c>
      <c r="M2654">
        <v>1481500800</v>
      </c>
      <c r="N2654" t="s">
        <v>1628</v>
      </c>
      <c r="O2654" t="s">
        <v>1628</v>
      </c>
      <c r="P2654">
        <v>4</v>
      </c>
      <c r="Q2654">
        <f>LEN(AMAZON_FASHION_5__2[[#This Row],[reviewText]])</f>
        <v>362</v>
      </c>
      <c r="R2654" t="str">
        <f>IF(AMAZON_FASHION_5__2[[#This Row],[overall]]&gt;=4,"Positive",IF(AMAZON_FASHION_5__2[[#This Row],[overall]]&lt;=2,"Negative","Neutral"))</f>
        <v>Positive</v>
      </c>
      <c r="S26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55" spans="1:19" x14ac:dyDescent="0.25">
      <c r="A2655">
        <v>4</v>
      </c>
      <c r="B2655" t="b">
        <v>1</v>
      </c>
      <c r="C2655" s="1">
        <v>42712</v>
      </c>
      <c r="D2655">
        <f>YEAR(AMAZON_FASHION_5__2[[#This Row],[reviewDate]])</f>
        <v>2016</v>
      </c>
      <c r="E2655" s="1" t="str">
        <f>TEXT(AMAZON_FASHION_5__2[[#This Row],[reviewDate]], "mmmm")</f>
        <v>December</v>
      </c>
      <c r="F2655" t="s">
        <v>1159</v>
      </c>
      <c r="G2655" t="s">
        <v>1566</v>
      </c>
      <c r="H2655" t="s">
        <v>1574</v>
      </c>
      <c r="I2655" t="s">
        <v>1084</v>
      </c>
      <c r="J2655" t="s">
        <v>1160</v>
      </c>
      <c r="K2655" t="s">
        <v>1161</v>
      </c>
      <c r="L2655" t="s">
        <v>103</v>
      </c>
      <c r="M2655">
        <v>1481155200</v>
      </c>
      <c r="N2655" t="s">
        <v>1628</v>
      </c>
      <c r="O2655" t="s">
        <v>1628</v>
      </c>
      <c r="P2655" t="s">
        <v>1628</v>
      </c>
      <c r="Q2655">
        <f>LEN(AMAZON_FASHION_5__2[[#This Row],[reviewText]])</f>
        <v>36</v>
      </c>
      <c r="R2655" t="str">
        <f>IF(AMAZON_FASHION_5__2[[#This Row],[overall]]&gt;=4,"Positive",IF(AMAZON_FASHION_5__2[[#This Row],[overall]]&lt;=2,"Negative","Neutral"))</f>
        <v>Positive</v>
      </c>
      <c r="S26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56" spans="1:19" x14ac:dyDescent="0.25">
      <c r="A2656">
        <v>4</v>
      </c>
      <c r="B2656" t="b">
        <v>1</v>
      </c>
      <c r="C2656" s="1">
        <v>42708</v>
      </c>
      <c r="D2656">
        <f>YEAR(AMAZON_FASHION_5__2[[#This Row],[reviewDate]])</f>
        <v>2016</v>
      </c>
      <c r="E2656" s="1" t="str">
        <f>TEXT(AMAZON_FASHION_5__2[[#This Row],[reviewDate]], "mmmm")</f>
        <v>December</v>
      </c>
      <c r="F2656" t="s">
        <v>1162</v>
      </c>
      <c r="G2656" t="s">
        <v>1566</v>
      </c>
      <c r="H2656" t="s">
        <v>1599</v>
      </c>
      <c r="I2656" t="s">
        <v>827</v>
      </c>
      <c r="J2656" t="s">
        <v>1163</v>
      </c>
      <c r="K2656" t="s">
        <v>1164</v>
      </c>
      <c r="L2656" t="s">
        <v>103</v>
      </c>
      <c r="M2656">
        <v>1480809600</v>
      </c>
      <c r="N2656" t="s">
        <v>1628</v>
      </c>
      <c r="O2656" t="s">
        <v>1628</v>
      </c>
      <c r="P2656" t="s">
        <v>1628</v>
      </c>
      <c r="Q2656">
        <f>LEN(AMAZON_FASHION_5__2[[#This Row],[reviewText]])</f>
        <v>36</v>
      </c>
      <c r="R2656" t="str">
        <f>IF(AMAZON_FASHION_5__2[[#This Row],[overall]]&gt;=4,"Positive",IF(AMAZON_FASHION_5__2[[#This Row],[overall]]&lt;=2,"Negative","Neutral"))</f>
        <v>Positive</v>
      </c>
      <c r="S26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57" spans="1:19" x14ac:dyDescent="0.25">
      <c r="A2657">
        <v>4</v>
      </c>
      <c r="B2657" t="b">
        <v>1</v>
      </c>
      <c r="C2657" s="1">
        <v>42706</v>
      </c>
      <c r="D2657">
        <f>YEAR(AMAZON_FASHION_5__2[[#This Row],[reviewDate]])</f>
        <v>2016</v>
      </c>
      <c r="E2657" s="1" t="str">
        <f>TEXT(AMAZON_FASHION_5__2[[#This Row],[reviewDate]], "mmmm")</f>
        <v>December</v>
      </c>
      <c r="F2657" t="s">
        <v>1165</v>
      </c>
      <c r="G2657" t="s">
        <v>1566</v>
      </c>
      <c r="H2657" t="s">
        <v>1603</v>
      </c>
      <c r="I2657" t="s">
        <v>336</v>
      </c>
      <c r="J2657" t="s">
        <v>63</v>
      </c>
      <c r="K2657" t="s">
        <v>1166</v>
      </c>
      <c r="L2657" t="s">
        <v>103</v>
      </c>
      <c r="M2657">
        <v>1480636800</v>
      </c>
      <c r="N2657" t="s">
        <v>1628</v>
      </c>
      <c r="O2657" t="s">
        <v>1628</v>
      </c>
      <c r="P2657">
        <v>2</v>
      </c>
      <c r="Q2657">
        <f>LEN(AMAZON_FASHION_5__2[[#This Row],[reviewText]])</f>
        <v>29</v>
      </c>
      <c r="R2657" t="str">
        <f>IF(AMAZON_FASHION_5__2[[#This Row],[overall]]&gt;=4,"Positive",IF(AMAZON_FASHION_5__2[[#This Row],[overall]]&lt;=2,"Negative","Neutral"))</f>
        <v>Positive</v>
      </c>
      <c r="S26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58" spans="1:19" x14ac:dyDescent="0.25">
      <c r="A2658">
        <v>5</v>
      </c>
      <c r="B2658" t="b">
        <v>1</v>
      </c>
      <c r="C2658" s="1">
        <v>42706</v>
      </c>
      <c r="D2658">
        <f>YEAR(AMAZON_FASHION_5__2[[#This Row],[reviewDate]])</f>
        <v>2016</v>
      </c>
      <c r="E2658" s="1" t="str">
        <f>TEXT(AMAZON_FASHION_5__2[[#This Row],[reviewDate]], "mmmm")</f>
        <v>December</v>
      </c>
      <c r="F2658" t="s">
        <v>1167</v>
      </c>
      <c r="G2658" t="s">
        <v>1566</v>
      </c>
      <c r="H2658" t="s">
        <v>210</v>
      </c>
      <c r="I2658" t="s">
        <v>198</v>
      </c>
      <c r="J2658" t="s">
        <v>1168</v>
      </c>
      <c r="K2658" t="s">
        <v>1169</v>
      </c>
      <c r="L2658" t="s">
        <v>17</v>
      </c>
      <c r="M2658">
        <v>1480636800</v>
      </c>
      <c r="N2658" t="s">
        <v>1628</v>
      </c>
      <c r="O2658" t="s">
        <v>1628</v>
      </c>
      <c r="P2658" t="s">
        <v>1628</v>
      </c>
      <c r="Q2658">
        <f>LEN(AMAZON_FASHION_5__2[[#This Row],[reviewText]])</f>
        <v>43</v>
      </c>
      <c r="R2658" t="str">
        <f>IF(AMAZON_FASHION_5__2[[#This Row],[overall]]&gt;=4,"Positive",IF(AMAZON_FASHION_5__2[[#This Row],[overall]]&lt;=2,"Negative","Neutral"))</f>
        <v>Positive</v>
      </c>
      <c r="S26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59" spans="1:19" x14ac:dyDescent="0.25">
      <c r="A2659">
        <v>5</v>
      </c>
      <c r="B2659" t="b">
        <v>1</v>
      </c>
      <c r="C2659" s="1">
        <v>42705</v>
      </c>
      <c r="D2659">
        <f>YEAR(AMAZON_FASHION_5__2[[#This Row],[reviewDate]])</f>
        <v>2016</v>
      </c>
      <c r="E2659" s="1" t="str">
        <f>TEXT(AMAZON_FASHION_5__2[[#This Row],[reviewDate]], "mmmm")</f>
        <v>December</v>
      </c>
      <c r="F2659" t="s">
        <v>1170</v>
      </c>
      <c r="G2659" t="s">
        <v>1566</v>
      </c>
      <c r="H2659" t="s">
        <v>1571</v>
      </c>
      <c r="I2659" t="s">
        <v>396</v>
      </c>
      <c r="J2659" t="s">
        <v>451</v>
      </c>
      <c r="K2659" t="s">
        <v>1171</v>
      </c>
      <c r="L2659" t="s">
        <v>17</v>
      </c>
      <c r="M2659">
        <v>1480550400</v>
      </c>
      <c r="N2659" t="s">
        <v>1628</v>
      </c>
      <c r="O2659" t="s">
        <v>1628</v>
      </c>
      <c r="P2659" t="s">
        <v>1628</v>
      </c>
      <c r="Q2659">
        <f>LEN(AMAZON_FASHION_5__2[[#This Row],[reviewText]])</f>
        <v>93</v>
      </c>
      <c r="R2659" t="str">
        <f>IF(AMAZON_FASHION_5__2[[#This Row],[overall]]&gt;=4,"Positive",IF(AMAZON_FASHION_5__2[[#This Row],[overall]]&lt;=2,"Negative","Neutral"))</f>
        <v>Positive</v>
      </c>
      <c r="S26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60" spans="1:19" x14ac:dyDescent="0.25">
      <c r="A2660">
        <v>5</v>
      </c>
      <c r="B2660" t="b">
        <v>1</v>
      </c>
      <c r="C2660" s="1">
        <v>42702</v>
      </c>
      <c r="D2660">
        <f>YEAR(AMAZON_FASHION_5__2[[#This Row],[reviewDate]])</f>
        <v>2016</v>
      </c>
      <c r="E2660" s="1" t="str">
        <f>TEXT(AMAZON_FASHION_5__2[[#This Row],[reviewDate]], "mmmm")</f>
        <v>November</v>
      </c>
      <c r="F2660" t="s">
        <v>1172</v>
      </c>
      <c r="G2660" t="s">
        <v>1566</v>
      </c>
      <c r="H2660" t="s">
        <v>1571</v>
      </c>
      <c r="I2660" t="s">
        <v>198</v>
      </c>
      <c r="J2660" t="s">
        <v>1076</v>
      </c>
      <c r="K2660" t="s">
        <v>1173</v>
      </c>
      <c r="L2660" t="s">
        <v>17</v>
      </c>
      <c r="M2660">
        <v>1480291200</v>
      </c>
      <c r="N2660" t="s">
        <v>1628</v>
      </c>
      <c r="O2660" t="s">
        <v>1628</v>
      </c>
      <c r="P2660" t="s">
        <v>1628</v>
      </c>
      <c r="Q2660">
        <f>LEN(AMAZON_FASHION_5__2[[#This Row],[reviewText]])</f>
        <v>90</v>
      </c>
      <c r="R2660" t="str">
        <f>IF(AMAZON_FASHION_5__2[[#This Row],[overall]]&gt;=4,"Positive",IF(AMAZON_FASHION_5__2[[#This Row],[overall]]&lt;=2,"Negative","Neutral"))</f>
        <v>Positive</v>
      </c>
      <c r="S26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61" spans="1:19" x14ac:dyDescent="0.25">
      <c r="A2661">
        <v>5</v>
      </c>
      <c r="B2661" t="b">
        <v>1</v>
      </c>
      <c r="C2661" s="1">
        <v>42701</v>
      </c>
      <c r="D2661">
        <f>YEAR(AMAZON_FASHION_5__2[[#This Row],[reviewDate]])</f>
        <v>2016</v>
      </c>
      <c r="E2661" s="1" t="str">
        <f>TEXT(AMAZON_FASHION_5__2[[#This Row],[reviewDate]], "mmmm")</f>
        <v>November</v>
      </c>
      <c r="F2661" t="s">
        <v>1174</v>
      </c>
      <c r="G2661" t="s">
        <v>1566</v>
      </c>
      <c r="H2661" t="s">
        <v>1596</v>
      </c>
      <c r="I2661" t="s">
        <v>849</v>
      </c>
      <c r="J2661" t="s">
        <v>1175</v>
      </c>
      <c r="K2661" t="s">
        <v>1176</v>
      </c>
      <c r="L2661" t="s">
        <v>877</v>
      </c>
      <c r="M2661">
        <v>1480204800</v>
      </c>
      <c r="N2661" t="s">
        <v>1628</v>
      </c>
      <c r="O2661" t="s">
        <v>1628</v>
      </c>
      <c r="P2661" t="s">
        <v>1628</v>
      </c>
      <c r="Q2661">
        <f>LEN(AMAZON_FASHION_5__2[[#This Row],[reviewText]])</f>
        <v>338</v>
      </c>
      <c r="R2661" t="str">
        <f>IF(AMAZON_FASHION_5__2[[#This Row],[overall]]&gt;=4,"Positive",IF(AMAZON_FASHION_5__2[[#This Row],[overall]]&lt;=2,"Negative","Neutral"))</f>
        <v>Positive</v>
      </c>
      <c r="S26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62" spans="1:19" x14ac:dyDescent="0.25">
      <c r="A2662">
        <v>5</v>
      </c>
      <c r="B2662" t="b">
        <v>1</v>
      </c>
      <c r="C2662" s="1">
        <v>42697</v>
      </c>
      <c r="D2662">
        <f>YEAR(AMAZON_FASHION_5__2[[#This Row],[reviewDate]])</f>
        <v>2016</v>
      </c>
      <c r="E2662" s="1" t="str">
        <f>TEXT(AMAZON_FASHION_5__2[[#This Row],[reviewDate]], "mmmm")</f>
        <v>November</v>
      </c>
      <c r="F2662" t="s">
        <v>1177</v>
      </c>
      <c r="G2662" t="s">
        <v>1566</v>
      </c>
      <c r="H2662" t="s">
        <v>1578</v>
      </c>
      <c r="I2662" t="s">
        <v>198</v>
      </c>
      <c r="J2662" t="s">
        <v>1178</v>
      </c>
      <c r="K2662" t="s">
        <v>1179</v>
      </c>
      <c r="L2662" t="s">
        <v>1180</v>
      </c>
      <c r="M2662">
        <v>1479859200</v>
      </c>
      <c r="N2662" t="s">
        <v>1628</v>
      </c>
      <c r="O2662" t="s">
        <v>1628</v>
      </c>
      <c r="P2662" t="s">
        <v>1628</v>
      </c>
      <c r="Q2662">
        <f>LEN(AMAZON_FASHION_5__2[[#This Row],[reviewText]])</f>
        <v>76</v>
      </c>
      <c r="R2662" t="str">
        <f>IF(AMAZON_FASHION_5__2[[#This Row],[overall]]&gt;=4,"Positive",IF(AMAZON_FASHION_5__2[[#This Row],[overall]]&lt;=2,"Negative","Neutral"))</f>
        <v>Positive</v>
      </c>
      <c r="S26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63" spans="1:19" x14ac:dyDescent="0.25">
      <c r="A2663">
        <v>4</v>
      </c>
      <c r="B2663" t="b">
        <v>0</v>
      </c>
      <c r="C2663" s="1">
        <v>42695</v>
      </c>
      <c r="D2663">
        <f>YEAR(AMAZON_FASHION_5__2[[#This Row],[reviewDate]])</f>
        <v>2016</v>
      </c>
      <c r="E2663" s="1" t="str">
        <f>TEXT(AMAZON_FASHION_5__2[[#This Row],[reviewDate]], "mmmm")</f>
        <v>November</v>
      </c>
      <c r="F2663" t="s">
        <v>1181</v>
      </c>
      <c r="G2663" t="s">
        <v>1566</v>
      </c>
      <c r="H2663" t="s">
        <v>320</v>
      </c>
      <c r="I2663" t="s">
        <v>574</v>
      </c>
      <c r="J2663" t="s">
        <v>1182</v>
      </c>
      <c r="K2663" t="s">
        <v>1183</v>
      </c>
      <c r="L2663" t="s">
        <v>1184</v>
      </c>
      <c r="M2663">
        <v>1479686400</v>
      </c>
      <c r="N2663" t="s">
        <v>1628</v>
      </c>
      <c r="O2663" t="s">
        <v>1628</v>
      </c>
      <c r="P2663" t="s">
        <v>1628</v>
      </c>
      <c r="Q2663">
        <f>LEN(AMAZON_FASHION_5__2[[#This Row],[reviewText]])</f>
        <v>767</v>
      </c>
      <c r="R2663" t="str">
        <f>IF(AMAZON_FASHION_5__2[[#This Row],[overall]]&gt;=4,"Positive",IF(AMAZON_FASHION_5__2[[#This Row],[overall]]&lt;=2,"Negative","Neutral"))</f>
        <v>Positive</v>
      </c>
      <c r="S26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64" spans="1:19" x14ac:dyDescent="0.25">
      <c r="A2664">
        <v>4</v>
      </c>
      <c r="B2664" t="b">
        <v>1</v>
      </c>
      <c r="C2664" s="1">
        <v>42690</v>
      </c>
      <c r="D2664">
        <f>YEAR(AMAZON_FASHION_5__2[[#This Row],[reviewDate]])</f>
        <v>2016</v>
      </c>
      <c r="E2664" s="1" t="str">
        <f>TEXT(AMAZON_FASHION_5__2[[#This Row],[reviewDate]], "mmmm")</f>
        <v>November</v>
      </c>
      <c r="F2664" t="s">
        <v>1185</v>
      </c>
      <c r="G2664" t="s">
        <v>1566</v>
      </c>
      <c r="H2664" t="s">
        <v>1571</v>
      </c>
      <c r="I2664" t="s">
        <v>396</v>
      </c>
      <c r="J2664" t="s">
        <v>1186</v>
      </c>
      <c r="K2664" t="s">
        <v>1187</v>
      </c>
      <c r="L2664" t="s">
        <v>103</v>
      </c>
      <c r="M2664">
        <v>1479254400</v>
      </c>
      <c r="N2664" t="s">
        <v>1628</v>
      </c>
      <c r="O2664" t="s">
        <v>1628</v>
      </c>
      <c r="P2664" t="s">
        <v>1628</v>
      </c>
      <c r="Q2664">
        <f>LEN(AMAZON_FASHION_5__2[[#This Row],[reviewText]])</f>
        <v>49</v>
      </c>
      <c r="R2664" t="str">
        <f>IF(AMAZON_FASHION_5__2[[#This Row],[overall]]&gt;=4,"Positive",IF(AMAZON_FASHION_5__2[[#This Row],[overall]]&lt;=2,"Negative","Neutral"))</f>
        <v>Positive</v>
      </c>
      <c r="S26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65" spans="1:19" x14ac:dyDescent="0.25">
      <c r="A2665">
        <v>5</v>
      </c>
      <c r="B2665" t="b">
        <v>1</v>
      </c>
      <c r="C2665" s="1">
        <v>42690</v>
      </c>
      <c r="D2665">
        <f>YEAR(AMAZON_FASHION_5__2[[#This Row],[reviewDate]])</f>
        <v>2016</v>
      </c>
      <c r="E2665" s="1" t="str">
        <f>TEXT(AMAZON_FASHION_5__2[[#This Row],[reviewDate]], "mmmm")</f>
        <v>November</v>
      </c>
      <c r="F2665" t="s">
        <v>1188</v>
      </c>
      <c r="G2665" t="s">
        <v>1566</v>
      </c>
      <c r="H2665" t="s">
        <v>1571</v>
      </c>
      <c r="I2665" t="s">
        <v>198</v>
      </c>
      <c r="J2665" t="s">
        <v>63</v>
      </c>
      <c r="K2665" t="s">
        <v>1189</v>
      </c>
      <c r="L2665" t="s">
        <v>17</v>
      </c>
      <c r="M2665">
        <v>1479254400</v>
      </c>
      <c r="N2665" t="s">
        <v>1628</v>
      </c>
      <c r="O2665" t="s">
        <v>1628</v>
      </c>
      <c r="P2665" t="s">
        <v>1628</v>
      </c>
      <c r="Q2665">
        <f>LEN(AMAZON_FASHION_5__2[[#This Row],[reviewText]])</f>
        <v>9</v>
      </c>
      <c r="R2665" t="str">
        <f>IF(AMAZON_FASHION_5__2[[#This Row],[overall]]&gt;=4,"Positive",IF(AMAZON_FASHION_5__2[[#This Row],[overall]]&lt;=2,"Negative","Neutral"))</f>
        <v>Positive</v>
      </c>
      <c r="S26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66" spans="1:19" x14ac:dyDescent="0.25">
      <c r="A2666">
        <v>3</v>
      </c>
      <c r="B2666" t="b">
        <v>1</v>
      </c>
      <c r="C2666" s="1">
        <v>42688</v>
      </c>
      <c r="D2666">
        <f>YEAR(AMAZON_FASHION_5__2[[#This Row],[reviewDate]])</f>
        <v>2016</v>
      </c>
      <c r="E2666" s="1" t="str">
        <f>TEXT(AMAZON_FASHION_5__2[[#This Row],[reviewDate]], "mmmm")</f>
        <v>November</v>
      </c>
      <c r="F2666" t="s">
        <v>1190</v>
      </c>
      <c r="G2666" t="s">
        <v>1566</v>
      </c>
      <c r="H2666" t="s">
        <v>1578</v>
      </c>
      <c r="I2666" t="s">
        <v>524</v>
      </c>
      <c r="J2666" t="s">
        <v>1191</v>
      </c>
      <c r="K2666" t="s">
        <v>1192</v>
      </c>
      <c r="L2666" t="s">
        <v>1193</v>
      </c>
      <c r="M2666">
        <v>1479081600</v>
      </c>
      <c r="N2666" t="s">
        <v>1628</v>
      </c>
      <c r="O2666" t="s">
        <v>1628</v>
      </c>
      <c r="P2666" t="s">
        <v>1628</v>
      </c>
      <c r="Q2666">
        <f>LEN(AMAZON_FASHION_5__2[[#This Row],[reviewText]])</f>
        <v>92</v>
      </c>
      <c r="R2666" t="str">
        <f>IF(AMAZON_FASHION_5__2[[#This Row],[overall]]&gt;=4,"Positive",IF(AMAZON_FASHION_5__2[[#This Row],[overall]]&lt;=2,"Negative","Neutral"))</f>
        <v>Neutral</v>
      </c>
      <c r="S26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67" spans="1:19" x14ac:dyDescent="0.25">
      <c r="A2667">
        <v>5</v>
      </c>
      <c r="B2667" t="b">
        <v>1</v>
      </c>
      <c r="C2667" s="1">
        <v>42685</v>
      </c>
      <c r="D2667">
        <f>YEAR(AMAZON_FASHION_5__2[[#This Row],[reviewDate]])</f>
        <v>2016</v>
      </c>
      <c r="E2667" s="1" t="str">
        <f>TEXT(AMAZON_FASHION_5__2[[#This Row],[reviewDate]], "mmmm")</f>
        <v>November</v>
      </c>
      <c r="F2667" t="s">
        <v>1194</v>
      </c>
      <c r="G2667" t="s">
        <v>1566</v>
      </c>
      <c r="H2667" t="s">
        <v>1568</v>
      </c>
      <c r="I2667" t="s">
        <v>303</v>
      </c>
      <c r="J2667" t="s">
        <v>1195</v>
      </c>
      <c r="K2667" t="s">
        <v>1196</v>
      </c>
      <c r="L2667" t="s">
        <v>1197</v>
      </c>
      <c r="M2667">
        <v>1478822400</v>
      </c>
      <c r="N2667" t="s">
        <v>1628</v>
      </c>
      <c r="O2667" t="s">
        <v>1628</v>
      </c>
      <c r="P2667" t="s">
        <v>1628</v>
      </c>
      <c r="Q2667">
        <f>LEN(AMAZON_FASHION_5__2[[#This Row],[reviewText]])</f>
        <v>133</v>
      </c>
      <c r="R2667" t="str">
        <f>IF(AMAZON_FASHION_5__2[[#This Row],[overall]]&gt;=4,"Positive",IF(AMAZON_FASHION_5__2[[#This Row],[overall]]&lt;=2,"Negative","Neutral"))</f>
        <v>Positive</v>
      </c>
      <c r="S26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68" spans="1:19" x14ac:dyDescent="0.25">
      <c r="A2668">
        <v>4</v>
      </c>
      <c r="B2668" t="b">
        <v>1</v>
      </c>
      <c r="C2668" s="1">
        <v>42685</v>
      </c>
      <c r="D2668">
        <f>YEAR(AMAZON_FASHION_5__2[[#This Row],[reviewDate]])</f>
        <v>2016</v>
      </c>
      <c r="E2668" s="1" t="str">
        <f>TEXT(AMAZON_FASHION_5__2[[#This Row],[reviewDate]], "mmmm")</f>
        <v>November</v>
      </c>
      <c r="F2668" t="s">
        <v>1198</v>
      </c>
      <c r="G2668" t="s">
        <v>1566</v>
      </c>
      <c r="H2668" t="s">
        <v>1598</v>
      </c>
      <c r="I2668" t="s">
        <v>396</v>
      </c>
      <c r="J2668" t="s">
        <v>1199</v>
      </c>
      <c r="K2668" t="s">
        <v>1200</v>
      </c>
      <c r="L2668" t="s">
        <v>103</v>
      </c>
      <c r="M2668">
        <v>1478822400</v>
      </c>
      <c r="N2668" t="s">
        <v>1628</v>
      </c>
      <c r="O2668" t="s">
        <v>1628</v>
      </c>
      <c r="P2668" t="s">
        <v>1628</v>
      </c>
      <c r="Q2668">
        <f>LEN(AMAZON_FASHION_5__2[[#This Row],[reviewText]])</f>
        <v>25</v>
      </c>
      <c r="R2668" t="str">
        <f>IF(AMAZON_FASHION_5__2[[#This Row],[overall]]&gt;=4,"Positive",IF(AMAZON_FASHION_5__2[[#This Row],[overall]]&lt;=2,"Negative","Neutral"))</f>
        <v>Positive</v>
      </c>
      <c r="S26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69" spans="1:19" x14ac:dyDescent="0.25">
      <c r="A2669">
        <v>5</v>
      </c>
      <c r="B2669" t="b">
        <v>1</v>
      </c>
      <c r="C2669" s="1">
        <v>42683</v>
      </c>
      <c r="D2669">
        <f>YEAR(AMAZON_FASHION_5__2[[#This Row],[reviewDate]])</f>
        <v>2016</v>
      </c>
      <c r="E2669" s="1" t="str">
        <f>TEXT(AMAZON_FASHION_5__2[[#This Row],[reviewDate]], "mmmm")</f>
        <v>November</v>
      </c>
      <c r="F2669" t="s">
        <v>1201</v>
      </c>
      <c r="G2669" t="s">
        <v>1566</v>
      </c>
      <c r="H2669" t="s">
        <v>1574</v>
      </c>
      <c r="I2669" t="s">
        <v>198</v>
      </c>
      <c r="J2669" t="s">
        <v>63</v>
      </c>
      <c r="K2669" t="s">
        <v>1202</v>
      </c>
      <c r="L2669" t="s">
        <v>1203</v>
      </c>
      <c r="M2669">
        <v>1478649600</v>
      </c>
      <c r="N2669" t="s">
        <v>1628</v>
      </c>
      <c r="O2669" t="s">
        <v>1628</v>
      </c>
      <c r="P2669" t="s">
        <v>1628</v>
      </c>
      <c r="Q2669">
        <f>LEN(AMAZON_FASHION_5__2[[#This Row],[reviewText]])</f>
        <v>64</v>
      </c>
      <c r="R2669" t="str">
        <f>IF(AMAZON_FASHION_5__2[[#This Row],[overall]]&gt;=4,"Positive",IF(AMAZON_FASHION_5__2[[#This Row],[overall]]&lt;=2,"Negative","Neutral"))</f>
        <v>Positive</v>
      </c>
      <c r="S26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70" spans="1:19" x14ac:dyDescent="0.25">
      <c r="A2670">
        <v>4</v>
      </c>
      <c r="B2670" t="b">
        <v>1</v>
      </c>
      <c r="C2670" s="1">
        <v>42682</v>
      </c>
      <c r="D2670">
        <f>YEAR(AMAZON_FASHION_5__2[[#This Row],[reviewDate]])</f>
        <v>2016</v>
      </c>
      <c r="E2670" s="1" t="str">
        <f>TEXT(AMAZON_FASHION_5__2[[#This Row],[reviewDate]], "mmmm")</f>
        <v>November</v>
      </c>
      <c r="F2670" t="s">
        <v>1204</v>
      </c>
      <c r="G2670" t="s">
        <v>1566</v>
      </c>
      <c r="H2670" t="s">
        <v>1599</v>
      </c>
      <c r="I2670" t="s">
        <v>827</v>
      </c>
      <c r="J2670" t="s">
        <v>1205</v>
      </c>
      <c r="K2670" t="s">
        <v>1206</v>
      </c>
      <c r="L2670" t="s">
        <v>1207</v>
      </c>
      <c r="M2670">
        <v>1478563200</v>
      </c>
      <c r="N2670" t="s">
        <v>1628</v>
      </c>
      <c r="O2670" t="s">
        <v>1628</v>
      </c>
      <c r="P2670" t="s">
        <v>1628</v>
      </c>
      <c r="Q2670">
        <f>LEN(AMAZON_FASHION_5__2[[#This Row],[reviewText]])</f>
        <v>83</v>
      </c>
      <c r="R2670" t="str">
        <f>IF(AMAZON_FASHION_5__2[[#This Row],[overall]]&gt;=4,"Positive",IF(AMAZON_FASHION_5__2[[#This Row],[overall]]&lt;=2,"Negative","Neutral"))</f>
        <v>Positive</v>
      </c>
      <c r="S26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71" spans="1:19" x14ac:dyDescent="0.25">
      <c r="A2671">
        <v>5</v>
      </c>
      <c r="B2671" t="b">
        <v>1</v>
      </c>
      <c r="C2671" s="1">
        <v>42681</v>
      </c>
      <c r="D2671">
        <f>YEAR(AMAZON_FASHION_5__2[[#This Row],[reviewDate]])</f>
        <v>2016</v>
      </c>
      <c r="E2671" s="1" t="str">
        <f>TEXT(AMAZON_FASHION_5__2[[#This Row],[reviewDate]], "mmmm")</f>
        <v>November</v>
      </c>
      <c r="F2671" t="s">
        <v>1208</v>
      </c>
      <c r="G2671" t="s">
        <v>1566</v>
      </c>
      <c r="H2671" t="s">
        <v>1596</v>
      </c>
      <c r="I2671" t="s">
        <v>198</v>
      </c>
      <c r="J2671" t="s">
        <v>1209</v>
      </c>
      <c r="K2671" t="s">
        <v>1210</v>
      </c>
      <c r="L2671" t="s">
        <v>1211</v>
      </c>
      <c r="M2671">
        <v>1478476800</v>
      </c>
      <c r="N2671" t="s">
        <v>1628</v>
      </c>
      <c r="O2671" t="s">
        <v>1628</v>
      </c>
      <c r="P2671">
        <v>3</v>
      </c>
      <c r="Q2671">
        <f>LEN(AMAZON_FASHION_5__2[[#This Row],[reviewText]])</f>
        <v>235</v>
      </c>
      <c r="R2671" t="str">
        <f>IF(AMAZON_FASHION_5__2[[#This Row],[overall]]&gt;=4,"Positive",IF(AMAZON_FASHION_5__2[[#This Row],[overall]]&lt;=2,"Negative","Neutral"))</f>
        <v>Positive</v>
      </c>
      <c r="S26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72" spans="1:19" x14ac:dyDescent="0.25">
      <c r="A2672">
        <v>3</v>
      </c>
      <c r="B2672" t="b">
        <v>1</v>
      </c>
      <c r="C2672" s="1">
        <v>42680</v>
      </c>
      <c r="D2672">
        <f>YEAR(AMAZON_FASHION_5__2[[#This Row],[reviewDate]])</f>
        <v>2016</v>
      </c>
      <c r="E2672" s="1" t="str">
        <f>TEXT(AMAZON_FASHION_5__2[[#This Row],[reviewDate]], "mmmm")</f>
        <v>November</v>
      </c>
      <c r="F2672" t="s">
        <v>1212</v>
      </c>
      <c r="G2672" t="s">
        <v>1566</v>
      </c>
      <c r="H2672" t="s">
        <v>1571</v>
      </c>
      <c r="I2672" t="s">
        <v>827</v>
      </c>
      <c r="J2672" t="s">
        <v>1213</v>
      </c>
      <c r="K2672" t="s">
        <v>1214</v>
      </c>
      <c r="L2672" t="s">
        <v>1215</v>
      </c>
      <c r="M2672">
        <v>1478390400</v>
      </c>
      <c r="N2672" t="s">
        <v>1628</v>
      </c>
      <c r="O2672" t="s">
        <v>1628</v>
      </c>
      <c r="P2672" t="s">
        <v>1628</v>
      </c>
      <c r="Q2672">
        <f>LEN(AMAZON_FASHION_5__2[[#This Row],[reviewText]])</f>
        <v>115</v>
      </c>
      <c r="R2672" t="str">
        <f>IF(AMAZON_FASHION_5__2[[#This Row],[overall]]&gt;=4,"Positive",IF(AMAZON_FASHION_5__2[[#This Row],[overall]]&lt;=2,"Negative","Neutral"))</f>
        <v>Neutral</v>
      </c>
      <c r="S26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73" spans="1:19" x14ac:dyDescent="0.25">
      <c r="A2673">
        <v>3</v>
      </c>
      <c r="B2673" t="b">
        <v>1</v>
      </c>
      <c r="C2673" s="1">
        <v>42673</v>
      </c>
      <c r="D2673">
        <f>YEAR(AMAZON_FASHION_5__2[[#This Row],[reviewDate]])</f>
        <v>2016</v>
      </c>
      <c r="E2673" s="1" t="str">
        <f>TEXT(AMAZON_FASHION_5__2[[#This Row],[reviewDate]], "mmmm")</f>
        <v>October</v>
      </c>
      <c r="F2673" t="s">
        <v>1216</v>
      </c>
      <c r="G2673" t="s">
        <v>1566</v>
      </c>
      <c r="H2673" t="s">
        <v>1596</v>
      </c>
      <c r="I2673" t="s">
        <v>396</v>
      </c>
      <c r="J2673" t="s">
        <v>1217</v>
      </c>
      <c r="K2673" t="s">
        <v>1218</v>
      </c>
      <c r="L2673" t="s">
        <v>1219</v>
      </c>
      <c r="M2673">
        <v>1477785600</v>
      </c>
      <c r="N2673" t="s">
        <v>1628</v>
      </c>
      <c r="O2673" t="s">
        <v>1628</v>
      </c>
      <c r="P2673" t="s">
        <v>1628</v>
      </c>
      <c r="Q2673">
        <f>LEN(AMAZON_FASHION_5__2[[#This Row],[reviewText]])</f>
        <v>228</v>
      </c>
      <c r="R2673" t="str">
        <f>IF(AMAZON_FASHION_5__2[[#This Row],[overall]]&gt;=4,"Positive",IF(AMAZON_FASHION_5__2[[#This Row],[overall]]&lt;=2,"Negative","Neutral"))</f>
        <v>Neutral</v>
      </c>
      <c r="S26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74" spans="1:19" x14ac:dyDescent="0.25">
      <c r="A2674">
        <v>5</v>
      </c>
      <c r="B2674" t="b">
        <v>1</v>
      </c>
      <c r="C2674" s="1">
        <v>42672</v>
      </c>
      <c r="D2674">
        <f>YEAR(AMAZON_FASHION_5__2[[#This Row],[reviewDate]])</f>
        <v>2016</v>
      </c>
      <c r="E2674" s="1" t="str">
        <f>TEXT(AMAZON_FASHION_5__2[[#This Row],[reviewDate]], "mmmm")</f>
        <v>October</v>
      </c>
      <c r="F2674" t="s">
        <v>1220</v>
      </c>
      <c r="G2674" t="s">
        <v>1566</v>
      </c>
      <c r="H2674" t="s">
        <v>1567</v>
      </c>
      <c r="I2674" t="s">
        <v>274</v>
      </c>
      <c r="J2674" t="s">
        <v>1221</v>
      </c>
      <c r="K2674" t="s">
        <v>1222</v>
      </c>
      <c r="L2674" t="s">
        <v>1223</v>
      </c>
      <c r="M2674">
        <v>1477699200</v>
      </c>
      <c r="N2674" t="s">
        <v>1628</v>
      </c>
      <c r="O2674" t="s">
        <v>1628</v>
      </c>
      <c r="P2674" t="s">
        <v>1628</v>
      </c>
      <c r="Q2674">
        <f>LEN(AMAZON_FASHION_5__2[[#This Row],[reviewText]])</f>
        <v>59</v>
      </c>
      <c r="R2674" t="str">
        <f>IF(AMAZON_FASHION_5__2[[#This Row],[overall]]&gt;=4,"Positive",IF(AMAZON_FASHION_5__2[[#This Row],[overall]]&lt;=2,"Negative","Neutral"))</f>
        <v>Positive</v>
      </c>
      <c r="S26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75" spans="1:19" x14ac:dyDescent="0.25">
      <c r="A2675">
        <v>3</v>
      </c>
      <c r="B2675" t="b">
        <v>1</v>
      </c>
      <c r="C2675" s="1">
        <v>42669</v>
      </c>
      <c r="D2675">
        <f>YEAR(AMAZON_FASHION_5__2[[#This Row],[reviewDate]])</f>
        <v>2016</v>
      </c>
      <c r="E2675" s="1" t="str">
        <f>TEXT(AMAZON_FASHION_5__2[[#This Row],[reviewDate]], "mmmm")</f>
        <v>October</v>
      </c>
      <c r="F2675" t="s">
        <v>1224</v>
      </c>
      <c r="G2675" t="s">
        <v>1566</v>
      </c>
      <c r="H2675" t="s">
        <v>1571</v>
      </c>
      <c r="I2675" t="s">
        <v>198</v>
      </c>
      <c r="J2675" t="s">
        <v>1225</v>
      </c>
      <c r="K2675" t="s">
        <v>1226</v>
      </c>
      <c r="L2675" t="s">
        <v>1227</v>
      </c>
      <c r="M2675">
        <v>1477440000</v>
      </c>
      <c r="N2675" t="s">
        <v>1628</v>
      </c>
      <c r="O2675" t="s">
        <v>1628</v>
      </c>
      <c r="P2675" t="s">
        <v>1628</v>
      </c>
      <c r="Q2675">
        <f>LEN(AMAZON_FASHION_5__2[[#This Row],[reviewText]])</f>
        <v>333</v>
      </c>
      <c r="R2675" t="str">
        <f>IF(AMAZON_FASHION_5__2[[#This Row],[overall]]&gt;=4,"Positive",IF(AMAZON_FASHION_5__2[[#This Row],[overall]]&lt;=2,"Negative","Neutral"))</f>
        <v>Neutral</v>
      </c>
      <c r="S26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76" spans="1:19" x14ac:dyDescent="0.25">
      <c r="A2676">
        <v>5</v>
      </c>
      <c r="B2676" t="b">
        <v>1</v>
      </c>
      <c r="C2676" s="1">
        <v>42668</v>
      </c>
      <c r="D2676">
        <f>YEAR(AMAZON_FASHION_5__2[[#This Row],[reviewDate]])</f>
        <v>2016</v>
      </c>
      <c r="E2676" s="1" t="str">
        <f>TEXT(AMAZON_FASHION_5__2[[#This Row],[reviewDate]], "mmmm")</f>
        <v>October</v>
      </c>
      <c r="F2676" t="s">
        <v>1228</v>
      </c>
      <c r="G2676" t="s">
        <v>1566</v>
      </c>
      <c r="H2676" t="s">
        <v>1595</v>
      </c>
      <c r="I2676" t="s">
        <v>1455</v>
      </c>
      <c r="J2676" t="s">
        <v>1229</v>
      </c>
      <c r="K2676" t="s">
        <v>1230</v>
      </c>
      <c r="L2676" t="s">
        <v>17</v>
      </c>
      <c r="M2676">
        <v>1477353600</v>
      </c>
      <c r="N2676" t="s">
        <v>1628</v>
      </c>
      <c r="O2676" t="s">
        <v>1628</v>
      </c>
      <c r="P2676" t="s">
        <v>1628</v>
      </c>
      <c r="Q2676">
        <f>LEN(AMAZON_FASHION_5__2[[#This Row],[reviewText]])</f>
        <v>33</v>
      </c>
      <c r="R2676" t="str">
        <f>IF(AMAZON_FASHION_5__2[[#This Row],[overall]]&gt;=4,"Positive",IF(AMAZON_FASHION_5__2[[#This Row],[overall]]&lt;=2,"Negative","Neutral"))</f>
        <v>Positive</v>
      </c>
      <c r="S26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77" spans="1:19" x14ac:dyDescent="0.25">
      <c r="A2677">
        <v>5</v>
      </c>
      <c r="B2677" t="b">
        <v>0</v>
      </c>
      <c r="C2677" s="1">
        <v>42667</v>
      </c>
      <c r="D2677">
        <f>YEAR(AMAZON_FASHION_5__2[[#This Row],[reviewDate]])</f>
        <v>2016</v>
      </c>
      <c r="E2677" s="1" t="str">
        <f>TEXT(AMAZON_FASHION_5__2[[#This Row],[reviewDate]], "mmmm")</f>
        <v>October</v>
      </c>
      <c r="F2677" t="s">
        <v>1231</v>
      </c>
      <c r="G2677" t="s">
        <v>1566</v>
      </c>
      <c r="H2677" t="s">
        <v>1574</v>
      </c>
      <c r="I2677" t="s">
        <v>419</v>
      </c>
      <c r="J2677" t="s">
        <v>63</v>
      </c>
      <c r="K2677" t="s">
        <v>1232</v>
      </c>
      <c r="L2677" t="s">
        <v>1233</v>
      </c>
      <c r="M2677">
        <v>1477267200</v>
      </c>
      <c r="N2677" t="s">
        <v>1628</v>
      </c>
      <c r="O2677" t="s">
        <v>1628</v>
      </c>
      <c r="P2677" t="s">
        <v>1628</v>
      </c>
      <c r="Q2677">
        <f>LEN(AMAZON_FASHION_5__2[[#This Row],[reviewText]])</f>
        <v>86</v>
      </c>
      <c r="R2677" t="str">
        <f>IF(AMAZON_FASHION_5__2[[#This Row],[overall]]&gt;=4,"Positive",IF(AMAZON_FASHION_5__2[[#This Row],[overall]]&lt;=2,"Negative","Neutral"))</f>
        <v>Positive</v>
      </c>
      <c r="S26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78" spans="1:19" x14ac:dyDescent="0.25">
      <c r="A2678">
        <v>5</v>
      </c>
      <c r="B2678" t="b">
        <v>1</v>
      </c>
      <c r="C2678" s="1">
        <v>42667</v>
      </c>
      <c r="D2678">
        <f>YEAR(AMAZON_FASHION_5__2[[#This Row],[reviewDate]])</f>
        <v>2016</v>
      </c>
      <c r="E2678" s="1" t="str">
        <f>TEXT(AMAZON_FASHION_5__2[[#This Row],[reviewDate]], "mmmm")</f>
        <v>October</v>
      </c>
      <c r="F2678" t="s">
        <v>1234</v>
      </c>
      <c r="G2678" t="s">
        <v>1566</v>
      </c>
      <c r="H2678" t="s">
        <v>1574</v>
      </c>
      <c r="I2678" t="s">
        <v>493</v>
      </c>
      <c r="J2678" t="s">
        <v>1235</v>
      </c>
      <c r="K2678" t="s">
        <v>1236</v>
      </c>
      <c r="L2678" t="s">
        <v>17</v>
      </c>
      <c r="M2678">
        <v>1477267200</v>
      </c>
      <c r="N2678" t="s">
        <v>1628</v>
      </c>
      <c r="O2678" t="s">
        <v>1628</v>
      </c>
      <c r="P2678" t="s">
        <v>1628</v>
      </c>
      <c r="Q2678">
        <f>LEN(AMAZON_FASHION_5__2[[#This Row],[reviewText]])</f>
        <v>24</v>
      </c>
      <c r="R2678" t="str">
        <f>IF(AMAZON_FASHION_5__2[[#This Row],[overall]]&gt;=4,"Positive",IF(AMAZON_FASHION_5__2[[#This Row],[overall]]&lt;=2,"Negative","Neutral"))</f>
        <v>Positive</v>
      </c>
      <c r="S26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79" spans="1:19" x14ac:dyDescent="0.25">
      <c r="A2679">
        <v>5</v>
      </c>
      <c r="B2679" t="b">
        <v>1</v>
      </c>
      <c r="C2679" s="1">
        <v>42662</v>
      </c>
      <c r="D2679">
        <f>YEAR(AMAZON_FASHION_5__2[[#This Row],[reviewDate]])</f>
        <v>2016</v>
      </c>
      <c r="E2679" s="1" t="str">
        <f>TEXT(AMAZON_FASHION_5__2[[#This Row],[reviewDate]], "mmmm")</f>
        <v>October</v>
      </c>
      <c r="F2679" t="s">
        <v>1237</v>
      </c>
      <c r="G2679" t="s">
        <v>1566</v>
      </c>
      <c r="H2679" t="s">
        <v>320</v>
      </c>
      <c r="I2679" t="s">
        <v>198</v>
      </c>
      <c r="J2679" t="s">
        <v>63</v>
      </c>
      <c r="K2679" t="s">
        <v>1238</v>
      </c>
      <c r="L2679" t="s">
        <v>1239</v>
      </c>
      <c r="M2679">
        <v>1476835200</v>
      </c>
      <c r="N2679" t="s">
        <v>1628</v>
      </c>
      <c r="O2679" t="s">
        <v>1628</v>
      </c>
      <c r="P2679" t="s">
        <v>1628</v>
      </c>
      <c r="Q2679">
        <f>LEN(AMAZON_FASHION_5__2[[#This Row],[reviewText]])</f>
        <v>35</v>
      </c>
      <c r="R2679" t="str">
        <f>IF(AMAZON_FASHION_5__2[[#This Row],[overall]]&gt;=4,"Positive",IF(AMAZON_FASHION_5__2[[#This Row],[overall]]&lt;=2,"Negative","Neutral"))</f>
        <v>Positive</v>
      </c>
      <c r="S26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80" spans="1:19" x14ac:dyDescent="0.25">
      <c r="A2680">
        <v>5</v>
      </c>
      <c r="B2680" t="b">
        <v>1</v>
      </c>
      <c r="C2680" s="1">
        <v>42660</v>
      </c>
      <c r="D2680">
        <f>YEAR(AMAZON_FASHION_5__2[[#This Row],[reviewDate]])</f>
        <v>2016</v>
      </c>
      <c r="E2680" s="1" t="str">
        <f>TEXT(AMAZON_FASHION_5__2[[#This Row],[reviewDate]], "mmmm")</f>
        <v>October</v>
      </c>
      <c r="F2680" t="s">
        <v>1240</v>
      </c>
      <c r="G2680" t="s">
        <v>1566</v>
      </c>
      <c r="H2680" t="s">
        <v>1598</v>
      </c>
      <c r="I2680" t="s">
        <v>396</v>
      </c>
      <c r="J2680" t="s">
        <v>1241</v>
      </c>
      <c r="K2680" t="s">
        <v>1242</v>
      </c>
      <c r="L2680" t="s">
        <v>1243</v>
      </c>
      <c r="M2680">
        <v>1476662400</v>
      </c>
      <c r="N2680" t="s">
        <v>1628</v>
      </c>
      <c r="O2680" t="s">
        <v>1628</v>
      </c>
      <c r="P2680">
        <v>5</v>
      </c>
      <c r="Q2680">
        <f>LEN(AMAZON_FASHION_5__2[[#This Row],[reviewText]])</f>
        <v>106</v>
      </c>
      <c r="R2680" t="str">
        <f>IF(AMAZON_FASHION_5__2[[#This Row],[overall]]&gt;=4,"Positive",IF(AMAZON_FASHION_5__2[[#This Row],[overall]]&lt;=2,"Negative","Neutral"))</f>
        <v>Positive</v>
      </c>
      <c r="S26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81" spans="1:19" x14ac:dyDescent="0.25">
      <c r="A2681">
        <v>5</v>
      </c>
      <c r="B2681" t="b">
        <v>1</v>
      </c>
      <c r="C2681" s="1">
        <v>42658</v>
      </c>
      <c r="D2681">
        <f>YEAR(AMAZON_FASHION_5__2[[#This Row],[reviewDate]])</f>
        <v>2016</v>
      </c>
      <c r="E2681" s="1" t="str">
        <f>TEXT(AMAZON_FASHION_5__2[[#This Row],[reviewDate]], "mmmm")</f>
        <v>October</v>
      </c>
      <c r="F2681" t="s">
        <v>1244</v>
      </c>
      <c r="G2681" t="s">
        <v>1566</v>
      </c>
      <c r="H2681" t="s">
        <v>205</v>
      </c>
      <c r="I2681" t="s">
        <v>198</v>
      </c>
      <c r="J2681" t="s">
        <v>1245</v>
      </c>
      <c r="K2681" t="s">
        <v>1246</v>
      </c>
      <c r="L2681" t="s">
        <v>1247</v>
      </c>
      <c r="M2681">
        <v>1476489600</v>
      </c>
      <c r="N2681" t="s">
        <v>1628</v>
      </c>
      <c r="O2681" t="s">
        <v>1628</v>
      </c>
      <c r="P2681" t="s">
        <v>1628</v>
      </c>
      <c r="Q2681">
        <f>LEN(AMAZON_FASHION_5__2[[#This Row],[reviewText]])</f>
        <v>57</v>
      </c>
      <c r="R2681" t="str">
        <f>IF(AMAZON_FASHION_5__2[[#This Row],[overall]]&gt;=4,"Positive",IF(AMAZON_FASHION_5__2[[#This Row],[overall]]&lt;=2,"Negative","Neutral"))</f>
        <v>Positive</v>
      </c>
      <c r="S26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82" spans="1:19" x14ac:dyDescent="0.25">
      <c r="A2682">
        <v>4</v>
      </c>
      <c r="B2682" t="b">
        <v>1</v>
      </c>
      <c r="C2682" s="1">
        <v>42654</v>
      </c>
      <c r="D2682">
        <f>YEAR(AMAZON_FASHION_5__2[[#This Row],[reviewDate]])</f>
        <v>2016</v>
      </c>
      <c r="E2682" s="1" t="str">
        <f>TEXT(AMAZON_FASHION_5__2[[#This Row],[reviewDate]], "mmmm")</f>
        <v>October</v>
      </c>
      <c r="F2682" t="s">
        <v>1248</v>
      </c>
      <c r="G2682" t="s">
        <v>1566</v>
      </c>
      <c r="H2682" t="s">
        <v>1578</v>
      </c>
      <c r="I2682" t="s">
        <v>827</v>
      </c>
      <c r="J2682" t="s">
        <v>1249</v>
      </c>
      <c r="K2682" t="s">
        <v>1250</v>
      </c>
      <c r="L2682" t="s">
        <v>1251</v>
      </c>
      <c r="M2682">
        <v>1476144000</v>
      </c>
      <c r="N2682" t="s">
        <v>1628</v>
      </c>
      <c r="O2682" t="s">
        <v>1628</v>
      </c>
      <c r="P2682" t="s">
        <v>1628</v>
      </c>
      <c r="Q2682">
        <f>LEN(AMAZON_FASHION_5__2[[#This Row],[reviewText]])</f>
        <v>181</v>
      </c>
      <c r="R2682" t="str">
        <f>IF(AMAZON_FASHION_5__2[[#This Row],[overall]]&gt;=4,"Positive",IF(AMAZON_FASHION_5__2[[#This Row],[overall]]&lt;=2,"Negative","Neutral"))</f>
        <v>Positive</v>
      </c>
      <c r="S26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83" spans="1:19" x14ac:dyDescent="0.25">
      <c r="A2683">
        <v>3</v>
      </c>
      <c r="B2683" t="b">
        <v>1</v>
      </c>
      <c r="C2683" s="1">
        <v>42652</v>
      </c>
      <c r="D2683">
        <f>YEAR(AMAZON_FASHION_5__2[[#This Row],[reviewDate]])</f>
        <v>2016</v>
      </c>
      <c r="E2683" s="1" t="str">
        <f>TEXT(AMAZON_FASHION_5__2[[#This Row],[reviewDate]], "mmmm")</f>
        <v>October</v>
      </c>
      <c r="F2683" t="s">
        <v>1252</v>
      </c>
      <c r="G2683" t="s">
        <v>1566</v>
      </c>
      <c r="H2683" t="s">
        <v>477</v>
      </c>
      <c r="I2683" t="s">
        <v>236</v>
      </c>
      <c r="J2683" t="s">
        <v>1253</v>
      </c>
      <c r="K2683" t="s">
        <v>1254</v>
      </c>
      <c r="L2683" t="s">
        <v>1255</v>
      </c>
      <c r="M2683">
        <v>1475971200</v>
      </c>
      <c r="N2683" t="s">
        <v>1628</v>
      </c>
      <c r="O2683" t="s">
        <v>1628</v>
      </c>
      <c r="P2683" t="s">
        <v>1628</v>
      </c>
      <c r="Q2683">
        <f>LEN(AMAZON_FASHION_5__2[[#This Row],[reviewText]])</f>
        <v>68</v>
      </c>
      <c r="R2683" t="str">
        <f>IF(AMAZON_FASHION_5__2[[#This Row],[overall]]&gt;=4,"Positive",IF(AMAZON_FASHION_5__2[[#This Row],[overall]]&lt;=2,"Negative","Neutral"))</f>
        <v>Neutral</v>
      </c>
      <c r="S26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84" spans="1:19" x14ac:dyDescent="0.25">
      <c r="A2684">
        <v>4</v>
      </c>
      <c r="B2684" t="b">
        <v>1</v>
      </c>
      <c r="C2684" s="1">
        <v>42648</v>
      </c>
      <c r="D2684">
        <f>YEAR(AMAZON_FASHION_5__2[[#This Row],[reviewDate]])</f>
        <v>2016</v>
      </c>
      <c r="E2684" s="1" t="str">
        <f>TEXT(AMAZON_FASHION_5__2[[#This Row],[reviewDate]], "mmmm")</f>
        <v>October</v>
      </c>
      <c r="F2684" t="s">
        <v>1256</v>
      </c>
      <c r="G2684" t="s">
        <v>1566</v>
      </c>
      <c r="H2684" t="s">
        <v>1574</v>
      </c>
      <c r="I2684" t="s">
        <v>198</v>
      </c>
      <c r="J2684" t="s">
        <v>1257</v>
      </c>
      <c r="K2684" t="s">
        <v>1258</v>
      </c>
      <c r="L2684" t="s">
        <v>1259</v>
      </c>
      <c r="M2684">
        <v>1475625600</v>
      </c>
      <c r="N2684" t="s">
        <v>1628</v>
      </c>
      <c r="O2684" t="s">
        <v>1628</v>
      </c>
      <c r="P2684" t="s">
        <v>1628</v>
      </c>
      <c r="Q2684">
        <f>LEN(AMAZON_FASHION_5__2[[#This Row],[reviewText]])</f>
        <v>100</v>
      </c>
      <c r="R2684" t="str">
        <f>IF(AMAZON_FASHION_5__2[[#This Row],[overall]]&gt;=4,"Positive",IF(AMAZON_FASHION_5__2[[#This Row],[overall]]&lt;=2,"Negative","Neutral"))</f>
        <v>Positive</v>
      </c>
      <c r="S26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85" spans="1:19" x14ac:dyDescent="0.25">
      <c r="A2685">
        <v>3</v>
      </c>
      <c r="B2685" t="b">
        <v>1</v>
      </c>
      <c r="C2685" s="1">
        <v>42644</v>
      </c>
      <c r="D2685">
        <f>YEAR(AMAZON_FASHION_5__2[[#This Row],[reviewDate]])</f>
        <v>2016</v>
      </c>
      <c r="E2685" s="1" t="str">
        <f>TEXT(AMAZON_FASHION_5__2[[#This Row],[reviewDate]], "mmmm")</f>
        <v>October</v>
      </c>
      <c r="F2685" t="s">
        <v>1260</v>
      </c>
      <c r="G2685" t="s">
        <v>1566</v>
      </c>
      <c r="H2685" t="s">
        <v>205</v>
      </c>
      <c r="I2685" t="s">
        <v>236</v>
      </c>
      <c r="J2685" t="s">
        <v>1261</v>
      </c>
      <c r="K2685" t="s">
        <v>1262</v>
      </c>
      <c r="L2685" t="s">
        <v>1263</v>
      </c>
      <c r="M2685">
        <v>1475280000</v>
      </c>
      <c r="N2685" t="s">
        <v>1628</v>
      </c>
      <c r="O2685" t="s">
        <v>1628</v>
      </c>
      <c r="P2685" t="s">
        <v>1628</v>
      </c>
      <c r="Q2685">
        <f>LEN(AMAZON_FASHION_5__2[[#This Row],[reviewText]])</f>
        <v>59</v>
      </c>
      <c r="R2685" t="str">
        <f>IF(AMAZON_FASHION_5__2[[#This Row],[overall]]&gt;=4,"Positive",IF(AMAZON_FASHION_5__2[[#This Row],[overall]]&lt;=2,"Negative","Neutral"))</f>
        <v>Neutral</v>
      </c>
      <c r="S26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86" spans="1:19" x14ac:dyDescent="0.25">
      <c r="A2686">
        <v>5</v>
      </c>
      <c r="B2686" t="b">
        <v>1</v>
      </c>
      <c r="C2686" s="1">
        <v>42639</v>
      </c>
      <c r="D2686">
        <f>YEAR(AMAZON_FASHION_5__2[[#This Row],[reviewDate]])</f>
        <v>2016</v>
      </c>
      <c r="E2686" s="1" t="str">
        <f>TEXT(AMAZON_FASHION_5__2[[#This Row],[reviewDate]], "mmmm")</f>
        <v>September</v>
      </c>
      <c r="F2686" t="s">
        <v>1264</v>
      </c>
      <c r="G2686" t="s">
        <v>1566</v>
      </c>
      <c r="H2686" t="s">
        <v>1596</v>
      </c>
      <c r="I2686" t="s">
        <v>211</v>
      </c>
      <c r="J2686" t="s">
        <v>1265</v>
      </c>
      <c r="K2686" t="s">
        <v>1266</v>
      </c>
      <c r="L2686" t="s">
        <v>704</v>
      </c>
      <c r="M2686">
        <v>1474848000</v>
      </c>
      <c r="N2686" t="s">
        <v>1628</v>
      </c>
      <c r="O2686" t="s">
        <v>1628</v>
      </c>
      <c r="P2686" t="s">
        <v>1628</v>
      </c>
      <c r="Q2686">
        <f>LEN(AMAZON_FASHION_5__2[[#This Row],[reviewText]])</f>
        <v>107</v>
      </c>
      <c r="R2686" t="str">
        <f>IF(AMAZON_FASHION_5__2[[#This Row],[overall]]&gt;=4,"Positive",IF(AMAZON_FASHION_5__2[[#This Row],[overall]]&lt;=2,"Negative","Neutral"))</f>
        <v>Positive</v>
      </c>
      <c r="S26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87" spans="1:19" x14ac:dyDescent="0.25">
      <c r="A2687">
        <v>5</v>
      </c>
      <c r="B2687" t="b">
        <v>1</v>
      </c>
      <c r="C2687" s="1">
        <v>42636</v>
      </c>
      <c r="D2687">
        <f>YEAR(AMAZON_FASHION_5__2[[#This Row],[reviewDate]])</f>
        <v>2016</v>
      </c>
      <c r="E2687" s="1" t="str">
        <f>TEXT(AMAZON_FASHION_5__2[[#This Row],[reviewDate]], "mmmm")</f>
        <v>September</v>
      </c>
      <c r="F2687" t="s">
        <v>1267</v>
      </c>
      <c r="G2687" t="s">
        <v>1566</v>
      </c>
      <c r="H2687" t="s">
        <v>1574</v>
      </c>
      <c r="I2687" t="s">
        <v>524</v>
      </c>
      <c r="J2687" t="s">
        <v>1268</v>
      </c>
      <c r="K2687" t="s">
        <v>1269</v>
      </c>
      <c r="L2687" t="s">
        <v>17</v>
      </c>
      <c r="M2687">
        <v>1474588800</v>
      </c>
      <c r="N2687" t="s">
        <v>1628</v>
      </c>
      <c r="O2687" t="s">
        <v>1628</v>
      </c>
      <c r="P2687" t="s">
        <v>1628</v>
      </c>
      <c r="Q2687">
        <f>LEN(AMAZON_FASHION_5__2[[#This Row],[reviewText]])</f>
        <v>12</v>
      </c>
      <c r="R2687" t="str">
        <f>IF(AMAZON_FASHION_5__2[[#This Row],[overall]]&gt;=4,"Positive",IF(AMAZON_FASHION_5__2[[#This Row],[overall]]&lt;=2,"Negative","Neutral"))</f>
        <v>Positive</v>
      </c>
      <c r="S26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88" spans="1:19" x14ac:dyDescent="0.25">
      <c r="A2688">
        <v>5</v>
      </c>
      <c r="B2688" t="b">
        <v>1</v>
      </c>
      <c r="C2688" s="1">
        <v>42631</v>
      </c>
      <c r="D2688">
        <f>YEAR(AMAZON_FASHION_5__2[[#This Row],[reviewDate]])</f>
        <v>2016</v>
      </c>
      <c r="E2688" s="1" t="str">
        <f>TEXT(AMAZON_FASHION_5__2[[#This Row],[reviewDate]], "mmmm")</f>
        <v>September</v>
      </c>
      <c r="F2688" t="s">
        <v>1270</v>
      </c>
      <c r="G2688" t="s">
        <v>1566</v>
      </c>
      <c r="H2688" t="s">
        <v>1477</v>
      </c>
      <c r="I2688" t="s">
        <v>336</v>
      </c>
      <c r="J2688" t="s">
        <v>63</v>
      </c>
      <c r="K2688" t="s">
        <v>1271</v>
      </c>
      <c r="L2688" t="s">
        <v>1272</v>
      </c>
      <c r="M2688">
        <v>1474156800</v>
      </c>
      <c r="N2688" t="s">
        <v>1628</v>
      </c>
      <c r="O2688" t="s">
        <v>1628</v>
      </c>
      <c r="P2688">
        <v>3</v>
      </c>
      <c r="Q2688">
        <f>LEN(AMAZON_FASHION_5__2[[#This Row],[reviewText]])</f>
        <v>140</v>
      </c>
      <c r="R2688" t="str">
        <f>IF(AMAZON_FASHION_5__2[[#This Row],[overall]]&gt;=4,"Positive",IF(AMAZON_FASHION_5__2[[#This Row],[overall]]&lt;=2,"Negative","Neutral"))</f>
        <v>Positive</v>
      </c>
      <c r="S26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89" spans="1:19" x14ac:dyDescent="0.25">
      <c r="A2689">
        <v>1</v>
      </c>
      <c r="B2689" t="b">
        <v>1</v>
      </c>
      <c r="C2689" s="1">
        <v>42625</v>
      </c>
      <c r="D2689">
        <f>YEAR(AMAZON_FASHION_5__2[[#This Row],[reviewDate]])</f>
        <v>2016</v>
      </c>
      <c r="E2689" s="1" t="str">
        <f>TEXT(AMAZON_FASHION_5__2[[#This Row],[reviewDate]], "mmmm")</f>
        <v>September</v>
      </c>
      <c r="F2689" t="s">
        <v>1273</v>
      </c>
      <c r="G2689" t="s">
        <v>1566</v>
      </c>
      <c r="H2689" t="s">
        <v>1571</v>
      </c>
      <c r="I2689" t="s">
        <v>274</v>
      </c>
      <c r="J2689" t="s">
        <v>1274</v>
      </c>
      <c r="K2689" t="s">
        <v>1275</v>
      </c>
      <c r="L2689" t="s">
        <v>1276</v>
      </c>
      <c r="M2689">
        <v>1473638400</v>
      </c>
      <c r="N2689" t="s">
        <v>1628</v>
      </c>
      <c r="O2689" t="s">
        <v>1628</v>
      </c>
      <c r="P2689" t="s">
        <v>1628</v>
      </c>
      <c r="Q2689">
        <f>LEN(AMAZON_FASHION_5__2[[#This Row],[reviewText]])</f>
        <v>148</v>
      </c>
      <c r="R2689" t="str">
        <f>IF(AMAZON_FASHION_5__2[[#This Row],[overall]]&gt;=4,"Positive",IF(AMAZON_FASHION_5__2[[#This Row],[overall]]&lt;=2,"Negative","Neutral"))</f>
        <v>Negative</v>
      </c>
      <c r="S26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90" spans="1:19" x14ac:dyDescent="0.25">
      <c r="A2690">
        <v>1</v>
      </c>
      <c r="B2690" t="b">
        <v>1</v>
      </c>
      <c r="C2690" s="1">
        <v>42624</v>
      </c>
      <c r="D2690">
        <f>YEAR(AMAZON_FASHION_5__2[[#This Row],[reviewDate]])</f>
        <v>2016</v>
      </c>
      <c r="E2690" s="1" t="str">
        <f>TEXT(AMAZON_FASHION_5__2[[#This Row],[reviewDate]], "mmmm")</f>
        <v>September</v>
      </c>
      <c r="F2690" t="s">
        <v>1277</v>
      </c>
      <c r="G2690" t="s">
        <v>1566</v>
      </c>
      <c r="H2690" t="s">
        <v>235</v>
      </c>
      <c r="I2690" t="s">
        <v>198</v>
      </c>
      <c r="J2690" t="s">
        <v>1278</v>
      </c>
      <c r="K2690" t="s">
        <v>1279</v>
      </c>
      <c r="L2690" t="s">
        <v>1280</v>
      </c>
      <c r="M2690">
        <v>1473552000</v>
      </c>
      <c r="N2690" t="s">
        <v>1628</v>
      </c>
      <c r="O2690" t="s">
        <v>1628</v>
      </c>
      <c r="P2690">
        <v>14</v>
      </c>
      <c r="Q2690">
        <f>LEN(AMAZON_FASHION_5__2[[#This Row],[reviewText]])</f>
        <v>258</v>
      </c>
      <c r="R2690" t="str">
        <f>IF(AMAZON_FASHION_5__2[[#This Row],[overall]]&gt;=4,"Positive",IF(AMAZON_FASHION_5__2[[#This Row],[overall]]&lt;=2,"Negative","Neutral"))</f>
        <v>Negative</v>
      </c>
      <c r="S26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91" spans="1:19" x14ac:dyDescent="0.25">
      <c r="A2691">
        <v>5</v>
      </c>
      <c r="B2691" t="b">
        <v>1</v>
      </c>
      <c r="C2691" s="1">
        <v>42622</v>
      </c>
      <c r="D2691">
        <f>YEAR(AMAZON_FASHION_5__2[[#This Row],[reviewDate]])</f>
        <v>2016</v>
      </c>
      <c r="E2691" s="1" t="str">
        <f>TEXT(AMAZON_FASHION_5__2[[#This Row],[reviewDate]], "mmmm")</f>
        <v>September</v>
      </c>
      <c r="F2691" t="s">
        <v>1281</v>
      </c>
      <c r="G2691" t="s">
        <v>1566</v>
      </c>
      <c r="H2691" t="s">
        <v>1571</v>
      </c>
      <c r="I2691" t="s">
        <v>198</v>
      </c>
      <c r="J2691" t="s">
        <v>1282</v>
      </c>
      <c r="K2691" t="s">
        <v>1283</v>
      </c>
      <c r="L2691" t="s">
        <v>17</v>
      </c>
      <c r="M2691">
        <v>1473379200</v>
      </c>
      <c r="N2691" t="s">
        <v>1628</v>
      </c>
      <c r="O2691" t="s">
        <v>1628</v>
      </c>
      <c r="P2691" t="s">
        <v>1628</v>
      </c>
      <c r="Q2691">
        <f>LEN(AMAZON_FASHION_5__2[[#This Row],[reviewText]])</f>
        <v>49</v>
      </c>
      <c r="R2691" t="str">
        <f>IF(AMAZON_FASHION_5__2[[#This Row],[overall]]&gt;=4,"Positive",IF(AMAZON_FASHION_5__2[[#This Row],[overall]]&lt;=2,"Negative","Neutral"))</f>
        <v>Positive</v>
      </c>
      <c r="S26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92" spans="1:19" x14ac:dyDescent="0.25">
      <c r="A2692">
        <v>4</v>
      </c>
      <c r="B2692" t="b">
        <v>1</v>
      </c>
      <c r="C2692" s="1">
        <v>42619</v>
      </c>
      <c r="D2692">
        <f>YEAR(AMAZON_FASHION_5__2[[#This Row],[reviewDate]])</f>
        <v>2016</v>
      </c>
      <c r="E2692" s="1" t="str">
        <f>TEXT(AMAZON_FASHION_5__2[[#This Row],[reviewDate]], "mmmm")</f>
        <v>September</v>
      </c>
      <c r="F2692" t="s">
        <v>1284</v>
      </c>
      <c r="G2692" t="s">
        <v>1566</v>
      </c>
      <c r="H2692" t="s">
        <v>210</v>
      </c>
      <c r="I2692" t="s">
        <v>198</v>
      </c>
      <c r="J2692" t="s">
        <v>1285</v>
      </c>
      <c r="K2692" t="s">
        <v>1286</v>
      </c>
      <c r="L2692" t="s">
        <v>1287</v>
      </c>
      <c r="M2692">
        <v>1473120000</v>
      </c>
      <c r="N2692" t="s">
        <v>1628</v>
      </c>
      <c r="O2692" t="s">
        <v>1628</v>
      </c>
      <c r="P2692">
        <v>2</v>
      </c>
      <c r="Q2692">
        <f>LEN(AMAZON_FASHION_5__2[[#This Row],[reviewText]])</f>
        <v>248</v>
      </c>
      <c r="R2692" t="str">
        <f>IF(AMAZON_FASHION_5__2[[#This Row],[overall]]&gt;=4,"Positive",IF(AMAZON_FASHION_5__2[[#This Row],[overall]]&lt;=2,"Negative","Neutral"))</f>
        <v>Positive</v>
      </c>
      <c r="S26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93" spans="1:19" x14ac:dyDescent="0.25">
      <c r="A2693">
        <v>4</v>
      </c>
      <c r="B2693" t="b">
        <v>1</v>
      </c>
      <c r="C2693" s="1">
        <v>42615</v>
      </c>
      <c r="D2693">
        <f>YEAR(AMAZON_FASHION_5__2[[#This Row],[reviewDate]])</f>
        <v>2016</v>
      </c>
      <c r="E2693" s="1" t="str">
        <f>TEXT(AMAZON_FASHION_5__2[[#This Row],[reviewDate]], "mmmm")</f>
        <v>September</v>
      </c>
      <c r="F2693" t="s">
        <v>1288</v>
      </c>
      <c r="G2693" t="s">
        <v>1566</v>
      </c>
      <c r="H2693" t="s">
        <v>1568</v>
      </c>
      <c r="I2693" t="s">
        <v>493</v>
      </c>
      <c r="J2693" t="s">
        <v>63</v>
      </c>
      <c r="K2693" t="s">
        <v>1289</v>
      </c>
      <c r="L2693" t="s">
        <v>1290</v>
      </c>
      <c r="M2693">
        <v>1472774400</v>
      </c>
      <c r="N2693" t="s">
        <v>1628</v>
      </c>
      <c r="O2693" t="s">
        <v>1628</v>
      </c>
      <c r="P2693" t="s">
        <v>1628</v>
      </c>
      <c r="Q2693">
        <f>LEN(AMAZON_FASHION_5__2[[#This Row],[reviewText]])</f>
        <v>177</v>
      </c>
      <c r="R2693" t="str">
        <f>IF(AMAZON_FASHION_5__2[[#This Row],[overall]]&gt;=4,"Positive",IF(AMAZON_FASHION_5__2[[#This Row],[overall]]&lt;=2,"Negative","Neutral"))</f>
        <v>Positive</v>
      </c>
      <c r="S26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94" spans="1:19" x14ac:dyDescent="0.25">
      <c r="A2694">
        <v>5</v>
      </c>
      <c r="B2694" t="b">
        <v>1</v>
      </c>
      <c r="C2694" s="1">
        <v>42611</v>
      </c>
      <c r="D2694">
        <f>YEAR(AMAZON_FASHION_5__2[[#This Row],[reviewDate]])</f>
        <v>2016</v>
      </c>
      <c r="E2694" s="1" t="str">
        <f>TEXT(AMAZON_FASHION_5__2[[#This Row],[reviewDate]], "mmmm")</f>
        <v>August</v>
      </c>
      <c r="F2694" t="s">
        <v>1291</v>
      </c>
      <c r="G2694" t="s">
        <v>1566</v>
      </c>
      <c r="H2694" t="s">
        <v>205</v>
      </c>
      <c r="I2694" t="s">
        <v>198</v>
      </c>
      <c r="J2694" t="s">
        <v>63</v>
      </c>
      <c r="K2694" t="s">
        <v>1292</v>
      </c>
      <c r="L2694" t="s">
        <v>17</v>
      </c>
      <c r="M2694">
        <v>1472428800</v>
      </c>
      <c r="N2694" t="s">
        <v>1628</v>
      </c>
      <c r="O2694" t="s">
        <v>1628</v>
      </c>
      <c r="P2694" t="s">
        <v>1628</v>
      </c>
      <c r="Q2694">
        <f>LEN(AMAZON_FASHION_5__2[[#This Row],[reviewText]])</f>
        <v>13</v>
      </c>
      <c r="R2694" t="str">
        <f>IF(AMAZON_FASHION_5__2[[#This Row],[overall]]&gt;=4,"Positive",IF(AMAZON_FASHION_5__2[[#This Row],[overall]]&lt;=2,"Negative","Neutral"))</f>
        <v>Positive</v>
      </c>
      <c r="S26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95" spans="1:19" x14ac:dyDescent="0.25">
      <c r="A2695">
        <v>5</v>
      </c>
      <c r="B2695" t="b">
        <v>1</v>
      </c>
      <c r="C2695" s="1">
        <v>42609</v>
      </c>
      <c r="D2695">
        <f>YEAR(AMAZON_FASHION_5__2[[#This Row],[reviewDate]])</f>
        <v>2016</v>
      </c>
      <c r="E2695" s="1" t="str">
        <f>TEXT(AMAZON_FASHION_5__2[[#This Row],[reviewDate]], "mmmm")</f>
        <v>August</v>
      </c>
      <c r="F2695" t="s">
        <v>1293</v>
      </c>
      <c r="G2695" t="s">
        <v>1566</v>
      </c>
      <c r="H2695" t="s">
        <v>1571</v>
      </c>
      <c r="I2695" t="s">
        <v>419</v>
      </c>
      <c r="J2695" t="s">
        <v>63</v>
      </c>
      <c r="K2695" t="s">
        <v>1294</v>
      </c>
      <c r="L2695" t="s">
        <v>17</v>
      </c>
      <c r="M2695">
        <v>1472256000</v>
      </c>
      <c r="N2695" t="s">
        <v>1628</v>
      </c>
      <c r="O2695" t="s">
        <v>1628</v>
      </c>
      <c r="P2695" t="s">
        <v>1628</v>
      </c>
      <c r="Q2695">
        <f>LEN(AMAZON_FASHION_5__2[[#This Row],[reviewText]])</f>
        <v>62</v>
      </c>
      <c r="R2695" t="str">
        <f>IF(AMAZON_FASHION_5__2[[#This Row],[overall]]&gt;=4,"Positive",IF(AMAZON_FASHION_5__2[[#This Row],[overall]]&lt;=2,"Negative","Neutral"))</f>
        <v>Positive</v>
      </c>
      <c r="S26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96" spans="1:19" x14ac:dyDescent="0.25">
      <c r="A2696">
        <v>5</v>
      </c>
      <c r="B2696" t="b">
        <v>1</v>
      </c>
      <c r="C2696" s="1">
        <v>42609</v>
      </c>
      <c r="D2696">
        <f>YEAR(AMAZON_FASHION_5__2[[#This Row],[reviewDate]])</f>
        <v>2016</v>
      </c>
      <c r="E2696" s="1" t="str">
        <f>TEXT(AMAZON_FASHION_5__2[[#This Row],[reviewDate]], "mmmm")</f>
        <v>August</v>
      </c>
      <c r="F2696" t="s">
        <v>1295</v>
      </c>
      <c r="G2696" t="s">
        <v>1566</v>
      </c>
      <c r="H2696" t="s">
        <v>1596</v>
      </c>
      <c r="I2696" t="s">
        <v>198</v>
      </c>
      <c r="J2696" t="s">
        <v>63</v>
      </c>
      <c r="K2696" t="s">
        <v>1296</v>
      </c>
      <c r="L2696" t="s">
        <v>1297</v>
      </c>
      <c r="M2696">
        <v>1472256000</v>
      </c>
      <c r="N2696" t="s">
        <v>1628</v>
      </c>
      <c r="O2696" t="s">
        <v>1628</v>
      </c>
      <c r="P2696">
        <v>5</v>
      </c>
      <c r="Q2696">
        <f>LEN(AMAZON_FASHION_5__2[[#This Row],[reviewText]])</f>
        <v>112</v>
      </c>
      <c r="R2696" t="str">
        <f>IF(AMAZON_FASHION_5__2[[#This Row],[overall]]&gt;=4,"Positive",IF(AMAZON_FASHION_5__2[[#This Row],[overall]]&lt;=2,"Negative","Neutral"))</f>
        <v>Positive</v>
      </c>
      <c r="S26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97" spans="1:19" x14ac:dyDescent="0.25">
      <c r="A2697">
        <v>3</v>
      </c>
      <c r="B2697" t="b">
        <v>1</v>
      </c>
      <c r="C2697" s="1">
        <v>42608</v>
      </c>
      <c r="D2697">
        <f>YEAR(AMAZON_FASHION_5__2[[#This Row],[reviewDate]])</f>
        <v>2016</v>
      </c>
      <c r="E2697" s="1" t="str">
        <f>TEXT(AMAZON_FASHION_5__2[[#This Row],[reviewDate]], "mmmm")</f>
        <v>August</v>
      </c>
      <c r="F2697" t="s">
        <v>1298</v>
      </c>
      <c r="G2697" t="s">
        <v>1566</v>
      </c>
      <c r="H2697" t="s">
        <v>1571</v>
      </c>
      <c r="I2697" t="s">
        <v>198</v>
      </c>
      <c r="J2697" t="s">
        <v>63</v>
      </c>
      <c r="K2697" t="s">
        <v>1299</v>
      </c>
      <c r="L2697" t="s">
        <v>1300</v>
      </c>
      <c r="M2697">
        <v>1472169600</v>
      </c>
      <c r="N2697" t="s">
        <v>1628</v>
      </c>
      <c r="O2697" t="s">
        <v>1628</v>
      </c>
      <c r="P2697">
        <v>2</v>
      </c>
      <c r="Q2697">
        <f>LEN(AMAZON_FASHION_5__2[[#This Row],[reviewText]])</f>
        <v>256</v>
      </c>
      <c r="R2697" t="str">
        <f>IF(AMAZON_FASHION_5__2[[#This Row],[overall]]&gt;=4,"Positive",IF(AMAZON_FASHION_5__2[[#This Row],[overall]]&lt;=2,"Negative","Neutral"))</f>
        <v>Neutral</v>
      </c>
      <c r="S26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98" spans="1:19" x14ac:dyDescent="0.25">
      <c r="A2698">
        <v>5</v>
      </c>
      <c r="B2698" t="b">
        <v>1</v>
      </c>
      <c r="C2698" s="1">
        <v>42605</v>
      </c>
      <c r="D2698">
        <f>YEAR(AMAZON_FASHION_5__2[[#This Row],[reviewDate]])</f>
        <v>2016</v>
      </c>
      <c r="E2698" s="1" t="str">
        <f>TEXT(AMAZON_FASHION_5__2[[#This Row],[reviewDate]], "mmmm")</f>
        <v>August</v>
      </c>
      <c r="F2698" t="s">
        <v>1301</v>
      </c>
      <c r="G2698" t="s">
        <v>1566</v>
      </c>
      <c r="H2698" t="s">
        <v>1571</v>
      </c>
      <c r="I2698" t="s">
        <v>493</v>
      </c>
      <c r="J2698" t="s">
        <v>1302</v>
      </c>
      <c r="K2698" t="s">
        <v>1303</v>
      </c>
      <c r="L2698" t="s">
        <v>1304</v>
      </c>
      <c r="M2698">
        <v>1471910400</v>
      </c>
      <c r="N2698" t="s">
        <v>1628</v>
      </c>
      <c r="O2698" t="s">
        <v>1628</v>
      </c>
      <c r="P2698" t="s">
        <v>1628</v>
      </c>
      <c r="Q2698">
        <f>LEN(AMAZON_FASHION_5__2[[#This Row],[reviewText]])</f>
        <v>93</v>
      </c>
      <c r="R2698" t="str">
        <f>IF(AMAZON_FASHION_5__2[[#This Row],[overall]]&gt;=4,"Positive",IF(AMAZON_FASHION_5__2[[#This Row],[overall]]&lt;=2,"Negative","Neutral"))</f>
        <v>Positive</v>
      </c>
      <c r="S26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699" spans="1:19" x14ac:dyDescent="0.25">
      <c r="A2699">
        <v>5</v>
      </c>
      <c r="B2699" t="b">
        <v>1</v>
      </c>
      <c r="C2699" s="1">
        <v>42602</v>
      </c>
      <c r="D2699">
        <f>YEAR(AMAZON_FASHION_5__2[[#This Row],[reviewDate]])</f>
        <v>2016</v>
      </c>
      <c r="E2699" s="1" t="str">
        <f>TEXT(AMAZON_FASHION_5__2[[#This Row],[reviewDate]], "mmmm")</f>
        <v>August</v>
      </c>
      <c r="F2699" t="s">
        <v>1305</v>
      </c>
      <c r="G2699" t="s">
        <v>1566</v>
      </c>
      <c r="H2699" t="s">
        <v>205</v>
      </c>
      <c r="I2699" t="s">
        <v>198</v>
      </c>
      <c r="J2699" t="s">
        <v>1306</v>
      </c>
      <c r="K2699" t="s">
        <v>1307</v>
      </c>
      <c r="L2699" t="s">
        <v>1308</v>
      </c>
      <c r="M2699">
        <v>1471651200</v>
      </c>
      <c r="N2699" t="s">
        <v>1628</v>
      </c>
      <c r="O2699" t="s">
        <v>1628</v>
      </c>
      <c r="P2699" t="s">
        <v>1628</v>
      </c>
      <c r="Q2699">
        <f>LEN(AMAZON_FASHION_5__2[[#This Row],[reviewText]])</f>
        <v>1225</v>
      </c>
      <c r="R2699" t="str">
        <f>IF(AMAZON_FASHION_5__2[[#This Row],[overall]]&gt;=4,"Positive",IF(AMAZON_FASHION_5__2[[#This Row],[overall]]&lt;=2,"Negative","Neutral"))</f>
        <v>Positive</v>
      </c>
      <c r="S26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00" spans="1:19" x14ac:dyDescent="0.25">
      <c r="A2700">
        <v>5</v>
      </c>
      <c r="B2700" t="b">
        <v>1</v>
      </c>
      <c r="C2700" s="1">
        <v>42597</v>
      </c>
      <c r="D2700">
        <f>YEAR(AMAZON_FASHION_5__2[[#This Row],[reviewDate]])</f>
        <v>2016</v>
      </c>
      <c r="E2700" s="1" t="str">
        <f>TEXT(AMAZON_FASHION_5__2[[#This Row],[reviewDate]], "mmmm")</f>
        <v>August</v>
      </c>
      <c r="F2700" t="s">
        <v>1309</v>
      </c>
      <c r="G2700" t="s">
        <v>1566</v>
      </c>
      <c r="H2700" t="s">
        <v>320</v>
      </c>
      <c r="I2700" t="s">
        <v>198</v>
      </c>
      <c r="J2700" t="s">
        <v>1310</v>
      </c>
      <c r="K2700" t="s">
        <v>1311</v>
      </c>
      <c r="L2700" t="s">
        <v>1312</v>
      </c>
      <c r="M2700">
        <v>1471219200</v>
      </c>
      <c r="N2700" t="s">
        <v>1628</v>
      </c>
      <c r="O2700" t="s">
        <v>1628</v>
      </c>
      <c r="P2700" t="s">
        <v>1628</v>
      </c>
      <c r="Q2700">
        <f>LEN(AMAZON_FASHION_5__2[[#This Row],[reviewText]])</f>
        <v>246</v>
      </c>
      <c r="R2700" t="str">
        <f>IF(AMAZON_FASHION_5__2[[#This Row],[overall]]&gt;=4,"Positive",IF(AMAZON_FASHION_5__2[[#This Row],[overall]]&lt;=2,"Negative","Neutral"))</f>
        <v>Positive</v>
      </c>
      <c r="S27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01" spans="1:19" x14ac:dyDescent="0.25">
      <c r="A2701">
        <v>5</v>
      </c>
      <c r="B2701" t="b">
        <v>1</v>
      </c>
      <c r="C2701" s="1">
        <v>42597</v>
      </c>
      <c r="D2701">
        <f>YEAR(AMAZON_FASHION_5__2[[#This Row],[reviewDate]])</f>
        <v>2016</v>
      </c>
      <c r="E2701" s="1" t="str">
        <f>TEXT(AMAZON_FASHION_5__2[[#This Row],[reviewDate]], "mmmm")</f>
        <v>August</v>
      </c>
      <c r="F2701" t="s">
        <v>1313</v>
      </c>
      <c r="G2701" t="s">
        <v>1566</v>
      </c>
      <c r="H2701" t="s">
        <v>1595</v>
      </c>
      <c r="I2701" t="s">
        <v>1455</v>
      </c>
      <c r="J2701" t="s">
        <v>1314</v>
      </c>
      <c r="K2701" t="s">
        <v>1315</v>
      </c>
      <c r="L2701" t="s">
        <v>17</v>
      </c>
      <c r="M2701">
        <v>1471219200</v>
      </c>
      <c r="N2701" t="s">
        <v>1628</v>
      </c>
      <c r="O2701" t="s">
        <v>1628</v>
      </c>
      <c r="P2701" t="s">
        <v>1628</v>
      </c>
      <c r="Q2701">
        <f>LEN(AMAZON_FASHION_5__2[[#This Row],[reviewText]])</f>
        <v>40</v>
      </c>
      <c r="R2701" t="str">
        <f>IF(AMAZON_FASHION_5__2[[#This Row],[overall]]&gt;=4,"Positive",IF(AMAZON_FASHION_5__2[[#This Row],[overall]]&lt;=2,"Negative","Neutral"))</f>
        <v>Positive</v>
      </c>
      <c r="S27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02" spans="1:19" x14ac:dyDescent="0.25">
      <c r="A2702">
        <v>5</v>
      </c>
      <c r="B2702" t="b">
        <v>1</v>
      </c>
      <c r="C2702" s="1">
        <v>42596</v>
      </c>
      <c r="D2702">
        <f>YEAR(AMAZON_FASHION_5__2[[#This Row],[reviewDate]])</f>
        <v>2016</v>
      </c>
      <c r="E2702" s="1" t="str">
        <f>TEXT(AMAZON_FASHION_5__2[[#This Row],[reviewDate]], "mmmm")</f>
        <v>August</v>
      </c>
      <c r="F2702" t="s">
        <v>1316</v>
      </c>
      <c r="G2702" t="s">
        <v>1566</v>
      </c>
      <c r="H2702" t="s">
        <v>235</v>
      </c>
      <c r="I2702" t="s">
        <v>849</v>
      </c>
      <c r="J2702" t="s">
        <v>1317</v>
      </c>
      <c r="K2702" t="s">
        <v>1318</v>
      </c>
      <c r="L2702" t="s">
        <v>1319</v>
      </c>
      <c r="M2702">
        <v>1471132800</v>
      </c>
      <c r="N2702" t="s">
        <v>1628</v>
      </c>
      <c r="O2702" t="s">
        <v>1628</v>
      </c>
      <c r="P2702" t="s">
        <v>1628</v>
      </c>
      <c r="Q2702">
        <f>LEN(AMAZON_FASHION_5__2[[#This Row],[reviewText]])</f>
        <v>224</v>
      </c>
      <c r="R2702" t="str">
        <f>IF(AMAZON_FASHION_5__2[[#This Row],[overall]]&gt;=4,"Positive",IF(AMAZON_FASHION_5__2[[#This Row],[overall]]&lt;=2,"Negative","Neutral"))</f>
        <v>Positive</v>
      </c>
      <c r="S27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03" spans="1:19" x14ac:dyDescent="0.25">
      <c r="A2703">
        <v>5</v>
      </c>
      <c r="B2703" t="b">
        <v>1</v>
      </c>
      <c r="C2703" s="1">
        <v>42590</v>
      </c>
      <c r="D2703">
        <f>YEAR(AMAZON_FASHION_5__2[[#This Row],[reviewDate]])</f>
        <v>2016</v>
      </c>
      <c r="E2703" s="1" t="str">
        <f>TEXT(AMAZON_FASHION_5__2[[#This Row],[reviewDate]], "mmmm")</f>
        <v>August</v>
      </c>
      <c r="F2703" t="s">
        <v>1320</v>
      </c>
      <c r="G2703" t="s">
        <v>1566</v>
      </c>
      <c r="H2703" t="s">
        <v>235</v>
      </c>
      <c r="I2703" t="s">
        <v>198</v>
      </c>
      <c r="J2703" t="s">
        <v>1321</v>
      </c>
      <c r="K2703" t="s">
        <v>1322</v>
      </c>
      <c r="L2703" t="s">
        <v>1323</v>
      </c>
      <c r="M2703">
        <v>1470614400</v>
      </c>
      <c r="N2703" t="s">
        <v>1628</v>
      </c>
      <c r="O2703" t="s">
        <v>1628</v>
      </c>
      <c r="P2703" t="s">
        <v>1628</v>
      </c>
      <c r="Q2703">
        <f>LEN(AMAZON_FASHION_5__2[[#This Row],[reviewText]])</f>
        <v>105</v>
      </c>
      <c r="R2703" t="str">
        <f>IF(AMAZON_FASHION_5__2[[#This Row],[overall]]&gt;=4,"Positive",IF(AMAZON_FASHION_5__2[[#This Row],[overall]]&lt;=2,"Negative","Neutral"))</f>
        <v>Positive</v>
      </c>
      <c r="S27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04" spans="1:19" x14ac:dyDescent="0.25">
      <c r="A2704">
        <v>3</v>
      </c>
      <c r="B2704" t="b">
        <v>1</v>
      </c>
      <c r="C2704" s="1">
        <v>42587</v>
      </c>
      <c r="D2704">
        <f>YEAR(AMAZON_FASHION_5__2[[#This Row],[reviewDate]])</f>
        <v>2016</v>
      </c>
      <c r="E2704" s="1" t="str">
        <f>TEXT(AMAZON_FASHION_5__2[[#This Row],[reviewDate]], "mmmm")</f>
        <v>August</v>
      </c>
      <c r="F2704" t="s">
        <v>1324</v>
      </c>
      <c r="G2704" t="s">
        <v>1566</v>
      </c>
      <c r="H2704" t="s">
        <v>205</v>
      </c>
      <c r="I2704" t="s">
        <v>198</v>
      </c>
      <c r="J2704" t="s">
        <v>1325</v>
      </c>
      <c r="K2704" t="s">
        <v>1326</v>
      </c>
      <c r="L2704" t="s">
        <v>1327</v>
      </c>
      <c r="M2704">
        <v>1470355200</v>
      </c>
      <c r="N2704" t="s">
        <v>1628</v>
      </c>
      <c r="O2704" t="s">
        <v>1628</v>
      </c>
      <c r="P2704">
        <v>2</v>
      </c>
      <c r="Q2704">
        <f>LEN(AMAZON_FASHION_5__2[[#This Row],[reviewText]])</f>
        <v>772</v>
      </c>
      <c r="R2704" t="str">
        <f>IF(AMAZON_FASHION_5__2[[#This Row],[overall]]&gt;=4,"Positive",IF(AMAZON_FASHION_5__2[[#This Row],[overall]]&lt;=2,"Negative","Neutral"))</f>
        <v>Neutral</v>
      </c>
      <c r="S27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05" spans="1:19" x14ac:dyDescent="0.25">
      <c r="A2705">
        <v>5</v>
      </c>
      <c r="B2705" t="b">
        <v>1</v>
      </c>
      <c r="C2705" s="1">
        <v>42578</v>
      </c>
      <c r="D2705">
        <f>YEAR(AMAZON_FASHION_5__2[[#This Row],[reviewDate]])</f>
        <v>2016</v>
      </c>
      <c r="E2705" s="1" t="str">
        <f>TEXT(AMAZON_FASHION_5__2[[#This Row],[reviewDate]], "mmmm")</f>
        <v>July</v>
      </c>
      <c r="F2705" t="s">
        <v>1328</v>
      </c>
      <c r="G2705" t="s">
        <v>1566</v>
      </c>
      <c r="H2705" t="s">
        <v>1585</v>
      </c>
      <c r="I2705" t="s">
        <v>198</v>
      </c>
      <c r="J2705" t="s">
        <v>1329</v>
      </c>
      <c r="K2705" t="s">
        <v>1330</v>
      </c>
      <c r="L2705" t="s">
        <v>1331</v>
      </c>
      <c r="M2705">
        <v>1469577600</v>
      </c>
      <c r="N2705" t="s">
        <v>1628</v>
      </c>
      <c r="O2705" t="s">
        <v>1628</v>
      </c>
      <c r="P2705" t="s">
        <v>1628</v>
      </c>
      <c r="Q2705">
        <f>LEN(AMAZON_FASHION_5__2[[#This Row],[reviewText]])</f>
        <v>37</v>
      </c>
      <c r="R2705" t="str">
        <f>IF(AMAZON_FASHION_5__2[[#This Row],[overall]]&gt;=4,"Positive",IF(AMAZON_FASHION_5__2[[#This Row],[overall]]&lt;=2,"Negative","Neutral"))</f>
        <v>Positive</v>
      </c>
      <c r="S27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06" spans="1:19" x14ac:dyDescent="0.25">
      <c r="A2706">
        <v>5</v>
      </c>
      <c r="B2706" t="b">
        <v>0</v>
      </c>
      <c r="C2706" s="1">
        <v>42573</v>
      </c>
      <c r="D2706">
        <f>YEAR(AMAZON_FASHION_5__2[[#This Row],[reviewDate]])</f>
        <v>2016</v>
      </c>
      <c r="E2706" s="1" t="str">
        <f>TEXT(AMAZON_FASHION_5__2[[#This Row],[reviewDate]], "mmmm")</f>
        <v>July</v>
      </c>
      <c r="F2706" t="s">
        <v>1332</v>
      </c>
      <c r="G2706" t="s">
        <v>1566</v>
      </c>
      <c r="H2706" t="s">
        <v>1598</v>
      </c>
      <c r="I2706" t="s">
        <v>344</v>
      </c>
      <c r="J2706" t="s">
        <v>1333</v>
      </c>
      <c r="K2706" t="s">
        <v>1334</v>
      </c>
      <c r="L2706" t="s">
        <v>543</v>
      </c>
      <c r="M2706">
        <v>1469145600</v>
      </c>
      <c r="N2706" t="s">
        <v>1628</v>
      </c>
      <c r="O2706" t="s">
        <v>1628</v>
      </c>
      <c r="P2706" t="s">
        <v>1628</v>
      </c>
      <c r="Q2706">
        <f>LEN(AMAZON_FASHION_5__2[[#This Row],[reviewText]])</f>
        <v>427</v>
      </c>
      <c r="R2706" t="str">
        <f>IF(AMAZON_FASHION_5__2[[#This Row],[overall]]&gt;=4,"Positive",IF(AMAZON_FASHION_5__2[[#This Row],[overall]]&lt;=2,"Negative","Neutral"))</f>
        <v>Positive</v>
      </c>
      <c r="S27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07" spans="1:19" x14ac:dyDescent="0.25">
      <c r="A2707">
        <v>3</v>
      </c>
      <c r="B2707" t="b">
        <v>1</v>
      </c>
      <c r="C2707" s="1">
        <v>42572</v>
      </c>
      <c r="D2707">
        <f>YEAR(AMAZON_FASHION_5__2[[#This Row],[reviewDate]])</f>
        <v>2016</v>
      </c>
      <c r="E2707" s="1" t="str">
        <f>TEXT(AMAZON_FASHION_5__2[[#This Row],[reviewDate]], "mmmm")</f>
        <v>July</v>
      </c>
      <c r="F2707" t="s">
        <v>1335</v>
      </c>
      <c r="G2707" t="s">
        <v>1566</v>
      </c>
      <c r="H2707" t="s">
        <v>1596</v>
      </c>
      <c r="I2707" t="s">
        <v>198</v>
      </c>
      <c r="J2707" t="s">
        <v>1336</v>
      </c>
      <c r="K2707" t="s">
        <v>1337</v>
      </c>
      <c r="L2707" t="s">
        <v>1338</v>
      </c>
      <c r="M2707">
        <v>1469059200</v>
      </c>
      <c r="N2707" t="s">
        <v>1628</v>
      </c>
      <c r="O2707" t="s">
        <v>1628</v>
      </c>
      <c r="P2707" t="s">
        <v>1628</v>
      </c>
      <c r="Q2707">
        <f>LEN(AMAZON_FASHION_5__2[[#This Row],[reviewText]])</f>
        <v>50</v>
      </c>
      <c r="R2707" t="str">
        <f>IF(AMAZON_FASHION_5__2[[#This Row],[overall]]&gt;=4,"Positive",IF(AMAZON_FASHION_5__2[[#This Row],[overall]]&lt;=2,"Negative","Neutral"))</f>
        <v>Neutral</v>
      </c>
      <c r="S27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08" spans="1:19" x14ac:dyDescent="0.25">
      <c r="A2708">
        <v>5</v>
      </c>
      <c r="B2708" t="b">
        <v>1</v>
      </c>
      <c r="C2708" s="1">
        <v>42570</v>
      </c>
      <c r="D2708">
        <f>YEAR(AMAZON_FASHION_5__2[[#This Row],[reviewDate]])</f>
        <v>2016</v>
      </c>
      <c r="E2708" s="1" t="str">
        <f>TEXT(AMAZON_FASHION_5__2[[#This Row],[reviewDate]], "mmmm")</f>
        <v>July</v>
      </c>
      <c r="F2708" t="s">
        <v>1339</v>
      </c>
      <c r="G2708" t="s">
        <v>1566</v>
      </c>
      <c r="H2708" t="s">
        <v>205</v>
      </c>
      <c r="I2708" t="s">
        <v>198</v>
      </c>
      <c r="J2708" t="s">
        <v>1340</v>
      </c>
      <c r="K2708" t="s">
        <v>1341</v>
      </c>
      <c r="L2708" t="s">
        <v>17</v>
      </c>
      <c r="M2708">
        <v>1468886400</v>
      </c>
      <c r="N2708" t="s">
        <v>1628</v>
      </c>
      <c r="O2708" t="s">
        <v>1628</v>
      </c>
      <c r="P2708" t="s">
        <v>1628</v>
      </c>
      <c r="Q2708">
        <f>LEN(AMAZON_FASHION_5__2[[#This Row],[reviewText]])</f>
        <v>20</v>
      </c>
      <c r="R2708" t="str">
        <f>IF(AMAZON_FASHION_5__2[[#This Row],[overall]]&gt;=4,"Positive",IF(AMAZON_FASHION_5__2[[#This Row],[overall]]&lt;=2,"Negative","Neutral"))</f>
        <v>Positive</v>
      </c>
      <c r="S27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09" spans="1:19" x14ac:dyDescent="0.25">
      <c r="A2709">
        <v>5</v>
      </c>
      <c r="B2709" t="b">
        <v>1</v>
      </c>
      <c r="C2709" s="1">
        <v>42569</v>
      </c>
      <c r="D2709">
        <f>YEAR(AMAZON_FASHION_5__2[[#This Row],[reviewDate]])</f>
        <v>2016</v>
      </c>
      <c r="E2709" s="1" t="str">
        <f>TEXT(AMAZON_FASHION_5__2[[#This Row],[reviewDate]], "mmmm")</f>
        <v>July</v>
      </c>
      <c r="F2709" t="s">
        <v>1342</v>
      </c>
      <c r="G2709" t="s">
        <v>1566</v>
      </c>
      <c r="H2709" t="s">
        <v>1571</v>
      </c>
      <c r="I2709" t="s">
        <v>211</v>
      </c>
      <c r="J2709" t="s">
        <v>1343</v>
      </c>
      <c r="K2709" t="s">
        <v>1344</v>
      </c>
      <c r="L2709" t="s">
        <v>1345</v>
      </c>
      <c r="M2709">
        <v>1468800000</v>
      </c>
      <c r="N2709" t="s">
        <v>1628</v>
      </c>
      <c r="O2709" t="s">
        <v>1628</v>
      </c>
      <c r="P2709" t="s">
        <v>1628</v>
      </c>
      <c r="Q2709">
        <f>LEN(AMAZON_FASHION_5__2[[#This Row],[reviewText]])</f>
        <v>306</v>
      </c>
      <c r="R2709" t="str">
        <f>IF(AMAZON_FASHION_5__2[[#This Row],[overall]]&gt;=4,"Positive",IF(AMAZON_FASHION_5__2[[#This Row],[overall]]&lt;=2,"Negative","Neutral"))</f>
        <v>Positive</v>
      </c>
      <c r="S27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10" spans="1:19" x14ac:dyDescent="0.25">
      <c r="A2710">
        <v>5</v>
      </c>
      <c r="B2710" t="b">
        <v>1</v>
      </c>
      <c r="C2710" s="1">
        <v>42564</v>
      </c>
      <c r="D2710">
        <f>YEAR(AMAZON_FASHION_5__2[[#This Row],[reviewDate]])</f>
        <v>2016</v>
      </c>
      <c r="E2710" s="1" t="str">
        <f>TEXT(AMAZON_FASHION_5__2[[#This Row],[reviewDate]], "mmmm")</f>
        <v>July</v>
      </c>
      <c r="F2710" t="s">
        <v>1346</v>
      </c>
      <c r="G2710" t="s">
        <v>1566</v>
      </c>
      <c r="H2710" t="s">
        <v>210</v>
      </c>
      <c r="I2710" t="s">
        <v>198</v>
      </c>
      <c r="J2710" t="s">
        <v>1347</v>
      </c>
      <c r="K2710" t="s">
        <v>1348</v>
      </c>
      <c r="L2710" t="s">
        <v>1349</v>
      </c>
      <c r="M2710">
        <v>1468368000</v>
      </c>
      <c r="N2710" t="s">
        <v>1628</v>
      </c>
      <c r="O2710" t="s">
        <v>1628</v>
      </c>
      <c r="P2710" t="s">
        <v>1628</v>
      </c>
      <c r="Q2710">
        <f>LEN(AMAZON_FASHION_5__2[[#This Row],[reviewText]])</f>
        <v>188</v>
      </c>
      <c r="R2710" t="str">
        <f>IF(AMAZON_FASHION_5__2[[#This Row],[overall]]&gt;=4,"Positive",IF(AMAZON_FASHION_5__2[[#This Row],[overall]]&lt;=2,"Negative","Neutral"))</f>
        <v>Positive</v>
      </c>
      <c r="S27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11" spans="1:19" x14ac:dyDescent="0.25">
      <c r="A2711">
        <v>5</v>
      </c>
      <c r="B2711" t="b">
        <v>1</v>
      </c>
      <c r="C2711" s="1">
        <v>42552</v>
      </c>
      <c r="D2711">
        <f>YEAR(AMAZON_FASHION_5__2[[#This Row],[reviewDate]])</f>
        <v>2016</v>
      </c>
      <c r="E2711" s="1" t="str">
        <f>TEXT(AMAZON_FASHION_5__2[[#This Row],[reviewDate]], "mmmm")</f>
        <v>July</v>
      </c>
      <c r="F2711" t="s">
        <v>1350</v>
      </c>
      <c r="G2711" t="s">
        <v>1566</v>
      </c>
      <c r="H2711" t="s">
        <v>320</v>
      </c>
      <c r="I2711" t="s">
        <v>198</v>
      </c>
      <c r="J2711" t="s">
        <v>63</v>
      </c>
      <c r="K2711" t="s">
        <v>1351</v>
      </c>
      <c r="L2711" t="s">
        <v>1352</v>
      </c>
      <c r="M2711">
        <v>1467331200</v>
      </c>
      <c r="N2711" t="s">
        <v>1628</v>
      </c>
      <c r="O2711" t="s">
        <v>1628</v>
      </c>
      <c r="P2711" t="s">
        <v>1628</v>
      </c>
      <c r="Q2711">
        <f>LEN(AMAZON_FASHION_5__2[[#This Row],[reviewText]])</f>
        <v>62</v>
      </c>
      <c r="R2711" t="str">
        <f>IF(AMAZON_FASHION_5__2[[#This Row],[overall]]&gt;=4,"Positive",IF(AMAZON_FASHION_5__2[[#This Row],[overall]]&lt;=2,"Negative","Neutral"))</f>
        <v>Positive</v>
      </c>
      <c r="S27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12" spans="1:19" x14ac:dyDescent="0.25">
      <c r="A2712">
        <v>5</v>
      </c>
      <c r="B2712" t="b">
        <v>1</v>
      </c>
      <c r="C2712" s="1">
        <v>42552</v>
      </c>
      <c r="D2712">
        <f>YEAR(AMAZON_FASHION_5__2[[#This Row],[reviewDate]])</f>
        <v>2016</v>
      </c>
      <c r="E2712" s="1" t="str">
        <f>TEXT(AMAZON_FASHION_5__2[[#This Row],[reviewDate]], "mmmm")</f>
        <v>July</v>
      </c>
      <c r="F2712" t="s">
        <v>1353</v>
      </c>
      <c r="G2712" t="s">
        <v>1566</v>
      </c>
      <c r="H2712" t="s">
        <v>1598</v>
      </c>
      <c r="I2712" t="s">
        <v>493</v>
      </c>
      <c r="J2712" t="s">
        <v>1354</v>
      </c>
      <c r="K2712" t="s">
        <v>1355</v>
      </c>
      <c r="L2712" t="s">
        <v>1356</v>
      </c>
      <c r="M2712">
        <v>1467331200</v>
      </c>
      <c r="N2712" t="s">
        <v>1628</v>
      </c>
      <c r="O2712" t="s">
        <v>1628</v>
      </c>
      <c r="P2712">
        <v>5</v>
      </c>
      <c r="Q2712">
        <f>LEN(AMAZON_FASHION_5__2[[#This Row],[reviewText]])</f>
        <v>378</v>
      </c>
      <c r="R2712" t="str">
        <f>IF(AMAZON_FASHION_5__2[[#This Row],[overall]]&gt;=4,"Positive",IF(AMAZON_FASHION_5__2[[#This Row],[overall]]&lt;=2,"Negative","Neutral"))</f>
        <v>Positive</v>
      </c>
      <c r="S27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13" spans="1:19" x14ac:dyDescent="0.25">
      <c r="A2713">
        <v>5</v>
      </c>
      <c r="B2713" t="b">
        <v>1</v>
      </c>
      <c r="C2713" s="1">
        <v>42549</v>
      </c>
      <c r="D2713">
        <f>YEAR(AMAZON_FASHION_5__2[[#This Row],[reviewDate]])</f>
        <v>2016</v>
      </c>
      <c r="E2713" s="1" t="str">
        <f>TEXT(AMAZON_FASHION_5__2[[#This Row],[reviewDate]], "mmmm")</f>
        <v>June</v>
      </c>
      <c r="F2713" t="s">
        <v>1357</v>
      </c>
      <c r="G2713" t="s">
        <v>1566</v>
      </c>
      <c r="H2713" t="s">
        <v>1578</v>
      </c>
      <c r="I2713" t="s">
        <v>198</v>
      </c>
      <c r="J2713" t="s">
        <v>1358</v>
      </c>
      <c r="K2713" t="s">
        <v>1359</v>
      </c>
      <c r="L2713" t="s">
        <v>1360</v>
      </c>
      <c r="M2713">
        <v>1467072000</v>
      </c>
      <c r="N2713" t="s">
        <v>1628</v>
      </c>
      <c r="O2713" t="s">
        <v>1628</v>
      </c>
      <c r="P2713">
        <v>7</v>
      </c>
      <c r="Q2713">
        <f>LEN(AMAZON_FASHION_5__2[[#This Row],[reviewText]])</f>
        <v>288</v>
      </c>
      <c r="R2713" t="str">
        <f>IF(AMAZON_FASHION_5__2[[#This Row],[overall]]&gt;=4,"Positive",IF(AMAZON_FASHION_5__2[[#This Row],[overall]]&lt;=2,"Negative","Neutral"))</f>
        <v>Positive</v>
      </c>
      <c r="S27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14" spans="1:19" x14ac:dyDescent="0.25">
      <c r="A2714">
        <v>5</v>
      </c>
      <c r="B2714" t="b">
        <v>1</v>
      </c>
      <c r="C2714" s="1">
        <v>42546</v>
      </c>
      <c r="D2714">
        <f>YEAR(AMAZON_FASHION_5__2[[#This Row],[reviewDate]])</f>
        <v>2016</v>
      </c>
      <c r="E2714" s="1" t="str">
        <f>TEXT(AMAZON_FASHION_5__2[[#This Row],[reviewDate]], "mmmm")</f>
        <v>June</v>
      </c>
      <c r="F2714" t="s">
        <v>1361</v>
      </c>
      <c r="G2714" t="s">
        <v>1566</v>
      </c>
      <c r="H2714" t="s">
        <v>205</v>
      </c>
      <c r="I2714" t="s">
        <v>849</v>
      </c>
      <c r="J2714" t="s">
        <v>1362</v>
      </c>
      <c r="K2714" t="s">
        <v>1363</v>
      </c>
      <c r="L2714" t="s">
        <v>17</v>
      </c>
      <c r="M2714">
        <v>1466812800</v>
      </c>
      <c r="N2714" t="s">
        <v>1628</v>
      </c>
      <c r="O2714" t="s">
        <v>1628</v>
      </c>
      <c r="P2714" t="s">
        <v>1628</v>
      </c>
      <c r="Q2714">
        <f>LEN(AMAZON_FASHION_5__2[[#This Row],[reviewText]])</f>
        <v>60</v>
      </c>
      <c r="R2714" t="str">
        <f>IF(AMAZON_FASHION_5__2[[#This Row],[overall]]&gt;=4,"Positive",IF(AMAZON_FASHION_5__2[[#This Row],[overall]]&lt;=2,"Negative","Neutral"))</f>
        <v>Positive</v>
      </c>
      <c r="S27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15" spans="1:19" x14ac:dyDescent="0.25">
      <c r="A2715">
        <v>3</v>
      </c>
      <c r="B2715" t="b">
        <v>1</v>
      </c>
      <c r="C2715" s="1">
        <v>42542</v>
      </c>
      <c r="D2715">
        <f>YEAR(AMAZON_FASHION_5__2[[#This Row],[reviewDate]])</f>
        <v>2016</v>
      </c>
      <c r="E2715" s="1" t="str">
        <f>TEXT(AMAZON_FASHION_5__2[[#This Row],[reviewDate]], "mmmm")</f>
        <v>June</v>
      </c>
      <c r="F2715" t="s">
        <v>1364</v>
      </c>
      <c r="G2715" t="s">
        <v>1566</v>
      </c>
      <c r="H2715" t="s">
        <v>1596</v>
      </c>
      <c r="I2715" t="s">
        <v>211</v>
      </c>
      <c r="J2715" t="s">
        <v>63</v>
      </c>
      <c r="K2715" t="s">
        <v>1365</v>
      </c>
      <c r="L2715" t="s">
        <v>1366</v>
      </c>
      <c r="M2715">
        <v>1466467200</v>
      </c>
      <c r="N2715" t="s">
        <v>1628</v>
      </c>
      <c r="O2715" t="s">
        <v>1628</v>
      </c>
      <c r="P2715">
        <v>3</v>
      </c>
      <c r="Q2715">
        <f>LEN(AMAZON_FASHION_5__2[[#This Row],[reviewText]])</f>
        <v>236</v>
      </c>
      <c r="R2715" t="str">
        <f>IF(AMAZON_FASHION_5__2[[#This Row],[overall]]&gt;=4,"Positive",IF(AMAZON_FASHION_5__2[[#This Row],[overall]]&lt;=2,"Negative","Neutral"))</f>
        <v>Neutral</v>
      </c>
      <c r="S27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16" spans="1:19" x14ac:dyDescent="0.25">
      <c r="A2716">
        <v>5</v>
      </c>
      <c r="B2716" t="b">
        <v>1</v>
      </c>
      <c r="C2716" s="1">
        <v>42540</v>
      </c>
      <c r="D2716">
        <f>YEAR(AMAZON_FASHION_5__2[[#This Row],[reviewDate]])</f>
        <v>2016</v>
      </c>
      <c r="E2716" s="1" t="str">
        <f>TEXT(AMAZON_FASHION_5__2[[#This Row],[reviewDate]], "mmmm")</f>
        <v>June</v>
      </c>
      <c r="F2716" t="s">
        <v>1367</v>
      </c>
      <c r="G2716" t="s">
        <v>1566</v>
      </c>
      <c r="H2716" t="s">
        <v>1571</v>
      </c>
      <c r="I2716" t="s">
        <v>198</v>
      </c>
      <c r="J2716" t="s">
        <v>1368</v>
      </c>
      <c r="K2716" t="s">
        <v>1369</v>
      </c>
      <c r="L2716" t="s">
        <v>480</v>
      </c>
      <c r="M2716">
        <v>1466294400</v>
      </c>
      <c r="N2716" t="s">
        <v>1628</v>
      </c>
      <c r="O2716" t="s">
        <v>1628</v>
      </c>
      <c r="P2716">
        <v>3</v>
      </c>
      <c r="Q2716">
        <f>LEN(AMAZON_FASHION_5__2[[#This Row],[reviewText]])</f>
        <v>308</v>
      </c>
      <c r="R2716" t="str">
        <f>IF(AMAZON_FASHION_5__2[[#This Row],[overall]]&gt;=4,"Positive",IF(AMAZON_FASHION_5__2[[#This Row],[overall]]&lt;=2,"Negative","Neutral"))</f>
        <v>Positive</v>
      </c>
      <c r="S27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17" spans="1:19" x14ac:dyDescent="0.25">
      <c r="A2717">
        <v>5</v>
      </c>
      <c r="B2717" t="b">
        <v>0</v>
      </c>
      <c r="C2717" s="1">
        <v>42537</v>
      </c>
      <c r="D2717">
        <f>YEAR(AMAZON_FASHION_5__2[[#This Row],[reviewDate]])</f>
        <v>2016</v>
      </c>
      <c r="E2717" s="1" t="str">
        <f>TEXT(AMAZON_FASHION_5__2[[#This Row],[reviewDate]], "mmmm")</f>
        <v>June</v>
      </c>
      <c r="F2717" t="s">
        <v>1370</v>
      </c>
      <c r="G2717" t="s">
        <v>1566</v>
      </c>
      <c r="H2717" t="s">
        <v>1571</v>
      </c>
      <c r="I2717" t="s">
        <v>236</v>
      </c>
      <c r="J2717" t="s">
        <v>63</v>
      </c>
      <c r="K2717" t="s">
        <v>1371</v>
      </c>
      <c r="L2717" t="s">
        <v>1372</v>
      </c>
      <c r="M2717">
        <v>1466035200</v>
      </c>
      <c r="N2717" t="s">
        <v>1628</v>
      </c>
      <c r="O2717" t="s">
        <v>1628</v>
      </c>
      <c r="P2717">
        <v>3</v>
      </c>
      <c r="Q2717">
        <f>LEN(AMAZON_FASHION_5__2[[#This Row],[reviewText]])</f>
        <v>370</v>
      </c>
      <c r="R2717" t="str">
        <f>IF(AMAZON_FASHION_5__2[[#This Row],[overall]]&gt;=4,"Positive",IF(AMAZON_FASHION_5__2[[#This Row],[overall]]&lt;=2,"Negative","Neutral"))</f>
        <v>Positive</v>
      </c>
      <c r="S27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18" spans="1:19" x14ac:dyDescent="0.25">
      <c r="A2718">
        <v>5</v>
      </c>
      <c r="B2718" t="b">
        <v>1</v>
      </c>
      <c r="C2718" s="1">
        <v>42531</v>
      </c>
      <c r="D2718">
        <f>YEAR(AMAZON_FASHION_5__2[[#This Row],[reviewDate]])</f>
        <v>2016</v>
      </c>
      <c r="E2718" s="1" t="str">
        <f>TEXT(AMAZON_FASHION_5__2[[#This Row],[reviewDate]], "mmmm")</f>
        <v>June</v>
      </c>
      <c r="F2718" t="s">
        <v>1373</v>
      </c>
      <c r="G2718" t="s">
        <v>1566</v>
      </c>
      <c r="H2718" t="s">
        <v>1572</v>
      </c>
      <c r="I2718" t="s">
        <v>198</v>
      </c>
      <c r="J2718" t="s">
        <v>1374</v>
      </c>
      <c r="K2718" t="s">
        <v>1375</v>
      </c>
      <c r="L2718" t="s">
        <v>1376</v>
      </c>
      <c r="M2718">
        <v>1465516800</v>
      </c>
      <c r="N2718" t="s">
        <v>1628</v>
      </c>
      <c r="O2718" t="s">
        <v>1628</v>
      </c>
      <c r="P2718">
        <v>11</v>
      </c>
      <c r="Q2718">
        <f>LEN(AMAZON_FASHION_5__2[[#This Row],[reviewText]])</f>
        <v>204</v>
      </c>
      <c r="R2718" t="str">
        <f>IF(AMAZON_FASHION_5__2[[#This Row],[overall]]&gt;=4,"Positive",IF(AMAZON_FASHION_5__2[[#This Row],[overall]]&lt;=2,"Negative","Neutral"))</f>
        <v>Positive</v>
      </c>
      <c r="S27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19" spans="1:19" x14ac:dyDescent="0.25">
      <c r="A2719">
        <v>5</v>
      </c>
      <c r="B2719" t="b">
        <v>1</v>
      </c>
      <c r="C2719" s="1">
        <v>42526</v>
      </c>
      <c r="D2719">
        <f>YEAR(AMAZON_FASHION_5__2[[#This Row],[reviewDate]])</f>
        <v>2016</v>
      </c>
      <c r="E2719" s="1" t="str">
        <f>TEXT(AMAZON_FASHION_5__2[[#This Row],[reviewDate]], "mmmm")</f>
        <v>June</v>
      </c>
      <c r="F2719" t="s">
        <v>1377</v>
      </c>
      <c r="G2719" t="s">
        <v>1566</v>
      </c>
      <c r="H2719" t="s">
        <v>1574</v>
      </c>
      <c r="I2719" t="s">
        <v>198</v>
      </c>
      <c r="J2719" t="s">
        <v>1378</v>
      </c>
      <c r="K2719" t="s">
        <v>1379</v>
      </c>
      <c r="L2719" t="s">
        <v>17</v>
      </c>
      <c r="M2719">
        <v>1465084800</v>
      </c>
      <c r="N2719" t="s">
        <v>1628</v>
      </c>
      <c r="O2719" t="s">
        <v>1628</v>
      </c>
      <c r="P2719" t="s">
        <v>1628</v>
      </c>
      <c r="Q2719">
        <f>LEN(AMAZON_FASHION_5__2[[#This Row],[reviewText]])</f>
        <v>9</v>
      </c>
      <c r="R2719" t="str">
        <f>IF(AMAZON_FASHION_5__2[[#This Row],[overall]]&gt;=4,"Positive",IF(AMAZON_FASHION_5__2[[#This Row],[overall]]&lt;=2,"Negative","Neutral"))</f>
        <v>Positive</v>
      </c>
      <c r="S27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20" spans="1:19" x14ac:dyDescent="0.25">
      <c r="A2720">
        <v>5</v>
      </c>
      <c r="B2720" t="b">
        <v>1</v>
      </c>
      <c r="C2720" s="1">
        <v>42523</v>
      </c>
      <c r="D2720">
        <f>YEAR(AMAZON_FASHION_5__2[[#This Row],[reviewDate]])</f>
        <v>2016</v>
      </c>
      <c r="E2720" s="1" t="str">
        <f>TEXT(AMAZON_FASHION_5__2[[#This Row],[reviewDate]], "mmmm")</f>
        <v>June</v>
      </c>
      <c r="F2720" t="s">
        <v>1380</v>
      </c>
      <c r="G2720" t="s">
        <v>1566</v>
      </c>
      <c r="H2720" t="s">
        <v>1574</v>
      </c>
      <c r="I2720" t="s">
        <v>493</v>
      </c>
      <c r="J2720" t="s">
        <v>1381</v>
      </c>
      <c r="K2720" t="s">
        <v>1382</v>
      </c>
      <c r="L2720" t="s">
        <v>1383</v>
      </c>
      <c r="M2720">
        <v>1464825600</v>
      </c>
      <c r="N2720" t="s">
        <v>1628</v>
      </c>
      <c r="O2720" t="s">
        <v>1628</v>
      </c>
      <c r="P2720" t="s">
        <v>1628</v>
      </c>
      <c r="Q2720">
        <f>LEN(AMAZON_FASHION_5__2[[#This Row],[reviewText]])</f>
        <v>237</v>
      </c>
      <c r="R2720" t="str">
        <f>IF(AMAZON_FASHION_5__2[[#This Row],[overall]]&gt;=4,"Positive",IF(AMAZON_FASHION_5__2[[#This Row],[overall]]&lt;=2,"Negative","Neutral"))</f>
        <v>Positive</v>
      </c>
      <c r="S27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21" spans="1:19" x14ac:dyDescent="0.25">
      <c r="A2721">
        <v>5</v>
      </c>
      <c r="B2721" t="b">
        <v>1</v>
      </c>
      <c r="C2721" s="1">
        <v>42519</v>
      </c>
      <c r="D2721">
        <f>YEAR(AMAZON_FASHION_5__2[[#This Row],[reviewDate]])</f>
        <v>2016</v>
      </c>
      <c r="E2721" s="1" t="str">
        <f>TEXT(AMAZON_FASHION_5__2[[#This Row],[reviewDate]], "mmmm")</f>
        <v>May</v>
      </c>
      <c r="F2721" t="s">
        <v>1384</v>
      </c>
      <c r="G2721" t="s">
        <v>1566</v>
      </c>
      <c r="H2721" t="s">
        <v>1567</v>
      </c>
      <c r="I2721" t="s">
        <v>211</v>
      </c>
      <c r="J2721" t="s">
        <v>1385</v>
      </c>
      <c r="K2721" t="s">
        <v>1386</v>
      </c>
      <c r="L2721" t="s">
        <v>17</v>
      </c>
      <c r="M2721">
        <v>1464480000</v>
      </c>
      <c r="N2721" t="s">
        <v>1628</v>
      </c>
      <c r="O2721" t="s">
        <v>1628</v>
      </c>
      <c r="P2721" t="s">
        <v>1628</v>
      </c>
      <c r="Q2721">
        <f>LEN(AMAZON_FASHION_5__2[[#This Row],[reviewText]])</f>
        <v>11</v>
      </c>
      <c r="R2721" t="str">
        <f>IF(AMAZON_FASHION_5__2[[#This Row],[overall]]&gt;=4,"Positive",IF(AMAZON_FASHION_5__2[[#This Row],[overall]]&lt;=2,"Negative","Neutral"))</f>
        <v>Positive</v>
      </c>
      <c r="S27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22" spans="1:19" x14ac:dyDescent="0.25">
      <c r="A2722">
        <v>5</v>
      </c>
      <c r="B2722" t="b">
        <v>1</v>
      </c>
      <c r="C2722" s="1">
        <v>42518</v>
      </c>
      <c r="D2722">
        <f>YEAR(AMAZON_FASHION_5__2[[#This Row],[reviewDate]])</f>
        <v>2016</v>
      </c>
      <c r="E2722" s="1" t="str">
        <f>TEXT(AMAZON_FASHION_5__2[[#This Row],[reviewDate]], "mmmm")</f>
        <v>May</v>
      </c>
      <c r="F2722" t="s">
        <v>1387</v>
      </c>
      <c r="G2722" t="s">
        <v>1566</v>
      </c>
      <c r="H2722" t="s">
        <v>1388</v>
      </c>
      <c r="I2722" t="s">
        <v>1570</v>
      </c>
      <c r="J2722" t="s">
        <v>63</v>
      </c>
      <c r="K2722" t="s">
        <v>638</v>
      </c>
      <c r="L2722" t="s">
        <v>17</v>
      </c>
      <c r="M2722">
        <v>1464393600</v>
      </c>
      <c r="N2722" t="s">
        <v>1628</v>
      </c>
      <c r="O2722" t="s">
        <v>1628</v>
      </c>
      <c r="P2722" t="s">
        <v>1628</v>
      </c>
      <c r="Q2722">
        <f>LEN(AMAZON_FASHION_5__2[[#This Row],[reviewText]])</f>
        <v>7</v>
      </c>
      <c r="R2722" t="str">
        <f>IF(AMAZON_FASHION_5__2[[#This Row],[overall]]&gt;=4,"Positive",IF(AMAZON_FASHION_5__2[[#This Row],[overall]]&lt;=2,"Negative","Neutral"))</f>
        <v>Positive</v>
      </c>
      <c r="S27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23" spans="1:19" x14ac:dyDescent="0.25">
      <c r="A2723">
        <v>5</v>
      </c>
      <c r="B2723" t="b">
        <v>0</v>
      </c>
      <c r="C2723" s="1">
        <v>42514</v>
      </c>
      <c r="D2723">
        <f>YEAR(AMAZON_FASHION_5__2[[#This Row],[reviewDate]])</f>
        <v>2016</v>
      </c>
      <c r="E2723" s="1" t="str">
        <f>TEXT(AMAZON_FASHION_5__2[[#This Row],[reviewDate]], "mmmm")</f>
        <v>May</v>
      </c>
      <c r="F2723" t="s">
        <v>1389</v>
      </c>
      <c r="G2723" t="s">
        <v>1566</v>
      </c>
      <c r="H2723" t="s">
        <v>1628</v>
      </c>
      <c r="I2723" t="s">
        <v>1628</v>
      </c>
      <c r="J2723" t="s">
        <v>1390</v>
      </c>
      <c r="K2723" t="s">
        <v>1391</v>
      </c>
      <c r="L2723" t="s">
        <v>1392</v>
      </c>
      <c r="M2723">
        <v>1464048000</v>
      </c>
      <c r="N2723" t="s">
        <v>1628</v>
      </c>
      <c r="O2723" t="s">
        <v>1628</v>
      </c>
      <c r="P2723">
        <v>8</v>
      </c>
      <c r="Q2723">
        <f>LEN(AMAZON_FASHION_5__2[[#This Row],[reviewText]])</f>
        <v>629</v>
      </c>
      <c r="R2723" t="str">
        <f>IF(AMAZON_FASHION_5__2[[#This Row],[overall]]&gt;=4,"Positive",IF(AMAZON_FASHION_5__2[[#This Row],[overall]]&lt;=2,"Negative","Neutral"))</f>
        <v>Positive</v>
      </c>
      <c r="S27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24" spans="1:19" x14ac:dyDescent="0.25">
      <c r="A2724">
        <v>4</v>
      </c>
      <c r="B2724" t="b">
        <v>1</v>
      </c>
      <c r="C2724" s="1">
        <v>42514</v>
      </c>
      <c r="D2724">
        <f>YEAR(AMAZON_FASHION_5__2[[#This Row],[reviewDate]])</f>
        <v>2016</v>
      </c>
      <c r="E2724" s="1" t="str">
        <f>TEXT(AMAZON_FASHION_5__2[[#This Row],[reviewDate]], "mmmm")</f>
        <v>May</v>
      </c>
      <c r="F2724" t="s">
        <v>1393</v>
      </c>
      <c r="G2724" t="s">
        <v>1566</v>
      </c>
      <c r="H2724" t="s">
        <v>1571</v>
      </c>
      <c r="I2724" t="s">
        <v>211</v>
      </c>
      <c r="J2724" t="s">
        <v>1606</v>
      </c>
      <c r="K2724" t="s">
        <v>1395</v>
      </c>
      <c r="L2724" t="s">
        <v>1396</v>
      </c>
      <c r="M2724">
        <v>1464048000</v>
      </c>
      <c r="N2724" t="s">
        <v>1628</v>
      </c>
      <c r="O2724" t="s">
        <v>1628</v>
      </c>
      <c r="P2724" t="s">
        <v>1628</v>
      </c>
      <c r="Q2724">
        <f>LEN(AMAZON_FASHION_5__2[[#This Row],[reviewText]])</f>
        <v>148</v>
      </c>
      <c r="R2724" t="str">
        <f>IF(AMAZON_FASHION_5__2[[#This Row],[overall]]&gt;=4,"Positive",IF(AMAZON_FASHION_5__2[[#This Row],[overall]]&lt;=2,"Negative","Neutral"))</f>
        <v>Positive</v>
      </c>
      <c r="S27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25" spans="1:19" x14ac:dyDescent="0.25">
      <c r="A2725">
        <v>5</v>
      </c>
      <c r="B2725" t="b">
        <v>1</v>
      </c>
      <c r="C2725" s="1">
        <v>42510</v>
      </c>
      <c r="D2725">
        <f>YEAR(AMAZON_FASHION_5__2[[#This Row],[reviewDate]])</f>
        <v>2016</v>
      </c>
      <c r="E2725" s="1" t="str">
        <f>TEXT(AMAZON_FASHION_5__2[[#This Row],[reviewDate]], "mmmm")</f>
        <v>May</v>
      </c>
      <c r="F2725" t="s">
        <v>1397</v>
      </c>
      <c r="G2725" t="s">
        <v>1566</v>
      </c>
      <c r="H2725" t="s">
        <v>320</v>
      </c>
      <c r="I2725" t="s">
        <v>198</v>
      </c>
      <c r="J2725" t="s">
        <v>1398</v>
      </c>
      <c r="K2725" t="s">
        <v>940</v>
      </c>
      <c r="L2725" t="s">
        <v>17</v>
      </c>
      <c r="M2725">
        <v>1463702400</v>
      </c>
      <c r="N2725" t="s">
        <v>1628</v>
      </c>
      <c r="O2725" t="s">
        <v>1628</v>
      </c>
      <c r="P2725" t="s">
        <v>1628</v>
      </c>
      <c r="Q2725">
        <f>LEN(AMAZON_FASHION_5__2[[#This Row],[reviewText]])</f>
        <v>10</v>
      </c>
      <c r="R2725" t="str">
        <f>IF(AMAZON_FASHION_5__2[[#This Row],[overall]]&gt;=4,"Positive",IF(AMAZON_FASHION_5__2[[#This Row],[overall]]&lt;=2,"Negative","Neutral"))</f>
        <v>Positive</v>
      </c>
      <c r="S27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26" spans="1:19" x14ac:dyDescent="0.25">
      <c r="A2726">
        <v>5</v>
      </c>
      <c r="B2726" t="b">
        <v>0</v>
      </c>
      <c r="C2726" s="1">
        <v>42508</v>
      </c>
      <c r="D2726">
        <f>YEAR(AMAZON_FASHION_5__2[[#This Row],[reviewDate]])</f>
        <v>2016</v>
      </c>
      <c r="E2726" s="1" t="str">
        <f>TEXT(AMAZON_FASHION_5__2[[#This Row],[reviewDate]], "mmmm")</f>
        <v>May</v>
      </c>
      <c r="F2726" t="s">
        <v>1399</v>
      </c>
      <c r="G2726" t="s">
        <v>1566</v>
      </c>
      <c r="H2726" t="s">
        <v>1567</v>
      </c>
      <c r="I2726" t="s">
        <v>524</v>
      </c>
      <c r="J2726" t="s">
        <v>1400</v>
      </c>
      <c r="K2726" t="s">
        <v>1401</v>
      </c>
      <c r="L2726" t="s">
        <v>1402</v>
      </c>
      <c r="M2726">
        <v>1463529600</v>
      </c>
      <c r="N2726" t="s">
        <v>1628</v>
      </c>
      <c r="O2726" t="s">
        <v>1628</v>
      </c>
      <c r="P2726" t="s">
        <v>1628</v>
      </c>
      <c r="Q2726">
        <f>LEN(AMAZON_FASHION_5__2[[#This Row],[reviewText]])</f>
        <v>247</v>
      </c>
      <c r="R2726" t="str">
        <f>IF(AMAZON_FASHION_5__2[[#This Row],[overall]]&gt;=4,"Positive",IF(AMAZON_FASHION_5__2[[#This Row],[overall]]&lt;=2,"Negative","Neutral"))</f>
        <v>Positive</v>
      </c>
      <c r="S27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27" spans="1:19" x14ac:dyDescent="0.25">
      <c r="A2727">
        <v>5</v>
      </c>
      <c r="B2727" t="b">
        <v>1</v>
      </c>
      <c r="C2727" s="1">
        <v>42506</v>
      </c>
      <c r="D2727">
        <f>YEAR(AMAZON_FASHION_5__2[[#This Row],[reviewDate]])</f>
        <v>2016</v>
      </c>
      <c r="E2727" s="1" t="str">
        <f>TEXT(AMAZON_FASHION_5__2[[#This Row],[reviewDate]], "mmmm")</f>
        <v>May</v>
      </c>
      <c r="F2727" t="s">
        <v>1403</v>
      </c>
      <c r="G2727" t="s">
        <v>1566</v>
      </c>
      <c r="H2727" t="s">
        <v>235</v>
      </c>
      <c r="I2727" t="s">
        <v>236</v>
      </c>
      <c r="J2727" t="s">
        <v>63</v>
      </c>
      <c r="K2727" t="s">
        <v>1404</v>
      </c>
      <c r="L2727" t="s">
        <v>17</v>
      </c>
      <c r="M2727">
        <v>1463356800</v>
      </c>
      <c r="N2727" t="s">
        <v>1628</v>
      </c>
      <c r="O2727" t="s">
        <v>1628</v>
      </c>
      <c r="P2727" t="s">
        <v>1628</v>
      </c>
      <c r="Q2727">
        <f>LEN(AMAZON_FASHION_5__2[[#This Row],[reviewText]])</f>
        <v>76</v>
      </c>
      <c r="R2727" t="str">
        <f>IF(AMAZON_FASHION_5__2[[#This Row],[overall]]&gt;=4,"Positive",IF(AMAZON_FASHION_5__2[[#This Row],[overall]]&lt;=2,"Negative","Neutral"))</f>
        <v>Positive</v>
      </c>
      <c r="S27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28" spans="1:19" x14ac:dyDescent="0.25">
      <c r="A2728">
        <v>5</v>
      </c>
      <c r="B2728" t="b">
        <v>1</v>
      </c>
      <c r="C2728" s="1">
        <v>42505</v>
      </c>
      <c r="D2728">
        <f>YEAR(AMAZON_FASHION_5__2[[#This Row],[reviewDate]])</f>
        <v>2016</v>
      </c>
      <c r="E2728" s="1" t="str">
        <f>TEXT(AMAZON_FASHION_5__2[[#This Row],[reviewDate]], "mmmm")</f>
        <v>May</v>
      </c>
      <c r="F2728" t="s">
        <v>1405</v>
      </c>
      <c r="G2728" t="s">
        <v>1566</v>
      </c>
      <c r="H2728" t="s">
        <v>1578</v>
      </c>
      <c r="I2728" t="s">
        <v>493</v>
      </c>
      <c r="J2728" t="s">
        <v>1406</v>
      </c>
      <c r="K2728" t="s">
        <v>1407</v>
      </c>
      <c r="L2728" t="s">
        <v>1408</v>
      </c>
      <c r="M2728">
        <v>1463270400</v>
      </c>
      <c r="N2728" t="s">
        <v>1628</v>
      </c>
      <c r="O2728" t="s">
        <v>1628</v>
      </c>
      <c r="P2728" t="s">
        <v>1628</v>
      </c>
      <c r="Q2728">
        <f>LEN(AMAZON_FASHION_5__2[[#This Row],[reviewText]])</f>
        <v>27</v>
      </c>
      <c r="R2728" t="str">
        <f>IF(AMAZON_FASHION_5__2[[#This Row],[overall]]&gt;=4,"Positive",IF(AMAZON_FASHION_5__2[[#This Row],[overall]]&lt;=2,"Negative","Neutral"))</f>
        <v>Positive</v>
      </c>
      <c r="S27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29" spans="1:19" x14ac:dyDescent="0.25">
      <c r="A2729">
        <v>4</v>
      </c>
      <c r="B2729" t="b">
        <v>1</v>
      </c>
      <c r="C2729" s="1">
        <v>42501</v>
      </c>
      <c r="D2729">
        <f>YEAR(AMAZON_FASHION_5__2[[#This Row],[reviewDate]])</f>
        <v>2016</v>
      </c>
      <c r="E2729" s="1" t="str">
        <f>TEXT(AMAZON_FASHION_5__2[[#This Row],[reviewDate]], "mmmm")</f>
        <v>May</v>
      </c>
      <c r="F2729" t="s">
        <v>1409</v>
      </c>
      <c r="G2729" t="s">
        <v>1566</v>
      </c>
      <c r="H2729" t="s">
        <v>1596</v>
      </c>
      <c r="I2729" t="s">
        <v>1570</v>
      </c>
      <c r="J2729" t="s">
        <v>1412</v>
      </c>
      <c r="K2729" t="s">
        <v>1413</v>
      </c>
      <c r="L2729" t="s">
        <v>1414</v>
      </c>
      <c r="M2729">
        <v>1462924800</v>
      </c>
      <c r="N2729" t="s">
        <v>1628</v>
      </c>
      <c r="O2729" t="s">
        <v>1628</v>
      </c>
      <c r="P2729" t="s">
        <v>1628</v>
      </c>
      <c r="Q2729">
        <f>LEN(AMAZON_FASHION_5__2[[#This Row],[reviewText]])</f>
        <v>468</v>
      </c>
      <c r="R2729" t="str">
        <f>IF(AMAZON_FASHION_5__2[[#This Row],[overall]]&gt;=4,"Positive",IF(AMAZON_FASHION_5__2[[#This Row],[overall]]&lt;=2,"Negative","Neutral"))</f>
        <v>Positive</v>
      </c>
      <c r="S27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30" spans="1:19" x14ac:dyDescent="0.25">
      <c r="A2730">
        <v>5</v>
      </c>
      <c r="B2730" t="b">
        <v>0</v>
      </c>
      <c r="C2730" s="1">
        <v>42500</v>
      </c>
      <c r="D2730">
        <f>YEAR(AMAZON_FASHION_5__2[[#This Row],[reviewDate]])</f>
        <v>2016</v>
      </c>
      <c r="E2730" s="1" t="str">
        <f>TEXT(AMAZON_FASHION_5__2[[#This Row],[reviewDate]], "mmmm")</f>
        <v>May</v>
      </c>
      <c r="F2730" t="s">
        <v>1415</v>
      </c>
      <c r="G2730" t="s">
        <v>1566</v>
      </c>
      <c r="H2730" t="s">
        <v>1567</v>
      </c>
      <c r="I2730" t="s">
        <v>211</v>
      </c>
      <c r="J2730" t="s">
        <v>63</v>
      </c>
      <c r="K2730" t="s">
        <v>1416</v>
      </c>
      <c r="L2730" t="s">
        <v>735</v>
      </c>
      <c r="M2730">
        <v>1462838400</v>
      </c>
      <c r="N2730" t="s">
        <v>1628</v>
      </c>
      <c r="O2730" t="s">
        <v>1628</v>
      </c>
      <c r="P2730" t="s">
        <v>1628</v>
      </c>
      <c r="Q2730">
        <f>LEN(AMAZON_FASHION_5__2[[#This Row],[reviewText]])</f>
        <v>166</v>
      </c>
      <c r="R2730" t="str">
        <f>IF(AMAZON_FASHION_5__2[[#This Row],[overall]]&gt;=4,"Positive",IF(AMAZON_FASHION_5__2[[#This Row],[overall]]&lt;=2,"Negative","Neutral"))</f>
        <v>Positive</v>
      </c>
      <c r="S27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31" spans="1:19" x14ac:dyDescent="0.25">
      <c r="A2731">
        <v>5</v>
      </c>
      <c r="B2731" t="b">
        <v>1</v>
      </c>
      <c r="C2731" s="1">
        <v>42499</v>
      </c>
      <c r="D2731">
        <f>YEAR(AMAZON_FASHION_5__2[[#This Row],[reviewDate]])</f>
        <v>2016</v>
      </c>
      <c r="E2731" s="1" t="str">
        <f>TEXT(AMAZON_FASHION_5__2[[#This Row],[reviewDate]], "mmmm")</f>
        <v>May</v>
      </c>
      <c r="F2731" t="s">
        <v>1417</v>
      </c>
      <c r="G2731" t="s">
        <v>1566</v>
      </c>
      <c r="H2731" t="s">
        <v>1571</v>
      </c>
      <c r="I2731" t="s">
        <v>198</v>
      </c>
      <c r="J2731" t="s">
        <v>1418</v>
      </c>
      <c r="K2731" t="s">
        <v>1419</v>
      </c>
      <c r="L2731" t="s">
        <v>17</v>
      </c>
      <c r="M2731">
        <v>1462752000</v>
      </c>
      <c r="N2731" t="s">
        <v>1628</v>
      </c>
      <c r="O2731" t="s">
        <v>1628</v>
      </c>
      <c r="P2731" t="s">
        <v>1628</v>
      </c>
      <c r="Q2731">
        <f>LEN(AMAZON_FASHION_5__2[[#This Row],[reviewText]])</f>
        <v>33</v>
      </c>
      <c r="R2731" t="str">
        <f>IF(AMAZON_FASHION_5__2[[#This Row],[overall]]&gt;=4,"Positive",IF(AMAZON_FASHION_5__2[[#This Row],[overall]]&lt;=2,"Negative","Neutral"))</f>
        <v>Positive</v>
      </c>
      <c r="S27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32" spans="1:19" x14ac:dyDescent="0.25">
      <c r="A2732">
        <v>5</v>
      </c>
      <c r="B2732" t="b">
        <v>1</v>
      </c>
      <c r="C2732" s="1">
        <v>42498</v>
      </c>
      <c r="D2732">
        <f>YEAR(AMAZON_FASHION_5__2[[#This Row],[reviewDate]])</f>
        <v>2016</v>
      </c>
      <c r="E2732" s="1" t="str">
        <f>TEXT(AMAZON_FASHION_5__2[[#This Row],[reviewDate]], "mmmm")</f>
        <v>May</v>
      </c>
      <c r="F2732" t="s">
        <v>1420</v>
      </c>
      <c r="G2732" t="s">
        <v>1566</v>
      </c>
      <c r="H2732" t="s">
        <v>320</v>
      </c>
      <c r="I2732" t="s">
        <v>198</v>
      </c>
      <c r="J2732" t="s">
        <v>1421</v>
      </c>
      <c r="K2732" t="s">
        <v>1422</v>
      </c>
      <c r="L2732" t="s">
        <v>1423</v>
      </c>
      <c r="M2732">
        <v>1462665600</v>
      </c>
      <c r="N2732" t="s">
        <v>1628</v>
      </c>
      <c r="O2732" t="s">
        <v>1628</v>
      </c>
      <c r="P2732" t="s">
        <v>1628</v>
      </c>
      <c r="Q2732">
        <f>LEN(AMAZON_FASHION_5__2[[#This Row],[reviewText]])</f>
        <v>62</v>
      </c>
      <c r="R2732" t="str">
        <f>IF(AMAZON_FASHION_5__2[[#This Row],[overall]]&gt;=4,"Positive",IF(AMAZON_FASHION_5__2[[#This Row],[overall]]&lt;=2,"Negative","Neutral"))</f>
        <v>Positive</v>
      </c>
      <c r="S27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33" spans="1:19" x14ac:dyDescent="0.25">
      <c r="A2733">
        <v>4</v>
      </c>
      <c r="B2733" t="b">
        <v>1</v>
      </c>
      <c r="C2733" s="1">
        <v>42497</v>
      </c>
      <c r="D2733">
        <f>YEAR(AMAZON_FASHION_5__2[[#This Row],[reviewDate]])</f>
        <v>2016</v>
      </c>
      <c r="E2733" s="1" t="str">
        <f>TEXT(AMAZON_FASHION_5__2[[#This Row],[reviewDate]], "mmmm")</f>
        <v>May</v>
      </c>
      <c r="F2733" t="s">
        <v>1424</v>
      </c>
      <c r="G2733" t="s">
        <v>1566</v>
      </c>
      <c r="H2733" t="s">
        <v>1425</v>
      </c>
      <c r="I2733" t="s">
        <v>1570</v>
      </c>
      <c r="J2733" t="s">
        <v>1426</v>
      </c>
      <c r="K2733" t="s">
        <v>1427</v>
      </c>
      <c r="L2733" t="s">
        <v>103</v>
      </c>
      <c r="M2733">
        <v>1462579200</v>
      </c>
      <c r="N2733" t="s">
        <v>1628</v>
      </c>
      <c r="O2733" t="s">
        <v>1628</v>
      </c>
      <c r="P2733" t="s">
        <v>1628</v>
      </c>
      <c r="Q2733">
        <f>LEN(AMAZON_FASHION_5__2[[#This Row],[reviewText]])</f>
        <v>25</v>
      </c>
      <c r="R2733" t="str">
        <f>IF(AMAZON_FASHION_5__2[[#This Row],[overall]]&gt;=4,"Positive",IF(AMAZON_FASHION_5__2[[#This Row],[overall]]&lt;=2,"Negative","Neutral"))</f>
        <v>Positive</v>
      </c>
      <c r="S27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34" spans="1:19" x14ac:dyDescent="0.25">
      <c r="A2734">
        <v>4</v>
      </c>
      <c r="B2734" t="b">
        <v>1</v>
      </c>
      <c r="C2734" s="1">
        <v>42494</v>
      </c>
      <c r="D2734">
        <f>YEAR(AMAZON_FASHION_5__2[[#This Row],[reviewDate]])</f>
        <v>2016</v>
      </c>
      <c r="E2734" s="1" t="str">
        <f>TEXT(AMAZON_FASHION_5__2[[#This Row],[reviewDate]], "mmmm")</f>
        <v>May</v>
      </c>
      <c r="F2734" t="s">
        <v>1428</v>
      </c>
      <c r="G2734" t="s">
        <v>1566</v>
      </c>
      <c r="H2734" t="s">
        <v>1571</v>
      </c>
      <c r="I2734" t="s">
        <v>198</v>
      </c>
      <c r="J2734" t="s">
        <v>1429</v>
      </c>
      <c r="K2734" t="s">
        <v>1430</v>
      </c>
      <c r="L2734" t="s">
        <v>1376</v>
      </c>
      <c r="M2734">
        <v>1462320000</v>
      </c>
      <c r="N2734" t="s">
        <v>1628</v>
      </c>
      <c r="O2734" t="s">
        <v>1628</v>
      </c>
      <c r="P2734">
        <v>20</v>
      </c>
      <c r="Q2734">
        <f>LEN(AMAZON_FASHION_5__2[[#This Row],[reviewText]])</f>
        <v>1368</v>
      </c>
      <c r="R2734" t="str">
        <f>IF(AMAZON_FASHION_5__2[[#This Row],[overall]]&gt;=4,"Positive",IF(AMAZON_FASHION_5__2[[#This Row],[overall]]&lt;=2,"Negative","Neutral"))</f>
        <v>Positive</v>
      </c>
      <c r="S27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35" spans="1:19" x14ac:dyDescent="0.25">
      <c r="A2735">
        <v>5</v>
      </c>
      <c r="B2735" t="b">
        <v>1</v>
      </c>
      <c r="C2735" s="1">
        <v>42494</v>
      </c>
      <c r="D2735">
        <f>YEAR(AMAZON_FASHION_5__2[[#This Row],[reviewDate]])</f>
        <v>2016</v>
      </c>
      <c r="E2735" s="1" t="str">
        <f>TEXT(AMAZON_FASHION_5__2[[#This Row],[reviewDate]], "mmmm")</f>
        <v>May</v>
      </c>
      <c r="F2735" t="s">
        <v>1431</v>
      </c>
      <c r="G2735" t="s">
        <v>1566</v>
      </c>
      <c r="H2735" t="s">
        <v>1425</v>
      </c>
      <c r="I2735" t="s">
        <v>1570</v>
      </c>
      <c r="J2735" t="s">
        <v>1432</v>
      </c>
      <c r="K2735" t="s">
        <v>1433</v>
      </c>
      <c r="L2735" t="s">
        <v>1434</v>
      </c>
      <c r="M2735">
        <v>1462320000</v>
      </c>
      <c r="N2735" t="s">
        <v>1628</v>
      </c>
      <c r="O2735" t="s">
        <v>1628</v>
      </c>
      <c r="P2735" t="s">
        <v>1628</v>
      </c>
      <c r="Q2735">
        <f>LEN(AMAZON_FASHION_5__2[[#This Row],[reviewText]])</f>
        <v>57</v>
      </c>
      <c r="R2735" t="str">
        <f>IF(AMAZON_FASHION_5__2[[#This Row],[overall]]&gt;=4,"Positive",IF(AMAZON_FASHION_5__2[[#This Row],[overall]]&lt;=2,"Negative","Neutral"))</f>
        <v>Positive</v>
      </c>
      <c r="S27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36" spans="1:19" x14ac:dyDescent="0.25">
      <c r="A2736">
        <v>5</v>
      </c>
      <c r="B2736" t="b">
        <v>1</v>
      </c>
      <c r="C2736" s="1">
        <v>42483</v>
      </c>
      <c r="D2736">
        <f>YEAR(AMAZON_FASHION_5__2[[#This Row],[reviewDate]])</f>
        <v>2016</v>
      </c>
      <c r="E2736" s="1" t="str">
        <f>TEXT(AMAZON_FASHION_5__2[[#This Row],[reviewDate]], "mmmm")</f>
        <v>April</v>
      </c>
      <c r="F2736" t="s">
        <v>1435</v>
      </c>
      <c r="G2736" t="s">
        <v>1566</v>
      </c>
      <c r="H2736" t="s">
        <v>205</v>
      </c>
      <c r="I2736" t="s">
        <v>198</v>
      </c>
      <c r="J2736" t="s">
        <v>1436</v>
      </c>
      <c r="K2736" t="s">
        <v>1437</v>
      </c>
      <c r="L2736" t="s">
        <v>17</v>
      </c>
      <c r="M2736">
        <v>1461369600</v>
      </c>
      <c r="N2736" t="s">
        <v>1628</v>
      </c>
      <c r="O2736" t="s">
        <v>1628</v>
      </c>
      <c r="P2736" t="s">
        <v>1628</v>
      </c>
      <c r="Q2736">
        <f>LEN(AMAZON_FASHION_5__2[[#This Row],[reviewText]])</f>
        <v>50</v>
      </c>
      <c r="R2736" t="str">
        <f>IF(AMAZON_FASHION_5__2[[#This Row],[overall]]&gt;=4,"Positive",IF(AMAZON_FASHION_5__2[[#This Row],[overall]]&lt;=2,"Negative","Neutral"))</f>
        <v>Positive</v>
      </c>
      <c r="S27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37" spans="1:19" x14ac:dyDescent="0.25">
      <c r="A2737">
        <v>5</v>
      </c>
      <c r="B2737" t="b">
        <v>1</v>
      </c>
      <c r="C2737" s="1">
        <v>42481</v>
      </c>
      <c r="D2737">
        <f>YEAR(AMAZON_FASHION_5__2[[#This Row],[reviewDate]])</f>
        <v>2016</v>
      </c>
      <c r="E2737" s="1" t="str">
        <f>TEXT(AMAZON_FASHION_5__2[[#This Row],[reviewDate]], "mmmm")</f>
        <v>April</v>
      </c>
      <c r="F2737" t="s">
        <v>1438</v>
      </c>
      <c r="G2737" t="s">
        <v>1566</v>
      </c>
      <c r="H2737" t="s">
        <v>1596</v>
      </c>
      <c r="I2737" t="s">
        <v>198</v>
      </c>
      <c r="J2737" t="s">
        <v>1439</v>
      </c>
      <c r="K2737" t="s">
        <v>1440</v>
      </c>
      <c r="L2737" t="s">
        <v>1441</v>
      </c>
      <c r="M2737">
        <v>1461196800</v>
      </c>
      <c r="N2737" t="s">
        <v>1628</v>
      </c>
      <c r="O2737" t="s">
        <v>1628</v>
      </c>
      <c r="P2737">
        <v>3</v>
      </c>
      <c r="Q2737">
        <f>LEN(AMAZON_FASHION_5__2[[#This Row],[reviewText]])</f>
        <v>371</v>
      </c>
      <c r="R2737" t="str">
        <f>IF(AMAZON_FASHION_5__2[[#This Row],[overall]]&gt;=4,"Positive",IF(AMAZON_FASHION_5__2[[#This Row],[overall]]&lt;=2,"Negative","Neutral"))</f>
        <v>Positive</v>
      </c>
      <c r="S27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38" spans="1:19" x14ac:dyDescent="0.25">
      <c r="A2738">
        <v>4</v>
      </c>
      <c r="B2738" t="b">
        <v>1</v>
      </c>
      <c r="C2738" s="1">
        <v>42480</v>
      </c>
      <c r="D2738">
        <f>YEAR(AMAZON_FASHION_5__2[[#This Row],[reviewDate]])</f>
        <v>2016</v>
      </c>
      <c r="E2738" s="1" t="str">
        <f>TEXT(AMAZON_FASHION_5__2[[#This Row],[reviewDate]], "mmmm")</f>
        <v>April</v>
      </c>
      <c r="F2738" t="s">
        <v>1442</v>
      </c>
      <c r="G2738" t="s">
        <v>1566</v>
      </c>
      <c r="H2738" t="s">
        <v>205</v>
      </c>
      <c r="I2738" t="s">
        <v>198</v>
      </c>
      <c r="J2738" t="s">
        <v>63</v>
      </c>
      <c r="K2738" t="s">
        <v>1443</v>
      </c>
      <c r="L2738" t="s">
        <v>103</v>
      </c>
      <c r="M2738">
        <v>1461110400</v>
      </c>
      <c r="N2738" t="s">
        <v>1628</v>
      </c>
      <c r="O2738" t="s">
        <v>1628</v>
      </c>
      <c r="P2738" t="s">
        <v>1628</v>
      </c>
      <c r="Q2738">
        <f>LEN(AMAZON_FASHION_5__2[[#This Row],[reviewText]])</f>
        <v>19</v>
      </c>
      <c r="R2738" t="str">
        <f>IF(AMAZON_FASHION_5__2[[#This Row],[overall]]&gt;=4,"Positive",IF(AMAZON_FASHION_5__2[[#This Row],[overall]]&lt;=2,"Negative","Neutral"))</f>
        <v>Positive</v>
      </c>
      <c r="S27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39" spans="1:19" x14ac:dyDescent="0.25">
      <c r="A2739">
        <v>4</v>
      </c>
      <c r="B2739" t="b">
        <v>1</v>
      </c>
      <c r="C2739" s="1">
        <v>42479</v>
      </c>
      <c r="D2739">
        <f>YEAR(AMAZON_FASHION_5__2[[#This Row],[reviewDate]])</f>
        <v>2016</v>
      </c>
      <c r="E2739" s="1" t="str">
        <f>TEXT(AMAZON_FASHION_5__2[[#This Row],[reviewDate]], "mmmm")</f>
        <v>April</v>
      </c>
      <c r="F2739" t="s">
        <v>195</v>
      </c>
      <c r="G2739" t="s">
        <v>1566</v>
      </c>
      <c r="H2739" t="s">
        <v>1574</v>
      </c>
      <c r="I2739" t="s">
        <v>198</v>
      </c>
      <c r="J2739" t="s">
        <v>63</v>
      </c>
      <c r="K2739" t="s">
        <v>199</v>
      </c>
      <c r="L2739" t="s">
        <v>103</v>
      </c>
      <c r="M2739">
        <v>1461024000</v>
      </c>
      <c r="N2739" t="s">
        <v>1628</v>
      </c>
      <c r="O2739" t="s">
        <v>1628</v>
      </c>
      <c r="P2739">
        <v>2</v>
      </c>
      <c r="Q2739">
        <f>LEN(AMAZON_FASHION_5__2[[#This Row],[reviewText]])</f>
        <v>60</v>
      </c>
      <c r="R2739" t="str">
        <f>IF(AMAZON_FASHION_5__2[[#This Row],[overall]]&gt;=4,"Positive",IF(AMAZON_FASHION_5__2[[#This Row],[overall]]&lt;=2,"Negative","Neutral"))</f>
        <v>Positive</v>
      </c>
      <c r="S27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40" spans="1:19" x14ac:dyDescent="0.25">
      <c r="A2740">
        <v>5</v>
      </c>
      <c r="B2740" t="b">
        <v>1</v>
      </c>
      <c r="C2740" s="1">
        <v>42478</v>
      </c>
      <c r="D2740">
        <f>YEAR(AMAZON_FASHION_5__2[[#This Row],[reviewDate]])</f>
        <v>2016</v>
      </c>
      <c r="E2740" s="1" t="str">
        <f>TEXT(AMAZON_FASHION_5__2[[#This Row],[reviewDate]], "mmmm")</f>
        <v>April</v>
      </c>
      <c r="F2740" t="s">
        <v>200</v>
      </c>
      <c r="G2740" t="s">
        <v>1566</v>
      </c>
      <c r="H2740" t="s">
        <v>1578</v>
      </c>
      <c r="I2740" t="s">
        <v>198</v>
      </c>
      <c r="J2740" t="s">
        <v>202</v>
      </c>
      <c r="K2740" t="s">
        <v>203</v>
      </c>
      <c r="L2740" t="s">
        <v>17</v>
      </c>
      <c r="M2740">
        <v>1460937600</v>
      </c>
      <c r="N2740" t="s">
        <v>1628</v>
      </c>
      <c r="O2740" t="s">
        <v>1628</v>
      </c>
      <c r="P2740" t="s">
        <v>1628</v>
      </c>
      <c r="Q2740">
        <f>LEN(AMAZON_FASHION_5__2[[#This Row],[reviewText]])</f>
        <v>22</v>
      </c>
      <c r="R2740" t="str">
        <f>IF(AMAZON_FASHION_5__2[[#This Row],[overall]]&gt;=4,"Positive",IF(AMAZON_FASHION_5__2[[#This Row],[overall]]&lt;=2,"Negative","Neutral"))</f>
        <v>Positive</v>
      </c>
      <c r="S27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41" spans="1:19" x14ac:dyDescent="0.25">
      <c r="A2741">
        <v>3</v>
      </c>
      <c r="B2741" t="b">
        <v>1</v>
      </c>
      <c r="C2741" s="1">
        <v>42464</v>
      </c>
      <c r="D2741">
        <f>YEAR(AMAZON_FASHION_5__2[[#This Row],[reviewDate]])</f>
        <v>2016</v>
      </c>
      <c r="E2741" s="1" t="str">
        <f>TEXT(AMAZON_FASHION_5__2[[#This Row],[reviewDate]], "mmmm")</f>
        <v>April</v>
      </c>
      <c r="F2741" t="s">
        <v>204</v>
      </c>
      <c r="G2741" t="s">
        <v>1566</v>
      </c>
      <c r="H2741" t="s">
        <v>205</v>
      </c>
      <c r="I2741" t="s">
        <v>198</v>
      </c>
      <c r="J2741" t="s">
        <v>206</v>
      </c>
      <c r="K2741" t="s">
        <v>207</v>
      </c>
      <c r="L2741" t="s">
        <v>208</v>
      </c>
      <c r="M2741">
        <v>1459728000</v>
      </c>
      <c r="N2741" t="s">
        <v>1628</v>
      </c>
      <c r="O2741" t="s">
        <v>1628</v>
      </c>
      <c r="P2741">
        <v>2</v>
      </c>
      <c r="Q2741">
        <f>LEN(AMAZON_FASHION_5__2[[#This Row],[reviewText]])</f>
        <v>272</v>
      </c>
      <c r="R2741" t="str">
        <f>IF(AMAZON_FASHION_5__2[[#This Row],[overall]]&gt;=4,"Positive",IF(AMAZON_FASHION_5__2[[#This Row],[overall]]&lt;=2,"Negative","Neutral"))</f>
        <v>Neutral</v>
      </c>
      <c r="S27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42" spans="1:19" x14ac:dyDescent="0.25">
      <c r="A2742">
        <v>5</v>
      </c>
      <c r="B2742" t="b">
        <v>1</v>
      </c>
      <c r="C2742" s="1">
        <v>42457</v>
      </c>
      <c r="D2742">
        <f>YEAR(AMAZON_FASHION_5__2[[#This Row],[reviewDate]])</f>
        <v>2016</v>
      </c>
      <c r="E2742" s="1" t="str">
        <f>TEXT(AMAZON_FASHION_5__2[[#This Row],[reviewDate]], "mmmm")</f>
        <v>March</v>
      </c>
      <c r="F2742" t="s">
        <v>215</v>
      </c>
      <c r="G2742" t="s">
        <v>1607</v>
      </c>
      <c r="H2742" t="s">
        <v>1568</v>
      </c>
      <c r="I2742" t="s">
        <v>217</v>
      </c>
      <c r="J2742" t="s">
        <v>218</v>
      </c>
      <c r="K2742" t="s">
        <v>219</v>
      </c>
      <c r="L2742" t="s">
        <v>17</v>
      </c>
      <c r="M2742">
        <v>1459123200</v>
      </c>
      <c r="N2742" t="s">
        <v>1628</v>
      </c>
      <c r="O2742" t="s">
        <v>1628</v>
      </c>
      <c r="P2742" t="s">
        <v>1628</v>
      </c>
      <c r="Q2742">
        <f>LEN(AMAZON_FASHION_5__2[[#This Row],[reviewText]])</f>
        <v>9</v>
      </c>
      <c r="R2742" t="str">
        <f>IF(AMAZON_FASHION_5__2[[#This Row],[overall]]&gt;=4,"Positive",IF(AMAZON_FASHION_5__2[[#This Row],[overall]]&lt;=2,"Negative","Neutral"))</f>
        <v>Positive</v>
      </c>
      <c r="S27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43" spans="1:19" x14ac:dyDescent="0.25">
      <c r="A2743">
        <v>2</v>
      </c>
      <c r="B2743" t="b">
        <v>1</v>
      </c>
      <c r="C2743" s="1">
        <v>42457</v>
      </c>
      <c r="D2743">
        <f>YEAR(AMAZON_FASHION_5__2[[#This Row],[reviewDate]])</f>
        <v>2016</v>
      </c>
      <c r="E2743" s="1" t="str">
        <f>TEXT(AMAZON_FASHION_5__2[[#This Row],[reviewDate]], "mmmm")</f>
        <v>March</v>
      </c>
      <c r="F2743" t="s">
        <v>220</v>
      </c>
      <c r="G2743" t="s">
        <v>1607</v>
      </c>
      <c r="H2743" t="s">
        <v>1569</v>
      </c>
      <c r="I2743" t="s">
        <v>1570</v>
      </c>
      <c r="J2743" t="s">
        <v>63</v>
      </c>
      <c r="K2743" t="s">
        <v>222</v>
      </c>
      <c r="L2743" t="s">
        <v>223</v>
      </c>
      <c r="M2743">
        <v>1459123200</v>
      </c>
      <c r="N2743" t="s">
        <v>1628</v>
      </c>
      <c r="O2743" t="s">
        <v>1628</v>
      </c>
      <c r="P2743" t="s">
        <v>1628</v>
      </c>
      <c r="Q2743">
        <f>LEN(AMAZON_FASHION_5__2[[#This Row],[reviewText]])</f>
        <v>167</v>
      </c>
      <c r="R2743" t="str">
        <f>IF(AMAZON_FASHION_5__2[[#This Row],[overall]]&gt;=4,"Positive",IF(AMAZON_FASHION_5__2[[#This Row],[overall]]&lt;=2,"Negative","Neutral"))</f>
        <v>Negative</v>
      </c>
      <c r="S27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44" spans="1:19" x14ac:dyDescent="0.25">
      <c r="A2744">
        <v>4</v>
      </c>
      <c r="B2744" t="b">
        <v>1</v>
      </c>
      <c r="C2744" s="1">
        <v>42453</v>
      </c>
      <c r="D2744">
        <f>YEAR(AMAZON_FASHION_5__2[[#This Row],[reviewDate]])</f>
        <v>2016</v>
      </c>
      <c r="E2744" s="1" t="str">
        <f>TEXT(AMAZON_FASHION_5__2[[#This Row],[reviewDate]], "mmmm")</f>
        <v>March</v>
      </c>
      <c r="F2744" t="s">
        <v>224</v>
      </c>
      <c r="G2744" t="s">
        <v>1607</v>
      </c>
      <c r="H2744" t="s">
        <v>225</v>
      </c>
      <c r="I2744" t="s">
        <v>1570</v>
      </c>
      <c r="J2744" t="s">
        <v>226</v>
      </c>
      <c r="K2744" t="s">
        <v>227</v>
      </c>
      <c r="L2744" t="s">
        <v>228</v>
      </c>
      <c r="M2744">
        <v>1458777600</v>
      </c>
      <c r="N2744" t="s">
        <v>1628</v>
      </c>
      <c r="O2744" t="s">
        <v>1628</v>
      </c>
      <c r="P2744" t="s">
        <v>1628</v>
      </c>
      <c r="Q2744">
        <f>LEN(AMAZON_FASHION_5__2[[#This Row],[reviewText]])</f>
        <v>132</v>
      </c>
      <c r="R2744" t="str">
        <f>IF(AMAZON_FASHION_5__2[[#This Row],[overall]]&gt;=4,"Positive",IF(AMAZON_FASHION_5__2[[#This Row],[overall]]&lt;=2,"Negative","Neutral"))</f>
        <v>Positive</v>
      </c>
      <c r="S27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45" spans="1:19" x14ac:dyDescent="0.25">
      <c r="A2745">
        <v>3</v>
      </c>
      <c r="B2745" t="b">
        <v>1</v>
      </c>
      <c r="C2745" s="1">
        <v>42452</v>
      </c>
      <c r="D2745">
        <f>YEAR(AMAZON_FASHION_5__2[[#This Row],[reviewDate]])</f>
        <v>2016</v>
      </c>
      <c r="E2745" s="1" t="str">
        <f>TEXT(AMAZON_FASHION_5__2[[#This Row],[reviewDate]], "mmmm")</f>
        <v>March</v>
      </c>
      <c r="F2745" t="s">
        <v>229</v>
      </c>
      <c r="G2745" t="s">
        <v>1607</v>
      </c>
      <c r="H2745" t="s">
        <v>1571</v>
      </c>
      <c r="I2745" t="s">
        <v>198</v>
      </c>
      <c r="J2745" t="s">
        <v>231</v>
      </c>
      <c r="K2745" t="s">
        <v>232</v>
      </c>
      <c r="L2745" t="s">
        <v>233</v>
      </c>
      <c r="M2745">
        <v>1458691200</v>
      </c>
      <c r="N2745" t="s">
        <v>1628</v>
      </c>
      <c r="O2745" t="s">
        <v>1628</v>
      </c>
      <c r="P2745">
        <v>7</v>
      </c>
      <c r="Q2745">
        <f>LEN(AMAZON_FASHION_5__2[[#This Row],[reviewText]])</f>
        <v>108</v>
      </c>
      <c r="R2745" t="str">
        <f>IF(AMAZON_FASHION_5__2[[#This Row],[overall]]&gt;=4,"Positive",IF(AMAZON_FASHION_5__2[[#This Row],[overall]]&lt;=2,"Negative","Neutral"))</f>
        <v>Neutral</v>
      </c>
      <c r="S27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46" spans="1:19" x14ac:dyDescent="0.25">
      <c r="A2746">
        <v>5</v>
      </c>
      <c r="B2746" t="b">
        <v>1</v>
      </c>
      <c r="C2746" s="1">
        <v>42449</v>
      </c>
      <c r="D2746">
        <f>YEAR(AMAZON_FASHION_5__2[[#This Row],[reviewDate]])</f>
        <v>2016</v>
      </c>
      <c r="E2746" s="1" t="str">
        <f>TEXT(AMAZON_FASHION_5__2[[#This Row],[reviewDate]], "mmmm")</f>
        <v>March</v>
      </c>
      <c r="F2746" t="s">
        <v>234</v>
      </c>
      <c r="G2746" t="s">
        <v>1607</v>
      </c>
      <c r="H2746" t="s">
        <v>235</v>
      </c>
      <c r="I2746" t="s">
        <v>236</v>
      </c>
      <c r="J2746" t="s">
        <v>237</v>
      </c>
      <c r="K2746" t="s">
        <v>238</v>
      </c>
      <c r="L2746" t="s">
        <v>239</v>
      </c>
      <c r="M2746">
        <v>1458432000</v>
      </c>
      <c r="N2746" t="s">
        <v>1628</v>
      </c>
      <c r="O2746" t="s">
        <v>1628</v>
      </c>
      <c r="P2746" t="s">
        <v>1628</v>
      </c>
      <c r="Q2746">
        <f>LEN(AMAZON_FASHION_5__2[[#This Row],[reviewText]])</f>
        <v>75</v>
      </c>
      <c r="R2746" t="str">
        <f>IF(AMAZON_FASHION_5__2[[#This Row],[overall]]&gt;=4,"Positive",IF(AMAZON_FASHION_5__2[[#This Row],[overall]]&lt;=2,"Negative","Neutral"))</f>
        <v>Positive</v>
      </c>
      <c r="S27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47" spans="1:19" x14ac:dyDescent="0.25">
      <c r="A2747">
        <v>5</v>
      </c>
      <c r="B2747" t="b">
        <v>1</v>
      </c>
      <c r="C2747" s="1">
        <v>42447</v>
      </c>
      <c r="D2747">
        <f>YEAR(AMAZON_FASHION_5__2[[#This Row],[reviewDate]])</f>
        <v>2016</v>
      </c>
      <c r="E2747" s="1" t="str">
        <f>TEXT(AMAZON_FASHION_5__2[[#This Row],[reviewDate]], "mmmm")</f>
        <v>March</v>
      </c>
      <c r="F2747" t="s">
        <v>240</v>
      </c>
      <c r="G2747" t="s">
        <v>1607</v>
      </c>
      <c r="H2747" t="s">
        <v>1572</v>
      </c>
      <c r="I2747" t="s">
        <v>1570</v>
      </c>
      <c r="J2747" t="s">
        <v>242</v>
      </c>
      <c r="K2747" t="s">
        <v>243</v>
      </c>
      <c r="L2747" t="s">
        <v>17</v>
      </c>
      <c r="M2747">
        <v>1458259200</v>
      </c>
      <c r="N2747" t="s">
        <v>1628</v>
      </c>
      <c r="O2747" t="s">
        <v>1628</v>
      </c>
      <c r="P2747" t="s">
        <v>1628</v>
      </c>
      <c r="Q2747">
        <f>LEN(AMAZON_FASHION_5__2[[#This Row],[reviewText]])</f>
        <v>9</v>
      </c>
      <c r="R2747" t="str">
        <f>IF(AMAZON_FASHION_5__2[[#This Row],[overall]]&gt;=4,"Positive",IF(AMAZON_FASHION_5__2[[#This Row],[overall]]&lt;=2,"Negative","Neutral"))</f>
        <v>Positive</v>
      </c>
      <c r="S27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48" spans="1:19" x14ac:dyDescent="0.25">
      <c r="A2748">
        <v>4</v>
      </c>
      <c r="B2748" t="b">
        <v>1</v>
      </c>
      <c r="C2748" s="1">
        <v>42445</v>
      </c>
      <c r="D2748">
        <f>YEAR(AMAZON_FASHION_5__2[[#This Row],[reviewDate]])</f>
        <v>2016</v>
      </c>
      <c r="E2748" s="1" t="str">
        <f>TEXT(AMAZON_FASHION_5__2[[#This Row],[reviewDate]], "mmmm")</f>
        <v>March</v>
      </c>
      <c r="F2748" t="s">
        <v>1457</v>
      </c>
      <c r="G2748" t="s">
        <v>1607</v>
      </c>
      <c r="H2748" t="s">
        <v>1571</v>
      </c>
      <c r="I2748" t="s">
        <v>198</v>
      </c>
      <c r="J2748" t="s">
        <v>1458</v>
      </c>
      <c r="K2748" t="s">
        <v>1459</v>
      </c>
      <c r="L2748" t="s">
        <v>1460</v>
      </c>
      <c r="M2748">
        <v>1458086400</v>
      </c>
      <c r="N2748" t="s">
        <v>1628</v>
      </c>
      <c r="O2748" t="s">
        <v>1628</v>
      </c>
      <c r="P2748" t="s">
        <v>1628</v>
      </c>
      <c r="Q2748">
        <f>LEN(AMAZON_FASHION_5__2[[#This Row],[reviewText]])</f>
        <v>213</v>
      </c>
      <c r="R2748" t="str">
        <f>IF(AMAZON_FASHION_5__2[[#This Row],[overall]]&gt;=4,"Positive",IF(AMAZON_FASHION_5__2[[#This Row],[overall]]&lt;=2,"Negative","Neutral"))</f>
        <v>Positive</v>
      </c>
      <c r="S27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49" spans="1:19" x14ac:dyDescent="0.25">
      <c r="A2749">
        <v>5</v>
      </c>
      <c r="B2749" t="b">
        <v>1</v>
      </c>
      <c r="C2749" s="1">
        <v>42442</v>
      </c>
      <c r="D2749">
        <f>YEAR(AMAZON_FASHION_5__2[[#This Row],[reviewDate]])</f>
        <v>2016</v>
      </c>
      <c r="E2749" s="1" t="str">
        <f>TEXT(AMAZON_FASHION_5__2[[#This Row],[reviewDate]], "mmmm")</f>
        <v>March</v>
      </c>
      <c r="F2749" t="s">
        <v>1461</v>
      </c>
      <c r="G2749" t="s">
        <v>1607</v>
      </c>
      <c r="H2749" t="s">
        <v>1571</v>
      </c>
      <c r="I2749" t="s">
        <v>198</v>
      </c>
      <c r="J2749" t="s">
        <v>63</v>
      </c>
      <c r="K2749" t="s">
        <v>1462</v>
      </c>
      <c r="L2749" t="s">
        <v>1463</v>
      </c>
      <c r="M2749">
        <v>1457827200</v>
      </c>
      <c r="N2749" t="s">
        <v>1628</v>
      </c>
      <c r="O2749" t="s">
        <v>1628</v>
      </c>
      <c r="P2749">
        <v>22</v>
      </c>
      <c r="Q2749">
        <f>LEN(AMAZON_FASHION_5__2[[#This Row],[reviewText]])</f>
        <v>412</v>
      </c>
      <c r="R2749" t="str">
        <f>IF(AMAZON_FASHION_5__2[[#This Row],[overall]]&gt;=4,"Positive",IF(AMAZON_FASHION_5__2[[#This Row],[overall]]&lt;=2,"Negative","Neutral"))</f>
        <v>Positive</v>
      </c>
      <c r="S27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50" spans="1:19" x14ac:dyDescent="0.25">
      <c r="A2750">
        <v>5</v>
      </c>
      <c r="B2750" t="b">
        <v>1</v>
      </c>
      <c r="C2750" s="1">
        <v>42435</v>
      </c>
      <c r="D2750">
        <f>YEAR(AMAZON_FASHION_5__2[[#This Row],[reviewDate]])</f>
        <v>2016</v>
      </c>
      <c r="E2750" s="1" t="str">
        <f>TEXT(AMAZON_FASHION_5__2[[#This Row],[reviewDate]], "mmmm")</f>
        <v>March</v>
      </c>
      <c r="F2750" t="s">
        <v>1464</v>
      </c>
      <c r="G2750" t="s">
        <v>1607</v>
      </c>
      <c r="H2750" t="s">
        <v>320</v>
      </c>
      <c r="I2750" t="s">
        <v>198</v>
      </c>
      <c r="J2750" t="s">
        <v>63</v>
      </c>
      <c r="K2750" t="s">
        <v>1465</v>
      </c>
      <c r="L2750" t="s">
        <v>17</v>
      </c>
      <c r="M2750">
        <v>1457222400</v>
      </c>
      <c r="N2750" t="s">
        <v>1628</v>
      </c>
      <c r="O2750" t="s">
        <v>1628</v>
      </c>
      <c r="P2750" t="s">
        <v>1628</v>
      </c>
      <c r="Q2750">
        <f>LEN(AMAZON_FASHION_5__2[[#This Row],[reviewText]])</f>
        <v>17</v>
      </c>
      <c r="R2750" t="str">
        <f>IF(AMAZON_FASHION_5__2[[#This Row],[overall]]&gt;=4,"Positive",IF(AMAZON_FASHION_5__2[[#This Row],[overall]]&lt;=2,"Negative","Neutral"))</f>
        <v>Positive</v>
      </c>
      <c r="S27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51" spans="1:19" x14ac:dyDescent="0.25">
      <c r="A2751">
        <v>5</v>
      </c>
      <c r="B2751" t="b">
        <v>1</v>
      </c>
      <c r="C2751" s="1">
        <v>42431</v>
      </c>
      <c r="D2751">
        <f>YEAR(AMAZON_FASHION_5__2[[#This Row],[reviewDate]])</f>
        <v>2016</v>
      </c>
      <c r="E2751" s="1" t="str">
        <f>TEXT(AMAZON_FASHION_5__2[[#This Row],[reviewDate]], "mmmm")</f>
        <v>March</v>
      </c>
      <c r="F2751" t="s">
        <v>1466</v>
      </c>
      <c r="G2751" t="s">
        <v>1607</v>
      </c>
      <c r="H2751" t="s">
        <v>1569</v>
      </c>
      <c r="I2751" t="s">
        <v>1570</v>
      </c>
      <c r="J2751" t="s">
        <v>1467</v>
      </c>
      <c r="K2751" t="s">
        <v>1468</v>
      </c>
      <c r="L2751" t="s">
        <v>1469</v>
      </c>
      <c r="M2751">
        <v>1456876800</v>
      </c>
      <c r="N2751" t="s">
        <v>1628</v>
      </c>
      <c r="O2751" t="s">
        <v>1628</v>
      </c>
      <c r="P2751" t="s">
        <v>1628</v>
      </c>
      <c r="Q2751">
        <f>LEN(AMAZON_FASHION_5__2[[#This Row],[reviewText]])</f>
        <v>55</v>
      </c>
      <c r="R2751" t="str">
        <f>IF(AMAZON_FASHION_5__2[[#This Row],[overall]]&gt;=4,"Positive",IF(AMAZON_FASHION_5__2[[#This Row],[overall]]&lt;=2,"Negative","Neutral"))</f>
        <v>Positive</v>
      </c>
      <c r="S27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52" spans="1:19" x14ac:dyDescent="0.25">
      <c r="A2752">
        <v>5</v>
      </c>
      <c r="B2752" t="b">
        <v>1</v>
      </c>
      <c r="C2752" s="1">
        <v>43286</v>
      </c>
      <c r="D2752">
        <f>YEAR(AMAZON_FASHION_5__2[[#This Row],[reviewDate]])</f>
        <v>2018</v>
      </c>
      <c r="E2752" s="1" t="str">
        <f>TEXT(AMAZON_FASHION_5__2[[#This Row],[reviewDate]], "mmmm")</f>
        <v>July</v>
      </c>
      <c r="F2752" t="s">
        <v>1573</v>
      </c>
      <c r="G2752" t="s">
        <v>1607</v>
      </c>
      <c r="H2752" t="s">
        <v>1574</v>
      </c>
      <c r="I2752" t="s">
        <v>274</v>
      </c>
      <c r="J2752" t="s">
        <v>1575</v>
      </c>
      <c r="K2752" t="s">
        <v>1576</v>
      </c>
      <c r="L2752" t="s">
        <v>17</v>
      </c>
      <c r="M2752">
        <v>1530748800</v>
      </c>
      <c r="N2752" t="s">
        <v>1628</v>
      </c>
      <c r="O2752" t="s">
        <v>1628</v>
      </c>
      <c r="P2752" t="s">
        <v>1628</v>
      </c>
      <c r="Q2752">
        <f>LEN(AMAZON_FASHION_5__2[[#This Row],[reviewText]])</f>
        <v>41</v>
      </c>
      <c r="R2752" t="str">
        <f>IF(AMAZON_FASHION_5__2[[#This Row],[overall]]&gt;=4,"Positive",IF(AMAZON_FASHION_5__2[[#This Row],[overall]]&lt;=2,"Negative","Neutral"))</f>
        <v>Positive</v>
      </c>
      <c r="S27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53" spans="1:19" x14ac:dyDescent="0.25">
      <c r="A2753">
        <v>5</v>
      </c>
      <c r="B2753" t="b">
        <v>1</v>
      </c>
      <c r="C2753" s="1">
        <v>43285</v>
      </c>
      <c r="D2753">
        <f>YEAR(AMAZON_FASHION_5__2[[#This Row],[reviewDate]])</f>
        <v>2018</v>
      </c>
      <c r="E2753" s="1" t="str">
        <f>TEXT(AMAZON_FASHION_5__2[[#This Row],[reviewDate]], "mmmm")</f>
        <v>July</v>
      </c>
      <c r="F2753" t="s">
        <v>1577</v>
      </c>
      <c r="G2753" t="s">
        <v>1607</v>
      </c>
      <c r="H2753" t="s">
        <v>1578</v>
      </c>
      <c r="I2753" t="s">
        <v>198</v>
      </c>
      <c r="J2753" t="s">
        <v>1579</v>
      </c>
      <c r="K2753" t="s">
        <v>1580</v>
      </c>
      <c r="L2753" t="s">
        <v>1581</v>
      </c>
      <c r="M2753">
        <v>1530662400</v>
      </c>
      <c r="N2753" t="s">
        <v>1628</v>
      </c>
      <c r="O2753" t="s">
        <v>1628</v>
      </c>
      <c r="P2753" t="s">
        <v>1628</v>
      </c>
      <c r="Q2753">
        <f>LEN(AMAZON_FASHION_5__2[[#This Row],[reviewText]])</f>
        <v>337</v>
      </c>
      <c r="R2753" t="str">
        <f>IF(AMAZON_FASHION_5__2[[#This Row],[overall]]&gt;=4,"Positive",IF(AMAZON_FASHION_5__2[[#This Row],[overall]]&lt;=2,"Negative","Neutral"))</f>
        <v>Positive</v>
      </c>
      <c r="S27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54" spans="1:19" x14ac:dyDescent="0.25">
      <c r="A2754">
        <v>5</v>
      </c>
      <c r="B2754" t="b">
        <v>1</v>
      </c>
      <c r="C2754" s="1">
        <v>43283</v>
      </c>
      <c r="D2754">
        <f>YEAR(AMAZON_FASHION_5__2[[#This Row],[reviewDate]])</f>
        <v>2018</v>
      </c>
      <c r="E2754" s="1" t="str">
        <f>TEXT(AMAZON_FASHION_5__2[[#This Row],[reviewDate]], "mmmm")</f>
        <v>July</v>
      </c>
      <c r="F2754" t="s">
        <v>1582</v>
      </c>
      <c r="G2754" t="s">
        <v>1607</v>
      </c>
      <c r="H2754" t="s">
        <v>1571</v>
      </c>
      <c r="I2754" t="s">
        <v>548</v>
      </c>
      <c r="J2754" t="s">
        <v>63</v>
      </c>
      <c r="K2754" t="s">
        <v>1583</v>
      </c>
      <c r="L2754" t="s">
        <v>17</v>
      </c>
      <c r="M2754">
        <v>1530489600</v>
      </c>
      <c r="N2754" t="s">
        <v>1628</v>
      </c>
      <c r="O2754" t="s">
        <v>1628</v>
      </c>
      <c r="P2754" t="s">
        <v>1628</v>
      </c>
      <c r="Q2754">
        <f>LEN(AMAZON_FASHION_5__2[[#This Row],[reviewText]])</f>
        <v>12</v>
      </c>
      <c r="R2754" t="str">
        <f>IF(AMAZON_FASHION_5__2[[#This Row],[overall]]&gt;=4,"Positive",IF(AMAZON_FASHION_5__2[[#This Row],[overall]]&lt;=2,"Negative","Neutral"))</f>
        <v>Positive</v>
      </c>
      <c r="S27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55" spans="1:19" x14ac:dyDescent="0.25">
      <c r="A2755">
        <v>5</v>
      </c>
      <c r="B2755" t="b">
        <v>1</v>
      </c>
      <c r="C2755" s="1">
        <v>43279</v>
      </c>
      <c r="D2755">
        <f>YEAR(AMAZON_FASHION_5__2[[#This Row],[reviewDate]])</f>
        <v>2018</v>
      </c>
      <c r="E2755" s="1" t="str">
        <f>TEXT(AMAZON_FASHION_5__2[[#This Row],[reviewDate]], "mmmm")</f>
        <v>June</v>
      </c>
      <c r="F2755" t="s">
        <v>1584</v>
      </c>
      <c r="G2755" t="s">
        <v>1607</v>
      </c>
      <c r="H2755" t="s">
        <v>1585</v>
      </c>
      <c r="I2755" t="s">
        <v>274</v>
      </c>
      <c r="J2755" t="s">
        <v>1586</v>
      </c>
      <c r="K2755" t="s">
        <v>1587</v>
      </c>
      <c r="L2755" t="s">
        <v>69</v>
      </c>
      <c r="M2755">
        <v>1530144000</v>
      </c>
      <c r="N2755" t="s">
        <v>1628</v>
      </c>
      <c r="O2755" t="s">
        <v>1628</v>
      </c>
      <c r="P2755" t="s">
        <v>1628</v>
      </c>
      <c r="Q2755">
        <f>LEN(AMAZON_FASHION_5__2[[#This Row],[reviewText]])</f>
        <v>27</v>
      </c>
      <c r="R2755" t="str">
        <f>IF(AMAZON_FASHION_5__2[[#This Row],[overall]]&gt;=4,"Positive",IF(AMAZON_FASHION_5__2[[#This Row],[overall]]&lt;=2,"Negative","Neutral"))</f>
        <v>Positive</v>
      </c>
      <c r="S27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56" spans="1:19" x14ac:dyDescent="0.25">
      <c r="A2756">
        <v>5</v>
      </c>
      <c r="B2756" t="b">
        <v>1</v>
      </c>
      <c r="C2756" s="1">
        <v>43276</v>
      </c>
      <c r="D2756">
        <f>YEAR(AMAZON_FASHION_5__2[[#This Row],[reviewDate]])</f>
        <v>2018</v>
      </c>
      <c r="E2756" s="1" t="str">
        <f>TEXT(AMAZON_FASHION_5__2[[#This Row],[reviewDate]], "mmmm")</f>
        <v>June</v>
      </c>
      <c r="F2756" t="s">
        <v>1588</v>
      </c>
      <c r="G2756" t="s">
        <v>1607</v>
      </c>
      <c r="H2756" t="s">
        <v>1578</v>
      </c>
      <c r="I2756" t="s">
        <v>249</v>
      </c>
      <c r="J2756" t="s">
        <v>63</v>
      </c>
      <c r="K2756" t="s">
        <v>1589</v>
      </c>
      <c r="L2756" t="s">
        <v>17</v>
      </c>
      <c r="M2756">
        <v>1529884800</v>
      </c>
      <c r="N2756" t="s">
        <v>1628</v>
      </c>
      <c r="O2756" t="s">
        <v>1628</v>
      </c>
      <c r="P2756" t="s">
        <v>1628</v>
      </c>
      <c r="Q2756">
        <f>LEN(AMAZON_FASHION_5__2[[#This Row],[reviewText]])</f>
        <v>21</v>
      </c>
      <c r="R2756" t="str">
        <f>IF(AMAZON_FASHION_5__2[[#This Row],[overall]]&gt;=4,"Positive",IF(AMAZON_FASHION_5__2[[#This Row],[overall]]&lt;=2,"Negative","Neutral"))</f>
        <v>Positive</v>
      </c>
      <c r="S27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57" spans="1:19" x14ac:dyDescent="0.25">
      <c r="A2757">
        <v>5</v>
      </c>
      <c r="B2757" t="b">
        <v>1</v>
      </c>
      <c r="C2757" s="1">
        <v>43271</v>
      </c>
      <c r="D2757">
        <f>YEAR(AMAZON_FASHION_5__2[[#This Row],[reviewDate]])</f>
        <v>2018</v>
      </c>
      <c r="E2757" s="1" t="str">
        <f>TEXT(AMAZON_FASHION_5__2[[#This Row],[reviewDate]], "mmmm")</f>
        <v>June</v>
      </c>
      <c r="F2757" t="s">
        <v>1590</v>
      </c>
      <c r="G2757" t="s">
        <v>1607</v>
      </c>
      <c r="H2757" t="s">
        <v>1567</v>
      </c>
      <c r="I2757" t="s">
        <v>249</v>
      </c>
      <c r="J2757" t="s">
        <v>1591</v>
      </c>
      <c r="K2757" t="s">
        <v>1592</v>
      </c>
      <c r="L2757" t="s">
        <v>468</v>
      </c>
      <c r="M2757">
        <v>1529452800</v>
      </c>
      <c r="N2757" t="s">
        <v>1628</v>
      </c>
      <c r="O2757" t="s">
        <v>1628</v>
      </c>
      <c r="P2757">
        <v>2</v>
      </c>
      <c r="Q2757">
        <f>LEN(AMAZON_FASHION_5__2[[#This Row],[reviewText]])</f>
        <v>382</v>
      </c>
      <c r="R2757" t="str">
        <f>IF(AMAZON_FASHION_5__2[[#This Row],[overall]]&gt;=4,"Positive",IF(AMAZON_FASHION_5__2[[#This Row],[overall]]&lt;=2,"Negative","Neutral"))</f>
        <v>Positive</v>
      </c>
      <c r="S27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58" spans="1:19" x14ac:dyDescent="0.25">
      <c r="A2758">
        <v>5</v>
      </c>
      <c r="B2758" t="b">
        <v>1</v>
      </c>
      <c r="C2758" s="1">
        <v>43267</v>
      </c>
      <c r="D2758">
        <f>YEAR(AMAZON_FASHION_5__2[[#This Row],[reviewDate]])</f>
        <v>2018</v>
      </c>
      <c r="E2758" s="1" t="str">
        <f>TEXT(AMAZON_FASHION_5__2[[#This Row],[reviewDate]], "mmmm")</f>
        <v>June</v>
      </c>
      <c r="F2758" t="s">
        <v>1593</v>
      </c>
      <c r="G2758" t="s">
        <v>1607</v>
      </c>
      <c r="H2758" t="s">
        <v>210</v>
      </c>
      <c r="I2758" t="s">
        <v>198</v>
      </c>
      <c r="J2758" t="s">
        <v>797</v>
      </c>
      <c r="K2758" t="s">
        <v>1594</v>
      </c>
      <c r="L2758" t="s">
        <v>17</v>
      </c>
      <c r="M2758">
        <v>1529107200</v>
      </c>
      <c r="N2758" t="s">
        <v>1628</v>
      </c>
      <c r="O2758" t="s">
        <v>1628</v>
      </c>
      <c r="P2758" t="s">
        <v>1628</v>
      </c>
      <c r="Q2758">
        <f>LEN(AMAZON_FASHION_5__2[[#This Row],[reviewText]])</f>
        <v>44</v>
      </c>
      <c r="R2758" t="str">
        <f>IF(AMAZON_FASHION_5__2[[#This Row],[overall]]&gt;=4,"Positive",IF(AMAZON_FASHION_5__2[[#This Row],[overall]]&lt;=2,"Negative","Neutral"))</f>
        <v>Positive</v>
      </c>
      <c r="S27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59" spans="1:19" x14ac:dyDescent="0.25">
      <c r="A2759">
        <v>5</v>
      </c>
      <c r="B2759" t="b">
        <v>1</v>
      </c>
      <c r="C2759" s="1">
        <v>43254</v>
      </c>
      <c r="D2759">
        <f>YEAR(AMAZON_FASHION_5__2[[#This Row],[reviewDate]])</f>
        <v>2018</v>
      </c>
      <c r="E2759" s="1" t="str">
        <f>TEXT(AMAZON_FASHION_5__2[[#This Row],[reviewDate]], "mmmm")</f>
        <v>June</v>
      </c>
      <c r="F2759" t="s">
        <v>1502</v>
      </c>
      <c r="G2759" t="s">
        <v>1607</v>
      </c>
      <c r="H2759" t="s">
        <v>1578</v>
      </c>
      <c r="I2759" t="s">
        <v>198</v>
      </c>
      <c r="J2759" t="s">
        <v>1503</v>
      </c>
      <c r="K2759" t="s">
        <v>1504</v>
      </c>
      <c r="L2759" t="s">
        <v>17</v>
      </c>
      <c r="M2759">
        <v>1527984000</v>
      </c>
      <c r="N2759" t="s">
        <v>1628</v>
      </c>
      <c r="O2759" t="s">
        <v>1628</v>
      </c>
      <c r="P2759" t="s">
        <v>1628</v>
      </c>
      <c r="Q2759">
        <f>LEN(AMAZON_FASHION_5__2[[#This Row],[reviewText]])</f>
        <v>47</v>
      </c>
      <c r="R2759" t="str">
        <f>IF(AMAZON_FASHION_5__2[[#This Row],[overall]]&gt;=4,"Positive",IF(AMAZON_FASHION_5__2[[#This Row],[overall]]&lt;=2,"Negative","Neutral"))</f>
        <v>Positive</v>
      </c>
      <c r="S27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60" spans="1:19" x14ac:dyDescent="0.25">
      <c r="A2760">
        <v>5</v>
      </c>
      <c r="B2760" t="b">
        <v>1</v>
      </c>
      <c r="C2760" s="1">
        <v>43242</v>
      </c>
      <c r="D2760">
        <f>YEAR(AMAZON_FASHION_5__2[[#This Row],[reviewDate]])</f>
        <v>2018</v>
      </c>
      <c r="E2760" s="1" t="str">
        <f>TEXT(AMAZON_FASHION_5__2[[#This Row],[reviewDate]], "mmmm")</f>
        <v>May</v>
      </c>
      <c r="F2760" t="s">
        <v>1491</v>
      </c>
      <c r="G2760" t="s">
        <v>1607</v>
      </c>
      <c r="H2760" t="s">
        <v>1595</v>
      </c>
      <c r="I2760" t="s">
        <v>249</v>
      </c>
      <c r="J2760" t="s">
        <v>1492</v>
      </c>
      <c r="K2760" t="s">
        <v>1493</v>
      </c>
      <c r="L2760" t="s">
        <v>1494</v>
      </c>
      <c r="M2760">
        <v>1526947200</v>
      </c>
      <c r="N2760" t="s">
        <v>1628</v>
      </c>
      <c r="O2760" t="s">
        <v>1628</v>
      </c>
      <c r="P2760">
        <v>2</v>
      </c>
      <c r="Q2760">
        <f>LEN(AMAZON_FASHION_5__2[[#This Row],[reviewText]])</f>
        <v>372</v>
      </c>
      <c r="R2760" t="str">
        <f>IF(AMAZON_FASHION_5__2[[#This Row],[overall]]&gt;=4,"Positive",IF(AMAZON_FASHION_5__2[[#This Row],[overall]]&lt;=2,"Negative","Neutral"))</f>
        <v>Positive</v>
      </c>
      <c r="S27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61" spans="1:19" x14ac:dyDescent="0.25">
      <c r="A2761">
        <v>5</v>
      </c>
      <c r="B2761" t="b">
        <v>1</v>
      </c>
      <c r="C2761" s="1">
        <v>43236</v>
      </c>
      <c r="D2761">
        <f>YEAR(AMAZON_FASHION_5__2[[#This Row],[reviewDate]])</f>
        <v>2018</v>
      </c>
      <c r="E2761" s="1" t="str">
        <f>TEXT(AMAZON_FASHION_5__2[[#This Row],[reviewDate]], "mmmm")</f>
        <v>May</v>
      </c>
      <c r="F2761" t="s">
        <v>1495</v>
      </c>
      <c r="G2761" t="s">
        <v>1607</v>
      </c>
      <c r="H2761" t="s">
        <v>1596</v>
      </c>
      <c r="I2761" t="s">
        <v>198</v>
      </c>
      <c r="J2761" t="s">
        <v>1496</v>
      </c>
      <c r="K2761" t="s">
        <v>1497</v>
      </c>
      <c r="L2761" t="s">
        <v>1498</v>
      </c>
      <c r="M2761">
        <v>1526428800</v>
      </c>
      <c r="N2761" t="s">
        <v>1628</v>
      </c>
      <c r="O2761" t="s">
        <v>1628</v>
      </c>
      <c r="P2761" t="s">
        <v>1628</v>
      </c>
      <c r="Q2761">
        <f>LEN(AMAZON_FASHION_5__2[[#This Row],[reviewText]])</f>
        <v>17</v>
      </c>
      <c r="R2761" t="str">
        <f>IF(AMAZON_FASHION_5__2[[#This Row],[overall]]&gt;=4,"Positive",IF(AMAZON_FASHION_5__2[[#This Row],[overall]]&lt;=2,"Negative","Neutral"))</f>
        <v>Positive</v>
      </c>
      <c r="S27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62" spans="1:19" x14ac:dyDescent="0.25">
      <c r="A2762">
        <v>5</v>
      </c>
      <c r="B2762" t="b">
        <v>1</v>
      </c>
      <c r="C2762" s="1">
        <v>43236</v>
      </c>
      <c r="D2762">
        <f>YEAR(AMAZON_FASHION_5__2[[#This Row],[reviewDate]])</f>
        <v>2018</v>
      </c>
      <c r="E2762" s="1" t="str">
        <f>TEXT(AMAZON_FASHION_5__2[[#This Row],[reviewDate]], "mmmm")</f>
        <v>May</v>
      </c>
      <c r="F2762" t="s">
        <v>1480</v>
      </c>
      <c r="G2762" t="s">
        <v>1607</v>
      </c>
      <c r="H2762" t="s">
        <v>1572</v>
      </c>
      <c r="I2762" t="s">
        <v>198</v>
      </c>
      <c r="J2762" t="s">
        <v>1481</v>
      </c>
      <c r="K2762" t="s">
        <v>69</v>
      </c>
      <c r="L2762" t="s">
        <v>17</v>
      </c>
      <c r="M2762">
        <v>1526428800</v>
      </c>
      <c r="N2762" t="s">
        <v>1628</v>
      </c>
      <c r="O2762" t="s">
        <v>1628</v>
      </c>
      <c r="P2762" t="s">
        <v>1628</v>
      </c>
      <c r="Q2762">
        <f>LEN(AMAZON_FASHION_5__2[[#This Row],[reviewText]])</f>
        <v>11</v>
      </c>
      <c r="R2762" t="str">
        <f>IF(AMAZON_FASHION_5__2[[#This Row],[overall]]&gt;=4,"Positive",IF(AMAZON_FASHION_5__2[[#This Row],[overall]]&lt;=2,"Negative","Neutral"))</f>
        <v>Positive</v>
      </c>
      <c r="S27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63" spans="1:19" x14ac:dyDescent="0.25">
      <c r="A2763">
        <v>3</v>
      </c>
      <c r="B2763" t="b">
        <v>1</v>
      </c>
      <c r="C2763" s="1">
        <v>43235</v>
      </c>
      <c r="D2763">
        <f>YEAR(AMAZON_FASHION_5__2[[#This Row],[reviewDate]])</f>
        <v>2018</v>
      </c>
      <c r="E2763" s="1" t="str">
        <f>TEXT(AMAZON_FASHION_5__2[[#This Row],[reviewDate]], "mmmm")</f>
        <v>May</v>
      </c>
      <c r="F2763" t="s">
        <v>1482</v>
      </c>
      <c r="G2763" t="s">
        <v>1607</v>
      </c>
      <c r="H2763" t="s">
        <v>1571</v>
      </c>
      <c r="I2763" t="s">
        <v>249</v>
      </c>
      <c r="J2763" t="s">
        <v>63</v>
      </c>
      <c r="K2763" t="s">
        <v>1483</v>
      </c>
      <c r="L2763" t="s">
        <v>101</v>
      </c>
      <c r="M2763">
        <v>1526342400</v>
      </c>
      <c r="N2763" t="s">
        <v>1628</v>
      </c>
      <c r="O2763" t="s">
        <v>1628</v>
      </c>
      <c r="P2763" t="s">
        <v>1628</v>
      </c>
      <c r="Q2763">
        <f>LEN(AMAZON_FASHION_5__2[[#This Row],[reviewText]])</f>
        <v>39</v>
      </c>
      <c r="R2763" t="str">
        <f>IF(AMAZON_FASHION_5__2[[#This Row],[overall]]&gt;=4,"Positive",IF(AMAZON_FASHION_5__2[[#This Row],[overall]]&lt;=2,"Negative","Neutral"))</f>
        <v>Neutral</v>
      </c>
      <c r="S27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64" spans="1:19" x14ac:dyDescent="0.25">
      <c r="A2764">
        <v>3</v>
      </c>
      <c r="B2764" t="b">
        <v>1</v>
      </c>
      <c r="C2764" s="1">
        <v>43235</v>
      </c>
      <c r="D2764">
        <f>YEAR(AMAZON_FASHION_5__2[[#This Row],[reviewDate]])</f>
        <v>2018</v>
      </c>
      <c r="E2764" s="1" t="str">
        <f>TEXT(AMAZON_FASHION_5__2[[#This Row],[reviewDate]], "mmmm")</f>
        <v>May</v>
      </c>
      <c r="F2764" t="s">
        <v>1484</v>
      </c>
      <c r="G2764" t="s">
        <v>1607</v>
      </c>
      <c r="H2764" t="s">
        <v>1567</v>
      </c>
      <c r="I2764" t="s">
        <v>249</v>
      </c>
      <c r="J2764" t="s">
        <v>1485</v>
      </c>
      <c r="K2764" t="s">
        <v>1486</v>
      </c>
      <c r="L2764" t="s">
        <v>1487</v>
      </c>
      <c r="M2764">
        <v>1526342400</v>
      </c>
      <c r="N2764" t="s">
        <v>1628</v>
      </c>
      <c r="O2764" t="s">
        <v>1628</v>
      </c>
      <c r="P2764" t="s">
        <v>1628</v>
      </c>
      <c r="Q2764">
        <f>LEN(AMAZON_FASHION_5__2[[#This Row],[reviewText]])</f>
        <v>173</v>
      </c>
      <c r="R2764" t="str">
        <f>IF(AMAZON_FASHION_5__2[[#This Row],[overall]]&gt;=4,"Positive",IF(AMAZON_FASHION_5__2[[#This Row],[overall]]&lt;=2,"Negative","Neutral"))</f>
        <v>Neutral</v>
      </c>
      <c r="S27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65" spans="1:19" x14ac:dyDescent="0.25">
      <c r="A2765">
        <v>5</v>
      </c>
      <c r="B2765" t="b">
        <v>1</v>
      </c>
      <c r="C2765" s="1">
        <v>43225</v>
      </c>
      <c r="D2765">
        <f>YEAR(AMAZON_FASHION_5__2[[#This Row],[reviewDate]])</f>
        <v>2018</v>
      </c>
      <c r="E2765" s="1" t="str">
        <f>TEXT(AMAZON_FASHION_5__2[[#This Row],[reviewDate]], "mmmm")</f>
        <v>May</v>
      </c>
      <c r="F2765" t="s">
        <v>1470</v>
      </c>
      <c r="G2765" t="s">
        <v>1607</v>
      </c>
      <c r="H2765" t="s">
        <v>1571</v>
      </c>
      <c r="I2765" t="s">
        <v>548</v>
      </c>
      <c r="J2765" t="s">
        <v>1471</v>
      </c>
      <c r="K2765" t="s">
        <v>1472</v>
      </c>
      <c r="L2765" t="s">
        <v>17</v>
      </c>
      <c r="M2765">
        <v>1525478400</v>
      </c>
      <c r="N2765" t="s">
        <v>1628</v>
      </c>
      <c r="O2765" t="s">
        <v>1628</v>
      </c>
      <c r="P2765" t="s">
        <v>1628</v>
      </c>
      <c r="Q2765">
        <f>LEN(AMAZON_FASHION_5__2[[#This Row],[reviewText]])</f>
        <v>71</v>
      </c>
      <c r="R2765" t="str">
        <f>IF(AMAZON_FASHION_5__2[[#This Row],[overall]]&gt;=4,"Positive",IF(AMAZON_FASHION_5__2[[#This Row],[overall]]&lt;=2,"Negative","Neutral"))</f>
        <v>Positive</v>
      </c>
      <c r="S27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66" spans="1:19" x14ac:dyDescent="0.25">
      <c r="A2766">
        <v>5</v>
      </c>
      <c r="B2766" t="b">
        <v>1</v>
      </c>
      <c r="C2766" s="1">
        <v>43223</v>
      </c>
      <c r="D2766">
        <f>YEAR(AMAZON_FASHION_5__2[[#This Row],[reviewDate]])</f>
        <v>2018</v>
      </c>
      <c r="E2766" s="1" t="str">
        <f>TEXT(AMAZON_FASHION_5__2[[#This Row],[reviewDate]], "mmmm")</f>
        <v>May</v>
      </c>
      <c r="F2766" t="s">
        <v>1473</v>
      </c>
      <c r="G2766" t="s">
        <v>1607</v>
      </c>
      <c r="H2766" t="s">
        <v>1578</v>
      </c>
      <c r="I2766" t="s">
        <v>524</v>
      </c>
      <c r="J2766" t="s">
        <v>1474</v>
      </c>
      <c r="K2766" t="s">
        <v>1475</v>
      </c>
      <c r="L2766" t="s">
        <v>17</v>
      </c>
      <c r="M2766">
        <v>1525305600</v>
      </c>
      <c r="N2766" t="s">
        <v>1628</v>
      </c>
      <c r="O2766" t="s">
        <v>1628</v>
      </c>
      <c r="P2766" t="s">
        <v>1628</v>
      </c>
      <c r="Q2766">
        <f>LEN(AMAZON_FASHION_5__2[[#This Row],[reviewText]])</f>
        <v>90</v>
      </c>
      <c r="R2766" t="str">
        <f>IF(AMAZON_FASHION_5__2[[#This Row],[overall]]&gt;=4,"Positive",IF(AMAZON_FASHION_5__2[[#This Row],[overall]]&lt;=2,"Negative","Neutral"))</f>
        <v>Positive</v>
      </c>
      <c r="S27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67" spans="1:19" x14ac:dyDescent="0.25">
      <c r="A2767">
        <v>3</v>
      </c>
      <c r="B2767" t="b">
        <v>1</v>
      </c>
      <c r="C2767" s="1">
        <v>43220</v>
      </c>
      <c r="D2767">
        <f>YEAR(AMAZON_FASHION_5__2[[#This Row],[reviewDate]])</f>
        <v>2018</v>
      </c>
      <c r="E2767" s="1" t="str">
        <f>TEXT(AMAZON_FASHION_5__2[[#This Row],[reviewDate]], "mmmm")</f>
        <v>April</v>
      </c>
      <c r="F2767" t="s">
        <v>1446</v>
      </c>
      <c r="G2767" t="s">
        <v>1607</v>
      </c>
      <c r="H2767" t="s">
        <v>1597</v>
      </c>
      <c r="I2767" t="s">
        <v>411</v>
      </c>
      <c r="J2767" t="s">
        <v>63</v>
      </c>
      <c r="K2767" t="s">
        <v>1447</v>
      </c>
      <c r="L2767" t="s">
        <v>101</v>
      </c>
      <c r="M2767">
        <v>1525046400</v>
      </c>
      <c r="N2767" t="s">
        <v>1628</v>
      </c>
      <c r="O2767" t="s">
        <v>1628</v>
      </c>
      <c r="P2767" t="s">
        <v>1628</v>
      </c>
      <c r="Q2767">
        <f>LEN(AMAZON_FASHION_5__2[[#This Row],[reviewText]])</f>
        <v>14</v>
      </c>
      <c r="R2767" t="str">
        <f>IF(AMAZON_FASHION_5__2[[#This Row],[overall]]&gt;=4,"Positive",IF(AMAZON_FASHION_5__2[[#This Row],[overall]]&lt;=2,"Negative","Neutral"))</f>
        <v>Neutral</v>
      </c>
      <c r="S27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68" spans="1:19" x14ac:dyDescent="0.25">
      <c r="A2768">
        <v>5</v>
      </c>
      <c r="B2768" t="b">
        <v>1</v>
      </c>
      <c r="C2768" s="1">
        <v>43216</v>
      </c>
      <c r="D2768">
        <f>YEAR(AMAZON_FASHION_5__2[[#This Row],[reviewDate]])</f>
        <v>2018</v>
      </c>
      <c r="E2768" s="1" t="str">
        <f>TEXT(AMAZON_FASHION_5__2[[#This Row],[reviewDate]], "mmmm")</f>
        <v>April</v>
      </c>
      <c r="F2768" t="s">
        <v>1448</v>
      </c>
      <c r="G2768" t="s">
        <v>1607</v>
      </c>
      <c r="H2768" t="s">
        <v>1598</v>
      </c>
      <c r="I2768" t="s">
        <v>435</v>
      </c>
      <c r="J2768" t="s">
        <v>1449</v>
      </c>
      <c r="K2768" t="s">
        <v>1450</v>
      </c>
      <c r="L2768" t="s">
        <v>17</v>
      </c>
      <c r="M2768">
        <v>1524700800</v>
      </c>
      <c r="N2768" t="s">
        <v>1628</v>
      </c>
      <c r="O2768" t="s">
        <v>1628</v>
      </c>
      <c r="P2768" t="s">
        <v>1628</v>
      </c>
      <c r="Q2768">
        <f>LEN(AMAZON_FASHION_5__2[[#This Row],[reviewText]])</f>
        <v>43</v>
      </c>
      <c r="R2768" t="str">
        <f>IF(AMAZON_FASHION_5__2[[#This Row],[overall]]&gt;=4,"Positive",IF(AMAZON_FASHION_5__2[[#This Row],[overall]]&lt;=2,"Negative","Neutral"))</f>
        <v>Positive</v>
      </c>
      <c r="S27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69" spans="1:19" x14ac:dyDescent="0.25">
      <c r="A2769">
        <v>5</v>
      </c>
      <c r="B2769" t="b">
        <v>1</v>
      </c>
      <c r="C2769" s="1">
        <v>43214</v>
      </c>
      <c r="D2769">
        <f>YEAR(AMAZON_FASHION_5__2[[#This Row],[reviewDate]])</f>
        <v>2018</v>
      </c>
      <c r="E2769" s="1" t="str">
        <f>TEXT(AMAZON_FASHION_5__2[[#This Row],[reviewDate]], "mmmm")</f>
        <v>April</v>
      </c>
      <c r="F2769" t="s">
        <v>1451</v>
      </c>
      <c r="G2769" t="s">
        <v>1607</v>
      </c>
      <c r="H2769" t="s">
        <v>1598</v>
      </c>
      <c r="I2769" t="s">
        <v>198</v>
      </c>
      <c r="J2769" t="s">
        <v>1452</v>
      </c>
      <c r="K2769" t="s">
        <v>1453</v>
      </c>
      <c r="L2769" t="s">
        <v>1454</v>
      </c>
      <c r="M2769">
        <v>1524528000</v>
      </c>
      <c r="N2769" t="s">
        <v>1628</v>
      </c>
      <c r="O2769" t="s">
        <v>1628</v>
      </c>
      <c r="P2769" t="s">
        <v>1628</v>
      </c>
      <c r="Q2769">
        <f>LEN(AMAZON_FASHION_5__2[[#This Row],[reviewText]])</f>
        <v>160</v>
      </c>
      <c r="R2769" t="str">
        <f>IF(AMAZON_FASHION_5__2[[#This Row],[overall]]&gt;=4,"Positive",IF(AMAZON_FASHION_5__2[[#This Row],[overall]]&lt;=2,"Negative","Neutral"))</f>
        <v>Positive</v>
      </c>
      <c r="S27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70" spans="1:19" x14ac:dyDescent="0.25">
      <c r="A2770">
        <v>5</v>
      </c>
      <c r="B2770" t="b">
        <v>1</v>
      </c>
      <c r="C2770" s="1">
        <v>43212</v>
      </c>
      <c r="D2770">
        <f>YEAR(AMAZON_FASHION_5__2[[#This Row],[reviewDate]])</f>
        <v>2018</v>
      </c>
      <c r="E2770" s="1" t="str">
        <f>TEXT(AMAZON_FASHION_5__2[[#This Row],[reviewDate]], "mmmm")</f>
        <v>April</v>
      </c>
      <c r="F2770" t="s">
        <v>244</v>
      </c>
      <c r="G2770" t="s">
        <v>1607</v>
      </c>
      <c r="H2770" t="s">
        <v>1574</v>
      </c>
      <c r="I2770" t="s">
        <v>198</v>
      </c>
      <c r="J2770" t="s">
        <v>245</v>
      </c>
      <c r="K2770" t="s">
        <v>246</v>
      </c>
      <c r="L2770" t="s">
        <v>247</v>
      </c>
      <c r="M2770">
        <v>1524355200</v>
      </c>
      <c r="N2770" t="s">
        <v>1628</v>
      </c>
      <c r="O2770" t="s">
        <v>1628</v>
      </c>
      <c r="P2770" t="s">
        <v>1628</v>
      </c>
      <c r="Q2770">
        <f>LEN(AMAZON_FASHION_5__2[[#This Row],[reviewText]])</f>
        <v>148</v>
      </c>
      <c r="R2770" t="str">
        <f>IF(AMAZON_FASHION_5__2[[#This Row],[overall]]&gt;=4,"Positive",IF(AMAZON_FASHION_5__2[[#This Row],[overall]]&lt;=2,"Negative","Neutral"))</f>
        <v>Positive</v>
      </c>
      <c r="S27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71" spans="1:19" x14ac:dyDescent="0.25">
      <c r="A2771">
        <v>3</v>
      </c>
      <c r="B2771" t="b">
        <v>1</v>
      </c>
      <c r="C2771" s="1">
        <v>43209</v>
      </c>
      <c r="D2771">
        <f>YEAR(AMAZON_FASHION_5__2[[#This Row],[reviewDate]])</f>
        <v>2018</v>
      </c>
      <c r="E2771" s="1" t="str">
        <f>TEXT(AMAZON_FASHION_5__2[[#This Row],[reviewDate]], "mmmm")</f>
        <v>April</v>
      </c>
      <c r="F2771" t="s">
        <v>248</v>
      </c>
      <c r="G2771" t="s">
        <v>1607</v>
      </c>
      <c r="H2771" t="s">
        <v>1567</v>
      </c>
      <c r="I2771" t="s">
        <v>249</v>
      </c>
      <c r="J2771" t="s">
        <v>250</v>
      </c>
      <c r="K2771" t="s">
        <v>251</v>
      </c>
      <c r="L2771" t="s">
        <v>252</v>
      </c>
      <c r="M2771">
        <v>1524096000</v>
      </c>
      <c r="N2771" t="s">
        <v>1628</v>
      </c>
      <c r="O2771" t="s">
        <v>1628</v>
      </c>
      <c r="P2771" t="s">
        <v>1628</v>
      </c>
      <c r="Q2771">
        <f>LEN(AMAZON_FASHION_5__2[[#This Row],[reviewText]])</f>
        <v>125</v>
      </c>
      <c r="R2771" t="str">
        <f>IF(AMAZON_FASHION_5__2[[#This Row],[overall]]&gt;=4,"Positive",IF(AMAZON_FASHION_5__2[[#This Row],[overall]]&lt;=2,"Negative","Neutral"))</f>
        <v>Neutral</v>
      </c>
      <c r="S27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72" spans="1:19" x14ac:dyDescent="0.25">
      <c r="A2772">
        <v>5</v>
      </c>
      <c r="B2772" t="b">
        <v>1</v>
      </c>
      <c r="C2772" s="1">
        <v>43208</v>
      </c>
      <c r="D2772">
        <f>YEAR(AMAZON_FASHION_5__2[[#This Row],[reviewDate]])</f>
        <v>2018</v>
      </c>
      <c r="E2772" s="1" t="str">
        <f>TEXT(AMAZON_FASHION_5__2[[#This Row],[reviewDate]], "mmmm")</f>
        <v>April</v>
      </c>
      <c r="F2772" t="s">
        <v>253</v>
      </c>
      <c r="G2772" t="s">
        <v>1607</v>
      </c>
      <c r="H2772" t="s">
        <v>1598</v>
      </c>
      <c r="I2772" t="s">
        <v>198</v>
      </c>
      <c r="J2772" t="s">
        <v>254</v>
      </c>
      <c r="K2772" t="s">
        <v>255</v>
      </c>
      <c r="L2772" t="s">
        <v>256</v>
      </c>
      <c r="M2772">
        <v>1524009600</v>
      </c>
      <c r="N2772" t="s">
        <v>1628</v>
      </c>
      <c r="O2772" t="s">
        <v>1628</v>
      </c>
      <c r="P2772" t="s">
        <v>1628</v>
      </c>
      <c r="Q2772">
        <f>LEN(AMAZON_FASHION_5__2[[#This Row],[reviewText]])</f>
        <v>123</v>
      </c>
      <c r="R2772" t="str">
        <f>IF(AMAZON_FASHION_5__2[[#This Row],[overall]]&gt;=4,"Positive",IF(AMAZON_FASHION_5__2[[#This Row],[overall]]&lt;=2,"Negative","Neutral"))</f>
        <v>Positive</v>
      </c>
      <c r="S27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73" spans="1:19" x14ac:dyDescent="0.25">
      <c r="A2773">
        <v>5</v>
      </c>
      <c r="B2773" t="b">
        <v>1</v>
      </c>
      <c r="C2773" s="1">
        <v>43208</v>
      </c>
      <c r="D2773">
        <f>YEAR(AMAZON_FASHION_5__2[[#This Row],[reviewDate]])</f>
        <v>2018</v>
      </c>
      <c r="E2773" s="1" t="str">
        <f>TEXT(AMAZON_FASHION_5__2[[#This Row],[reviewDate]], "mmmm")</f>
        <v>April</v>
      </c>
      <c r="F2773" t="s">
        <v>257</v>
      </c>
      <c r="G2773" t="s">
        <v>1607</v>
      </c>
      <c r="H2773" t="s">
        <v>1574</v>
      </c>
      <c r="I2773" t="s">
        <v>249</v>
      </c>
      <c r="J2773" t="s">
        <v>63</v>
      </c>
      <c r="K2773" t="s">
        <v>258</v>
      </c>
      <c r="L2773" t="s">
        <v>259</v>
      </c>
      <c r="M2773">
        <v>1524009600</v>
      </c>
      <c r="N2773" t="s">
        <v>1628</v>
      </c>
      <c r="O2773" t="s">
        <v>1628</v>
      </c>
      <c r="P2773" t="s">
        <v>1628</v>
      </c>
      <c r="Q2773">
        <f>LEN(AMAZON_FASHION_5__2[[#This Row],[reviewText]])</f>
        <v>155</v>
      </c>
      <c r="R2773" t="str">
        <f>IF(AMAZON_FASHION_5__2[[#This Row],[overall]]&gt;=4,"Positive",IF(AMAZON_FASHION_5__2[[#This Row],[overall]]&lt;=2,"Negative","Neutral"))</f>
        <v>Positive</v>
      </c>
      <c r="S27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74" spans="1:19" x14ac:dyDescent="0.25">
      <c r="A2774">
        <v>5</v>
      </c>
      <c r="B2774" t="b">
        <v>1</v>
      </c>
      <c r="C2774" s="1">
        <v>43206</v>
      </c>
      <c r="D2774">
        <f>YEAR(AMAZON_FASHION_5__2[[#This Row],[reviewDate]])</f>
        <v>2018</v>
      </c>
      <c r="E2774" s="1" t="str">
        <f>TEXT(AMAZON_FASHION_5__2[[#This Row],[reviewDate]], "mmmm")</f>
        <v>April</v>
      </c>
      <c r="F2774" t="s">
        <v>260</v>
      </c>
      <c r="G2774" t="s">
        <v>1607</v>
      </c>
      <c r="H2774" t="s">
        <v>1595</v>
      </c>
      <c r="I2774" t="s">
        <v>1455</v>
      </c>
      <c r="J2774" t="s">
        <v>263</v>
      </c>
      <c r="K2774" t="s">
        <v>264</v>
      </c>
      <c r="L2774" t="s">
        <v>265</v>
      </c>
      <c r="M2774">
        <v>1523836800</v>
      </c>
      <c r="N2774" t="s">
        <v>1628</v>
      </c>
      <c r="O2774" t="s">
        <v>1628</v>
      </c>
      <c r="P2774" t="s">
        <v>1628</v>
      </c>
      <c r="Q2774">
        <f>LEN(AMAZON_FASHION_5__2[[#This Row],[reviewText]])</f>
        <v>158</v>
      </c>
      <c r="R2774" t="str">
        <f>IF(AMAZON_FASHION_5__2[[#This Row],[overall]]&gt;=4,"Positive",IF(AMAZON_FASHION_5__2[[#This Row],[overall]]&lt;=2,"Negative","Neutral"))</f>
        <v>Positive</v>
      </c>
      <c r="S27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75" spans="1:19" x14ac:dyDescent="0.25">
      <c r="A2775">
        <v>5</v>
      </c>
      <c r="B2775" t="b">
        <v>1</v>
      </c>
      <c r="C2775" s="1">
        <v>43205</v>
      </c>
      <c r="D2775">
        <f>YEAR(AMAZON_FASHION_5__2[[#This Row],[reviewDate]])</f>
        <v>2018</v>
      </c>
      <c r="E2775" s="1" t="str">
        <f>TEXT(AMAZON_FASHION_5__2[[#This Row],[reviewDate]], "mmmm")</f>
        <v>April</v>
      </c>
      <c r="F2775" t="s">
        <v>266</v>
      </c>
      <c r="G2775" t="s">
        <v>1607</v>
      </c>
      <c r="H2775" t="s">
        <v>210</v>
      </c>
      <c r="I2775" t="s">
        <v>198</v>
      </c>
      <c r="J2775" t="s">
        <v>267</v>
      </c>
      <c r="K2775" t="s">
        <v>268</v>
      </c>
      <c r="L2775" t="s">
        <v>269</v>
      </c>
      <c r="M2775">
        <v>1523750400</v>
      </c>
      <c r="N2775" t="s">
        <v>1628</v>
      </c>
      <c r="O2775" t="s">
        <v>1628</v>
      </c>
      <c r="P2775">
        <v>3</v>
      </c>
      <c r="Q2775">
        <f>LEN(AMAZON_FASHION_5__2[[#This Row],[reviewText]])</f>
        <v>774</v>
      </c>
      <c r="R2775" t="str">
        <f>IF(AMAZON_FASHION_5__2[[#This Row],[overall]]&gt;=4,"Positive",IF(AMAZON_FASHION_5__2[[#This Row],[overall]]&lt;=2,"Negative","Neutral"))</f>
        <v>Positive</v>
      </c>
      <c r="S27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76" spans="1:19" x14ac:dyDescent="0.25">
      <c r="A2776">
        <v>3</v>
      </c>
      <c r="B2776" t="b">
        <v>1</v>
      </c>
      <c r="C2776" s="1">
        <v>43203</v>
      </c>
      <c r="D2776">
        <f>YEAR(AMAZON_FASHION_5__2[[#This Row],[reviewDate]])</f>
        <v>2018</v>
      </c>
      <c r="E2776" s="1" t="str">
        <f>TEXT(AMAZON_FASHION_5__2[[#This Row],[reviewDate]], "mmmm")</f>
        <v>April</v>
      </c>
      <c r="F2776" t="s">
        <v>270</v>
      </c>
      <c r="G2776" t="s">
        <v>1607</v>
      </c>
      <c r="H2776" t="s">
        <v>1578</v>
      </c>
      <c r="I2776" t="s">
        <v>249</v>
      </c>
      <c r="J2776" t="s">
        <v>271</v>
      </c>
      <c r="K2776" t="s">
        <v>272</v>
      </c>
      <c r="L2776" t="s">
        <v>101</v>
      </c>
      <c r="M2776">
        <v>1523577600</v>
      </c>
      <c r="N2776" t="s">
        <v>1628</v>
      </c>
      <c r="O2776" t="s">
        <v>1628</v>
      </c>
      <c r="P2776" t="s">
        <v>1628</v>
      </c>
      <c r="Q2776">
        <f>LEN(AMAZON_FASHION_5__2[[#This Row],[reviewText]])</f>
        <v>85</v>
      </c>
      <c r="R2776" t="str">
        <f>IF(AMAZON_FASHION_5__2[[#This Row],[overall]]&gt;=4,"Positive",IF(AMAZON_FASHION_5__2[[#This Row],[overall]]&lt;=2,"Negative","Neutral"))</f>
        <v>Neutral</v>
      </c>
      <c r="S27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77" spans="1:19" x14ac:dyDescent="0.25">
      <c r="A2777">
        <v>3</v>
      </c>
      <c r="B2777" t="b">
        <v>1</v>
      </c>
      <c r="C2777" s="1">
        <v>43199</v>
      </c>
      <c r="D2777">
        <f>YEAR(AMAZON_FASHION_5__2[[#This Row],[reviewDate]])</f>
        <v>2018</v>
      </c>
      <c r="E2777" s="1" t="str">
        <f>TEXT(AMAZON_FASHION_5__2[[#This Row],[reviewDate]], "mmmm")</f>
        <v>April</v>
      </c>
      <c r="F2777" t="s">
        <v>273</v>
      </c>
      <c r="G2777" t="s">
        <v>1607</v>
      </c>
      <c r="H2777" t="s">
        <v>1574</v>
      </c>
      <c r="I2777" t="s">
        <v>274</v>
      </c>
      <c r="J2777" t="s">
        <v>275</v>
      </c>
      <c r="K2777" t="s">
        <v>276</v>
      </c>
      <c r="L2777" t="s">
        <v>101</v>
      </c>
      <c r="M2777">
        <v>1523232000</v>
      </c>
      <c r="N2777" t="s">
        <v>1628</v>
      </c>
      <c r="O2777" t="s">
        <v>1628</v>
      </c>
      <c r="P2777" t="s">
        <v>1628</v>
      </c>
      <c r="Q2777">
        <f>LEN(AMAZON_FASHION_5__2[[#This Row],[reviewText]])</f>
        <v>4</v>
      </c>
      <c r="R2777" t="str">
        <f>IF(AMAZON_FASHION_5__2[[#This Row],[overall]]&gt;=4,"Positive",IF(AMAZON_FASHION_5__2[[#This Row],[overall]]&lt;=2,"Negative","Neutral"))</f>
        <v>Neutral</v>
      </c>
      <c r="S27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78" spans="1:19" x14ac:dyDescent="0.25">
      <c r="A2778">
        <v>5</v>
      </c>
      <c r="B2778" t="b">
        <v>1</v>
      </c>
      <c r="C2778" s="1">
        <v>43199</v>
      </c>
      <c r="D2778">
        <f>YEAR(AMAZON_FASHION_5__2[[#This Row],[reviewDate]])</f>
        <v>2018</v>
      </c>
      <c r="E2778" s="1" t="str">
        <f>TEXT(AMAZON_FASHION_5__2[[#This Row],[reviewDate]], "mmmm")</f>
        <v>April</v>
      </c>
      <c r="F2778" t="s">
        <v>277</v>
      </c>
      <c r="G2778" t="s">
        <v>1607</v>
      </c>
      <c r="H2778" t="s">
        <v>1574</v>
      </c>
      <c r="I2778" t="s">
        <v>198</v>
      </c>
      <c r="J2778" t="s">
        <v>278</v>
      </c>
      <c r="K2778" t="s">
        <v>279</v>
      </c>
      <c r="L2778" t="s">
        <v>17</v>
      </c>
      <c r="M2778">
        <v>1523232000</v>
      </c>
      <c r="N2778" t="s">
        <v>1628</v>
      </c>
      <c r="O2778" t="s">
        <v>1628</v>
      </c>
      <c r="P2778" t="s">
        <v>1628</v>
      </c>
      <c r="Q2778">
        <f>LEN(AMAZON_FASHION_5__2[[#This Row],[reviewText]])</f>
        <v>7</v>
      </c>
      <c r="R2778" t="str">
        <f>IF(AMAZON_FASHION_5__2[[#This Row],[overall]]&gt;=4,"Positive",IF(AMAZON_FASHION_5__2[[#This Row],[overall]]&lt;=2,"Negative","Neutral"))</f>
        <v>Positive</v>
      </c>
      <c r="S27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79" spans="1:19" x14ac:dyDescent="0.25">
      <c r="A2779">
        <v>5</v>
      </c>
      <c r="B2779" t="b">
        <v>1</v>
      </c>
      <c r="C2779" s="1">
        <v>43198</v>
      </c>
      <c r="D2779">
        <f>YEAR(AMAZON_FASHION_5__2[[#This Row],[reviewDate]])</f>
        <v>2018</v>
      </c>
      <c r="E2779" s="1" t="str">
        <f>TEXT(AMAZON_FASHION_5__2[[#This Row],[reviewDate]], "mmmm")</f>
        <v>April</v>
      </c>
      <c r="F2779" t="s">
        <v>280</v>
      </c>
      <c r="G2779" t="s">
        <v>1607</v>
      </c>
      <c r="H2779" t="s">
        <v>1578</v>
      </c>
      <c r="I2779" t="s">
        <v>198</v>
      </c>
      <c r="J2779" t="s">
        <v>281</v>
      </c>
      <c r="K2779" t="s">
        <v>282</v>
      </c>
      <c r="L2779" t="s">
        <v>247</v>
      </c>
      <c r="M2779">
        <v>1523145600</v>
      </c>
      <c r="N2779" t="s">
        <v>1628</v>
      </c>
      <c r="O2779" t="s">
        <v>1628</v>
      </c>
      <c r="P2779" t="s">
        <v>1628</v>
      </c>
      <c r="Q2779">
        <f>LEN(AMAZON_FASHION_5__2[[#This Row],[reviewText]])</f>
        <v>157</v>
      </c>
      <c r="R2779" t="str">
        <f>IF(AMAZON_FASHION_5__2[[#This Row],[overall]]&gt;=4,"Positive",IF(AMAZON_FASHION_5__2[[#This Row],[overall]]&lt;=2,"Negative","Neutral"))</f>
        <v>Positive</v>
      </c>
      <c r="S27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80" spans="1:19" x14ac:dyDescent="0.25">
      <c r="A2780">
        <v>5</v>
      </c>
      <c r="B2780" t="b">
        <v>1</v>
      </c>
      <c r="C2780" s="1">
        <v>43197</v>
      </c>
      <c r="D2780">
        <f>YEAR(AMAZON_FASHION_5__2[[#This Row],[reviewDate]])</f>
        <v>2018</v>
      </c>
      <c r="E2780" s="1" t="str">
        <f>TEXT(AMAZON_FASHION_5__2[[#This Row],[reviewDate]], "mmmm")</f>
        <v>April</v>
      </c>
      <c r="F2780" t="s">
        <v>283</v>
      </c>
      <c r="G2780" t="s">
        <v>1607</v>
      </c>
      <c r="H2780" t="s">
        <v>284</v>
      </c>
      <c r="I2780" t="s">
        <v>274</v>
      </c>
      <c r="J2780" t="s">
        <v>285</v>
      </c>
      <c r="K2780" t="s">
        <v>18</v>
      </c>
      <c r="L2780" t="s">
        <v>17</v>
      </c>
      <c r="M2780">
        <v>1523059200</v>
      </c>
      <c r="N2780" t="s">
        <v>1628</v>
      </c>
      <c r="O2780" t="s">
        <v>1628</v>
      </c>
      <c r="P2780" t="s">
        <v>1628</v>
      </c>
      <c r="Q2780">
        <f>LEN(AMAZON_FASHION_5__2[[#This Row],[reviewText]])</f>
        <v>0</v>
      </c>
      <c r="R2780" t="str">
        <f>IF(AMAZON_FASHION_5__2[[#This Row],[overall]]&gt;=4,"Positive",IF(AMAZON_FASHION_5__2[[#This Row],[overall]]&lt;=2,"Negative","Neutral"))</f>
        <v>Positive</v>
      </c>
      <c r="S27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81" spans="1:19" x14ac:dyDescent="0.25">
      <c r="A2781">
        <v>5</v>
      </c>
      <c r="B2781" t="b">
        <v>1</v>
      </c>
      <c r="C2781" s="1">
        <v>43194</v>
      </c>
      <c r="D2781">
        <f>YEAR(AMAZON_FASHION_5__2[[#This Row],[reviewDate]])</f>
        <v>2018</v>
      </c>
      <c r="E2781" s="1" t="str">
        <f>TEXT(AMAZON_FASHION_5__2[[#This Row],[reviewDate]], "mmmm")</f>
        <v>April</v>
      </c>
      <c r="F2781" t="s">
        <v>286</v>
      </c>
      <c r="G2781" t="s">
        <v>1607</v>
      </c>
      <c r="H2781" t="s">
        <v>210</v>
      </c>
      <c r="I2781" t="s">
        <v>198</v>
      </c>
      <c r="J2781" t="s">
        <v>287</v>
      </c>
      <c r="K2781" t="s">
        <v>288</v>
      </c>
      <c r="L2781" t="s">
        <v>289</v>
      </c>
      <c r="M2781">
        <v>1522800000</v>
      </c>
      <c r="N2781" t="s">
        <v>1628</v>
      </c>
      <c r="O2781" t="s">
        <v>1628</v>
      </c>
      <c r="P2781" t="s">
        <v>1628</v>
      </c>
      <c r="Q2781">
        <f>LEN(AMAZON_FASHION_5__2[[#This Row],[reviewText]])</f>
        <v>35</v>
      </c>
      <c r="R2781" t="str">
        <f>IF(AMAZON_FASHION_5__2[[#This Row],[overall]]&gt;=4,"Positive",IF(AMAZON_FASHION_5__2[[#This Row],[overall]]&lt;=2,"Negative","Neutral"))</f>
        <v>Positive</v>
      </c>
      <c r="S27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82" spans="1:19" x14ac:dyDescent="0.25">
      <c r="A2782">
        <v>4</v>
      </c>
      <c r="B2782" t="b">
        <v>1</v>
      </c>
      <c r="C2782" s="1">
        <v>43193</v>
      </c>
      <c r="D2782">
        <f>YEAR(AMAZON_FASHION_5__2[[#This Row],[reviewDate]])</f>
        <v>2018</v>
      </c>
      <c r="E2782" s="1" t="str">
        <f>TEXT(AMAZON_FASHION_5__2[[#This Row],[reviewDate]], "mmmm")</f>
        <v>April</v>
      </c>
      <c r="F2782" t="s">
        <v>290</v>
      </c>
      <c r="G2782" t="s">
        <v>1607</v>
      </c>
      <c r="H2782" t="s">
        <v>1571</v>
      </c>
      <c r="I2782" t="s">
        <v>274</v>
      </c>
      <c r="J2782" t="s">
        <v>291</v>
      </c>
      <c r="K2782" t="s">
        <v>292</v>
      </c>
      <c r="L2782" t="s">
        <v>293</v>
      </c>
      <c r="M2782">
        <v>1522713600</v>
      </c>
      <c r="N2782" t="s">
        <v>1628</v>
      </c>
      <c r="O2782" t="s">
        <v>1628</v>
      </c>
      <c r="P2782" t="s">
        <v>1628</v>
      </c>
      <c r="Q2782">
        <f>LEN(AMAZON_FASHION_5__2[[#This Row],[reviewText]])</f>
        <v>213</v>
      </c>
      <c r="R2782" t="str">
        <f>IF(AMAZON_FASHION_5__2[[#This Row],[overall]]&gt;=4,"Positive",IF(AMAZON_FASHION_5__2[[#This Row],[overall]]&lt;=2,"Negative","Neutral"))</f>
        <v>Positive</v>
      </c>
      <c r="S27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83" spans="1:19" x14ac:dyDescent="0.25">
      <c r="A2783">
        <v>5</v>
      </c>
      <c r="B2783" t="b">
        <v>1</v>
      </c>
      <c r="C2783" s="1">
        <v>43193</v>
      </c>
      <c r="D2783">
        <f>YEAR(AMAZON_FASHION_5__2[[#This Row],[reviewDate]])</f>
        <v>2018</v>
      </c>
      <c r="E2783" s="1" t="str">
        <f>TEXT(AMAZON_FASHION_5__2[[#This Row],[reviewDate]], "mmmm")</f>
        <v>April</v>
      </c>
      <c r="F2783" t="s">
        <v>294</v>
      </c>
      <c r="G2783" t="s">
        <v>1607</v>
      </c>
      <c r="H2783" t="s">
        <v>210</v>
      </c>
      <c r="I2783" t="s">
        <v>198</v>
      </c>
      <c r="J2783" t="s">
        <v>295</v>
      </c>
      <c r="K2783" t="s">
        <v>296</v>
      </c>
      <c r="L2783" t="s">
        <v>297</v>
      </c>
      <c r="M2783">
        <v>1522713600</v>
      </c>
      <c r="N2783" t="s">
        <v>1628</v>
      </c>
      <c r="O2783" t="s">
        <v>1628</v>
      </c>
      <c r="P2783" t="s">
        <v>1628</v>
      </c>
      <c r="Q2783">
        <f>LEN(AMAZON_FASHION_5__2[[#This Row],[reviewText]])</f>
        <v>105</v>
      </c>
      <c r="R2783" t="str">
        <f>IF(AMAZON_FASHION_5__2[[#This Row],[overall]]&gt;=4,"Positive",IF(AMAZON_FASHION_5__2[[#This Row],[overall]]&lt;=2,"Negative","Neutral"))</f>
        <v>Positive</v>
      </c>
      <c r="S27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84" spans="1:19" x14ac:dyDescent="0.25">
      <c r="A2784">
        <v>5</v>
      </c>
      <c r="B2784" t="b">
        <v>1</v>
      </c>
      <c r="C2784" s="1">
        <v>43190</v>
      </c>
      <c r="D2784">
        <f>YEAR(AMAZON_FASHION_5__2[[#This Row],[reviewDate]])</f>
        <v>2018</v>
      </c>
      <c r="E2784" s="1" t="str">
        <f>TEXT(AMAZON_FASHION_5__2[[#This Row],[reviewDate]], "mmmm")</f>
        <v>March</v>
      </c>
      <c r="F2784" t="s">
        <v>298</v>
      </c>
      <c r="G2784" t="s">
        <v>1607</v>
      </c>
      <c r="H2784" t="s">
        <v>1571</v>
      </c>
      <c r="I2784" t="s">
        <v>198</v>
      </c>
      <c r="J2784" t="s">
        <v>299</v>
      </c>
      <c r="K2784" t="s">
        <v>300</v>
      </c>
      <c r="L2784" t="s">
        <v>301</v>
      </c>
      <c r="M2784">
        <v>1522454400</v>
      </c>
      <c r="N2784" t="s">
        <v>1628</v>
      </c>
      <c r="O2784" t="s">
        <v>1628</v>
      </c>
      <c r="P2784" t="s">
        <v>1628</v>
      </c>
      <c r="Q2784">
        <f>LEN(AMAZON_FASHION_5__2[[#This Row],[reviewText]])</f>
        <v>48</v>
      </c>
      <c r="R2784" t="str">
        <f>IF(AMAZON_FASHION_5__2[[#This Row],[overall]]&gt;=4,"Positive",IF(AMAZON_FASHION_5__2[[#This Row],[overall]]&lt;=2,"Negative","Neutral"))</f>
        <v>Positive</v>
      </c>
      <c r="S27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85" spans="1:19" x14ac:dyDescent="0.25">
      <c r="A2785">
        <v>5</v>
      </c>
      <c r="B2785" t="b">
        <v>1</v>
      </c>
      <c r="C2785" s="1">
        <v>43187</v>
      </c>
      <c r="D2785">
        <f>YEAR(AMAZON_FASHION_5__2[[#This Row],[reviewDate]])</f>
        <v>2018</v>
      </c>
      <c r="E2785" s="1" t="str">
        <f>TEXT(AMAZON_FASHION_5__2[[#This Row],[reviewDate]], "mmmm")</f>
        <v>March</v>
      </c>
      <c r="F2785" t="s">
        <v>302</v>
      </c>
      <c r="G2785" t="s">
        <v>1607</v>
      </c>
      <c r="H2785" t="s">
        <v>197</v>
      </c>
      <c r="I2785" t="s">
        <v>303</v>
      </c>
      <c r="J2785" t="s">
        <v>304</v>
      </c>
      <c r="K2785" t="s">
        <v>305</v>
      </c>
      <c r="L2785" t="s">
        <v>306</v>
      </c>
      <c r="M2785">
        <v>1522195200</v>
      </c>
      <c r="N2785" t="s">
        <v>1628</v>
      </c>
      <c r="O2785" t="s">
        <v>1628</v>
      </c>
      <c r="P2785" t="s">
        <v>1628</v>
      </c>
      <c r="Q2785">
        <f>LEN(AMAZON_FASHION_5__2[[#This Row],[reviewText]])</f>
        <v>90</v>
      </c>
      <c r="R2785" t="str">
        <f>IF(AMAZON_FASHION_5__2[[#This Row],[overall]]&gt;=4,"Positive",IF(AMAZON_FASHION_5__2[[#This Row],[overall]]&lt;=2,"Negative","Neutral"))</f>
        <v>Positive</v>
      </c>
      <c r="S27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86" spans="1:19" x14ac:dyDescent="0.25">
      <c r="A2786">
        <v>3</v>
      </c>
      <c r="B2786" t="b">
        <v>1</v>
      </c>
      <c r="C2786" s="1">
        <v>43186</v>
      </c>
      <c r="D2786">
        <f>YEAR(AMAZON_FASHION_5__2[[#This Row],[reviewDate]])</f>
        <v>2018</v>
      </c>
      <c r="E2786" s="1" t="str">
        <f>TEXT(AMAZON_FASHION_5__2[[#This Row],[reviewDate]], "mmmm")</f>
        <v>March</v>
      </c>
      <c r="F2786" t="s">
        <v>307</v>
      </c>
      <c r="G2786" t="s">
        <v>1607</v>
      </c>
      <c r="H2786" t="s">
        <v>1571</v>
      </c>
      <c r="I2786" t="s">
        <v>274</v>
      </c>
      <c r="J2786" t="s">
        <v>308</v>
      </c>
      <c r="K2786" t="s">
        <v>309</v>
      </c>
      <c r="L2786" t="s">
        <v>310</v>
      </c>
      <c r="M2786">
        <v>1522108800</v>
      </c>
      <c r="N2786" t="s">
        <v>1628</v>
      </c>
      <c r="O2786" t="s">
        <v>1628</v>
      </c>
      <c r="P2786" t="s">
        <v>1628</v>
      </c>
      <c r="Q2786">
        <f>LEN(AMAZON_FASHION_5__2[[#This Row],[reviewText]])</f>
        <v>121</v>
      </c>
      <c r="R2786" t="str">
        <f>IF(AMAZON_FASHION_5__2[[#This Row],[overall]]&gt;=4,"Positive",IF(AMAZON_FASHION_5__2[[#This Row],[overall]]&lt;=2,"Negative","Neutral"))</f>
        <v>Neutral</v>
      </c>
      <c r="S27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87" spans="1:19" x14ac:dyDescent="0.25">
      <c r="A2787">
        <v>5</v>
      </c>
      <c r="B2787" t="b">
        <v>1</v>
      </c>
      <c r="C2787" s="1">
        <v>43181</v>
      </c>
      <c r="D2787">
        <f>YEAR(AMAZON_FASHION_5__2[[#This Row],[reviewDate]])</f>
        <v>2018</v>
      </c>
      <c r="E2787" s="1" t="str">
        <f>TEXT(AMAZON_FASHION_5__2[[#This Row],[reviewDate]], "mmmm")</f>
        <v>March</v>
      </c>
      <c r="F2787" t="s">
        <v>311</v>
      </c>
      <c r="G2787" t="s">
        <v>1607</v>
      </c>
      <c r="H2787" t="s">
        <v>1567</v>
      </c>
      <c r="I2787" t="s">
        <v>249</v>
      </c>
      <c r="J2787" t="s">
        <v>312</v>
      </c>
      <c r="K2787" t="s">
        <v>313</v>
      </c>
      <c r="L2787" t="s">
        <v>314</v>
      </c>
      <c r="M2787">
        <v>1521676800</v>
      </c>
      <c r="N2787" t="s">
        <v>1628</v>
      </c>
      <c r="O2787" t="s">
        <v>1628</v>
      </c>
      <c r="P2787">
        <v>2</v>
      </c>
      <c r="Q2787">
        <f>LEN(AMAZON_FASHION_5__2[[#This Row],[reviewText]])</f>
        <v>277</v>
      </c>
      <c r="R2787" t="str">
        <f>IF(AMAZON_FASHION_5__2[[#This Row],[overall]]&gt;=4,"Positive",IF(AMAZON_FASHION_5__2[[#This Row],[overall]]&lt;=2,"Negative","Neutral"))</f>
        <v>Positive</v>
      </c>
      <c r="S27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88" spans="1:19" x14ac:dyDescent="0.25">
      <c r="A2788">
        <v>5</v>
      </c>
      <c r="B2788" t="b">
        <v>1</v>
      </c>
      <c r="C2788" s="1">
        <v>43181</v>
      </c>
      <c r="D2788">
        <f>YEAR(AMAZON_FASHION_5__2[[#This Row],[reviewDate]])</f>
        <v>2018</v>
      </c>
      <c r="E2788" s="1" t="str">
        <f>TEXT(AMAZON_FASHION_5__2[[#This Row],[reviewDate]], "mmmm")</f>
        <v>March</v>
      </c>
      <c r="F2788" t="s">
        <v>315</v>
      </c>
      <c r="G2788" t="s">
        <v>1607</v>
      </c>
      <c r="H2788" t="s">
        <v>1598</v>
      </c>
      <c r="I2788" t="s">
        <v>198</v>
      </c>
      <c r="J2788" t="s">
        <v>316</v>
      </c>
      <c r="K2788" t="s">
        <v>317</v>
      </c>
      <c r="L2788" t="s">
        <v>318</v>
      </c>
      <c r="M2788">
        <v>1521676800</v>
      </c>
      <c r="N2788" t="s">
        <v>1628</v>
      </c>
      <c r="O2788" t="s">
        <v>1628</v>
      </c>
      <c r="P2788" t="s">
        <v>1628</v>
      </c>
      <c r="Q2788">
        <f>LEN(AMAZON_FASHION_5__2[[#This Row],[reviewText]])</f>
        <v>129</v>
      </c>
      <c r="R2788" t="str">
        <f>IF(AMAZON_FASHION_5__2[[#This Row],[overall]]&gt;=4,"Positive",IF(AMAZON_FASHION_5__2[[#This Row],[overall]]&lt;=2,"Negative","Neutral"))</f>
        <v>Positive</v>
      </c>
      <c r="S27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89" spans="1:19" x14ac:dyDescent="0.25">
      <c r="A2789">
        <v>5</v>
      </c>
      <c r="B2789" t="b">
        <v>1</v>
      </c>
      <c r="C2789" s="1">
        <v>43180</v>
      </c>
      <c r="D2789">
        <f>YEAR(AMAZON_FASHION_5__2[[#This Row],[reviewDate]])</f>
        <v>2018</v>
      </c>
      <c r="E2789" s="1" t="str">
        <f>TEXT(AMAZON_FASHION_5__2[[#This Row],[reviewDate]], "mmmm")</f>
        <v>March</v>
      </c>
      <c r="F2789" t="s">
        <v>319</v>
      </c>
      <c r="G2789" t="s">
        <v>1607</v>
      </c>
      <c r="H2789" t="s">
        <v>1599</v>
      </c>
      <c r="I2789" t="s">
        <v>274</v>
      </c>
      <c r="J2789" t="s">
        <v>321</v>
      </c>
      <c r="K2789" t="s">
        <v>322</v>
      </c>
      <c r="L2789" t="s">
        <v>17</v>
      </c>
      <c r="M2789">
        <v>1521590400</v>
      </c>
      <c r="N2789" t="s">
        <v>1628</v>
      </c>
      <c r="O2789" t="s">
        <v>1628</v>
      </c>
      <c r="P2789" t="s">
        <v>1628</v>
      </c>
      <c r="Q2789">
        <f>LEN(AMAZON_FASHION_5__2[[#This Row],[reviewText]])</f>
        <v>56</v>
      </c>
      <c r="R2789" t="str">
        <f>IF(AMAZON_FASHION_5__2[[#This Row],[overall]]&gt;=4,"Positive",IF(AMAZON_FASHION_5__2[[#This Row],[overall]]&lt;=2,"Negative","Neutral"))</f>
        <v>Positive</v>
      </c>
      <c r="S27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90" spans="1:19" x14ac:dyDescent="0.25">
      <c r="A2790">
        <v>5</v>
      </c>
      <c r="B2790" t="b">
        <v>1</v>
      </c>
      <c r="C2790" s="1">
        <v>43179</v>
      </c>
      <c r="D2790">
        <f>YEAR(AMAZON_FASHION_5__2[[#This Row],[reviewDate]])</f>
        <v>2018</v>
      </c>
      <c r="E2790" s="1" t="str">
        <f>TEXT(AMAZON_FASHION_5__2[[#This Row],[reviewDate]], "mmmm")</f>
        <v>March</v>
      </c>
      <c r="F2790" t="s">
        <v>323</v>
      </c>
      <c r="G2790" t="s">
        <v>1607</v>
      </c>
      <c r="H2790" t="s">
        <v>1578</v>
      </c>
      <c r="I2790" t="s">
        <v>198</v>
      </c>
      <c r="J2790" t="s">
        <v>324</v>
      </c>
      <c r="K2790" t="s">
        <v>325</v>
      </c>
      <c r="L2790" t="s">
        <v>326</v>
      </c>
      <c r="M2790">
        <v>1521504000</v>
      </c>
      <c r="N2790" t="s">
        <v>1628</v>
      </c>
      <c r="O2790" t="s">
        <v>1628</v>
      </c>
      <c r="P2790" t="s">
        <v>1628</v>
      </c>
      <c r="Q2790">
        <f>LEN(AMAZON_FASHION_5__2[[#This Row],[reviewText]])</f>
        <v>137</v>
      </c>
      <c r="R2790" t="str">
        <f>IF(AMAZON_FASHION_5__2[[#This Row],[overall]]&gt;=4,"Positive",IF(AMAZON_FASHION_5__2[[#This Row],[overall]]&lt;=2,"Negative","Neutral"))</f>
        <v>Positive</v>
      </c>
      <c r="S27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91" spans="1:19" x14ac:dyDescent="0.25">
      <c r="A2791">
        <v>5</v>
      </c>
      <c r="B2791" t="b">
        <v>1</v>
      </c>
      <c r="C2791" s="1">
        <v>43178</v>
      </c>
      <c r="D2791">
        <f>YEAR(AMAZON_FASHION_5__2[[#This Row],[reviewDate]])</f>
        <v>2018</v>
      </c>
      <c r="E2791" s="1" t="str">
        <f>TEXT(AMAZON_FASHION_5__2[[#This Row],[reviewDate]], "mmmm")</f>
        <v>March</v>
      </c>
      <c r="F2791" t="s">
        <v>327</v>
      </c>
      <c r="G2791" t="s">
        <v>1607</v>
      </c>
      <c r="H2791" t="s">
        <v>1571</v>
      </c>
      <c r="I2791" t="s">
        <v>198</v>
      </c>
      <c r="J2791" t="s">
        <v>328</v>
      </c>
      <c r="K2791" t="s">
        <v>329</v>
      </c>
      <c r="L2791" t="s">
        <v>330</v>
      </c>
      <c r="M2791">
        <v>1521417600</v>
      </c>
      <c r="N2791" t="s">
        <v>1628</v>
      </c>
      <c r="O2791" t="s">
        <v>1628</v>
      </c>
      <c r="P2791" t="s">
        <v>1628</v>
      </c>
      <c r="Q2791">
        <f>LEN(AMAZON_FASHION_5__2[[#This Row],[reviewText]])</f>
        <v>211</v>
      </c>
      <c r="R2791" t="str">
        <f>IF(AMAZON_FASHION_5__2[[#This Row],[overall]]&gt;=4,"Positive",IF(AMAZON_FASHION_5__2[[#This Row],[overall]]&lt;=2,"Negative","Neutral"))</f>
        <v>Positive</v>
      </c>
      <c r="S27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92" spans="1:19" x14ac:dyDescent="0.25">
      <c r="A2792">
        <v>5</v>
      </c>
      <c r="B2792" t="b">
        <v>1</v>
      </c>
      <c r="C2792" s="1">
        <v>43178</v>
      </c>
      <c r="D2792">
        <f>YEAR(AMAZON_FASHION_5__2[[#This Row],[reviewDate]])</f>
        <v>2018</v>
      </c>
      <c r="E2792" s="1" t="str">
        <f>TEXT(AMAZON_FASHION_5__2[[#This Row],[reviewDate]], "mmmm")</f>
        <v>March</v>
      </c>
      <c r="F2792" t="s">
        <v>331</v>
      </c>
      <c r="G2792" t="s">
        <v>1607</v>
      </c>
      <c r="H2792" t="s">
        <v>230</v>
      </c>
      <c r="I2792" t="s">
        <v>303</v>
      </c>
      <c r="J2792" t="s">
        <v>332</v>
      </c>
      <c r="K2792" t="s">
        <v>333</v>
      </c>
      <c r="L2792" t="s">
        <v>17</v>
      </c>
      <c r="M2792">
        <v>1521417600</v>
      </c>
      <c r="N2792" t="s">
        <v>1628</v>
      </c>
      <c r="O2792" t="s">
        <v>1628</v>
      </c>
      <c r="P2792" t="s">
        <v>1628</v>
      </c>
      <c r="Q2792">
        <f>LEN(AMAZON_FASHION_5__2[[#This Row],[reviewText]])</f>
        <v>15</v>
      </c>
      <c r="R2792" t="str">
        <f>IF(AMAZON_FASHION_5__2[[#This Row],[overall]]&gt;=4,"Positive",IF(AMAZON_FASHION_5__2[[#This Row],[overall]]&lt;=2,"Negative","Neutral"))</f>
        <v>Positive</v>
      </c>
      <c r="S27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93" spans="1:19" x14ac:dyDescent="0.25">
      <c r="A2793">
        <v>4</v>
      </c>
      <c r="B2793" t="b">
        <v>1</v>
      </c>
      <c r="C2793" s="1">
        <v>43176</v>
      </c>
      <c r="D2793">
        <f>YEAR(AMAZON_FASHION_5__2[[#This Row],[reviewDate]])</f>
        <v>2018</v>
      </c>
      <c r="E2793" s="1" t="str">
        <f>TEXT(AMAZON_FASHION_5__2[[#This Row],[reviewDate]], "mmmm")</f>
        <v>March</v>
      </c>
      <c r="F2793" t="s">
        <v>334</v>
      </c>
      <c r="G2793" t="s">
        <v>1607</v>
      </c>
      <c r="H2793" t="s">
        <v>1499</v>
      </c>
      <c r="I2793" t="s">
        <v>336</v>
      </c>
      <c r="J2793" t="s">
        <v>337</v>
      </c>
      <c r="K2793" t="s">
        <v>338</v>
      </c>
      <c r="L2793" t="s">
        <v>339</v>
      </c>
      <c r="M2793">
        <v>1521244800</v>
      </c>
      <c r="N2793" t="s">
        <v>1628</v>
      </c>
      <c r="O2793" t="s">
        <v>1628</v>
      </c>
      <c r="P2793" t="s">
        <v>1628</v>
      </c>
      <c r="Q2793">
        <f>LEN(AMAZON_FASHION_5__2[[#This Row],[reviewText]])</f>
        <v>127</v>
      </c>
      <c r="R2793" t="str">
        <f>IF(AMAZON_FASHION_5__2[[#This Row],[overall]]&gt;=4,"Positive",IF(AMAZON_FASHION_5__2[[#This Row],[overall]]&lt;=2,"Negative","Neutral"))</f>
        <v>Positive</v>
      </c>
      <c r="S27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94" spans="1:19" x14ac:dyDescent="0.25">
      <c r="A2794">
        <v>5</v>
      </c>
      <c r="B2794" t="b">
        <v>1</v>
      </c>
      <c r="C2794" s="1">
        <v>43172</v>
      </c>
      <c r="D2794">
        <f>YEAR(AMAZON_FASHION_5__2[[#This Row],[reviewDate]])</f>
        <v>2018</v>
      </c>
      <c r="E2794" s="1" t="str">
        <f>TEXT(AMAZON_FASHION_5__2[[#This Row],[reviewDate]], "mmmm")</f>
        <v>March</v>
      </c>
      <c r="F2794" t="s">
        <v>340</v>
      </c>
      <c r="G2794" t="s">
        <v>1607</v>
      </c>
      <c r="H2794" t="s">
        <v>235</v>
      </c>
      <c r="I2794" t="s">
        <v>198</v>
      </c>
      <c r="J2794" t="s">
        <v>341</v>
      </c>
      <c r="K2794" t="s">
        <v>342</v>
      </c>
      <c r="L2794" t="s">
        <v>269</v>
      </c>
      <c r="M2794">
        <v>1520899200</v>
      </c>
      <c r="N2794" t="s">
        <v>1628</v>
      </c>
      <c r="O2794" t="s">
        <v>1628</v>
      </c>
      <c r="P2794" t="s">
        <v>1628</v>
      </c>
      <c r="Q2794">
        <f>LEN(AMAZON_FASHION_5__2[[#This Row],[reviewText]])</f>
        <v>174</v>
      </c>
      <c r="R2794" t="str">
        <f>IF(AMAZON_FASHION_5__2[[#This Row],[overall]]&gt;=4,"Positive",IF(AMAZON_FASHION_5__2[[#This Row],[overall]]&lt;=2,"Negative","Neutral"))</f>
        <v>Positive</v>
      </c>
      <c r="S27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95" spans="1:19" x14ac:dyDescent="0.25">
      <c r="A2795">
        <v>1</v>
      </c>
      <c r="B2795" t="b">
        <v>1</v>
      </c>
      <c r="C2795" s="1">
        <v>43170</v>
      </c>
      <c r="D2795">
        <f>YEAR(AMAZON_FASHION_5__2[[#This Row],[reviewDate]])</f>
        <v>2018</v>
      </c>
      <c r="E2795" s="1" t="str">
        <f>TEXT(AMAZON_FASHION_5__2[[#This Row],[reviewDate]], "mmmm")</f>
        <v>March</v>
      </c>
      <c r="F2795" t="s">
        <v>343</v>
      </c>
      <c r="G2795" t="s">
        <v>1607</v>
      </c>
      <c r="H2795" t="s">
        <v>1598</v>
      </c>
      <c r="I2795" t="s">
        <v>344</v>
      </c>
      <c r="J2795" t="s">
        <v>345</v>
      </c>
      <c r="K2795" t="s">
        <v>346</v>
      </c>
      <c r="L2795" t="s">
        <v>347</v>
      </c>
      <c r="M2795">
        <v>1520726400</v>
      </c>
      <c r="N2795" t="s">
        <v>1628</v>
      </c>
      <c r="O2795" t="s">
        <v>1628</v>
      </c>
      <c r="P2795" t="s">
        <v>1628</v>
      </c>
      <c r="Q2795">
        <f>LEN(AMAZON_FASHION_5__2[[#This Row],[reviewText]])</f>
        <v>22</v>
      </c>
      <c r="R2795" t="str">
        <f>IF(AMAZON_FASHION_5__2[[#This Row],[overall]]&gt;=4,"Positive",IF(AMAZON_FASHION_5__2[[#This Row],[overall]]&lt;=2,"Negative","Neutral"))</f>
        <v>Negative</v>
      </c>
      <c r="S27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96" spans="1:19" x14ac:dyDescent="0.25">
      <c r="A2796">
        <v>5</v>
      </c>
      <c r="B2796" t="b">
        <v>1</v>
      </c>
      <c r="C2796" s="1">
        <v>43164</v>
      </c>
      <c r="D2796">
        <f>YEAR(AMAZON_FASHION_5__2[[#This Row],[reviewDate]])</f>
        <v>2018</v>
      </c>
      <c r="E2796" s="1" t="str">
        <f>TEXT(AMAZON_FASHION_5__2[[#This Row],[reviewDate]], "mmmm")</f>
        <v>March</v>
      </c>
      <c r="F2796" t="s">
        <v>348</v>
      </c>
      <c r="G2796" t="s">
        <v>1607</v>
      </c>
      <c r="H2796" t="s">
        <v>210</v>
      </c>
      <c r="I2796" t="s">
        <v>198</v>
      </c>
      <c r="J2796" t="s">
        <v>63</v>
      </c>
      <c r="K2796" t="s">
        <v>349</v>
      </c>
      <c r="L2796" t="s">
        <v>350</v>
      </c>
      <c r="M2796">
        <v>1520208000</v>
      </c>
      <c r="N2796" t="s">
        <v>1628</v>
      </c>
      <c r="O2796" t="s">
        <v>1628</v>
      </c>
      <c r="P2796" t="s">
        <v>1628</v>
      </c>
      <c r="Q2796">
        <f>LEN(AMAZON_FASHION_5__2[[#This Row],[reviewText]])</f>
        <v>22</v>
      </c>
      <c r="R2796" t="str">
        <f>IF(AMAZON_FASHION_5__2[[#This Row],[overall]]&gt;=4,"Positive",IF(AMAZON_FASHION_5__2[[#This Row],[overall]]&lt;=2,"Negative","Neutral"))</f>
        <v>Positive</v>
      </c>
      <c r="S27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97" spans="1:19" x14ac:dyDescent="0.25">
      <c r="A2797">
        <v>5</v>
      </c>
      <c r="B2797" t="b">
        <v>1</v>
      </c>
      <c r="C2797" s="1">
        <v>43161</v>
      </c>
      <c r="D2797">
        <f>YEAR(AMAZON_FASHION_5__2[[#This Row],[reviewDate]])</f>
        <v>2018</v>
      </c>
      <c r="E2797" s="1" t="str">
        <f>TEXT(AMAZON_FASHION_5__2[[#This Row],[reviewDate]], "mmmm")</f>
        <v>March</v>
      </c>
      <c r="F2797" t="s">
        <v>351</v>
      </c>
      <c r="G2797" t="s">
        <v>1607</v>
      </c>
      <c r="H2797" t="s">
        <v>1600</v>
      </c>
      <c r="I2797" t="s">
        <v>198</v>
      </c>
      <c r="J2797" t="s">
        <v>352</v>
      </c>
      <c r="K2797" t="s">
        <v>353</v>
      </c>
      <c r="L2797" t="s">
        <v>354</v>
      </c>
      <c r="M2797">
        <v>1519948800</v>
      </c>
      <c r="N2797" t="s">
        <v>1628</v>
      </c>
      <c r="O2797" t="s">
        <v>1628</v>
      </c>
      <c r="P2797" t="s">
        <v>1628</v>
      </c>
      <c r="Q2797">
        <f>LEN(AMAZON_FASHION_5__2[[#This Row],[reviewText]])</f>
        <v>100</v>
      </c>
      <c r="R2797" t="str">
        <f>IF(AMAZON_FASHION_5__2[[#This Row],[overall]]&gt;=4,"Positive",IF(AMAZON_FASHION_5__2[[#This Row],[overall]]&lt;=2,"Negative","Neutral"))</f>
        <v>Positive</v>
      </c>
      <c r="S27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98" spans="1:19" x14ac:dyDescent="0.25">
      <c r="A2798">
        <v>5</v>
      </c>
      <c r="B2798" t="b">
        <v>1</v>
      </c>
      <c r="C2798" s="1">
        <v>43159</v>
      </c>
      <c r="D2798">
        <f>YEAR(AMAZON_FASHION_5__2[[#This Row],[reviewDate]])</f>
        <v>2018</v>
      </c>
      <c r="E2798" s="1" t="str">
        <f>TEXT(AMAZON_FASHION_5__2[[#This Row],[reviewDate]], "mmmm")</f>
        <v>February</v>
      </c>
      <c r="F2798" t="s">
        <v>355</v>
      </c>
      <c r="G2798" t="s">
        <v>1607</v>
      </c>
      <c r="H2798" t="s">
        <v>235</v>
      </c>
      <c r="I2798" t="s">
        <v>198</v>
      </c>
      <c r="J2798" t="s">
        <v>356</v>
      </c>
      <c r="K2798" t="s">
        <v>357</v>
      </c>
      <c r="L2798" t="s">
        <v>358</v>
      </c>
      <c r="M2798">
        <v>1519776000</v>
      </c>
      <c r="N2798" t="s">
        <v>1628</v>
      </c>
      <c r="O2798" t="s">
        <v>1628</v>
      </c>
      <c r="P2798" t="s">
        <v>1628</v>
      </c>
      <c r="Q2798">
        <f>LEN(AMAZON_FASHION_5__2[[#This Row],[reviewText]])</f>
        <v>58</v>
      </c>
      <c r="R2798" t="str">
        <f>IF(AMAZON_FASHION_5__2[[#This Row],[overall]]&gt;=4,"Positive",IF(AMAZON_FASHION_5__2[[#This Row],[overall]]&lt;=2,"Negative","Neutral"))</f>
        <v>Positive</v>
      </c>
      <c r="S27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799" spans="1:19" x14ac:dyDescent="0.25">
      <c r="A2799">
        <v>5</v>
      </c>
      <c r="B2799" t="b">
        <v>1</v>
      </c>
      <c r="C2799" s="1">
        <v>43158</v>
      </c>
      <c r="D2799">
        <f>YEAR(AMAZON_FASHION_5__2[[#This Row],[reviewDate]])</f>
        <v>2018</v>
      </c>
      <c r="E2799" s="1" t="str">
        <f>TEXT(AMAZON_FASHION_5__2[[#This Row],[reviewDate]], "mmmm")</f>
        <v>February</v>
      </c>
      <c r="F2799" t="s">
        <v>359</v>
      </c>
      <c r="G2799" t="s">
        <v>1607</v>
      </c>
      <c r="H2799" t="s">
        <v>1571</v>
      </c>
      <c r="I2799" t="s">
        <v>198</v>
      </c>
      <c r="J2799" t="s">
        <v>63</v>
      </c>
      <c r="K2799" t="s">
        <v>360</v>
      </c>
      <c r="L2799" t="s">
        <v>361</v>
      </c>
      <c r="M2799">
        <v>1519689600</v>
      </c>
      <c r="N2799" t="s">
        <v>1628</v>
      </c>
      <c r="O2799" t="s">
        <v>1628</v>
      </c>
      <c r="P2799" t="s">
        <v>1628</v>
      </c>
      <c r="Q2799">
        <f>LEN(AMAZON_FASHION_5__2[[#This Row],[reviewText]])</f>
        <v>269</v>
      </c>
      <c r="R2799" t="str">
        <f>IF(AMAZON_FASHION_5__2[[#This Row],[overall]]&gt;=4,"Positive",IF(AMAZON_FASHION_5__2[[#This Row],[overall]]&lt;=2,"Negative","Neutral"))</f>
        <v>Positive</v>
      </c>
      <c r="S27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00" spans="1:19" x14ac:dyDescent="0.25">
      <c r="A2800">
        <v>5</v>
      </c>
      <c r="B2800" t="b">
        <v>1</v>
      </c>
      <c r="C2800" s="1">
        <v>43158</v>
      </c>
      <c r="D2800">
        <f>YEAR(AMAZON_FASHION_5__2[[#This Row],[reviewDate]])</f>
        <v>2018</v>
      </c>
      <c r="E2800" s="1" t="str">
        <f>TEXT(AMAZON_FASHION_5__2[[#This Row],[reviewDate]], "mmmm")</f>
        <v>February</v>
      </c>
      <c r="F2800" t="s">
        <v>362</v>
      </c>
      <c r="G2800" t="s">
        <v>1607</v>
      </c>
      <c r="H2800" t="s">
        <v>1571</v>
      </c>
      <c r="I2800" t="s">
        <v>249</v>
      </c>
      <c r="J2800" t="s">
        <v>363</v>
      </c>
      <c r="K2800" t="s">
        <v>364</v>
      </c>
      <c r="L2800" t="s">
        <v>365</v>
      </c>
      <c r="M2800">
        <v>1519689600</v>
      </c>
      <c r="N2800" t="s">
        <v>1628</v>
      </c>
      <c r="O2800" t="s">
        <v>1628</v>
      </c>
      <c r="P2800" t="s">
        <v>1628</v>
      </c>
      <c r="Q2800">
        <f>LEN(AMAZON_FASHION_5__2[[#This Row],[reviewText]])</f>
        <v>152</v>
      </c>
      <c r="R2800" t="str">
        <f>IF(AMAZON_FASHION_5__2[[#This Row],[overall]]&gt;=4,"Positive",IF(AMAZON_FASHION_5__2[[#This Row],[overall]]&lt;=2,"Negative","Neutral"))</f>
        <v>Positive</v>
      </c>
      <c r="S28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01" spans="1:19" x14ac:dyDescent="0.25">
      <c r="A2801">
        <v>5</v>
      </c>
      <c r="B2801" t="b">
        <v>1</v>
      </c>
      <c r="C2801" s="1">
        <v>43158</v>
      </c>
      <c r="D2801">
        <f>YEAR(AMAZON_FASHION_5__2[[#This Row],[reviewDate]])</f>
        <v>2018</v>
      </c>
      <c r="E2801" s="1" t="str">
        <f>TEXT(AMAZON_FASHION_5__2[[#This Row],[reviewDate]], "mmmm")</f>
        <v>February</v>
      </c>
      <c r="F2801" t="s">
        <v>366</v>
      </c>
      <c r="G2801" t="s">
        <v>1607</v>
      </c>
      <c r="H2801" t="s">
        <v>1598</v>
      </c>
      <c r="I2801" t="s">
        <v>198</v>
      </c>
      <c r="J2801" t="s">
        <v>367</v>
      </c>
      <c r="K2801" t="s">
        <v>368</v>
      </c>
      <c r="L2801" t="s">
        <v>369</v>
      </c>
      <c r="M2801">
        <v>1519689600</v>
      </c>
      <c r="N2801" t="s">
        <v>1628</v>
      </c>
      <c r="O2801" t="s">
        <v>1628</v>
      </c>
      <c r="P2801" t="s">
        <v>1628</v>
      </c>
      <c r="Q2801">
        <f>LEN(AMAZON_FASHION_5__2[[#This Row],[reviewText]])</f>
        <v>46</v>
      </c>
      <c r="R2801" t="str">
        <f>IF(AMAZON_FASHION_5__2[[#This Row],[overall]]&gt;=4,"Positive",IF(AMAZON_FASHION_5__2[[#This Row],[overall]]&lt;=2,"Negative","Neutral"))</f>
        <v>Positive</v>
      </c>
      <c r="S28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02" spans="1:19" x14ac:dyDescent="0.25">
      <c r="A2802">
        <v>1</v>
      </c>
      <c r="B2802" t="b">
        <v>1</v>
      </c>
      <c r="C2802" s="1">
        <v>43156</v>
      </c>
      <c r="D2802">
        <f>YEAR(AMAZON_FASHION_5__2[[#This Row],[reviewDate]])</f>
        <v>2018</v>
      </c>
      <c r="E2802" s="1" t="str">
        <f>TEXT(AMAZON_FASHION_5__2[[#This Row],[reviewDate]], "mmmm")</f>
        <v>February</v>
      </c>
      <c r="F2802" t="s">
        <v>370</v>
      </c>
      <c r="G2802" t="s">
        <v>1607</v>
      </c>
      <c r="H2802" t="s">
        <v>1571</v>
      </c>
      <c r="I2802" t="s">
        <v>198</v>
      </c>
      <c r="J2802" t="s">
        <v>371</v>
      </c>
      <c r="K2802" t="s">
        <v>372</v>
      </c>
      <c r="L2802" t="s">
        <v>373</v>
      </c>
      <c r="M2802">
        <v>1519516800</v>
      </c>
      <c r="N2802" t="s">
        <v>1628</v>
      </c>
      <c r="O2802" t="s">
        <v>1628</v>
      </c>
      <c r="P2802" t="s">
        <v>1628</v>
      </c>
      <c r="Q2802">
        <f>LEN(AMAZON_FASHION_5__2[[#This Row],[reviewText]])</f>
        <v>282</v>
      </c>
      <c r="R2802" t="str">
        <f>IF(AMAZON_FASHION_5__2[[#This Row],[overall]]&gt;=4,"Positive",IF(AMAZON_FASHION_5__2[[#This Row],[overall]]&lt;=2,"Negative","Neutral"))</f>
        <v>Negative</v>
      </c>
      <c r="S28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03" spans="1:19" x14ac:dyDescent="0.25">
      <c r="A2803">
        <v>2</v>
      </c>
      <c r="B2803" t="b">
        <v>1</v>
      </c>
      <c r="C2803" s="1">
        <v>43156</v>
      </c>
      <c r="D2803">
        <f>YEAR(AMAZON_FASHION_5__2[[#This Row],[reviewDate]])</f>
        <v>2018</v>
      </c>
      <c r="E2803" s="1" t="str">
        <f>TEXT(AMAZON_FASHION_5__2[[#This Row],[reviewDate]], "mmmm")</f>
        <v>February</v>
      </c>
      <c r="F2803" t="s">
        <v>374</v>
      </c>
      <c r="G2803" t="s">
        <v>1607</v>
      </c>
      <c r="H2803" t="s">
        <v>210</v>
      </c>
      <c r="I2803" t="s">
        <v>198</v>
      </c>
      <c r="J2803" t="s">
        <v>63</v>
      </c>
      <c r="K2803" t="s">
        <v>375</v>
      </c>
      <c r="L2803" t="s">
        <v>376</v>
      </c>
      <c r="M2803">
        <v>1519516800</v>
      </c>
      <c r="N2803" t="s">
        <v>1628</v>
      </c>
      <c r="O2803" t="s">
        <v>1628</v>
      </c>
      <c r="P2803" t="s">
        <v>1628</v>
      </c>
      <c r="Q2803">
        <f>LEN(AMAZON_FASHION_5__2[[#This Row],[reviewText]])</f>
        <v>89</v>
      </c>
      <c r="R2803" t="str">
        <f>IF(AMAZON_FASHION_5__2[[#This Row],[overall]]&gt;=4,"Positive",IF(AMAZON_FASHION_5__2[[#This Row],[overall]]&lt;=2,"Negative","Neutral"))</f>
        <v>Negative</v>
      </c>
      <c r="S28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04" spans="1:19" x14ac:dyDescent="0.25">
      <c r="A2804">
        <v>5</v>
      </c>
      <c r="B2804" t="b">
        <v>1</v>
      </c>
      <c r="C2804" s="1">
        <v>43152</v>
      </c>
      <c r="D2804">
        <f>YEAR(AMAZON_FASHION_5__2[[#This Row],[reviewDate]])</f>
        <v>2018</v>
      </c>
      <c r="E2804" s="1" t="str">
        <f>TEXT(AMAZON_FASHION_5__2[[#This Row],[reviewDate]], "mmmm")</f>
        <v>February</v>
      </c>
      <c r="F2804" t="s">
        <v>377</v>
      </c>
      <c r="G2804" t="s">
        <v>1607</v>
      </c>
      <c r="H2804" t="s">
        <v>1578</v>
      </c>
      <c r="I2804" t="s">
        <v>198</v>
      </c>
      <c r="J2804" t="s">
        <v>378</v>
      </c>
      <c r="K2804" t="s">
        <v>379</v>
      </c>
      <c r="L2804" t="s">
        <v>380</v>
      </c>
      <c r="M2804">
        <v>1519171200</v>
      </c>
      <c r="N2804" t="s">
        <v>1628</v>
      </c>
      <c r="O2804" t="s">
        <v>1628</v>
      </c>
      <c r="P2804" t="s">
        <v>1628</v>
      </c>
      <c r="Q2804">
        <f>LEN(AMAZON_FASHION_5__2[[#This Row],[reviewText]])</f>
        <v>45</v>
      </c>
      <c r="R2804" t="str">
        <f>IF(AMAZON_FASHION_5__2[[#This Row],[overall]]&gt;=4,"Positive",IF(AMAZON_FASHION_5__2[[#This Row],[overall]]&lt;=2,"Negative","Neutral"))</f>
        <v>Positive</v>
      </c>
      <c r="S28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05" spans="1:19" x14ac:dyDescent="0.25">
      <c r="A2805">
        <v>5</v>
      </c>
      <c r="B2805" t="b">
        <v>1</v>
      </c>
      <c r="C2805" s="1">
        <v>43151</v>
      </c>
      <c r="D2805">
        <f>YEAR(AMAZON_FASHION_5__2[[#This Row],[reviewDate]])</f>
        <v>2018</v>
      </c>
      <c r="E2805" s="1" t="str">
        <f>TEXT(AMAZON_FASHION_5__2[[#This Row],[reviewDate]], "mmmm")</f>
        <v>February</v>
      </c>
      <c r="F2805" t="s">
        <v>381</v>
      </c>
      <c r="G2805" t="s">
        <v>1607</v>
      </c>
      <c r="H2805" t="s">
        <v>235</v>
      </c>
      <c r="I2805" t="s">
        <v>274</v>
      </c>
      <c r="J2805" t="s">
        <v>382</v>
      </c>
      <c r="K2805" t="s">
        <v>383</v>
      </c>
      <c r="L2805" t="s">
        <v>384</v>
      </c>
      <c r="M2805">
        <v>1519084800</v>
      </c>
      <c r="N2805" t="s">
        <v>1628</v>
      </c>
      <c r="O2805" t="s">
        <v>1628</v>
      </c>
      <c r="P2805" t="s">
        <v>1628</v>
      </c>
      <c r="Q2805">
        <f>LEN(AMAZON_FASHION_5__2[[#This Row],[reviewText]])</f>
        <v>47</v>
      </c>
      <c r="R2805" t="str">
        <f>IF(AMAZON_FASHION_5__2[[#This Row],[overall]]&gt;=4,"Positive",IF(AMAZON_FASHION_5__2[[#This Row],[overall]]&lt;=2,"Negative","Neutral"))</f>
        <v>Positive</v>
      </c>
      <c r="S28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06" spans="1:19" x14ac:dyDescent="0.25">
      <c r="A2806">
        <v>5</v>
      </c>
      <c r="B2806" t="b">
        <v>1</v>
      </c>
      <c r="C2806" s="1">
        <v>43145</v>
      </c>
      <c r="D2806">
        <f>YEAR(AMAZON_FASHION_5__2[[#This Row],[reviewDate]])</f>
        <v>2018</v>
      </c>
      <c r="E2806" s="1" t="str">
        <f>TEXT(AMAZON_FASHION_5__2[[#This Row],[reviewDate]], "mmmm")</f>
        <v>February</v>
      </c>
      <c r="F2806" t="s">
        <v>385</v>
      </c>
      <c r="G2806" t="s">
        <v>1607</v>
      </c>
      <c r="H2806" t="s">
        <v>1571</v>
      </c>
      <c r="I2806" t="s">
        <v>249</v>
      </c>
      <c r="J2806" t="s">
        <v>386</v>
      </c>
      <c r="K2806" t="s">
        <v>387</v>
      </c>
      <c r="L2806" t="s">
        <v>17</v>
      </c>
      <c r="M2806">
        <v>1518566400</v>
      </c>
      <c r="N2806" t="s">
        <v>1628</v>
      </c>
      <c r="O2806" t="s">
        <v>1628</v>
      </c>
      <c r="P2806" t="s">
        <v>1628</v>
      </c>
      <c r="Q2806">
        <f>LEN(AMAZON_FASHION_5__2[[#This Row],[reviewText]])</f>
        <v>46</v>
      </c>
      <c r="R2806" t="str">
        <f>IF(AMAZON_FASHION_5__2[[#This Row],[overall]]&gt;=4,"Positive",IF(AMAZON_FASHION_5__2[[#This Row],[overall]]&lt;=2,"Negative","Neutral"))</f>
        <v>Positive</v>
      </c>
      <c r="S28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07" spans="1:19" x14ac:dyDescent="0.25">
      <c r="A2807">
        <v>5</v>
      </c>
      <c r="B2807" t="b">
        <v>1</v>
      </c>
      <c r="C2807" s="1">
        <v>43145</v>
      </c>
      <c r="D2807">
        <f>YEAR(AMAZON_FASHION_5__2[[#This Row],[reviewDate]])</f>
        <v>2018</v>
      </c>
      <c r="E2807" s="1" t="str">
        <f>TEXT(AMAZON_FASHION_5__2[[#This Row],[reviewDate]], "mmmm")</f>
        <v>February</v>
      </c>
      <c r="F2807" t="s">
        <v>388</v>
      </c>
      <c r="G2807" t="s">
        <v>1607</v>
      </c>
      <c r="H2807" t="s">
        <v>1574</v>
      </c>
      <c r="I2807" t="s">
        <v>198</v>
      </c>
      <c r="J2807" t="s">
        <v>63</v>
      </c>
      <c r="K2807" t="s">
        <v>389</v>
      </c>
      <c r="L2807" t="s">
        <v>390</v>
      </c>
      <c r="M2807">
        <v>1518566400</v>
      </c>
      <c r="N2807" t="s">
        <v>1628</v>
      </c>
      <c r="O2807" t="s">
        <v>1628</v>
      </c>
      <c r="P2807" t="s">
        <v>1628</v>
      </c>
      <c r="Q2807">
        <f>LEN(AMAZON_FASHION_5__2[[#This Row],[reviewText]])</f>
        <v>17</v>
      </c>
      <c r="R2807" t="str">
        <f>IF(AMAZON_FASHION_5__2[[#This Row],[overall]]&gt;=4,"Positive",IF(AMAZON_FASHION_5__2[[#This Row],[overall]]&lt;=2,"Negative","Neutral"))</f>
        <v>Positive</v>
      </c>
      <c r="S28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08" spans="1:19" x14ac:dyDescent="0.25">
      <c r="A2808">
        <v>5</v>
      </c>
      <c r="B2808" t="b">
        <v>1</v>
      </c>
      <c r="C2808" s="1">
        <v>43143</v>
      </c>
      <c r="D2808">
        <f>YEAR(AMAZON_FASHION_5__2[[#This Row],[reviewDate]])</f>
        <v>2018</v>
      </c>
      <c r="E2808" s="1" t="str">
        <f>TEXT(AMAZON_FASHION_5__2[[#This Row],[reviewDate]], "mmmm")</f>
        <v>February</v>
      </c>
      <c r="F2808" t="s">
        <v>391</v>
      </c>
      <c r="G2808" t="s">
        <v>1607</v>
      </c>
      <c r="H2808" t="s">
        <v>1578</v>
      </c>
      <c r="I2808" t="s">
        <v>392</v>
      </c>
      <c r="J2808" t="s">
        <v>393</v>
      </c>
      <c r="K2808" t="s">
        <v>394</v>
      </c>
      <c r="L2808" t="s">
        <v>17</v>
      </c>
      <c r="M2808">
        <v>1518393600</v>
      </c>
      <c r="N2808" t="s">
        <v>1628</v>
      </c>
      <c r="O2808" t="s">
        <v>1628</v>
      </c>
      <c r="P2808" t="s">
        <v>1628</v>
      </c>
      <c r="Q2808">
        <f>LEN(AMAZON_FASHION_5__2[[#This Row],[reviewText]])</f>
        <v>19</v>
      </c>
      <c r="R2808" t="str">
        <f>IF(AMAZON_FASHION_5__2[[#This Row],[overall]]&gt;=4,"Positive",IF(AMAZON_FASHION_5__2[[#This Row],[overall]]&lt;=2,"Negative","Neutral"))</f>
        <v>Positive</v>
      </c>
      <c r="S28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09" spans="1:19" x14ac:dyDescent="0.25">
      <c r="A2809">
        <v>5</v>
      </c>
      <c r="B2809" t="b">
        <v>1</v>
      </c>
      <c r="C2809" s="1">
        <v>43132</v>
      </c>
      <c r="D2809">
        <f>YEAR(AMAZON_FASHION_5__2[[#This Row],[reviewDate]])</f>
        <v>2018</v>
      </c>
      <c r="E2809" s="1" t="str">
        <f>TEXT(AMAZON_FASHION_5__2[[#This Row],[reviewDate]], "mmmm")</f>
        <v>February</v>
      </c>
      <c r="F2809" t="s">
        <v>395</v>
      </c>
      <c r="G2809" t="s">
        <v>1607</v>
      </c>
      <c r="H2809" t="s">
        <v>1571</v>
      </c>
      <c r="I2809" t="s">
        <v>396</v>
      </c>
      <c r="J2809" t="s">
        <v>397</v>
      </c>
      <c r="K2809" t="s">
        <v>398</v>
      </c>
      <c r="L2809" t="s">
        <v>399</v>
      </c>
      <c r="M2809">
        <v>1517443200</v>
      </c>
      <c r="N2809" t="s">
        <v>1628</v>
      </c>
      <c r="O2809" t="s">
        <v>1628</v>
      </c>
      <c r="P2809" t="s">
        <v>1628</v>
      </c>
      <c r="Q2809">
        <f>LEN(AMAZON_FASHION_5__2[[#This Row],[reviewText]])</f>
        <v>102</v>
      </c>
      <c r="R2809" t="str">
        <f>IF(AMAZON_FASHION_5__2[[#This Row],[overall]]&gt;=4,"Positive",IF(AMAZON_FASHION_5__2[[#This Row],[overall]]&lt;=2,"Negative","Neutral"))</f>
        <v>Positive</v>
      </c>
      <c r="S28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10" spans="1:19" x14ac:dyDescent="0.25">
      <c r="A2810">
        <v>5</v>
      </c>
      <c r="B2810" t="b">
        <v>1</v>
      </c>
      <c r="C2810" s="1">
        <v>43132</v>
      </c>
      <c r="D2810">
        <f>YEAR(AMAZON_FASHION_5__2[[#This Row],[reviewDate]])</f>
        <v>2018</v>
      </c>
      <c r="E2810" s="1" t="str">
        <f>TEXT(AMAZON_FASHION_5__2[[#This Row],[reviewDate]], "mmmm")</f>
        <v>February</v>
      </c>
      <c r="F2810" t="s">
        <v>400</v>
      </c>
      <c r="G2810" t="s">
        <v>1607</v>
      </c>
      <c r="H2810" t="s">
        <v>1574</v>
      </c>
      <c r="I2810" t="s">
        <v>198</v>
      </c>
      <c r="J2810" t="s">
        <v>401</v>
      </c>
      <c r="K2810" t="s">
        <v>402</v>
      </c>
      <c r="L2810" t="s">
        <v>17</v>
      </c>
      <c r="M2810">
        <v>1517443200</v>
      </c>
      <c r="N2810" t="s">
        <v>1628</v>
      </c>
      <c r="O2810" t="s">
        <v>1628</v>
      </c>
      <c r="P2810" t="s">
        <v>1628</v>
      </c>
      <c r="Q2810">
        <f>LEN(AMAZON_FASHION_5__2[[#This Row],[reviewText]])</f>
        <v>19</v>
      </c>
      <c r="R2810" t="str">
        <f>IF(AMAZON_FASHION_5__2[[#This Row],[overall]]&gt;=4,"Positive",IF(AMAZON_FASHION_5__2[[#This Row],[overall]]&lt;=2,"Negative","Neutral"))</f>
        <v>Positive</v>
      </c>
      <c r="S28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11" spans="1:19" x14ac:dyDescent="0.25">
      <c r="A2811">
        <v>5</v>
      </c>
      <c r="B2811" t="b">
        <v>1</v>
      </c>
      <c r="C2811" s="1">
        <v>43129</v>
      </c>
      <c r="D2811">
        <f>YEAR(AMAZON_FASHION_5__2[[#This Row],[reviewDate]])</f>
        <v>2018</v>
      </c>
      <c r="E2811" s="1" t="str">
        <f>TEXT(AMAZON_FASHION_5__2[[#This Row],[reviewDate]], "mmmm")</f>
        <v>January</v>
      </c>
      <c r="F2811" t="s">
        <v>403</v>
      </c>
      <c r="G2811" t="s">
        <v>1607</v>
      </c>
      <c r="H2811" t="s">
        <v>1599</v>
      </c>
      <c r="I2811" t="s">
        <v>396</v>
      </c>
      <c r="J2811" t="s">
        <v>404</v>
      </c>
      <c r="K2811" t="s">
        <v>405</v>
      </c>
      <c r="L2811" t="s">
        <v>406</v>
      </c>
      <c r="M2811">
        <v>1517184000</v>
      </c>
      <c r="N2811" t="s">
        <v>1628</v>
      </c>
      <c r="O2811" t="s">
        <v>1628</v>
      </c>
      <c r="P2811" t="s">
        <v>1628</v>
      </c>
      <c r="Q2811">
        <f>LEN(AMAZON_FASHION_5__2[[#This Row],[reviewText]])</f>
        <v>132</v>
      </c>
      <c r="R2811" t="str">
        <f>IF(AMAZON_FASHION_5__2[[#This Row],[overall]]&gt;=4,"Positive",IF(AMAZON_FASHION_5__2[[#This Row],[overall]]&lt;=2,"Negative","Neutral"))</f>
        <v>Positive</v>
      </c>
      <c r="S28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12" spans="1:19" x14ac:dyDescent="0.25">
      <c r="A2812">
        <v>4</v>
      </c>
      <c r="B2812" t="b">
        <v>1</v>
      </c>
      <c r="C2812" s="1">
        <v>43125</v>
      </c>
      <c r="D2812">
        <f>YEAR(AMAZON_FASHION_5__2[[#This Row],[reviewDate]])</f>
        <v>2018</v>
      </c>
      <c r="E2812" s="1" t="str">
        <f>TEXT(AMAZON_FASHION_5__2[[#This Row],[reviewDate]], "mmmm")</f>
        <v>January</v>
      </c>
      <c r="F2812" t="s">
        <v>407</v>
      </c>
      <c r="G2812" t="s">
        <v>1607</v>
      </c>
      <c r="H2812" t="s">
        <v>1598</v>
      </c>
      <c r="I2812" t="s">
        <v>198</v>
      </c>
      <c r="J2812" t="s">
        <v>408</v>
      </c>
      <c r="K2812" t="s">
        <v>409</v>
      </c>
      <c r="L2812" t="s">
        <v>406</v>
      </c>
      <c r="M2812">
        <v>1516838400</v>
      </c>
      <c r="N2812" t="s">
        <v>1628</v>
      </c>
      <c r="O2812" t="s">
        <v>1628</v>
      </c>
      <c r="P2812" t="s">
        <v>1628</v>
      </c>
      <c r="Q2812">
        <f>LEN(AMAZON_FASHION_5__2[[#This Row],[reviewText]])</f>
        <v>860</v>
      </c>
      <c r="R2812" t="str">
        <f>IF(AMAZON_FASHION_5__2[[#This Row],[overall]]&gt;=4,"Positive",IF(AMAZON_FASHION_5__2[[#This Row],[overall]]&lt;=2,"Negative","Neutral"))</f>
        <v>Positive</v>
      </c>
      <c r="S28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13" spans="1:19" x14ac:dyDescent="0.25">
      <c r="A2813">
        <v>5</v>
      </c>
      <c r="B2813" t="b">
        <v>1</v>
      </c>
      <c r="C2813" s="1">
        <v>43118</v>
      </c>
      <c r="D2813">
        <f>YEAR(AMAZON_FASHION_5__2[[#This Row],[reviewDate]])</f>
        <v>2018</v>
      </c>
      <c r="E2813" s="1" t="str">
        <f>TEXT(AMAZON_FASHION_5__2[[#This Row],[reviewDate]], "mmmm")</f>
        <v>January</v>
      </c>
      <c r="F2813" t="s">
        <v>410</v>
      </c>
      <c r="G2813" t="s">
        <v>1607</v>
      </c>
      <c r="H2813" t="s">
        <v>1568</v>
      </c>
      <c r="I2813" t="s">
        <v>411</v>
      </c>
      <c r="J2813" t="s">
        <v>412</v>
      </c>
      <c r="K2813" t="s">
        <v>413</v>
      </c>
      <c r="L2813" t="s">
        <v>17</v>
      </c>
      <c r="M2813">
        <v>1516233600</v>
      </c>
      <c r="N2813" t="s">
        <v>1628</v>
      </c>
      <c r="O2813" t="s">
        <v>1628</v>
      </c>
      <c r="P2813" t="s">
        <v>1628</v>
      </c>
      <c r="Q2813">
        <f>LEN(AMAZON_FASHION_5__2[[#This Row],[reviewText]])</f>
        <v>16</v>
      </c>
      <c r="R2813" t="str">
        <f>IF(AMAZON_FASHION_5__2[[#This Row],[overall]]&gt;=4,"Positive",IF(AMAZON_FASHION_5__2[[#This Row],[overall]]&lt;=2,"Negative","Neutral"))</f>
        <v>Positive</v>
      </c>
      <c r="S28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14" spans="1:19" x14ac:dyDescent="0.25">
      <c r="A2814">
        <v>5</v>
      </c>
      <c r="B2814" t="b">
        <v>1</v>
      </c>
      <c r="C2814" s="1">
        <v>43111</v>
      </c>
      <c r="D2814">
        <f>YEAR(AMAZON_FASHION_5__2[[#This Row],[reviewDate]])</f>
        <v>2018</v>
      </c>
      <c r="E2814" s="1" t="str">
        <f>TEXT(AMAZON_FASHION_5__2[[#This Row],[reviewDate]], "mmmm")</f>
        <v>January</v>
      </c>
      <c r="F2814" t="s">
        <v>414</v>
      </c>
      <c r="G2814" t="s">
        <v>1607</v>
      </c>
      <c r="H2814" t="s">
        <v>1488</v>
      </c>
      <c r="I2814" t="s">
        <v>336</v>
      </c>
      <c r="J2814" t="s">
        <v>416</v>
      </c>
      <c r="K2814" t="s">
        <v>417</v>
      </c>
      <c r="L2814" t="s">
        <v>17</v>
      </c>
      <c r="M2814">
        <v>1515628800</v>
      </c>
      <c r="N2814" t="s">
        <v>1628</v>
      </c>
      <c r="O2814" t="s">
        <v>1628</v>
      </c>
      <c r="P2814" t="s">
        <v>1628</v>
      </c>
      <c r="Q2814">
        <f>LEN(AMAZON_FASHION_5__2[[#This Row],[reviewText]])</f>
        <v>81</v>
      </c>
      <c r="R2814" t="str">
        <f>IF(AMAZON_FASHION_5__2[[#This Row],[overall]]&gt;=4,"Positive",IF(AMAZON_FASHION_5__2[[#This Row],[overall]]&lt;=2,"Negative","Neutral"))</f>
        <v>Positive</v>
      </c>
      <c r="S28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15" spans="1:19" x14ac:dyDescent="0.25">
      <c r="A2815">
        <v>1</v>
      </c>
      <c r="B2815" t="b">
        <v>1</v>
      </c>
      <c r="C2815" s="1">
        <v>43110</v>
      </c>
      <c r="D2815">
        <f>YEAR(AMAZON_FASHION_5__2[[#This Row],[reviewDate]])</f>
        <v>2018</v>
      </c>
      <c r="E2815" s="1" t="str">
        <f>TEXT(AMAZON_FASHION_5__2[[#This Row],[reviewDate]], "mmmm")</f>
        <v>January</v>
      </c>
      <c r="F2815" t="s">
        <v>418</v>
      </c>
      <c r="G2815" t="s">
        <v>1607</v>
      </c>
      <c r="H2815" t="s">
        <v>1595</v>
      </c>
      <c r="I2815" t="s">
        <v>419</v>
      </c>
      <c r="J2815" t="s">
        <v>420</v>
      </c>
      <c r="K2815" t="s">
        <v>421</v>
      </c>
      <c r="L2815" t="s">
        <v>65</v>
      </c>
      <c r="M2815">
        <v>1515542400</v>
      </c>
      <c r="N2815" t="s">
        <v>1628</v>
      </c>
      <c r="O2815" t="s">
        <v>1628</v>
      </c>
      <c r="P2815" t="s">
        <v>1628</v>
      </c>
      <c r="Q2815">
        <f>LEN(AMAZON_FASHION_5__2[[#This Row],[reviewText]])</f>
        <v>27</v>
      </c>
      <c r="R2815" t="str">
        <f>IF(AMAZON_FASHION_5__2[[#This Row],[overall]]&gt;=4,"Positive",IF(AMAZON_FASHION_5__2[[#This Row],[overall]]&lt;=2,"Negative","Neutral"))</f>
        <v>Negative</v>
      </c>
      <c r="S28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16" spans="1:19" x14ac:dyDescent="0.25">
      <c r="A2816">
        <v>5</v>
      </c>
      <c r="B2816" t="b">
        <v>1</v>
      </c>
      <c r="C2816" s="1">
        <v>43110</v>
      </c>
      <c r="D2816">
        <f>YEAR(AMAZON_FASHION_5__2[[#This Row],[reviewDate]])</f>
        <v>2018</v>
      </c>
      <c r="E2816" s="1" t="str">
        <f>TEXT(AMAZON_FASHION_5__2[[#This Row],[reviewDate]], "mmmm")</f>
        <v>January</v>
      </c>
      <c r="F2816" t="s">
        <v>422</v>
      </c>
      <c r="G2816" t="s">
        <v>1607</v>
      </c>
      <c r="H2816" t="s">
        <v>1598</v>
      </c>
      <c r="I2816" t="s">
        <v>198</v>
      </c>
      <c r="J2816" t="s">
        <v>1601</v>
      </c>
      <c r="K2816" t="s">
        <v>424</v>
      </c>
      <c r="L2816" t="s">
        <v>425</v>
      </c>
      <c r="M2816">
        <v>1515542400</v>
      </c>
      <c r="N2816" t="s">
        <v>1628</v>
      </c>
      <c r="O2816" t="s">
        <v>1628</v>
      </c>
      <c r="P2816">
        <v>3</v>
      </c>
      <c r="Q2816">
        <f>LEN(AMAZON_FASHION_5__2[[#This Row],[reviewText]])</f>
        <v>617</v>
      </c>
      <c r="R2816" t="str">
        <f>IF(AMAZON_FASHION_5__2[[#This Row],[overall]]&gt;=4,"Positive",IF(AMAZON_FASHION_5__2[[#This Row],[overall]]&lt;=2,"Negative","Neutral"))</f>
        <v>Positive</v>
      </c>
      <c r="S28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17" spans="1:19" x14ac:dyDescent="0.25">
      <c r="A2817">
        <v>3</v>
      </c>
      <c r="B2817" t="b">
        <v>1</v>
      </c>
      <c r="C2817" s="1">
        <v>43109</v>
      </c>
      <c r="D2817">
        <f>YEAR(AMAZON_FASHION_5__2[[#This Row],[reviewDate]])</f>
        <v>2018</v>
      </c>
      <c r="E2817" s="1" t="str">
        <f>TEXT(AMAZON_FASHION_5__2[[#This Row],[reviewDate]], "mmmm")</f>
        <v>January</v>
      </c>
      <c r="F2817" t="s">
        <v>426</v>
      </c>
      <c r="G2817" t="s">
        <v>1607</v>
      </c>
      <c r="H2817" t="s">
        <v>1598</v>
      </c>
      <c r="I2817" t="s">
        <v>249</v>
      </c>
      <c r="J2817" t="s">
        <v>427</v>
      </c>
      <c r="K2817" t="s">
        <v>428</v>
      </c>
      <c r="L2817" t="s">
        <v>429</v>
      </c>
      <c r="M2817">
        <v>1515456000</v>
      </c>
      <c r="N2817" t="s">
        <v>1628</v>
      </c>
      <c r="O2817" t="s">
        <v>1628</v>
      </c>
      <c r="P2817" t="s">
        <v>1628</v>
      </c>
      <c r="Q2817">
        <f>LEN(AMAZON_FASHION_5__2[[#This Row],[reviewText]])</f>
        <v>54</v>
      </c>
      <c r="R2817" t="str">
        <f>IF(AMAZON_FASHION_5__2[[#This Row],[overall]]&gt;=4,"Positive",IF(AMAZON_FASHION_5__2[[#This Row],[overall]]&lt;=2,"Negative","Neutral"))</f>
        <v>Neutral</v>
      </c>
      <c r="S28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18" spans="1:19" x14ac:dyDescent="0.25">
      <c r="A2818">
        <v>5</v>
      </c>
      <c r="B2818" t="b">
        <v>1</v>
      </c>
      <c r="C2818" s="1">
        <v>43108</v>
      </c>
      <c r="D2818">
        <f>YEAR(AMAZON_FASHION_5__2[[#This Row],[reviewDate]])</f>
        <v>2018</v>
      </c>
      <c r="E2818" s="1" t="str">
        <f>TEXT(AMAZON_FASHION_5__2[[#This Row],[reviewDate]], "mmmm")</f>
        <v>January</v>
      </c>
      <c r="F2818" t="s">
        <v>430</v>
      </c>
      <c r="G2818" t="s">
        <v>1607</v>
      </c>
      <c r="H2818" t="s">
        <v>210</v>
      </c>
      <c r="I2818" t="s">
        <v>198</v>
      </c>
      <c r="J2818" t="s">
        <v>431</v>
      </c>
      <c r="K2818" t="s">
        <v>432</v>
      </c>
      <c r="L2818" t="s">
        <v>433</v>
      </c>
      <c r="M2818">
        <v>1515369600</v>
      </c>
      <c r="N2818" t="s">
        <v>1628</v>
      </c>
      <c r="O2818" t="s">
        <v>1628</v>
      </c>
      <c r="P2818" t="s">
        <v>1628</v>
      </c>
      <c r="Q2818">
        <f>LEN(AMAZON_FASHION_5__2[[#This Row],[reviewText]])</f>
        <v>715</v>
      </c>
      <c r="R2818" t="str">
        <f>IF(AMAZON_FASHION_5__2[[#This Row],[overall]]&gt;=4,"Positive",IF(AMAZON_FASHION_5__2[[#This Row],[overall]]&lt;=2,"Negative","Neutral"))</f>
        <v>Positive</v>
      </c>
      <c r="S28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19" spans="1:19" x14ac:dyDescent="0.25">
      <c r="A2819">
        <v>5</v>
      </c>
      <c r="B2819" t="b">
        <v>1</v>
      </c>
      <c r="C2819" s="1">
        <v>43108</v>
      </c>
      <c r="D2819">
        <f>YEAR(AMAZON_FASHION_5__2[[#This Row],[reviewDate]])</f>
        <v>2018</v>
      </c>
      <c r="E2819" s="1" t="str">
        <f>TEXT(AMAZON_FASHION_5__2[[#This Row],[reviewDate]], "mmmm")</f>
        <v>January</v>
      </c>
      <c r="F2819" t="s">
        <v>434</v>
      </c>
      <c r="G2819" t="s">
        <v>1607</v>
      </c>
      <c r="H2819" t="s">
        <v>1595</v>
      </c>
      <c r="I2819" t="s">
        <v>435</v>
      </c>
      <c r="J2819" t="s">
        <v>436</v>
      </c>
      <c r="K2819" t="s">
        <v>437</v>
      </c>
      <c r="L2819" t="s">
        <v>438</v>
      </c>
      <c r="M2819">
        <v>1515369600</v>
      </c>
      <c r="N2819" t="s">
        <v>1628</v>
      </c>
      <c r="O2819" t="s">
        <v>1628</v>
      </c>
      <c r="P2819" t="s">
        <v>1628</v>
      </c>
      <c r="Q2819">
        <f>LEN(AMAZON_FASHION_5__2[[#This Row],[reviewText]])</f>
        <v>1003</v>
      </c>
      <c r="R2819" t="str">
        <f>IF(AMAZON_FASHION_5__2[[#This Row],[overall]]&gt;=4,"Positive",IF(AMAZON_FASHION_5__2[[#This Row],[overall]]&lt;=2,"Negative","Neutral"))</f>
        <v>Positive</v>
      </c>
      <c r="S28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20" spans="1:19" x14ac:dyDescent="0.25">
      <c r="A2820">
        <v>5</v>
      </c>
      <c r="B2820" t="b">
        <v>1</v>
      </c>
      <c r="C2820" s="1">
        <v>43107</v>
      </c>
      <c r="D2820">
        <f>YEAR(AMAZON_FASHION_5__2[[#This Row],[reviewDate]])</f>
        <v>2018</v>
      </c>
      <c r="E2820" s="1" t="str">
        <f>TEXT(AMAZON_FASHION_5__2[[#This Row],[reviewDate]], "mmmm")</f>
        <v>January</v>
      </c>
      <c r="F2820" t="s">
        <v>439</v>
      </c>
      <c r="G2820" t="s">
        <v>1607</v>
      </c>
      <c r="H2820" t="s">
        <v>1571</v>
      </c>
      <c r="I2820" t="s">
        <v>274</v>
      </c>
      <c r="J2820" t="s">
        <v>440</v>
      </c>
      <c r="K2820" t="s">
        <v>441</v>
      </c>
      <c r="L2820" t="s">
        <v>17</v>
      </c>
      <c r="M2820">
        <v>1515283200</v>
      </c>
      <c r="N2820" t="s">
        <v>1628</v>
      </c>
      <c r="O2820" t="s">
        <v>1628</v>
      </c>
      <c r="P2820" t="s">
        <v>1628</v>
      </c>
      <c r="Q2820">
        <f>LEN(AMAZON_FASHION_5__2[[#This Row],[reviewText]])</f>
        <v>51</v>
      </c>
      <c r="R2820" t="str">
        <f>IF(AMAZON_FASHION_5__2[[#This Row],[overall]]&gt;=4,"Positive",IF(AMAZON_FASHION_5__2[[#This Row],[overall]]&lt;=2,"Negative","Neutral"))</f>
        <v>Positive</v>
      </c>
      <c r="S28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21" spans="1:19" x14ac:dyDescent="0.25">
      <c r="A2821">
        <v>5</v>
      </c>
      <c r="B2821" t="b">
        <v>1</v>
      </c>
      <c r="C2821" s="1">
        <v>43098</v>
      </c>
      <c r="D2821">
        <f>YEAR(AMAZON_FASHION_5__2[[#This Row],[reviewDate]])</f>
        <v>2017</v>
      </c>
      <c r="E2821" s="1" t="str">
        <f>TEXT(AMAZON_FASHION_5__2[[#This Row],[reviewDate]], "mmmm")</f>
        <v>December</v>
      </c>
      <c r="F2821" t="s">
        <v>442</v>
      </c>
      <c r="G2821" t="s">
        <v>1607</v>
      </c>
      <c r="H2821" t="s">
        <v>1477</v>
      </c>
      <c r="I2821" t="s">
        <v>336</v>
      </c>
      <c r="J2821" t="s">
        <v>63</v>
      </c>
      <c r="K2821" t="s">
        <v>444</v>
      </c>
      <c r="L2821" t="s">
        <v>445</v>
      </c>
      <c r="M2821">
        <v>1514505600</v>
      </c>
      <c r="N2821" t="s">
        <v>1628</v>
      </c>
      <c r="O2821" t="s">
        <v>1628</v>
      </c>
      <c r="P2821" t="s">
        <v>1628</v>
      </c>
      <c r="Q2821">
        <f>LEN(AMAZON_FASHION_5__2[[#This Row],[reviewText]])</f>
        <v>240</v>
      </c>
      <c r="R2821" t="str">
        <f>IF(AMAZON_FASHION_5__2[[#This Row],[overall]]&gt;=4,"Positive",IF(AMAZON_FASHION_5__2[[#This Row],[overall]]&lt;=2,"Negative","Neutral"))</f>
        <v>Positive</v>
      </c>
      <c r="S28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22" spans="1:19" x14ac:dyDescent="0.25">
      <c r="A2822">
        <v>5</v>
      </c>
      <c r="B2822" t="b">
        <v>1</v>
      </c>
      <c r="C2822" s="1">
        <v>43097</v>
      </c>
      <c r="D2822">
        <f>YEAR(AMAZON_FASHION_5__2[[#This Row],[reviewDate]])</f>
        <v>2017</v>
      </c>
      <c r="E2822" s="1" t="str">
        <f>TEXT(AMAZON_FASHION_5__2[[#This Row],[reviewDate]], "mmmm")</f>
        <v>December</v>
      </c>
      <c r="F2822" t="s">
        <v>446</v>
      </c>
      <c r="G2822" t="s">
        <v>1607</v>
      </c>
      <c r="H2822" t="s">
        <v>1578</v>
      </c>
      <c r="I2822" t="s">
        <v>392</v>
      </c>
      <c r="J2822" t="s">
        <v>447</v>
      </c>
      <c r="K2822" t="s">
        <v>448</v>
      </c>
      <c r="L2822" t="s">
        <v>449</v>
      </c>
      <c r="M2822">
        <v>1514419200</v>
      </c>
      <c r="N2822" t="s">
        <v>1628</v>
      </c>
      <c r="O2822" t="s">
        <v>1628</v>
      </c>
      <c r="P2822" t="s">
        <v>1628</v>
      </c>
      <c r="Q2822">
        <f>LEN(AMAZON_FASHION_5__2[[#This Row],[reviewText]])</f>
        <v>68</v>
      </c>
      <c r="R2822" t="str">
        <f>IF(AMAZON_FASHION_5__2[[#This Row],[overall]]&gt;=4,"Positive",IF(AMAZON_FASHION_5__2[[#This Row],[overall]]&lt;=2,"Negative","Neutral"))</f>
        <v>Positive</v>
      </c>
      <c r="S28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23" spans="1:19" x14ac:dyDescent="0.25">
      <c r="A2823">
        <v>2</v>
      </c>
      <c r="B2823" t="b">
        <v>1</v>
      </c>
      <c r="C2823" s="1">
        <v>43086</v>
      </c>
      <c r="D2823">
        <f>YEAR(AMAZON_FASHION_5__2[[#This Row],[reviewDate]])</f>
        <v>2017</v>
      </c>
      <c r="E2823" s="1" t="str">
        <f>TEXT(AMAZON_FASHION_5__2[[#This Row],[reviewDate]], "mmmm")</f>
        <v>December</v>
      </c>
      <c r="F2823" t="s">
        <v>450</v>
      </c>
      <c r="G2823" t="s">
        <v>1607</v>
      </c>
      <c r="H2823" t="s">
        <v>1600</v>
      </c>
      <c r="I2823" t="s">
        <v>411</v>
      </c>
      <c r="J2823" t="s">
        <v>451</v>
      </c>
      <c r="K2823" t="s">
        <v>452</v>
      </c>
      <c r="L2823" t="s">
        <v>453</v>
      </c>
      <c r="M2823">
        <v>1513468800</v>
      </c>
      <c r="N2823" t="s">
        <v>1628</v>
      </c>
      <c r="O2823" t="s">
        <v>1628</v>
      </c>
      <c r="P2823" t="s">
        <v>1628</v>
      </c>
      <c r="Q2823">
        <f>LEN(AMAZON_FASHION_5__2[[#This Row],[reviewText]])</f>
        <v>263</v>
      </c>
      <c r="R2823" t="str">
        <f>IF(AMAZON_FASHION_5__2[[#This Row],[overall]]&gt;=4,"Positive",IF(AMAZON_FASHION_5__2[[#This Row],[overall]]&lt;=2,"Negative","Neutral"))</f>
        <v>Negative</v>
      </c>
      <c r="S28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24" spans="1:19" x14ac:dyDescent="0.25">
      <c r="A2824">
        <v>5</v>
      </c>
      <c r="B2824" t="b">
        <v>1</v>
      </c>
      <c r="C2824" s="1">
        <v>43086</v>
      </c>
      <c r="D2824">
        <f>YEAR(AMAZON_FASHION_5__2[[#This Row],[reviewDate]])</f>
        <v>2017</v>
      </c>
      <c r="E2824" s="1" t="str">
        <f>TEXT(AMAZON_FASHION_5__2[[#This Row],[reviewDate]], "mmmm")</f>
        <v>December</v>
      </c>
      <c r="F2824" t="s">
        <v>454</v>
      </c>
      <c r="G2824" t="s">
        <v>1607</v>
      </c>
      <c r="H2824" t="s">
        <v>1571</v>
      </c>
      <c r="I2824" t="s">
        <v>198</v>
      </c>
      <c r="J2824" t="s">
        <v>455</v>
      </c>
      <c r="K2824" t="s">
        <v>456</v>
      </c>
      <c r="L2824" t="s">
        <v>17</v>
      </c>
      <c r="M2824">
        <v>1513468800</v>
      </c>
      <c r="N2824" t="s">
        <v>1628</v>
      </c>
      <c r="O2824" t="s">
        <v>1628</v>
      </c>
      <c r="P2824" t="s">
        <v>1628</v>
      </c>
      <c r="Q2824">
        <f>LEN(AMAZON_FASHION_5__2[[#This Row],[reviewText]])</f>
        <v>14</v>
      </c>
      <c r="R2824" t="str">
        <f>IF(AMAZON_FASHION_5__2[[#This Row],[overall]]&gt;=4,"Positive",IF(AMAZON_FASHION_5__2[[#This Row],[overall]]&lt;=2,"Negative","Neutral"))</f>
        <v>Positive</v>
      </c>
      <c r="S28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25" spans="1:19" x14ac:dyDescent="0.25">
      <c r="A2825">
        <v>3</v>
      </c>
      <c r="B2825" t="b">
        <v>1</v>
      </c>
      <c r="C2825" s="1">
        <v>43074</v>
      </c>
      <c r="D2825">
        <f>YEAR(AMAZON_FASHION_5__2[[#This Row],[reviewDate]])</f>
        <v>2017</v>
      </c>
      <c r="E2825" s="1" t="str">
        <f>TEXT(AMAZON_FASHION_5__2[[#This Row],[reviewDate]], "mmmm")</f>
        <v>December</v>
      </c>
      <c r="F2825" t="s">
        <v>457</v>
      </c>
      <c r="G2825" t="s">
        <v>1607</v>
      </c>
      <c r="H2825" t="s">
        <v>1567</v>
      </c>
      <c r="I2825" t="s">
        <v>274</v>
      </c>
      <c r="J2825" t="s">
        <v>458</v>
      </c>
      <c r="K2825" t="s">
        <v>459</v>
      </c>
      <c r="L2825" t="s">
        <v>460</v>
      </c>
      <c r="M2825">
        <v>1512432000</v>
      </c>
      <c r="N2825" t="s">
        <v>1628</v>
      </c>
      <c r="O2825" t="s">
        <v>1628</v>
      </c>
      <c r="P2825" t="s">
        <v>1628</v>
      </c>
      <c r="Q2825">
        <f>LEN(AMAZON_FASHION_5__2[[#This Row],[reviewText]])</f>
        <v>757</v>
      </c>
      <c r="R2825" t="str">
        <f>IF(AMAZON_FASHION_5__2[[#This Row],[overall]]&gt;=4,"Positive",IF(AMAZON_FASHION_5__2[[#This Row],[overall]]&lt;=2,"Negative","Neutral"))</f>
        <v>Neutral</v>
      </c>
      <c r="S28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26" spans="1:19" x14ac:dyDescent="0.25">
      <c r="A2826">
        <v>5</v>
      </c>
      <c r="B2826" t="b">
        <v>1</v>
      </c>
      <c r="C2826" s="1">
        <v>43074</v>
      </c>
      <c r="D2826">
        <f>YEAR(AMAZON_FASHION_5__2[[#This Row],[reviewDate]])</f>
        <v>2017</v>
      </c>
      <c r="E2826" s="1" t="str">
        <f>TEXT(AMAZON_FASHION_5__2[[#This Row],[reviewDate]], "mmmm")</f>
        <v>December</v>
      </c>
      <c r="F2826" t="s">
        <v>461</v>
      </c>
      <c r="G2826" t="s">
        <v>1607</v>
      </c>
      <c r="H2826" t="s">
        <v>230</v>
      </c>
      <c r="I2826" t="s">
        <v>303</v>
      </c>
      <c r="J2826" t="s">
        <v>462</v>
      </c>
      <c r="K2826" t="s">
        <v>463</v>
      </c>
      <c r="L2826" t="s">
        <v>17</v>
      </c>
      <c r="M2826">
        <v>1512432000</v>
      </c>
      <c r="N2826" t="s">
        <v>1628</v>
      </c>
      <c r="O2826" t="s">
        <v>1628</v>
      </c>
      <c r="P2826" t="s">
        <v>1628</v>
      </c>
      <c r="Q2826">
        <f>LEN(AMAZON_FASHION_5__2[[#This Row],[reviewText]])</f>
        <v>5</v>
      </c>
      <c r="R2826" t="str">
        <f>IF(AMAZON_FASHION_5__2[[#This Row],[overall]]&gt;=4,"Positive",IF(AMAZON_FASHION_5__2[[#This Row],[overall]]&lt;=2,"Negative","Neutral"))</f>
        <v>Positive</v>
      </c>
      <c r="S28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27" spans="1:19" x14ac:dyDescent="0.25">
      <c r="A2827">
        <v>5</v>
      </c>
      <c r="B2827" t="b">
        <v>1</v>
      </c>
      <c r="C2827" s="1">
        <v>43073</v>
      </c>
      <c r="D2827">
        <f>YEAR(AMAZON_FASHION_5__2[[#This Row],[reviewDate]])</f>
        <v>2017</v>
      </c>
      <c r="E2827" s="1" t="str">
        <f>TEXT(AMAZON_FASHION_5__2[[#This Row],[reviewDate]], "mmmm")</f>
        <v>December</v>
      </c>
      <c r="F2827" t="s">
        <v>464</v>
      </c>
      <c r="G2827" t="s">
        <v>1607</v>
      </c>
      <c r="H2827" t="s">
        <v>1599</v>
      </c>
      <c r="I2827" t="s">
        <v>303</v>
      </c>
      <c r="J2827" t="s">
        <v>63</v>
      </c>
      <c r="K2827" t="s">
        <v>465</v>
      </c>
      <c r="L2827" t="s">
        <v>17</v>
      </c>
      <c r="M2827">
        <v>1512345600</v>
      </c>
      <c r="N2827" t="s">
        <v>1628</v>
      </c>
      <c r="O2827" t="s">
        <v>1628</v>
      </c>
      <c r="P2827" t="s">
        <v>1628</v>
      </c>
      <c r="Q2827">
        <f>LEN(AMAZON_FASHION_5__2[[#This Row],[reviewText]])</f>
        <v>1</v>
      </c>
      <c r="R2827" t="str">
        <f>IF(AMAZON_FASHION_5__2[[#This Row],[overall]]&gt;=4,"Positive",IF(AMAZON_FASHION_5__2[[#This Row],[overall]]&lt;=2,"Negative","Neutral"))</f>
        <v>Positive</v>
      </c>
      <c r="S28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28" spans="1:19" x14ac:dyDescent="0.25">
      <c r="A2828">
        <v>5</v>
      </c>
      <c r="B2828" t="b">
        <v>1</v>
      </c>
      <c r="C2828" s="1">
        <v>43069</v>
      </c>
      <c r="D2828">
        <f>YEAR(AMAZON_FASHION_5__2[[#This Row],[reviewDate]])</f>
        <v>2017</v>
      </c>
      <c r="E2828" s="1" t="str">
        <f>TEXT(AMAZON_FASHION_5__2[[#This Row],[reviewDate]], "mmmm")</f>
        <v>November</v>
      </c>
      <c r="F2828" t="s">
        <v>466</v>
      </c>
      <c r="G2828" t="s">
        <v>1607</v>
      </c>
      <c r="H2828" t="s">
        <v>1567</v>
      </c>
      <c r="I2828" t="s">
        <v>274</v>
      </c>
      <c r="J2828" t="s">
        <v>467</v>
      </c>
      <c r="K2828" t="s">
        <v>468</v>
      </c>
      <c r="L2828" t="s">
        <v>17</v>
      </c>
      <c r="M2828">
        <v>1512000000</v>
      </c>
      <c r="N2828" t="s">
        <v>1628</v>
      </c>
      <c r="O2828" t="s">
        <v>1628</v>
      </c>
      <c r="P2828" t="s">
        <v>1628</v>
      </c>
      <c r="Q2828">
        <f>LEN(AMAZON_FASHION_5__2[[#This Row],[reviewText]])</f>
        <v>10</v>
      </c>
      <c r="R2828" t="str">
        <f>IF(AMAZON_FASHION_5__2[[#This Row],[overall]]&gt;=4,"Positive",IF(AMAZON_FASHION_5__2[[#This Row],[overall]]&lt;=2,"Negative","Neutral"))</f>
        <v>Positive</v>
      </c>
      <c r="S28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29" spans="1:19" x14ac:dyDescent="0.25">
      <c r="A2829">
        <v>3</v>
      </c>
      <c r="B2829" t="b">
        <v>1</v>
      </c>
      <c r="C2829" s="1">
        <v>43069</v>
      </c>
      <c r="D2829">
        <f>YEAR(AMAZON_FASHION_5__2[[#This Row],[reviewDate]])</f>
        <v>2017</v>
      </c>
      <c r="E2829" s="1" t="str">
        <f>TEXT(AMAZON_FASHION_5__2[[#This Row],[reviewDate]], "mmmm")</f>
        <v>November</v>
      </c>
      <c r="F2829" t="s">
        <v>469</v>
      </c>
      <c r="G2829" t="s">
        <v>1607</v>
      </c>
      <c r="H2829" t="s">
        <v>210</v>
      </c>
      <c r="I2829" t="s">
        <v>198</v>
      </c>
      <c r="J2829" t="s">
        <v>63</v>
      </c>
      <c r="K2829" t="s">
        <v>470</v>
      </c>
      <c r="L2829" t="s">
        <v>471</v>
      </c>
      <c r="M2829">
        <v>1512000000</v>
      </c>
      <c r="N2829" t="s">
        <v>1628</v>
      </c>
      <c r="O2829" t="s">
        <v>1628</v>
      </c>
      <c r="P2829" t="s">
        <v>1628</v>
      </c>
      <c r="Q2829">
        <f>LEN(AMAZON_FASHION_5__2[[#This Row],[reviewText]])</f>
        <v>192</v>
      </c>
      <c r="R2829" t="str">
        <f>IF(AMAZON_FASHION_5__2[[#This Row],[overall]]&gt;=4,"Positive",IF(AMAZON_FASHION_5__2[[#This Row],[overall]]&lt;=2,"Negative","Neutral"))</f>
        <v>Neutral</v>
      </c>
      <c r="S28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30" spans="1:19" x14ac:dyDescent="0.25">
      <c r="A2830">
        <v>3</v>
      </c>
      <c r="B2830" t="b">
        <v>1</v>
      </c>
      <c r="C2830" s="1">
        <v>43067</v>
      </c>
      <c r="D2830">
        <f>YEAR(AMAZON_FASHION_5__2[[#This Row],[reviewDate]])</f>
        <v>2017</v>
      </c>
      <c r="E2830" s="1" t="str">
        <f>TEXT(AMAZON_FASHION_5__2[[#This Row],[reviewDate]], "mmmm")</f>
        <v>November</v>
      </c>
      <c r="F2830" t="s">
        <v>472</v>
      </c>
      <c r="G2830" t="s">
        <v>1607</v>
      </c>
      <c r="H2830" t="s">
        <v>1595</v>
      </c>
      <c r="I2830" t="s">
        <v>1455</v>
      </c>
      <c r="J2830" t="s">
        <v>473</v>
      </c>
      <c r="K2830" t="s">
        <v>474</v>
      </c>
      <c r="L2830" t="s">
        <v>475</v>
      </c>
      <c r="M2830">
        <v>1511827200</v>
      </c>
      <c r="N2830" t="s">
        <v>1628</v>
      </c>
      <c r="O2830" t="s">
        <v>1628</v>
      </c>
      <c r="P2830" t="s">
        <v>1628</v>
      </c>
      <c r="Q2830">
        <f>LEN(AMAZON_FASHION_5__2[[#This Row],[reviewText]])</f>
        <v>194</v>
      </c>
      <c r="R2830" t="str">
        <f>IF(AMAZON_FASHION_5__2[[#This Row],[overall]]&gt;=4,"Positive",IF(AMAZON_FASHION_5__2[[#This Row],[overall]]&lt;=2,"Negative","Neutral"))</f>
        <v>Neutral</v>
      </c>
      <c r="S28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31" spans="1:19" x14ac:dyDescent="0.25">
      <c r="A2831">
        <v>5</v>
      </c>
      <c r="B2831" t="b">
        <v>1</v>
      </c>
      <c r="C2831" s="1">
        <v>43066</v>
      </c>
      <c r="D2831">
        <f>YEAR(AMAZON_FASHION_5__2[[#This Row],[reviewDate]])</f>
        <v>2017</v>
      </c>
      <c r="E2831" s="1" t="str">
        <f>TEXT(AMAZON_FASHION_5__2[[#This Row],[reviewDate]], "mmmm")</f>
        <v>November</v>
      </c>
      <c r="F2831" t="s">
        <v>481</v>
      </c>
      <c r="G2831" t="s">
        <v>1607</v>
      </c>
      <c r="H2831" t="s">
        <v>1567</v>
      </c>
      <c r="I2831" t="s">
        <v>303</v>
      </c>
      <c r="J2831" t="s">
        <v>482</v>
      </c>
      <c r="K2831" t="s">
        <v>483</v>
      </c>
      <c r="L2831" t="s">
        <v>17</v>
      </c>
      <c r="M2831">
        <v>1511740800</v>
      </c>
      <c r="N2831" t="s">
        <v>1628</v>
      </c>
      <c r="O2831" t="s">
        <v>1628</v>
      </c>
      <c r="P2831" t="s">
        <v>1628</v>
      </c>
      <c r="Q2831">
        <f>LEN(AMAZON_FASHION_5__2[[#This Row],[reviewText]])</f>
        <v>8</v>
      </c>
      <c r="R2831" t="str">
        <f>IF(AMAZON_FASHION_5__2[[#This Row],[overall]]&gt;=4,"Positive",IF(AMAZON_FASHION_5__2[[#This Row],[overall]]&lt;=2,"Negative","Neutral"))</f>
        <v>Positive</v>
      </c>
      <c r="S28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32" spans="1:19" x14ac:dyDescent="0.25">
      <c r="A2832">
        <v>5</v>
      </c>
      <c r="B2832" t="b">
        <v>1</v>
      </c>
      <c r="C2832" s="1">
        <v>43066</v>
      </c>
      <c r="D2832">
        <f>YEAR(AMAZON_FASHION_5__2[[#This Row],[reviewDate]])</f>
        <v>2017</v>
      </c>
      <c r="E2832" s="1" t="str">
        <f>TEXT(AMAZON_FASHION_5__2[[#This Row],[reviewDate]], "mmmm")</f>
        <v>November</v>
      </c>
      <c r="F2832" t="s">
        <v>481</v>
      </c>
      <c r="G2832" t="s">
        <v>1607</v>
      </c>
      <c r="H2832" t="s">
        <v>1567</v>
      </c>
      <c r="I2832" t="s">
        <v>392</v>
      </c>
      <c r="J2832" t="s">
        <v>482</v>
      </c>
      <c r="K2832" t="s">
        <v>483</v>
      </c>
      <c r="L2832" t="s">
        <v>17</v>
      </c>
      <c r="M2832">
        <v>1511740800</v>
      </c>
      <c r="N2832" t="s">
        <v>1628</v>
      </c>
      <c r="O2832" t="s">
        <v>1628</v>
      </c>
      <c r="P2832" t="s">
        <v>1628</v>
      </c>
      <c r="Q2832">
        <f>LEN(AMAZON_FASHION_5__2[[#This Row],[reviewText]])</f>
        <v>8</v>
      </c>
      <c r="R2832" t="str">
        <f>IF(AMAZON_FASHION_5__2[[#This Row],[overall]]&gt;=4,"Positive",IF(AMAZON_FASHION_5__2[[#This Row],[overall]]&lt;=2,"Negative","Neutral"))</f>
        <v>Positive</v>
      </c>
      <c r="S28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33" spans="1:19" x14ac:dyDescent="0.25">
      <c r="A2833">
        <v>1</v>
      </c>
      <c r="B2833" t="b">
        <v>1</v>
      </c>
      <c r="C2833" s="1">
        <v>43058</v>
      </c>
      <c r="D2833">
        <f>YEAR(AMAZON_FASHION_5__2[[#This Row],[reviewDate]])</f>
        <v>2017</v>
      </c>
      <c r="E2833" s="1" t="str">
        <f>TEXT(AMAZON_FASHION_5__2[[#This Row],[reviewDate]], "mmmm")</f>
        <v>November</v>
      </c>
      <c r="F2833" t="s">
        <v>484</v>
      </c>
      <c r="G2833" t="s">
        <v>1607</v>
      </c>
      <c r="H2833" t="s">
        <v>1578</v>
      </c>
      <c r="I2833" t="s">
        <v>198</v>
      </c>
      <c r="J2833" t="s">
        <v>485</v>
      </c>
      <c r="K2833" t="s">
        <v>486</v>
      </c>
      <c r="L2833" t="s">
        <v>487</v>
      </c>
      <c r="M2833">
        <v>1511049600</v>
      </c>
      <c r="N2833" t="s">
        <v>1628</v>
      </c>
      <c r="O2833" t="s">
        <v>1628</v>
      </c>
      <c r="P2833" t="s">
        <v>1628</v>
      </c>
      <c r="Q2833">
        <f>LEN(AMAZON_FASHION_5__2[[#This Row],[reviewText]])</f>
        <v>133</v>
      </c>
      <c r="R2833" t="str">
        <f>IF(AMAZON_FASHION_5__2[[#This Row],[overall]]&gt;=4,"Positive",IF(AMAZON_FASHION_5__2[[#This Row],[overall]]&lt;=2,"Negative","Neutral"))</f>
        <v>Negative</v>
      </c>
      <c r="S28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34" spans="1:19" x14ac:dyDescent="0.25">
      <c r="A2834">
        <v>5</v>
      </c>
      <c r="B2834" t="b">
        <v>1</v>
      </c>
      <c r="C2834" s="1">
        <v>43053</v>
      </c>
      <c r="D2834">
        <f>YEAR(AMAZON_FASHION_5__2[[#This Row],[reviewDate]])</f>
        <v>2017</v>
      </c>
      <c r="E2834" s="1" t="str">
        <f>TEXT(AMAZON_FASHION_5__2[[#This Row],[reviewDate]], "mmmm")</f>
        <v>November</v>
      </c>
      <c r="F2834" t="s">
        <v>488</v>
      </c>
      <c r="G2834" t="s">
        <v>1607</v>
      </c>
      <c r="H2834" t="s">
        <v>1567</v>
      </c>
      <c r="I2834" t="s">
        <v>303</v>
      </c>
      <c r="J2834" t="s">
        <v>489</v>
      </c>
      <c r="K2834" t="s">
        <v>490</v>
      </c>
      <c r="L2834" t="s">
        <v>491</v>
      </c>
      <c r="M2834">
        <v>1510617600</v>
      </c>
      <c r="N2834" t="s">
        <v>1628</v>
      </c>
      <c r="O2834" t="s">
        <v>1628</v>
      </c>
      <c r="P2834" t="s">
        <v>1628</v>
      </c>
      <c r="Q2834">
        <f>LEN(AMAZON_FASHION_5__2[[#This Row],[reviewText]])</f>
        <v>232</v>
      </c>
      <c r="R2834" t="str">
        <f>IF(AMAZON_FASHION_5__2[[#This Row],[overall]]&gt;=4,"Positive",IF(AMAZON_FASHION_5__2[[#This Row],[overall]]&lt;=2,"Negative","Neutral"))</f>
        <v>Positive</v>
      </c>
      <c r="S28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35" spans="1:19" x14ac:dyDescent="0.25">
      <c r="A2835">
        <v>4</v>
      </c>
      <c r="B2835" t="b">
        <v>1</v>
      </c>
      <c r="C2835" s="1">
        <v>43050</v>
      </c>
      <c r="D2835">
        <f>YEAR(AMAZON_FASHION_5__2[[#This Row],[reviewDate]])</f>
        <v>2017</v>
      </c>
      <c r="E2835" s="1" t="str">
        <f>TEXT(AMAZON_FASHION_5__2[[#This Row],[reviewDate]], "mmmm")</f>
        <v>November</v>
      </c>
      <c r="F2835" t="s">
        <v>492</v>
      </c>
      <c r="G2835" t="s">
        <v>1607</v>
      </c>
      <c r="H2835" t="s">
        <v>1571</v>
      </c>
      <c r="I2835" t="s">
        <v>493</v>
      </c>
      <c r="J2835" t="s">
        <v>494</v>
      </c>
      <c r="K2835" t="s">
        <v>495</v>
      </c>
      <c r="L2835" t="s">
        <v>496</v>
      </c>
      <c r="M2835">
        <v>1510358400</v>
      </c>
      <c r="N2835" t="s">
        <v>1628</v>
      </c>
      <c r="O2835" t="s">
        <v>1628</v>
      </c>
      <c r="P2835" t="s">
        <v>1628</v>
      </c>
      <c r="Q2835">
        <f>LEN(AMAZON_FASHION_5__2[[#This Row],[reviewText]])</f>
        <v>104</v>
      </c>
      <c r="R2835" t="str">
        <f>IF(AMAZON_FASHION_5__2[[#This Row],[overall]]&gt;=4,"Positive",IF(AMAZON_FASHION_5__2[[#This Row],[overall]]&lt;=2,"Negative","Neutral"))</f>
        <v>Positive</v>
      </c>
      <c r="S28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36" spans="1:19" x14ac:dyDescent="0.25">
      <c r="A2836">
        <v>5</v>
      </c>
      <c r="B2836" t="b">
        <v>1</v>
      </c>
      <c r="C2836" s="1">
        <v>43049</v>
      </c>
      <c r="D2836">
        <f>YEAR(AMAZON_FASHION_5__2[[#This Row],[reviewDate]])</f>
        <v>2017</v>
      </c>
      <c r="E2836" s="1" t="str">
        <f>TEXT(AMAZON_FASHION_5__2[[#This Row],[reviewDate]], "mmmm")</f>
        <v>November</v>
      </c>
      <c r="F2836" t="s">
        <v>497</v>
      </c>
      <c r="G2836" t="s">
        <v>1607</v>
      </c>
      <c r="H2836" t="s">
        <v>1596</v>
      </c>
      <c r="I2836" t="s">
        <v>396</v>
      </c>
      <c r="J2836" t="s">
        <v>498</v>
      </c>
      <c r="K2836" t="s">
        <v>499</v>
      </c>
      <c r="L2836" t="s">
        <v>17</v>
      </c>
      <c r="M2836">
        <v>1510272000</v>
      </c>
      <c r="N2836" t="s">
        <v>1628</v>
      </c>
      <c r="O2836" t="s">
        <v>1628</v>
      </c>
      <c r="P2836" t="s">
        <v>1628</v>
      </c>
      <c r="Q2836">
        <f>LEN(AMAZON_FASHION_5__2[[#This Row],[reviewText]])</f>
        <v>15</v>
      </c>
      <c r="R2836" t="str">
        <f>IF(AMAZON_FASHION_5__2[[#This Row],[overall]]&gt;=4,"Positive",IF(AMAZON_FASHION_5__2[[#This Row],[overall]]&lt;=2,"Negative","Neutral"))</f>
        <v>Positive</v>
      </c>
      <c r="S28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37" spans="1:19" x14ac:dyDescent="0.25">
      <c r="A2837">
        <v>5</v>
      </c>
      <c r="B2837" t="b">
        <v>1</v>
      </c>
      <c r="C2837" s="1">
        <v>43048</v>
      </c>
      <c r="D2837">
        <f>YEAR(AMAZON_FASHION_5__2[[#This Row],[reviewDate]])</f>
        <v>2017</v>
      </c>
      <c r="E2837" s="1" t="str">
        <f>TEXT(AMAZON_FASHION_5__2[[#This Row],[reviewDate]], "mmmm")</f>
        <v>November</v>
      </c>
      <c r="F2837" t="s">
        <v>500</v>
      </c>
      <c r="G2837" t="s">
        <v>1607</v>
      </c>
      <c r="H2837" t="s">
        <v>1574</v>
      </c>
      <c r="I2837" t="s">
        <v>198</v>
      </c>
      <c r="J2837" t="s">
        <v>63</v>
      </c>
      <c r="K2837" t="s">
        <v>501</v>
      </c>
      <c r="L2837" t="s">
        <v>502</v>
      </c>
      <c r="M2837">
        <v>1510185600</v>
      </c>
      <c r="N2837" t="s">
        <v>1628</v>
      </c>
      <c r="O2837" t="s">
        <v>1628</v>
      </c>
      <c r="P2837" t="s">
        <v>1628</v>
      </c>
      <c r="Q2837">
        <f>LEN(AMAZON_FASHION_5__2[[#This Row],[reviewText]])</f>
        <v>278</v>
      </c>
      <c r="R2837" t="str">
        <f>IF(AMAZON_FASHION_5__2[[#This Row],[overall]]&gt;=4,"Positive",IF(AMAZON_FASHION_5__2[[#This Row],[overall]]&lt;=2,"Negative","Neutral"))</f>
        <v>Positive</v>
      </c>
      <c r="S28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38" spans="1:19" x14ac:dyDescent="0.25">
      <c r="A2838">
        <v>4</v>
      </c>
      <c r="B2838" t="b">
        <v>1</v>
      </c>
      <c r="C2838" s="1">
        <v>43046</v>
      </c>
      <c r="D2838">
        <f>YEAR(AMAZON_FASHION_5__2[[#This Row],[reviewDate]])</f>
        <v>2017</v>
      </c>
      <c r="E2838" s="1" t="str">
        <f>TEXT(AMAZON_FASHION_5__2[[#This Row],[reviewDate]], "mmmm")</f>
        <v>November</v>
      </c>
      <c r="F2838" t="s">
        <v>503</v>
      </c>
      <c r="G2838" t="s">
        <v>1607</v>
      </c>
      <c r="H2838" t="s">
        <v>1567</v>
      </c>
      <c r="I2838" t="s">
        <v>274</v>
      </c>
      <c r="J2838" t="s">
        <v>504</v>
      </c>
      <c r="K2838" t="s">
        <v>505</v>
      </c>
      <c r="L2838" t="s">
        <v>103</v>
      </c>
      <c r="M2838">
        <v>1510012800</v>
      </c>
      <c r="N2838" t="s">
        <v>1628</v>
      </c>
      <c r="O2838" t="s">
        <v>1628</v>
      </c>
      <c r="P2838" t="s">
        <v>1628</v>
      </c>
      <c r="Q2838">
        <f>LEN(AMAZON_FASHION_5__2[[#This Row],[reviewText]])</f>
        <v>8</v>
      </c>
      <c r="R2838" t="str">
        <f>IF(AMAZON_FASHION_5__2[[#This Row],[overall]]&gt;=4,"Positive",IF(AMAZON_FASHION_5__2[[#This Row],[overall]]&lt;=2,"Negative","Neutral"))</f>
        <v>Positive</v>
      </c>
      <c r="S28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39" spans="1:19" x14ac:dyDescent="0.25">
      <c r="A2839">
        <v>2</v>
      </c>
      <c r="B2839" t="b">
        <v>1</v>
      </c>
      <c r="C2839" s="1">
        <v>43044</v>
      </c>
      <c r="D2839">
        <f>YEAR(AMAZON_FASHION_5__2[[#This Row],[reviewDate]])</f>
        <v>2017</v>
      </c>
      <c r="E2839" s="1" t="str">
        <f>TEXT(AMAZON_FASHION_5__2[[#This Row],[reviewDate]], "mmmm")</f>
        <v>November</v>
      </c>
      <c r="F2839" t="s">
        <v>506</v>
      </c>
      <c r="G2839" t="s">
        <v>1607</v>
      </c>
      <c r="H2839" t="s">
        <v>1574</v>
      </c>
      <c r="I2839" t="s">
        <v>507</v>
      </c>
      <c r="J2839" t="s">
        <v>63</v>
      </c>
      <c r="K2839" t="s">
        <v>508</v>
      </c>
      <c r="L2839" t="s">
        <v>509</v>
      </c>
      <c r="M2839">
        <v>1509840000</v>
      </c>
      <c r="N2839" t="s">
        <v>1628</v>
      </c>
      <c r="O2839" t="s">
        <v>1628</v>
      </c>
      <c r="P2839">
        <v>6</v>
      </c>
      <c r="Q2839">
        <f>LEN(AMAZON_FASHION_5__2[[#This Row],[reviewText]])</f>
        <v>467</v>
      </c>
      <c r="R2839" t="str">
        <f>IF(AMAZON_FASHION_5__2[[#This Row],[overall]]&gt;=4,"Positive",IF(AMAZON_FASHION_5__2[[#This Row],[overall]]&lt;=2,"Negative","Neutral"))</f>
        <v>Negative</v>
      </c>
      <c r="S28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40" spans="1:19" x14ac:dyDescent="0.25">
      <c r="A2840">
        <v>5</v>
      </c>
      <c r="B2840" t="b">
        <v>1</v>
      </c>
      <c r="C2840" s="1">
        <v>43043</v>
      </c>
      <c r="D2840">
        <f>YEAR(AMAZON_FASHION_5__2[[#This Row],[reviewDate]])</f>
        <v>2017</v>
      </c>
      <c r="E2840" s="1" t="str">
        <f>TEXT(AMAZON_FASHION_5__2[[#This Row],[reviewDate]], "mmmm")</f>
        <v>November</v>
      </c>
      <c r="F2840" t="s">
        <v>510</v>
      </c>
      <c r="G2840" t="s">
        <v>1607</v>
      </c>
      <c r="H2840" t="s">
        <v>235</v>
      </c>
      <c r="I2840" t="s">
        <v>274</v>
      </c>
      <c r="J2840" t="s">
        <v>511</v>
      </c>
      <c r="K2840" t="s">
        <v>512</v>
      </c>
      <c r="L2840" t="s">
        <v>17</v>
      </c>
      <c r="M2840">
        <v>1509753600</v>
      </c>
      <c r="N2840" t="s">
        <v>1628</v>
      </c>
      <c r="O2840" t="s">
        <v>1628</v>
      </c>
      <c r="P2840" t="s">
        <v>1628</v>
      </c>
      <c r="Q2840">
        <f>LEN(AMAZON_FASHION_5__2[[#This Row],[reviewText]])</f>
        <v>39</v>
      </c>
      <c r="R2840" t="str">
        <f>IF(AMAZON_FASHION_5__2[[#This Row],[overall]]&gt;=4,"Positive",IF(AMAZON_FASHION_5__2[[#This Row],[overall]]&lt;=2,"Negative","Neutral"))</f>
        <v>Positive</v>
      </c>
      <c r="S28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41" spans="1:19" x14ac:dyDescent="0.25">
      <c r="A2841">
        <v>3</v>
      </c>
      <c r="B2841" t="b">
        <v>1</v>
      </c>
      <c r="C2841" s="1">
        <v>43043</v>
      </c>
      <c r="D2841">
        <f>YEAR(AMAZON_FASHION_5__2[[#This Row],[reviewDate]])</f>
        <v>2017</v>
      </c>
      <c r="E2841" s="1" t="str">
        <f>TEXT(AMAZON_FASHION_5__2[[#This Row],[reviewDate]], "mmmm")</f>
        <v>November</v>
      </c>
      <c r="F2841" t="s">
        <v>513</v>
      </c>
      <c r="G2841" t="s">
        <v>1607</v>
      </c>
      <c r="H2841" t="s">
        <v>1598</v>
      </c>
      <c r="I2841" t="s">
        <v>507</v>
      </c>
      <c r="J2841" t="s">
        <v>514</v>
      </c>
      <c r="K2841" t="s">
        <v>515</v>
      </c>
      <c r="L2841" t="s">
        <v>101</v>
      </c>
      <c r="M2841">
        <v>1509753600</v>
      </c>
      <c r="N2841" t="s">
        <v>1628</v>
      </c>
      <c r="O2841" t="s">
        <v>1628</v>
      </c>
      <c r="P2841" t="s">
        <v>1628</v>
      </c>
      <c r="Q2841">
        <f>LEN(AMAZON_FASHION_5__2[[#This Row],[reviewText]])</f>
        <v>38</v>
      </c>
      <c r="R2841" t="str">
        <f>IF(AMAZON_FASHION_5__2[[#This Row],[overall]]&gt;=4,"Positive",IF(AMAZON_FASHION_5__2[[#This Row],[overall]]&lt;=2,"Negative","Neutral"))</f>
        <v>Neutral</v>
      </c>
      <c r="S28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42" spans="1:19" x14ac:dyDescent="0.25">
      <c r="A2842">
        <v>4</v>
      </c>
      <c r="B2842" t="b">
        <v>1</v>
      </c>
      <c r="C2842" s="1">
        <v>43042</v>
      </c>
      <c r="D2842">
        <f>YEAR(AMAZON_FASHION_5__2[[#This Row],[reviewDate]])</f>
        <v>2017</v>
      </c>
      <c r="E2842" s="1" t="str">
        <f>TEXT(AMAZON_FASHION_5__2[[#This Row],[reviewDate]], "mmmm")</f>
        <v>November</v>
      </c>
      <c r="F2842" t="s">
        <v>516</v>
      </c>
      <c r="G2842" t="s">
        <v>1607</v>
      </c>
      <c r="H2842" t="s">
        <v>1571</v>
      </c>
      <c r="I2842" t="s">
        <v>274</v>
      </c>
      <c r="J2842" t="s">
        <v>517</v>
      </c>
      <c r="K2842" t="s">
        <v>518</v>
      </c>
      <c r="L2842" t="s">
        <v>519</v>
      </c>
      <c r="M2842">
        <v>1509667200</v>
      </c>
      <c r="N2842" t="s">
        <v>1628</v>
      </c>
      <c r="O2842" t="s">
        <v>1628</v>
      </c>
      <c r="P2842" t="s">
        <v>1628</v>
      </c>
      <c r="Q2842">
        <f>LEN(AMAZON_FASHION_5__2[[#This Row],[reviewText]])</f>
        <v>23</v>
      </c>
      <c r="R2842" t="str">
        <f>IF(AMAZON_FASHION_5__2[[#This Row],[overall]]&gt;=4,"Positive",IF(AMAZON_FASHION_5__2[[#This Row],[overall]]&lt;=2,"Negative","Neutral"))</f>
        <v>Positive</v>
      </c>
      <c r="S28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43" spans="1:19" x14ac:dyDescent="0.25">
      <c r="A2843">
        <v>5</v>
      </c>
      <c r="B2843" t="b">
        <v>1</v>
      </c>
      <c r="C2843" s="1">
        <v>43041</v>
      </c>
      <c r="D2843">
        <f>YEAR(AMAZON_FASHION_5__2[[#This Row],[reviewDate]])</f>
        <v>2017</v>
      </c>
      <c r="E2843" s="1" t="str">
        <f>TEXT(AMAZON_FASHION_5__2[[#This Row],[reviewDate]], "mmmm")</f>
        <v>November</v>
      </c>
      <c r="F2843" t="s">
        <v>520</v>
      </c>
      <c r="G2843" t="s">
        <v>1607</v>
      </c>
      <c r="H2843" t="s">
        <v>230</v>
      </c>
      <c r="I2843" t="s">
        <v>303</v>
      </c>
      <c r="J2843" t="s">
        <v>521</v>
      </c>
      <c r="K2843" t="s">
        <v>522</v>
      </c>
      <c r="L2843" t="s">
        <v>17</v>
      </c>
      <c r="M2843">
        <v>1509580800</v>
      </c>
      <c r="N2843" t="s">
        <v>1628</v>
      </c>
      <c r="O2843" t="s">
        <v>1628</v>
      </c>
      <c r="P2843" t="s">
        <v>1628</v>
      </c>
      <c r="Q2843">
        <f>LEN(AMAZON_FASHION_5__2[[#This Row],[reviewText]])</f>
        <v>10</v>
      </c>
      <c r="R2843" t="str">
        <f>IF(AMAZON_FASHION_5__2[[#This Row],[overall]]&gt;=4,"Positive",IF(AMAZON_FASHION_5__2[[#This Row],[overall]]&lt;=2,"Negative","Neutral"))</f>
        <v>Positive</v>
      </c>
      <c r="S28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44" spans="1:19" x14ac:dyDescent="0.25">
      <c r="A2844">
        <v>4</v>
      </c>
      <c r="B2844" t="b">
        <v>1</v>
      </c>
      <c r="C2844" s="1">
        <v>43039</v>
      </c>
      <c r="D2844">
        <f>YEAR(AMAZON_FASHION_5__2[[#This Row],[reviewDate]])</f>
        <v>2017</v>
      </c>
      <c r="E2844" s="1" t="str">
        <f>TEXT(AMAZON_FASHION_5__2[[#This Row],[reviewDate]], "mmmm")</f>
        <v>October</v>
      </c>
      <c r="F2844" t="s">
        <v>523</v>
      </c>
      <c r="G2844" t="s">
        <v>1607</v>
      </c>
      <c r="H2844" t="s">
        <v>1578</v>
      </c>
      <c r="I2844" t="s">
        <v>524</v>
      </c>
      <c r="J2844" t="s">
        <v>525</v>
      </c>
      <c r="K2844" t="s">
        <v>526</v>
      </c>
      <c r="L2844" t="s">
        <v>527</v>
      </c>
      <c r="M2844">
        <v>1509408000</v>
      </c>
      <c r="N2844" t="s">
        <v>1628</v>
      </c>
      <c r="O2844" t="s">
        <v>1628</v>
      </c>
      <c r="P2844" t="s">
        <v>1628</v>
      </c>
      <c r="Q2844">
        <f>LEN(AMAZON_FASHION_5__2[[#This Row],[reviewText]])</f>
        <v>152</v>
      </c>
      <c r="R2844" t="str">
        <f>IF(AMAZON_FASHION_5__2[[#This Row],[overall]]&gt;=4,"Positive",IF(AMAZON_FASHION_5__2[[#This Row],[overall]]&lt;=2,"Negative","Neutral"))</f>
        <v>Positive</v>
      </c>
      <c r="S28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45" spans="1:19" x14ac:dyDescent="0.25">
      <c r="A2845">
        <v>5</v>
      </c>
      <c r="B2845" t="b">
        <v>1</v>
      </c>
      <c r="C2845" s="1">
        <v>43037</v>
      </c>
      <c r="D2845">
        <f>YEAR(AMAZON_FASHION_5__2[[#This Row],[reviewDate]])</f>
        <v>2017</v>
      </c>
      <c r="E2845" s="1" t="str">
        <f>TEXT(AMAZON_FASHION_5__2[[#This Row],[reviewDate]], "mmmm")</f>
        <v>October</v>
      </c>
      <c r="F2845" t="s">
        <v>528</v>
      </c>
      <c r="G2845" t="s">
        <v>1607</v>
      </c>
      <c r="H2845" t="s">
        <v>235</v>
      </c>
      <c r="I2845" t="s">
        <v>274</v>
      </c>
      <c r="J2845" t="s">
        <v>529</v>
      </c>
      <c r="K2845" t="s">
        <v>530</v>
      </c>
      <c r="L2845" t="s">
        <v>531</v>
      </c>
      <c r="M2845">
        <v>1509235200</v>
      </c>
      <c r="N2845" t="s">
        <v>1628</v>
      </c>
      <c r="O2845" t="s">
        <v>1628</v>
      </c>
      <c r="P2845" t="s">
        <v>1628</v>
      </c>
      <c r="Q2845">
        <f>LEN(AMAZON_FASHION_5__2[[#This Row],[reviewText]])</f>
        <v>21</v>
      </c>
      <c r="R2845" t="str">
        <f>IF(AMAZON_FASHION_5__2[[#This Row],[overall]]&gt;=4,"Positive",IF(AMAZON_FASHION_5__2[[#This Row],[overall]]&lt;=2,"Negative","Neutral"))</f>
        <v>Positive</v>
      </c>
      <c r="S28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46" spans="1:19" x14ac:dyDescent="0.25">
      <c r="A2846">
        <v>5</v>
      </c>
      <c r="B2846" t="b">
        <v>1</v>
      </c>
      <c r="C2846" s="1">
        <v>43034</v>
      </c>
      <c r="D2846">
        <f>YEAR(AMAZON_FASHION_5__2[[#This Row],[reviewDate]])</f>
        <v>2017</v>
      </c>
      <c r="E2846" s="1" t="str">
        <f>TEXT(AMAZON_FASHION_5__2[[#This Row],[reviewDate]], "mmmm")</f>
        <v>October</v>
      </c>
      <c r="F2846" t="s">
        <v>532</v>
      </c>
      <c r="G2846" t="s">
        <v>1607</v>
      </c>
      <c r="H2846" t="s">
        <v>1596</v>
      </c>
      <c r="I2846" t="s">
        <v>198</v>
      </c>
      <c r="J2846" t="s">
        <v>533</v>
      </c>
      <c r="K2846" t="s">
        <v>534</v>
      </c>
      <c r="L2846" t="s">
        <v>535</v>
      </c>
      <c r="M2846">
        <v>1508976000</v>
      </c>
      <c r="N2846" t="s">
        <v>1628</v>
      </c>
      <c r="O2846" t="s">
        <v>1628</v>
      </c>
      <c r="P2846" t="s">
        <v>1628</v>
      </c>
      <c r="Q2846">
        <f>LEN(AMAZON_FASHION_5__2[[#This Row],[reviewText]])</f>
        <v>185</v>
      </c>
      <c r="R2846" t="str">
        <f>IF(AMAZON_FASHION_5__2[[#This Row],[overall]]&gt;=4,"Positive",IF(AMAZON_FASHION_5__2[[#This Row],[overall]]&lt;=2,"Negative","Neutral"))</f>
        <v>Positive</v>
      </c>
      <c r="S28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47" spans="1:19" x14ac:dyDescent="0.25">
      <c r="A2847">
        <v>5</v>
      </c>
      <c r="B2847" t="b">
        <v>1</v>
      </c>
      <c r="C2847" s="1">
        <v>43034</v>
      </c>
      <c r="D2847">
        <f>YEAR(AMAZON_FASHION_5__2[[#This Row],[reviewDate]])</f>
        <v>2017</v>
      </c>
      <c r="E2847" s="1" t="str">
        <f>TEXT(AMAZON_FASHION_5__2[[#This Row],[reviewDate]], "mmmm")</f>
        <v>October</v>
      </c>
      <c r="F2847" t="s">
        <v>536</v>
      </c>
      <c r="G2847" t="s">
        <v>1607</v>
      </c>
      <c r="H2847" t="s">
        <v>197</v>
      </c>
      <c r="I2847" t="s">
        <v>303</v>
      </c>
      <c r="J2847" t="s">
        <v>537</v>
      </c>
      <c r="K2847" t="s">
        <v>538</v>
      </c>
      <c r="L2847" t="s">
        <v>539</v>
      </c>
      <c r="M2847">
        <v>1508976000</v>
      </c>
      <c r="N2847" t="s">
        <v>1628</v>
      </c>
      <c r="O2847" t="s">
        <v>1628</v>
      </c>
      <c r="P2847" t="s">
        <v>1628</v>
      </c>
      <c r="Q2847">
        <f>LEN(AMAZON_FASHION_5__2[[#This Row],[reviewText]])</f>
        <v>351</v>
      </c>
      <c r="R2847" t="str">
        <f>IF(AMAZON_FASHION_5__2[[#This Row],[overall]]&gt;=4,"Positive",IF(AMAZON_FASHION_5__2[[#This Row],[overall]]&lt;=2,"Negative","Neutral"))</f>
        <v>Positive</v>
      </c>
      <c r="S28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48" spans="1:19" x14ac:dyDescent="0.25">
      <c r="A2848">
        <v>5</v>
      </c>
      <c r="B2848" t="b">
        <v>1</v>
      </c>
      <c r="C2848" s="1">
        <v>43033</v>
      </c>
      <c r="D2848">
        <f>YEAR(AMAZON_FASHION_5__2[[#This Row],[reviewDate]])</f>
        <v>2017</v>
      </c>
      <c r="E2848" s="1" t="str">
        <f>TEXT(AMAZON_FASHION_5__2[[#This Row],[reviewDate]], "mmmm")</f>
        <v>October</v>
      </c>
      <c r="F2848" t="s">
        <v>540</v>
      </c>
      <c r="G2848" t="s">
        <v>1607</v>
      </c>
      <c r="H2848" t="s">
        <v>1571</v>
      </c>
      <c r="I2848" t="s">
        <v>541</v>
      </c>
      <c r="J2848" t="s">
        <v>542</v>
      </c>
      <c r="K2848" t="s">
        <v>543</v>
      </c>
      <c r="L2848" t="s">
        <v>17</v>
      </c>
      <c r="M2848">
        <v>1508889600</v>
      </c>
      <c r="N2848" t="s">
        <v>1628</v>
      </c>
      <c r="O2848" t="s">
        <v>1628</v>
      </c>
      <c r="P2848" t="s">
        <v>1628</v>
      </c>
      <c r="Q2848">
        <f>LEN(AMAZON_FASHION_5__2[[#This Row],[reviewText]])</f>
        <v>11</v>
      </c>
      <c r="R2848" t="str">
        <f>IF(AMAZON_FASHION_5__2[[#This Row],[overall]]&gt;=4,"Positive",IF(AMAZON_FASHION_5__2[[#This Row],[overall]]&lt;=2,"Negative","Neutral"))</f>
        <v>Positive</v>
      </c>
      <c r="S28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49" spans="1:19" x14ac:dyDescent="0.25">
      <c r="A2849">
        <v>5</v>
      </c>
      <c r="B2849" t="b">
        <v>1</v>
      </c>
      <c r="C2849" s="1">
        <v>43032</v>
      </c>
      <c r="D2849">
        <f>YEAR(AMAZON_FASHION_5__2[[#This Row],[reviewDate]])</f>
        <v>2017</v>
      </c>
      <c r="E2849" s="1" t="str">
        <f>TEXT(AMAZON_FASHION_5__2[[#This Row],[reviewDate]], "mmmm")</f>
        <v>October</v>
      </c>
      <c r="F2849" t="s">
        <v>544</v>
      </c>
      <c r="G2849" t="s">
        <v>1607</v>
      </c>
      <c r="H2849" t="s">
        <v>1578</v>
      </c>
      <c r="I2849" t="s">
        <v>507</v>
      </c>
      <c r="J2849" t="s">
        <v>545</v>
      </c>
      <c r="K2849" t="s">
        <v>546</v>
      </c>
      <c r="L2849" t="s">
        <v>17</v>
      </c>
      <c r="M2849">
        <v>1508803200</v>
      </c>
      <c r="N2849" t="s">
        <v>1628</v>
      </c>
      <c r="O2849" t="s">
        <v>1628</v>
      </c>
      <c r="P2849" t="s">
        <v>1628</v>
      </c>
      <c r="Q2849">
        <f>LEN(AMAZON_FASHION_5__2[[#This Row],[reviewText]])</f>
        <v>35</v>
      </c>
      <c r="R2849" t="str">
        <f>IF(AMAZON_FASHION_5__2[[#This Row],[overall]]&gt;=4,"Positive",IF(AMAZON_FASHION_5__2[[#This Row],[overall]]&lt;=2,"Negative","Neutral"))</f>
        <v>Positive</v>
      </c>
      <c r="S28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50" spans="1:19" x14ac:dyDescent="0.25">
      <c r="A2850">
        <v>5</v>
      </c>
      <c r="B2850" t="b">
        <v>1</v>
      </c>
      <c r="C2850" s="1">
        <v>43030</v>
      </c>
      <c r="D2850">
        <f>YEAR(AMAZON_FASHION_5__2[[#This Row],[reviewDate]])</f>
        <v>2017</v>
      </c>
      <c r="E2850" s="1" t="str">
        <f>TEXT(AMAZON_FASHION_5__2[[#This Row],[reviewDate]], "mmmm")</f>
        <v>October</v>
      </c>
      <c r="F2850" t="s">
        <v>547</v>
      </c>
      <c r="G2850" t="s">
        <v>1607</v>
      </c>
      <c r="H2850" t="s">
        <v>1571</v>
      </c>
      <c r="I2850" t="s">
        <v>548</v>
      </c>
      <c r="J2850" t="s">
        <v>549</v>
      </c>
      <c r="K2850" t="s">
        <v>550</v>
      </c>
      <c r="L2850" t="s">
        <v>17</v>
      </c>
      <c r="M2850">
        <v>1508630400</v>
      </c>
      <c r="N2850" t="s">
        <v>1628</v>
      </c>
      <c r="O2850" t="s">
        <v>1628</v>
      </c>
      <c r="P2850" t="s">
        <v>1628</v>
      </c>
      <c r="Q2850">
        <f>LEN(AMAZON_FASHION_5__2[[#This Row],[reviewText]])</f>
        <v>14</v>
      </c>
      <c r="R2850" t="str">
        <f>IF(AMAZON_FASHION_5__2[[#This Row],[overall]]&gt;=4,"Positive",IF(AMAZON_FASHION_5__2[[#This Row],[overall]]&lt;=2,"Negative","Neutral"))</f>
        <v>Positive</v>
      </c>
      <c r="S28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51" spans="1:19" x14ac:dyDescent="0.25">
      <c r="A2851">
        <v>3</v>
      </c>
      <c r="B2851" t="b">
        <v>1</v>
      </c>
      <c r="C2851" s="1">
        <v>43026</v>
      </c>
      <c r="D2851">
        <f>YEAR(AMAZON_FASHION_5__2[[#This Row],[reviewDate]])</f>
        <v>2017</v>
      </c>
      <c r="E2851" s="1" t="str">
        <f>TEXT(AMAZON_FASHION_5__2[[#This Row],[reviewDate]], "mmmm")</f>
        <v>October</v>
      </c>
      <c r="F2851" t="s">
        <v>551</v>
      </c>
      <c r="G2851" t="s">
        <v>1607</v>
      </c>
      <c r="H2851" t="s">
        <v>1567</v>
      </c>
      <c r="I2851" t="s">
        <v>274</v>
      </c>
      <c r="J2851" t="s">
        <v>552</v>
      </c>
      <c r="K2851" t="s">
        <v>553</v>
      </c>
      <c r="L2851" t="s">
        <v>554</v>
      </c>
      <c r="M2851">
        <v>1508284800</v>
      </c>
      <c r="N2851" t="s">
        <v>1628</v>
      </c>
      <c r="O2851" t="s">
        <v>1628</v>
      </c>
      <c r="P2851" t="s">
        <v>1628</v>
      </c>
      <c r="Q2851">
        <f>LEN(AMAZON_FASHION_5__2[[#This Row],[reviewText]])</f>
        <v>201</v>
      </c>
      <c r="R2851" t="str">
        <f>IF(AMAZON_FASHION_5__2[[#This Row],[overall]]&gt;=4,"Positive",IF(AMAZON_FASHION_5__2[[#This Row],[overall]]&lt;=2,"Negative","Neutral"))</f>
        <v>Neutral</v>
      </c>
      <c r="S28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52" spans="1:19" x14ac:dyDescent="0.25">
      <c r="A2852">
        <v>5</v>
      </c>
      <c r="B2852" t="b">
        <v>1</v>
      </c>
      <c r="C2852" s="1">
        <v>43021</v>
      </c>
      <c r="D2852">
        <f>YEAR(AMAZON_FASHION_5__2[[#This Row],[reviewDate]])</f>
        <v>2017</v>
      </c>
      <c r="E2852" s="1" t="str">
        <f>TEXT(AMAZON_FASHION_5__2[[#This Row],[reviewDate]], "mmmm")</f>
        <v>October</v>
      </c>
      <c r="F2852" t="s">
        <v>555</v>
      </c>
      <c r="G2852" t="s">
        <v>1607</v>
      </c>
      <c r="H2852" t="s">
        <v>1578</v>
      </c>
      <c r="I2852" t="s">
        <v>303</v>
      </c>
      <c r="J2852" t="s">
        <v>63</v>
      </c>
      <c r="K2852" t="s">
        <v>556</v>
      </c>
      <c r="L2852" t="s">
        <v>17</v>
      </c>
      <c r="M2852">
        <v>1507852800</v>
      </c>
      <c r="N2852" t="s">
        <v>1628</v>
      </c>
      <c r="O2852" t="s">
        <v>1628</v>
      </c>
      <c r="P2852" t="s">
        <v>1628</v>
      </c>
      <c r="Q2852">
        <f>LEN(AMAZON_FASHION_5__2[[#This Row],[reviewText]])</f>
        <v>25</v>
      </c>
      <c r="R2852" t="str">
        <f>IF(AMAZON_FASHION_5__2[[#This Row],[overall]]&gt;=4,"Positive",IF(AMAZON_FASHION_5__2[[#This Row],[overall]]&lt;=2,"Negative","Neutral"))</f>
        <v>Positive</v>
      </c>
      <c r="S28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53" spans="1:19" x14ac:dyDescent="0.25">
      <c r="A2853">
        <v>3</v>
      </c>
      <c r="B2853" t="b">
        <v>1</v>
      </c>
      <c r="C2853" s="1">
        <v>43018</v>
      </c>
      <c r="D2853">
        <f>YEAR(AMAZON_FASHION_5__2[[#This Row],[reviewDate]])</f>
        <v>2017</v>
      </c>
      <c r="E2853" s="1" t="str">
        <f>TEXT(AMAZON_FASHION_5__2[[#This Row],[reviewDate]], "mmmm")</f>
        <v>October</v>
      </c>
      <c r="F2853" t="s">
        <v>557</v>
      </c>
      <c r="G2853" t="s">
        <v>1607</v>
      </c>
      <c r="H2853" t="s">
        <v>1572</v>
      </c>
      <c r="I2853" t="s">
        <v>198</v>
      </c>
      <c r="J2853" t="s">
        <v>559</v>
      </c>
      <c r="K2853" t="s">
        <v>560</v>
      </c>
      <c r="L2853" t="s">
        <v>561</v>
      </c>
      <c r="M2853">
        <v>1507593600</v>
      </c>
      <c r="N2853" t="s">
        <v>1628</v>
      </c>
      <c r="O2853" t="s">
        <v>1628</v>
      </c>
      <c r="P2853" t="s">
        <v>1628</v>
      </c>
      <c r="Q2853">
        <f>LEN(AMAZON_FASHION_5__2[[#This Row],[reviewText]])</f>
        <v>192</v>
      </c>
      <c r="R2853" t="str">
        <f>IF(AMAZON_FASHION_5__2[[#This Row],[overall]]&gt;=4,"Positive",IF(AMAZON_FASHION_5__2[[#This Row],[overall]]&lt;=2,"Negative","Neutral"))</f>
        <v>Neutral</v>
      </c>
      <c r="S28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54" spans="1:19" x14ac:dyDescent="0.25">
      <c r="A2854">
        <v>5</v>
      </c>
      <c r="B2854" t="b">
        <v>1</v>
      </c>
      <c r="C2854" s="1">
        <v>43011</v>
      </c>
      <c r="D2854">
        <f>YEAR(AMAZON_FASHION_5__2[[#This Row],[reviewDate]])</f>
        <v>2017</v>
      </c>
      <c r="E2854" s="1" t="str">
        <f>TEXT(AMAZON_FASHION_5__2[[#This Row],[reviewDate]], "mmmm")</f>
        <v>October</v>
      </c>
      <c r="F2854" t="s">
        <v>562</v>
      </c>
      <c r="G2854" t="s">
        <v>1607</v>
      </c>
      <c r="H2854" t="s">
        <v>1595</v>
      </c>
      <c r="I2854" t="s">
        <v>99</v>
      </c>
      <c r="J2854" t="s">
        <v>563</v>
      </c>
      <c r="K2854" t="s">
        <v>564</v>
      </c>
      <c r="L2854" t="s">
        <v>565</v>
      </c>
      <c r="M2854">
        <v>1506988800</v>
      </c>
      <c r="N2854" t="s">
        <v>1628</v>
      </c>
      <c r="O2854" t="s">
        <v>1628</v>
      </c>
      <c r="P2854" t="s">
        <v>1628</v>
      </c>
      <c r="Q2854">
        <f>LEN(AMAZON_FASHION_5__2[[#This Row],[reviewText]])</f>
        <v>230</v>
      </c>
      <c r="R2854" t="str">
        <f>IF(AMAZON_FASHION_5__2[[#This Row],[overall]]&gt;=4,"Positive",IF(AMAZON_FASHION_5__2[[#This Row],[overall]]&lt;=2,"Negative","Neutral"))</f>
        <v>Positive</v>
      </c>
      <c r="S28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55" spans="1:19" x14ac:dyDescent="0.25">
      <c r="A2855">
        <v>5</v>
      </c>
      <c r="B2855" t="b">
        <v>1</v>
      </c>
      <c r="C2855" s="1">
        <v>43010</v>
      </c>
      <c r="D2855">
        <f>YEAR(AMAZON_FASHION_5__2[[#This Row],[reviewDate]])</f>
        <v>2017</v>
      </c>
      <c r="E2855" s="1" t="str">
        <f>TEXT(AMAZON_FASHION_5__2[[#This Row],[reviewDate]], "mmmm")</f>
        <v>October</v>
      </c>
      <c r="F2855" t="s">
        <v>566</v>
      </c>
      <c r="G2855" t="s">
        <v>1607</v>
      </c>
      <c r="H2855" t="s">
        <v>1578</v>
      </c>
      <c r="I2855" t="s">
        <v>303</v>
      </c>
      <c r="J2855" t="s">
        <v>63</v>
      </c>
      <c r="K2855" t="s">
        <v>567</v>
      </c>
      <c r="L2855" t="s">
        <v>568</v>
      </c>
      <c r="M2855">
        <v>1506902400</v>
      </c>
      <c r="N2855" t="s">
        <v>1628</v>
      </c>
      <c r="O2855" t="s">
        <v>1628</v>
      </c>
      <c r="P2855" t="s">
        <v>1628</v>
      </c>
      <c r="Q2855">
        <f>LEN(AMAZON_FASHION_5__2[[#This Row],[reviewText]])</f>
        <v>171</v>
      </c>
      <c r="R2855" t="str">
        <f>IF(AMAZON_FASHION_5__2[[#This Row],[overall]]&gt;=4,"Positive",IF(AMAZON_FASHION_5__2[[#This Row],[overall]]&lt;=2,"Negative","Neutral"))</f>
        <v>Positive</v>
      </c>
      <c r="S28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56" spans="1:19" x14ac:dyDescent="0.25">
      <c r="A2856">
        <v>5</v>
      </c>
      <c r="B2856" t="b">
        <v>1</v>
      </c>
      <c r="C2856" s="1">
        <v>43005</v>
      </c>
      <c r="D2856">
        <f>YEAR(AMAZON_FASHION_5__2[[#This Row],[reviewDate]])</f>
        <v>2017</v>
      </c>
      <c r="E2856" s="1" t="str">
        <f>TEXT(AMAZON_FASHION_5__2[[#This Row],[reviewDate]], "mmmm")</f>
        <v>September</v>
      </c>
      <c r="F2856" t="s">
        <v>569</v>
      </c>
      <c r="G2856" t="s">
        <v>1607</v>
      </c>
      <c r="H2856" t="s">
        <v>1567</v>
      </c>
      <c r="I2856" t="s">
        <v>99</v>
      </c>
      <c r="J2856" t="s">
        <v>570</v>
      </c>
      <c r="K2856" t="s">
        <v>571</v>
      </c>
      <c r="L2856" t="s">
        <v>17</v>
      </c>
      <c r="M2856">
        <v>1506470400</v>
      </c>
      <c r="N2856" t="s">
        <v>1628</v>
      </c>
      <c r="O2856" t="s">
        <v>1628</v>
      </c>
      <c r="P2856" t="s">
        <v>1628</v>
      </c>
      <c r="Q2856">
        <f>LEN(AMAZON_FASHION_5__2[[#This Row],[reviewText]])</f>
        <v>12</v>
      </c>
      <c r="R2856" t="str">
        <f>IF(AMAZON_FASHION_5__2[[#This Row],[overall]]&gt;=4,"Positive",IF(AMAZON_FASHION_5__2[[#This Row],[overall]]&lt;=2,"Negative","Neutral"))</f>
        <v>Positive</v>
      </c>
      <c r="S28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57" spans="1:19" x14ac:dyDescent="0.25">
      <c r="A2857">
        <v>5</v>
      </c>
      <c r="B2857" t="b">
        <v>1</v>
      </c>
      <c r="C2857" s="1">
        <v>43004</v>
      </c>
      <c r="D2857">
        <f>YEAR(AMAZON_FASHION_5__2[[#This Row],[reviewDate]])</f>
        <v>2017</v>
      </c>
      <c r="E2857" s="1" t="str">
        <f>TEXT(AMAZON_FASHION_5__2[[#This Row],[reviewDate]], "mmmm")</f>
        <v>September</v>
      </c>
      <c r="F2857" t="s">
        <v>578</v>
      </c>
      <c r="G2857" t="s">
        <v>1607</v>
      </c>
      <c r="H2857" t="s">
        <v>1598</v>
      </c>
      <c r="I2857" t="s">
        <v>198</v>
      </c>
      <c r="J2857" t="s">
        <v>579</v>
      </c>
      <c r="K2857" t="s">
        <v>580</v>
      </c>
      <c r="L2857" t="s">
        <v>17</v>
      </c>
      <c r="M2857">
        <v>1506384000</v>
      </c>
      <c r="N2857" t="s">
        <v>1628</v>
      </c>
      <c r="O2857" t="s">
        <v>1628</v>
      </c>
      <c r="P2857" t="s">
        <v>1628</v>
      </c>
      <c r="Q2857">
        <f>LEN(AMAZON_FASHION_5__2[[#This Row],[reviewText]])</f>
        <v>9</v>
      </c>
      <c r="R2857" t="str">
        <f>IF(AMAZON_FASHION_5__2[[#This Row],[overall]]&gt;=4,"Positive",IF(AMAZON_FASHION_5__2[[#This Row],[overall]]&lt;=2,"Negative","Neutral"))</f>
        <v>Positive</v>
      </c>
      <c r="S28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58" spans="1:19" x14ac:dyDescent="0.25">
      <c r="A2858">
        <v>5</v>
      </c>
      <c r="B2858" t="b">
        <v>1</v>
      </c>
      <c r="C2858" s="1">
        <v>43003</v>
      </c>
      <c r="D2858">
        <f>YEAR(AMAZON_FASHION_5__2[[#This Row],[reviewDate]])</f>
        <v>2017</v>
      </c>
      <c r="E2858" s="1" t="str">
        <f>TEXT(AMAZON_FASHION_5__2[[#This Row],[reviewDate]], "mmmm")</f>
        <v>September</v>
      </c>
      <c r="F2858" t="s">
        <v>581</v>
      </c>
      <c r="G2858" t="s">
        <v>1607</v>
      </c>
      <c r="H2858" t="s">
        <v>235</v>
      </c>
      <c r="I2858" t="s">
        <v>198</v>
      </c>
      <c r="J2858" t="s">
        <v>582</v>
      </c>
      <c r="K2858" t="s">
        <v>583</v>
      </c>
      <c r="L2858" t="s">
        <v>17</v>
      </c>
      <c r="M2858">
        <v>1506297600</v>
      </c>
      <c r="N2858" t="s">
        <v>1628</v>
      </c>
      <c r="O2858" t="s">
        <v>1628</v>
      </c>
      <c r="P2858" t="s">
        <v>1628</v>
      </c>
      <c r="Q2858">
        <f>LEN(AMAZON_FASHION_5__2[[#This Row],[reviewText]])</f>
        <v>50</v>
      </c>
      <c r="R2858" t="str">
        <f>IF(AMAZON_FASHION_5__2[[#This Row],[overall]]&gt;=4,"Positive",IF(AMAZON_FASHION_5__2[[#This Row],[overall]]&lt;=2,"Negative","Neutral"))</f>
        <v>Positive</v>
      </c>
      <c r="S28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59" spans="1:19" x14ac:dyDescent="0.25">
      <c r="A2859">
        <v>5</v>
      </c>
      <c r="B2859" t="b">
        <v>1</v>
      </c>
      <c r="C2859" s="1">
        <v>42998</v>
      </c>
      <c r="D2859">
        <f>YEAR(AMAZON_FASHION_5__2[[#This Row],[reviewDate]])</f>
        <v>2017</v>
      </c>
      <c r="E2859" s="1" t="str">
        <f>TEXT(AMAZON_FASHION_5__2[[#This Row],[reviewDate]], "mmmm")</f>
        <v>September</v>
      </c>
      <c r="F2859" t="s">
        <v>584</v>
      </c>
      <c r="G2859" t="s">
        <v>1607</v>
      </c>
      <c r="H2859" t="s">
        <v>1568</v>
      </c>
      <c r="I2859" t="s">
        <v>99</v>
      </c>
      <c r="J2859" t="s">
        <v>63</v>
      </c>
      <c r="K2859" t="s">
        <v>585</v>
      </c>
      <c r="L2859" t="s">
        <v>586</v>
      </c>
      <c r="M2859">
        <v>1505865600</v>
      </c>
      <c r="N2859" t="s">
        <v>1628</v>
      </c>
      <c r="O2859" t="s">
        <v>1628</v>
      </c>
      <c r="P2859" t="s">
        <v>1628</v>
      </c>
      <c r="Q2859">
        <f>LEN(AMAZON_FASHION_5__2[[#This Row],[reviewText]])</f>
        <v>370</v>
      </c>
      <c r="R2859" t="str">
        <f>IF(AMAZON_FASHION_5__2[[#This Row],[overall]]&gt;=4,"Positive",IF(AMAZON_FASHION_5__2[[#This Row],[overall]]&lt;=2,"Negative","Neutral"))</f>
        <v>Positive</v>
      </c>
      <c r="S28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60" spans="1:19" x14ac:dyDescent="0.25">
      <c r="A2860">
        <v>5</v>
      </c>
      <c r="B2860" t="b">
        <v>1</v>
      </c>
      <c r="C2860" s="1">
        <v>42996</v>
      </c>
      <c r="D2860">
        <f>YEAR(AMAZON_FASHION_5__2[[#This Row],[reviewDate]])</f>
        <v>2017</v>
      </c>
      <c r="E2860" s="1" t="str">
        <f>TEXT(AMAZON_FASHION_5__2[[#This Row],[reviewDate]], "mmmm")</f>
        <v>September</v>
      </c>
      <c r="F2860" t="s">
        <v>587</v>
      </c>
      <c r="G2860" t="s">
        <v>1607</v>
      </c>
      <c r="H2860" t="s">
        <v>1571</v>
      </c>
      <c r="I2860" t="s">
        <v>198</v>
      </c>
      <c r="J2860" t="s">
        <v>588</v>
      </c>
      <c r="K2860" t="s">
        <v>589</v>
      </c>
      <c r="L2860" t="s">
        <v>590</v>
      </c>
      <c r="M2860">
        <v>1505692800</v>
      </c>
      <c r="N2860" t="s">
        <v>1628</v>
      </c>
      <c r="O2860" t="s">
        <v>1628</v>
      </c>
      <c r="P2860" t="s">
        <v>1628</v>
      </c>
      <c r="Q2860">
        <f>LEN(AMAZON_FASHION_5__2[[#This Row],[reviewText]])</f>
        <v>49</v>
      </c>
      <c r="R2860" t="str">
        <f>IF(AMAZON_FASHION_5__2[[#This Row],[overall]]&gt;=4,"Positive",IF(AMAZON_FASHION_5__2[[#This Row],[overall]]&lt;=2,"Negative","Neutral"))</f>
        <v>Positive</v>
      </c>
      <c r="S28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61" spans="1:19" x14ac:dyDescent="0.25">
      <c r="A2861">
        <v>5</v>
      </c>
      <c r="B2861" t="b">
        <v>1</v>
      </c>
      <c r="C2861" s="1">
        <v>42994</v>
      </c>
      <c r="D2861">
        <f>YEAR(AMAZON_FASHION_5__2[[#This Row],[reviewDate]])</f>
        <v>2017</v>
      </c>
      <c r="E2861" s="1" t="str">
        <f>TEXT(AMAZON_FASHION_5__2[[#This Row],[reviewDate]], "mmmm")</f>
        <v>September</v>
      </c>
      <c r="F2861" t="s">
        <v>591</v>
      </c>
      <c r="G2861" t="s">
        <v>1607</v>
      </c>
      <c r="H2861" t="s">
        <v>1568</v>
      </c>
      <c r="I2861" t="s">
        <v>507</v>
      </c>
      <c r="J2861" t="s">
        <v>63</v>
      </c>
      <c r="K2861" t="s">
        <v>592</v>
      </c>
      <c r="L2861" t="s">
        <v>593</v>
      </c>
      <c r="M2861">
        <v>1505520000</v>
      </c>
      <c r="N2861" t="s">
        <v>1628</v>
      </c>
      <c r="O2861" t="s">
        <v>1628</v>
      </c>
      <c r="P2861" t="s">
        <v>1628</v>
      </c>
      <c r="Q2861">
        <f>LEN(AMAZON_FASHION_5__2[[#This Row],[reviewText]])</f>
        <v>40</v>
      </c>
      <c r="R2861" t="str">
        <f>IF(AMAZON_FASHION_5__2[[#This Row],[overall]]&gt;=4,"Positive",IF(AMAZON_FASHION_5__2[[#This Row],[overall]]&lt;=2,"Negative","Neutral"))</f>
        <v>Positive</v>
      </c>
      <c r="S28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62" spans="1:19" x14ac:dyDescent="0.25">
      <c r="A2862">
        <v>5</v>
      </c>
      <c r="B2862" t="b">
        <v>1</v>
      </c>
      <c r="C2862" s="1">
        <v>42992</v>
      </c>
      <c r="D2862">
        <f>YEAR(AMAZON_FASHION_5__2[[#This Row],[reviewDate]])</f>
        <v>2017</v>
      </c>
      <c r="E2862" s="1" t="str">
        <f>TEXT(AMAZON_FASHION_5__2[[#This Row],[reviewDate]], "mmmm")</f>
        <v>September</v>
      </c>
      <c r="F2862" t="s">
        <v>594</v>
      </c>
      <c r="G2862" t="s">
        <v>1607</v>
      </c>
      <c r="H2862" t="s">
        <v>1578</v>
      </c>
      <c r="I2862" t="s">
        <v>524</v>
      </c>
      <c r="J2862" t="s">
        <v>1602</v>
      </c>
      <c r="K2862" t="s">
        <v>596</v>
      </c>
      <c r="L2862" t="s">
        <v>597</v>
      </c>
      <c r="M2862">
        <v>1505347200</v>
      </c>
      <c r="N2862" t="s">
        <v>1628</v>
      </c>
      <c r="O2862" t="s">
        <v>1628</v>
      </c>
      <c r="P2862" t="s">
        <v>1628</v>
      </c>
      <c r="Q2862">
        <f>LEN(AMAZON_FASHION_5__2[[#This Row],[reviewText]])</f>
        <v>23</v>
      </c>
      <c r="R2862" t="str">
        <f>IF(AMAZON_FASHION_5__2[[#This Row],[overall]]&gt;=4,"Positive",IF(AMAZON_FASHION_5__2[[#This Row],[overall]]&lt;=2,"Negative","Neutral"))</f>
        <v>Positive</v>
      </c>
      <c r="S28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63" spans="1:19" x14ac:dyDescent="0.25">
      <c r="A2863">
        <v>5</v>
      </c>
      <c r="B2863" t="b">
        <v>1</v>
      </c>
      <c r="C2863" s="1">
        <v>42991</v>
      </c>
      <c r="D2863">
        <f>YEAR(AMAZON_FASHION_5__2[[#This Row],[reviewDate]])</f>
        <v>2017</v>
      </c>
      <c r="E2863" s="1" t="str">
        <f>TEXT(AMAZON_FASHION_5__2[[#This Row],[reviewDate]], "mmmm")</f>
        <v>September</v>
      </c>
      <c r="F2863" t="s">
        <v>598</v>
      </c>
      <c r="G2863" t="s">
        <v>1607</v>
      </c>
      <c r="H2863" t="s">
        <v>1571</v>
      </c>
      <c r="I2863" t="s">
        <v>599</v>
      </c>
      <c r="J2863" t="s">
        <v>600</v>
      </c>
      <c r="K2863" t="s">
        <v>601</v>
      </c>
      <c r="L2863" t="s">
        <v>17</v>
      </c>
      <c r="M2863">
        <v>1505260800</v>
      </c>
      <c r="N2863" t="s">
        <v>1628</v>
      </c>
      <c r="O2863" t="s">
        <v>1628</v>
      </c>
      <c r="P2863" t="s">
        <v>1628</v>
      </c>
      <c r="Q2863">
        <f>LEN(AMAZON_FASHION_5__2[[#This Row],[reviewText]])</f>
        <v>28</v>
      </c>
      <c r="R2863" t="str">
        <f>IF(AMAZON_FASHION_5__2[[#This Row],[overall]]&gt;=4,"Positive",IF(AMAZON_FASHION_5__2[[#This Row],[overall]]&lt;=2,"Negative","Neutral"))</f>
        <v>Positive</v>
      </c>
      <c r="S28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64" spans="1:19" x14ac:dyDescent="0.25">
      <c r="A2864">
        <v>5</v>
      </c>
      <c r="B2864" t="b">
        <v>1</v>
      </c>
      <c r="C2864" s="1">
        <v>42988</v>
      </c>
      <c r="D2864">
        <f>YEAR(AMAZON_FASHION_5__2[[#This Row],[reviewDate]])</f>
        <v>2017</v>
      </c>
      <c r="E2864" s="1" t="str">
        <f>TEXT(AMAZON_FASHION_5__2[[#This Row],[reviewDate]], "mmmm")</f>
        <v>September</v>
      </c>
      <c r="F2864" t="s">
        <v>602</v>
      </c>
      <c r="G2864" t="s">
        <v>1607</v>
      </c>
      <c r="H2864" t="s">
        <v>1567</v>
      </c>
      <c r="I2864" t="s">
        <v>274</v>
      </c>
      <c r="J2864" t="s">
        <v>63</v>
      </c>
      <c r="K2864" t="s">
        <v>603</v>
      </c>
      <c r="L2864" t="s">
        <v>17</v>
      </c>
      <c r="M2864">
        <v>1505001600</v>
      </c>
      <c r="N2864" t="s">
        <v>1628</v>
      </c>
      <c r="O2864" t="s">
        <v>1628</v>
      </c>
      <c r="P2864" t="s">
        <v>1628</v>
      </c>
      <c r="Q2864">
        <f>LEN(AMAZON_FASHION_5__2[[#This Row],[reviewText]])</f>
        <v>48</v>
      </c>
      <c r="R2864" t="str">
        <f>IF(AMAZON_FASHION_5__2[[#This Row],[overall]]&gt;=4,"Positive",IF(AMAZON_FASHION_5__2[[#This Row],[overall]]&lt;=2,"Negative","Neutral"))</f>
        <v>Positive</v>
      </c>
      <c r="S28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65" spans="1:19" x14ac:dyDescent="0.25">
      <c r="A2865">
        <v>5</v>
      </c>
      <c r="B2865" t="b">
        <v>1</v>
      </c>
      <c r="C2865" s="1">
        <v>42985</v>
      </c>
      <c r="D2865">
        <f>YEAR(AMAZON_FASHION_5__2[[#This Row],[reviewDate]])</f>
        <v>2017</v>
      </c>
      <c r="E2865" s="1" t="str">
        <f>TEXT(AMAZON_FASHION_5__2[[#This Row],[reviewDate]], "mmmm")</f>
        <v>September</v>
      </c>
      <c r="F2865" t="s">
        <v>604</v>
      </c>
      <c r="G2865" t="s">
        <v>1607</v>
      </c>
      <c r="H2865" t="s">
        <v>1571</v>
      </c>
      <c r="I2865" t="s">
        <v>507</v>
      </c>
      <c r="J2865" t="s">
        <v>605</v>
      </c>
      <c r="K2865" t="s">
        <v>606</v>
      </c>
      <c r="L2865" t="s">
        <v>607</v>
      </c>
      <c r="M2865">
        <v>1504742400</v>
      </c>
      <c r="N2865" t="s">
        <v>1628</v>
      </c>
      <c r="O2865" t="s">
        <v>1628</v>
      </c>
      <c r="P2865" t="s">
        <v>1628</v>
      </c>
      <c r="Q2865">
        <f>LEN(AMAZON_FASHION_5__2[[#This Row],[reviewText]])</f>
        <v>119</v>
      </c>
      <c r="R2865" t="str">
        <f>IF(AMAZON_FASHION_5__2[[#This Row],[overall]]&gt;=4,"Positive",IF(AMAZON_FASHION_5__2[[#This Row],[overall]]&lt;=2,"Negative","Neutral"))</f>
        <v>Positive</v>
      </c>
      <c r="S28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66" spans="1:19" x14ac:dyDescent="0.25">
      <c r="A2866">
        <v>5</v>
      </c>
      <c r="B2866" t="b">
        <v>1</v>
      </c>
      <c r="C2866" s="1">
        <v>42983</v>
      </c>
      <c r="D2866">
        <f>YEAR(AMAZON_FASHION_5__2[[#This Row],[reviewDate]])</f>
        <v>2017</v>
      </c>
      <c r="E2866" s="1" t="str">
        <f>TEXT(AMAZON_FASHION_5__2[[#This Row],[reviewDate]], "mmmm")</f>
        <v>September</v>
      </c>
      <c r="F2866" t="s">
        <v>608</v>
      </c>
      <c r="G2866" t="s">
        <v>1607</v>
      </c>
      <c r="H2866" t="s">
        <v>235</v>
      </c>
      <c r="I2866" t="s">
        <v>274</v>
      </c>
      <c r="J2866" t="s">
        <v>609</v>
      </c>
      <c r="K2866" t="s">
        <v>610</v>
      </c>
      <c r="L2866" t="s">
        <v>17</v>
      </c>
      <c r="M2866">
        <v>1504569600</v>
      </c>
      <c r="N2866" t="s">
        <v>1628</v>
      </c>
      <c r="O2866" t="s">
        <v>1628</v>
      </c>
      <c r="P2866" t="s">
        <v>1628</v>
      </c>
      <c r="Q2866">
        <f>LEN(AMAZON_FASHION_5__2[[#This Row],[reviewText]])</f>
        <v>16</v>
      </c>
      <c r="R2866" t="str">
        <f>IF(AMAZON_FASHION_5__2[[#This Row],[overall]]&gt;=4,"Positive",IF(AMAZON_FASHION_5__2[[#This Row],[overall]]&lt;=2,"Negative","Neutral"))</f>
        <v>Positive</v>
      </c>
      <c r="S28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67" spans="1:19" x14ac:dyDescent="0.25">
      <c r="A2867">
        <v>5</v>
      </c>
      <c r="B2867" t="b">
        <v>1</v>
      </c>
      <c r="C2867" s="1">
        <v>42982</v>
      </c>
      <c r="D2867">
        <f>YEAR(AMAZON_FASHION_5__2[[#This Row],[reviewDate]])</f>
        <v>2017</v>
      </c>
      <c r="E2867" s="1" t="str">
        <f>TEXT(AMAZON_FASHION_5__2[[#This Row],[reviewDate]], "mmmm")</f>
        <v>September</v>
      </c>
      <c r="F2867" t="s">
        <v>611</v>
      </c>
      <c r="G2867" t="s">
        <v>1607</v>
      </c>
      <c r="H2867" t="s">
        <v>235</v>
      </c>
      <c r="I2867" t="s">
        <v>198</v>
      </c>
      <c r="J2867" t="s">
        <v>612</v>
      </c>
      <c r="K2867" t="s">
        <v>613</v>
      </c>
      <c r="L2867" t="s">
        <v>17</v>
      </c>
      <c r="M2867">
        <v>1504483200</v>
      </c>
      <c r="N2867" t="s">
        <v>1628</v>
      </c>
      <c r="O2867" t="s">
        <v>1628</v>
      </c>
      <c r="P2867" t="s">
        <v>1628</v>
      </c>
      <c r="Q2867">
        <f>LEN(AMAZON_FASHION_5__2[[#This Row],[reviewText]])</f>
        <v>12</v>
      </c>
      <c r="R2867" t="str">
        <f>IF(AMAZON_FASHION_5__2[[#This Row],[overall]]&gt;=4,"Positive",IF(AMAZON_FASHION_5__2[[#This Row],[overall]]&lt;=2,"Negative","Neutral"))</f>
        <v>Positive</v>
      </c>
      <c r="S28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68" spans="1:19" x14ac:dyDescent="0.25">
      <c r="A2868">
        <v>4</v>
      </c>
      <c r="B2868" t="b">
        <v>1</v>
      </c>
      <c r="C2868" s="1">
        <v>42976</v>
      </c>
      <c r="D2868">
        <f>YEAR(AMAZON_FASHION_5__2[[#This Row],[reviewDate]])</f>
        <v>2017</v>
      </c>
      <c r="E2868" s="1" t="str">
        <f>TEXT(AMAZON_FASHION_5__2[[#This Row],[reviewDate]], "mmmm")</f>
        <v>August</v>
      </c>
      <c r="F2868" t="s">
        <v>614</v>
      </c>
      <c r="G2868" t="s">
        <v>1607</v>
      </c>
      <c r="H2868" t="s">
        <v>1571</v>
      </c>
      <c r="I2868" t="s">
        <v>507</v>
      </c>
      <c r="J2868" t="s">
        <v>615</v>
      </c>
      <c r="K2868" t="s">
        <v>616</v>
      </c>
      <c r="L2868" t="s">
        <v>617</v>
      </c>
      <c r="M2868">
        <v>1503964800</v>
      </c>
      <c r="N2868" t="s">
        <v>1628</v>
      </c>
      <c r="O2868" t="s">
        <v>1628</v>
      </c>
      <c r="P2868" t="s">
        <v>1628</v>
      </c>
      <c r="Q2868">
        <f>LEN(AMAZON_FASHION_5__2[[#This Row],[reviewText]])</f>
        <v>118</v>
      </c>
      <c r="R2868" t="str">
        <f>IF(AMAZON_FASHION_5__2[[#This Row],[overall]]&gt;=4,"Positive",IF(AMAZON_FASHION_5__2[[#This Row],[overall]]&lt;=2,"Negative","Neutral"))</f>
        <v>Positive</v>
      </c>
      <c r="S28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69" spans="1:19" x14ac:dyDescent="0.25">
      <c r="A2869">
        <v>1</v>
      </c>
      <c r="B2869" t="b">
        <v>1</v>
      </c>
      <c r="C2869" s="1">
        <v>42976</v>
      </c>
      <c r="D2869">
        <f>YEAR(AMAZON_FASHION_5__2[[#This Row],[reviewDate]])</f>
        <v>2017</v>
      </c>
      <c r="E2869" s="1" t="str">
        <f>TEXT(AMAZON_FASHION_5__2[[#This Row],[reviewDate]], "mmmm")</f>
        <v>August</v>
      </c>
      <c r="F2869" t="s">
        <v>618</v>
      </c>
      <c r="G2869" t="s">
        <v>1607</v>
      </c>
      <c r="H2869" t="s">
        <v>1572</v>
      </c>
      <c r="I2869" t="s">
        <v>198</v>
      </c>
      <c r="J2869" t="s">
        <v>619</v>
      </c>
      <c r="K2869" t="s">
        <v>620</v>
      </c>
      <c r="L2869" t="s">
        <v>65</v>
      </c>
      <c r="M2869">
        <v>1503964800</v>
      </c>
      <c r="N2869" t="s">
        <v>1628</v>
      </c>
      <c r="O2869" t="s">
        <v>1628</v>
      </c>
      <c r="P2869" t="s">
        <v>1628</v>
      </c>
      <c r="Q2869">
        <f>LEN(AMAZON_FASHION_5__2[[#This Row],[reviewText]])</f>
        <v>52</v>
      </c>
      <c r="R2869" t="str">
        <f>IF(AMAZON_FASHION_5__2[[#This Row],[overall]]&gt;=4,"Positive",IF(AMAZON_FASHION_5__2[[#This Row],[overall]]&lt;=2,"Negative","Neutral"))</f>
        <v>Negative</v>
      </c>
      <c r="S28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70" spans="1:19" x14ac:dyDescent="0.25">
      <c r="A2870">
        <v>5</v>
      </c>
      <c r="B2870" t="b">
        <v>1</v>
      </c>
      <c r="C2870" s="1">
        <v>42976</v>
      </c>
      <c r="D2870">
        <f>YEAR(AMAZON_FASHION_5__2[[#This Row],[reviewDate]])</f>
        <v>2017</v>
      </c>
      <c r="E2870" s="1" t="str">
        <f>TEXT(AMAZON_FASHION_5__2[[#This Row],[reviewDate]], "mmmm")</f>
        <v>August</v>
      </c>
      <c r="F2870" t="s">
        <v>621</v>
      </c>
      <c r="G2870" t="s">
        <v>1607</v>
      </c>
      <c r="H2870" t="s">
        <v>210</v>
      </c>
      <c r="I2870" t="s">
        <v>198</v>
      </c>
      <c r="J2870" t="s">
        <v>622</v>
      </c>
      <c r="K2870" t="s">
        <v>623</v>
      </c>
      <c r="L2870" t="s">
        <v>17</v>
      </c>
      <c r="M2870">
        <v>1503964800</v>
      </c>
      <c r="N2870" t="s">
        <v>1628</v>
      </c>
      <c r="O2870" t="s">
        <v>1628</v>
      </c>
      <c r="P2870" t="s">
        <v>1628</v>
      </c>
      <c r="Q2870">
        <f>LEN(AMAZON_FASHION_5__2[[#This Row],[reviewText]])</f>
        <v>30</v>
      </c>
      <c r="R2870" t="str">
        <f>IF(AMAZON_FASHION_5__2[[#This Row],[overall]]&gt;=4,"Positive",IF(AMAZON_FASHION_5__2[[#This Row],[overall]]&lt;=2,"Negative","Neutral"))</f>
        <v>Positive</v>
      </c>
      <c r="S28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71" spans="1:19" x14ac:dyDescent="0.25">
      <c r="A2871">
        <v>5</v>
      </c>
      <c r="B2871" t="b">
        <v>1</v>
      </c>
      <c r="C2871" s="1">
        <v>42974</v>
      </c>
      <c r="D2871">
        <f>YEAR(AMAZON_FASHION_5__2[[#This Row],[reviewDate]])</f>
        <v>2017</v>
      </c>
      <c r="E2871" s="1" t="str">
        <f>TEXT(AMAZON_FASHION_5__2[[#This Row],[reviewDate]], "mmmm")</f>
        <v>August</v>
      </c>
      <c r="F2871" t="s">
        <v>624</v>
      </c>
      <c r="G2871" t="s">
        <v>1607</v>
      </c>
      <c r="H2871" t="s">
        <v>1578</v>
      </c>
      <c r="I2871" t="s">
        <v>99</v>
      </c>
      <c r="J2871" t="s">
        <v>625</v>
      </c>
      <c r="K2871" t="s">
        <v>626</v>
      </c>
      <c r="L2871" t="s">
        <v>627</v>
      </c>
      <c r="M2871">
        <v>1503792000</v>
      </c>
      <c r="N2871" t="s">
        <v>1628</v>
      </c>
      <c r="O2871" t="s">
        <v>1628</v>
      </c>
      <c r="P2871" t="s">
        <v>1628</v>
      </c>
      <c r="Q2871">
        <f>LEN(AMAZON_FASHION_5__2[[#This Row],[reviewText]])</f>
        <v>17</v>
      </c>
      <c r="R2871" t="str">
        <f>IF(AMAZON_FASHION_5__2[[#This Row],[overall]]&gt;=4,"Positive",IF(AMAZON_FASHION_5__2[[#This Row],[overall]]&lt;=2,"Negative","Neutral"))</f>
        <v>Positive</v>
      </c>
      <c r="S28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72" spans="1:19" x14ac:dyDescent="0.25">
      <c r="A2872">
        <v>4</v>
      </c>
      <c r="B2872" t="b">
        <v>1</v>
      </c>
      <c r="C2872" s="1">
        <v>42971</v>
      </c>
      <c r="D2872">
        <f>YEAR(AMAZON_FASHION_5__2[[#This Row],[reviewDate]])</f>
        <v>2017</v>
      </c>
      <c r="E2872" s="1" t="str">
        <f>TEXT(AMAZON_FASHION_5__2[[#This Row],[reviewDate]], "mmmm")</f>
        <v>August</v>
      </c>
      <c r="F2872" t="s">
        <v>628</v>
      </c>
      <c r="G2872" t="s">
        <v>1607</v>
      </c>
      <c r="H2872" t="s">
        <v>1567</v>
      </c>
      <c r="I2872" t="s">
        <v>435</v>
      </c>
      <c r="J2872" t="s">
        <v>629</v>
      </c>
      <c r="K2872" t="s">
        <v>630</v>
      </c>
      <c r="L2872" t="s">
        <v>247</v>
      </c>
      <c r="M2872">
        <v>1503532800</v>
      </c>
      <c r="N2872" t="s">
        <v>1628</v>
      </c>
      <c r="O2872" t="s">
        <v>1628</v>
      </c>
      <c r="P2872" t="s">
        <v>1628</v>
      </c>
      <c r="Q2872">
        <f>LEN(AMAZON_FASHION_5__2[[#This Row],[reviewText]])</f>
        <v>225</v>
      </c>
      <c r="R2872" t="str">
        <f>IF(AMAZON_FASHION_5__2[[#This Row],[overall]]&gt;=4,"Positive",IF(AMAZON_FASHION_5__2[[#This Row],[overall]]&lt;=2,"Negative","Neutral"))</f>
        <v>Positive</v>
      </c>
      <c r="S28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73" spans="1:19" x14ac:dyDescent="0.25">
      <c r="A2873">
        <v>1</v>
      </c>
      <c r="B2873" t="b">
        <v>1</v>
      </c>
      <c r="C2873" s="1">
        <v>42971</v>
      </c>
      <c r="D2873">
        <f>YEAR(AMAZON_FASHION_5__2[[#This Row],[reviewDate]])</f>
        <v>2017</v>
      </c>
      <c r="E2873" s="1" t="str">
        <f>TEXT(AMAZON_FASHION_5__2[[#This Row],[reviewDate]], "mmmm")</f>
        <v>August</v>
      </c>
      <c r="F2873" t="s">
        <v>631</v>
      </c>
      <c r="G2873" t="s">
        <v>1607</v>
      </c>
      <c r="H2873" t="s">
        <v>1568</v>
      </c>
      <c r="I2873" t="s">
        <v>411</v>
      </c>
      <c r="J2873" t="s">
        <v>632</v>
      </c>
      <c r="K2873" t="s">
        <v>633</v>
      </c>
      <c r="L2873" t="s">
        <v>634</v>
      </c>
      <c r="M2873">
        <v>1503532800</v>
      </c>
      <c r="N2873" t="s">
        <v>1628</v>
      </c>
      <c r="O2873" t="s">
        <v>1628</v>
      </c>
      <c r="P2873" t="s">
        <v>1628</v>
      </c>
      <c r="Q2873">
        <f>LEN(AMAZON_FASHION_5__2[[#This Row],[reviewText]])</f>
        <v>213</v>
      </c>
      <c r="R2873" t="str">
        <f>IF(AMAZON_FASHION_5__2[[#This Row],[overall]]&gt;=4,"Positive",IF(AMAZON_FASHION_5__2[[#This Row],[overall]]&lt;=2,"Negative","Neutral"))</f>
        <v>Negative</v>
      </c>
      <c r="S28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74" spans="1:19" x14ac:dyDescent="0.25">
      <c r="A2874">
        <v>5</v>
      </c>
      <c r="B2874" t="b">
        <v>1</v>
      </c>
      <c r="C2874" s="1">
        <v>42968</v>
      </c>
      <c r="D2874">
        <f>YEAR(AMAZON_FASHION_5__2[[#This Row],[reviewDate]])</f>
        <v>2017</v>
      </c>
      <c r="E2874" s="1" t="str">
        <f>TEXT(AMAZON_FASHION_5__2[[#This Row],[reviewDate]], "mmmm")</f>
        <v>August</v>
      </c>
      <c r="F2874" t="s">
        <v>635</v>
      </c>
      <c r="G2874" t="s">
        <v>1607</v>
      </c>
      <c r="H2874" t="s">
        <v>477</v>
      </c>
      <c r="I2874" t="s">
        <v>303</v>
      </c>
      <c r="J2874" t="s">
        <v>636</v>
      </c>
      <c r="K2874" t="s">
        <v>637</v>
      </c>
      <c r="L2874" t="s">
        <v>638</v>
      </c>
      <c r="M2874">
        <v>1503273600</v>
      </c>
      <c r="N2874" t="s">
        <v>1628</v>
      </c>
      <c r="O2874" t="s">
        <v>1628</v>
      </c>
      <c r="P2874" t="s">
        <v>1628</v>
      </c>
      <c r="Q2874">
        <f>LEN(AMAZON_FASHION_5__2[[#This Row],[reviewText]])</f>
        <v>55</v>
      </c>
      <c r="R2874" t="str">
        <f>IF(AMAZON_FASHION_5__2[[#This Row],[overall]]&gt;=4,"Positive",IF(AMAZON_FASHION_5__2[[#This Row],[overall]]&lt;=2,"Negative","Neutral"))</f>
        <v>Positive</v>
      </c>
      <c r="S28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75" spans="1:19" x14ac:dyDescent="0.25">
      <c r="A2875">
        <v>5</v>
      </c>
      <c r="B2875" t="b">
        <v>1</v>
      </c>
      <c r="C2875" s="1">
        <v>42967</v>
      </c>
      <c r="D2875">
        <f>YEAR(AMAZON_FASHION_5__2[[#This Row],[reviewDate]])</f>
        <v>2017</v>
      </c>
      <c r="E2875" s="1" t="str">
        <f>TEXT(AMAZON_FASHION_5__2[[#This Row],[reviewDate]], "mmmm")</f>
        <v>August</v>
      </c>
      <c r="F2875" t="s">
        <v>639</v>
      </c>
      <c r="G2875" t="s">
        <v>1607</v>
      </c>
      <c r="H2875" t="s">
        <v>1574</v>
      </c>
      <c r="I2875" t="s">
        <v>198</v>
      </c>
      <c r="J2875" t="s">
        <v>640</v>
      </c>
      <c r="K2875" t="s">
        <v>406</v>
      </c>
      <c r="L2875" t="s">
        <v>17</v>
      </c>
      <c r="M2875">
        <v>1503187200</v>
      </c>
      <c r="N2875" t="s">
        <v>1628</v>
      </c>
      <c r="O2875" t="s">
        <v>1628</v>
      </c>
      <c r="P2875" t="s">
        <v>1628</v>
      </c>
      <c r="Q2875">
        <f>LEN(AMAZON_FASHION_5__2[[#This Row],[reviewText]])</f>
        <v>10</v>
      </c>
      <c r="R2875" t="str">
        <f>IF(AMAZON_FASHION_5__2[[#This Row],[overall]]&gt;=4,"Positive",IF(AMAZON_FASHION_5__2[[#This Row],[overall]]&lt;=2,"Negative","Neutral"))</f>
        <v>Positive</v>
      </c>
      <c r="S28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76" spans="1:19" x14ac:dyDescent="0.25">
      <c r="A2876">
        <v>3</v>
      </c>
      <c r="B2876" t="b">
        <v>1</v>
      </c>
      <c r="C2876" s="1">
        <v>42964</v>
      </c>
      <c r="D2876">
        <f>YEAR(AMAZON_FASHION_5__2[[#This Row],[reviewDate]])</f>
        <v>2017</v>
      </c>
      <c r="E2876" s="1" t="str">
        <f>TEXT(AMAZON_FASHION_5__2[[#This Row],[reviewDate]], "mmmm")</f>
        <v>August</v>
      </c>
      <c r="F2876" t="s">
        <v>641</v>
      </c>
      <c r="G2876" t="s">
        <v>1607</v>
      </c>
      <c r="H2876" t="s">
        <v>1596</v>
      </c>
      <c r="I2876" t="s">
        <v>642</v>
      </c>
      <c r="J2876" t="s">
        <v>643</v>
      </c>
      <c r="K2876" t="s">
        <v>644</v>
      </c>
      <c r="L2876" t="s">
        <v>645</v>
      </c>
      <c r="M2876">
        <v>1502928000</v>
      </c>
      <c r="N2876" t="s">
        <v>1628</v>
      </c>
      <c r="O2876" t="s">
        <v>1628</v>
      </c>
      <c r="P2876" t="s">
        <v>1628</v>
      </c>
      <c r="Q2876">
        <f>LEN(AMAZON_FASHION_5__2[[#This Row],[reviewText]])</f>
        <v>50</v>
      </c>
      <c r="R2876" t="str">
        <f>IF(AMAZON_FASHION_5__2[[#This Row],[overall]]&gt;=4,"Positive",IF(AMAZON_FASHION_5__2[[#This Row],[overall]]&lt;=2,"Negative","Neutral"))</f>
        <v>Neutral</v>
      </c>
      <c r="S28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77" spans="1:19" x14ac:dyDescent="0.25">
      <c r="A2877">
        <v>5</v>
      </c>
      <c r="B2877" t="b">
        <v>1</v>
      </c>
      <c r="C2877" s="1">
        <v>42964</v>
      </c>
      <c r="D2877">
        <f>YEAR(AMAZON_FASHION_5__2[[#This Row],[reviewDate]])</f>
        <v>2017</v>
      </c>
      <c r="E2877" s="1" t="str">
        <f>TEXT(AMAZON_FASHION_5__2[[#This Row],[reviewDate]], "mmmm")</f>
        <v>August</v>
      </c>
      <c r="F2877" t="s">
        <v>646</v>
      </c>
      <c r="G2877" t="s">
        <v>1607</v>
      </c>
      <c r="H2877" t="s">
        <v>1578</v>
      </c>
      <c r="I2877" t="s">
        <v>198</v>
      </c>
      <c r="J2877" t="s">
        <v>647</v>
      </c>
      <c r="K2877" t="s">
        <v>648</v>
      </c>
      <c r="L2877" t="s">
        <v>17</v>
      </c>
      <c r="M2877">
        <v>1502928000</v>
      </c>
      <c r="N2877" t="s">
        <v>1628</v>
      </c>
      <c r="O2877" t="s">
        <v>1628</v>
      </c>
      <c r="P2877" t="s">
        <v>1628</v>
      </c>
      <c r="Q2877">
        <f>LEN(AMAZON_FASHION_5__2[[#This Row],[reviewText]])</f>
        <v>37</v>
      </c>
      <c r="R2877" t="str">
        <f>IF(AMAZON_FASHION_5__2[[#This Row],[overall]]&gt;=4,"Positive",IF(AMAZON_FASHION_5__2[[#This Row],[overall]]&lt;=2,"Negative","Neutral"))</f>
        <v>Positive</v>
      </c>
      <c r="S28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78" spans="1:19" x14ac:dyDescent="0.25">
      <c r="A2878">
        <v>5</v>
      </c>
      <c r="B2878" t="b">
        <v>1</v>
      </c>
      <c r="C2878" s="1">
        <v>42962</v>
      </c>
      <c r="D2878">
        <f>YEAR(AMAZON_FASHION_5__2[[#This Row],[reviewDate]])</f>
        <v>2017</v>
      </c>
      <c r="E2878" s="1" t="str">
        <f>TEXT(AMAZON_FASHION_5__2[[#This Row],[reviewDate]], "mmmm")</f>
        <v>August</v>
      </c>
      <c r="F2878" t="s">
        <v>649</v>
      </c>
      <c r="G2878" t="s">
        <v>1607</v>
      </c>
      <c r="H2878" t="s">
        <v>61</v>
      </c>
      <c r="I2878" t="s">
        <v>344</v>
      </c>
      <c r="J2878" t="s">
        <v>63</v>
      </c>
      <c r="K2878" t="s">
        <v>650</v>
      </c>
      <c r="L2878" t="s">
        <v>17</v>
      </c>
      <c r="M2878">
        <v>1502755200</v>
      </c>
      <c r="N2878" t="s">
        <v>1628</v>
      </c>
      <c r="O2878" t="s">
        <v>1628</v>
      </c>
      <c r="P2878" t="s">
        <v>1628</v>
      </c>
      <c r="Q2878">
        <f>LEN(AMAZON_FASHION_5__2[[#This Row],[reviewText]])</f>
        <v>16</v>
      </c>
      <c r="R2878" t="str">
        <f>IF(AMAZON_FASHION_5__2[[#This Row],[overall]]&gt;=4,"Positive",IF(AMAZON_FASHION_5__2[[#This Row],[overall]]&lt;=2,"Negative","Neutral"))</f>
        <v>Positive</v>
      </c>
      <c r="S28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79" spans="1:19" x14ac:dyDescent="0.25">
      <c r="A2879">
        <v>5</v>
      </c>
      <c r="B2879" t="b">
        <v>1</v>
      </c>
      <c r="C2879" s="1">
        <v>42961</v>
      </c>
      <c r="D2879">
        <f>YEAR(AMAZON_FASHION_5__2[[#This Row],[reviewDate]])</f>
        <v>2017</v>
      </c>
      <c r="E2879" s="1" t="str">
        <f>TEXT(AMAZON_FASHION_5__2[[#This Row],[reviewDate]], "mmmm")</f>
        <v>August</v>
      </c>
      <c r="F2879" t="s">
        <v>651</v>
      </c>
      <c r="G2879" t="s">
        <v>1607</v>
      </c>
      <c r="H2879" t="s">
        <v>1571</v>
      </c>
      <c r="I2879" t="s">
        <v>198</v>
      </c>
      <c r="J2879" t="s">
        <v>652</v>
      </c>
      <c r="K2879" t="s">
        <v>653</v>
      </c>
      <c r="L2879" t="s">
        <v>654</v>
      </c>
      <c r="M2879">
        <v>1502668800</v>
      </c>
      <c r="N2879" t="s">
        <v>1628</v>
      </c>
      <c r="O2879" t="s">
        <v>1628</v>
      </c>
      <c r="P2879" t="s">
        <v>1628</v>
      </c>
      <c r="Q2879">
        <f>LEN(AMAZON_FASHION_5__2[[#This Row],[reviewText]])</f>
        <v>145</v>
      </c>
      <c r="R2879" t="str">
        <f>IF(AMAZON_FASHION_5__2[[#This Row],[overall]]&gt;=4,"Positive",IF(AMAZON_FASHION_5__2[[#This Row],[overall]]&lt;=2,"Negative","Neutral"))</f>
        <v>Positive</v>
      </c>
      <c r="S28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80" spans="1:19" x14ac:dyDescent="0.25">
      <c r="A2880">
        <v>5</v>
      </c>
      <c r="B2880" t="b">
        <v>1</v>
      </c>
      <c r="C2880" s="1">
        <v>42959</v>
      </c>
      <c r="D2880">
        <f>YEAR(AMAZON_FASHION_5__2[[#This Row],[reviewDate]])</f>
        <v>2017</v>
      </c>
      <c r="E2880" s="1" t="str">
        <f>TEXT(AMAZON_FASHION_5__2[[#This Row],[reviewDate]], "mmmm")</f>
        <v>August</v>
      </c>
      <c r="F2880" t="s">
        <v>655</v>
      </c>
      <c r="G2880" t="s">
        <v>1607</v>
      </c>
      <c r="H2880" t="s">
        <v>210</v>
      </c>
      <c r="I2880" t="s">
        <v>198</v>
      </c>
      <c r="J2880" t="s">
        <v>656</v>
      </c>
      <c r="K2880" t="s">
        <v>657</v>
      </c>
      <c r="L2880" t="s">
        <v>658</v>
      </c>
      <c r="M2880">
        <v>1502496000</v>
      </c>
      <c r="N2880" t="s">
        <v>1628</v>
      </c>
      <c r="O2880" t="s">
        <v>1628</v>
      </c>
      <c r="P2880" t="s">
        <v>1628</v>
      </c>
      <c r="Q2880">
        <f>LEN(AMAZON_FASHION_5__2[[#This Row],[reviewText]])</f>
        <v>230</v>
      </c>
      <c r="R2880" t="str">
        <f>IF(AMAZON_FASHION_5__2[[#This Row],[overall]]&gt;=4,"Positive",IF(AMAZON_FASHION_5__2[[#This Row],[overall]]&lt;=2,"Negative","Neutral"))</f>
        <v>Positive</v>
      </c>
      <c r="S28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81" spans="1:19" x14ac:dyDescent="0.25">
      <c r="A2881">
        <v>4</v>
      </c>
      <c r="B2881" t="b">
        <v>1</v>
      </c>
      <c r="C2881" s="1">
        <v>42958</v>
      </c>
      <c r="D2881">
        <f>YEAR(AMAZON_FASHION_5__2[[#This Row],[reviewDate]])</f>
        <v>2017</v>
      </c>
      <c r="E2881" s="1" t="str">
        <f>TEXT(AMAZON_FASHION_5__2[[#This Row],[reviewDate]], "mmmm")</f>
        <v>August</v>
      </c>
      <c r="F2881" t="s">
        <v>659</v>
      </c>
      <c r="G2881" t="s">
        <v>1607</v>
      </c>
      <c r="H2881" t="s">
        <v>1596</v>
      </c>
      <c r="I2881" t="s">
        <v>198</v>
      </c>
      <c r="J2881" t="s">
        <v>660</v>
      </c>
      <c r="K2881" t="s">
        <v>661</v>
      </c>
      <c r="L2881" t="s">
        <v>103</v>
      </c>
      <c r="M2881">
        <v>1502409600</v>
      </c>
      <c r="N2881" t="s">
        <v>1628</v>
      </c>
      <c r="O2881" t="s">
        <v>1628</v>
      </c>
      <c r="P2881" t="s">
        <v>1628</v>
      </c>
      <c r="Q2881">
        <f>LEN(AMAZON_FASHION_5__2[[#This Row],[reviewText]])</f>
        <v>59</v>
      </c>
      <c r="R2881" t="str">
        <f>IF(AMAZON_FASHION_5__2[[#This Row],[overall]]&gt;=4,"Positive",IF(AMAZON_FASHION_5__2[[#This Row],[overall]]&lt;=2,"Negative","Neutral"))</f>
        <v>Positive</v>
      </c>
      <c r="S28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82" spans="1:19" x14ac:dyDescent="0.25">
      <c r="A2882">
        <v>3</v>
      </c>
      <c r="B2882" t="b">
        <v>1</v>
      </c>
      <c r="C2882" s="1">
        <v>42955</v>
      </c>
      <c r="D2882">
        <f>YEAR(AMAZON_FASHION_5__2[[#This Row],[reviewDate]])</f>
        <v>2017</v>
      </c>
      <c r="E2882" s="1" t="str">
        <f>TEXT(AMAZON_FASHION_5__2[[#This Row],[reviewDate]], "mmmm")</f>
        <v>August</v>
      </c>
      <c r="F2882" t="s">
        <v>662</v>
      </c>
      <c r="G2882" t="s">
        <v>1607</v>
      </c>
      <c r="H2882" t="s">
        <v>210</v>
      </c>
      <c r="I2882" t="s">
        <v>198</v>
      </c>
      <c r="J2882" t="s">
        <v>663</v>
      </c>
      <c r="K2882" t="s">
        <v>664</v>
      </c>
      <c r="L2882" t="s">
        <v>665</v>
      </c>
      <c r="M2882">
        <v>1502150400</v>
      </c>
      <c r="N2882" t="s">
        <v>1628</v>
      </c>
      <c r="O2882" t="s">
        <v>1628</v>
      </c>
      <c r="P2882" t="s">
        <v>1628</v>
      </c>
      <c r="Q2882">
        <f>LEN(AMAZON_FASHION_5__2[[#This Row],[reviewText]])</f>
        <v>138</v>
      </c>
      <c r="R2882" t="str">
        <f>IF(AMAZON_FASHION_5__2[[#This Row],[overall]]&gt;=4,"Positive",IF(AMAZON_FASHION_5__2[[#This Row],[overall]]&lt;=2,"Negative","Neutral"))</f>
        <v>Neutral</v>
      </c>
      <c r="S28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83" spans="1:19" x14ac:dyDescent="0.25">
      <c r="A2883">
        <v>5</v>
      </c>
      <c r="B2883" t="b">
        <v>1</v>
      </c>
      <c r="C2883" s="1">
        <v>42955</v>
      </c>
      <c r="D2883">
        <f>YEAR(AMAZON_FASHION_5__2[[#This Row],[reviewDate]])</f>
        <v>2017</v>
      </c>
      <c r="E2883" s="1" t="str">
        <f>TEXT(AMAZON_FASHION_5__2[[#This Row],[reviewDate]], "mmmm")</f>
        <v>August</v>
      </c>
      <c r="F2883" t="s">
        <v>666</v>
      </c>
      <c r="G2883" t="s">
        <v>1607</v>
      </c>
      <c r="H2883" t="s">
        <v>1600</v>
      </c>
      <c r="I2883" t="s">
        <v>198</v>
      </c>
      <c r="J2883" t="s">
        <v>667</v>
      </c>
      <c r="K2883" t="s">
        <v>668</v>
      </c>
      <c r="L2883" t="s">
        <v>17</v>
      </c>
      <c r="M2883">
        <v>1502150400</v>
      </c>
      <c r="N2883" t="s">
        <v>1628</v>
      </c>
      <c r="O2883" t="s">
        <v>1628</v>
      </c>
      <c r="P2883" t="s">
        <v>1628</v>
      </c>
      <c r="Q2883">
        <f>LEN(AMAZON_FASHION_5__2[[#This Row],[reviewText]])</f>
        <v>27</v>
      </c>
      <c r="R2883" t="str">
        <f>IF(AMAZON_FASHION_5__2[[#This Row],[overall]]&gt;=4,"Positive",IF(AMAZON_FASHION_5__2[[#This Row],[overall]]&lt;=2,"Negative","Neutral"))</f>
        <v>Positive</v>
      </c>
      <c r="S28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84" spans="1:19" x14ac:dyDescent="0.25">
      <c r="A2884">
        <v>5</v>
      </c>
      <c r="B2884" t="b">
        <v>1</v>
      </c>
      <c r="C2884" s="1">
        <v>42954</v>
      </c>
      <c r="D2884">
        <f>YEAR(AMAZON_FASHION_5__2[[#This Row],[reviewDate]])</f>
        <v>2017</v>
      </c>
      <c r="E2884" s="1" t="str">
        <f>TEXT(AMAZON_FASHION_5__2[[#This Row],[reviewDate]], "mmmm")</f>
        <v>August</v>
      </c>
      <c r="F2884" t="s">
        <v>669</v>
      </c>
      <c r="G2884" t="s">
        <v>1607</v>
      </c>
      <c r="H2884" t="s">
        <v>1571</v>
      </c>
      <c r="I2884" t="s">
        <v>396</v>
      </c>
      <c r="J2884" t="s">
        <v>670</v>
      </c>
      <c r="K2884" t="s">
        <v>671</v>
      </c>
      <c r="L2884" t="s">
        <v>17</v>
      </c>
      <c r="M2884">
        <v>1502064000</v>
      </c>
      <c r="N2884" t="s">
        <v>1628</v>
      </c>
      <c r="O2884" t="s">
        <v>1628</v>
      </c>
      <c r="P2884" t="s">
        <v>1628</v>
      </c>
      <c r="Q2884">
        <f>LEN(AMAZON_FASHION_5__2[[#This Row],[reviewText]])</f>
        <v>10</v>
      </c>
      <c r="R2884" t="str">
        <f>IF(AMAZON_FASHION_5__2[[#This Row],[overall]]&gt;=4,"Positive",IF(AMAZON_FASHION_5__2[[#This Row],[overall]]&lt;=2,"Negative","Neutral"))</f>
        <v>Positive</v>
      </c>
      <c r="S28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85" spans="1:19" x14ac:dyDescent="0.25">
      <c r="A2885">
        <v>5</v>
      </c>
      <c r="B2885" t="b">
        <v>1</v>
      </c>
      <c r="C2885" s="1">
        <v>42951</v>
      </c>
      <c r="D2885">
        <f>YEAR(AMAZON_FASHION_5__2[[#This Row],[reviewDate]])</f>
        <v>2017</v>
      </c>
      <c r="E2885" s="1" t="str">
        <f>TEXT(AMAZON_FASHION_5__2[[#This Row],[reviewDate]], "mmmm")</f>
        <v>August</v>
      </c>
      <c r="F2885" t="s">
        <v>672</v>
      </c>
      <c r="G2885" t="s">
        <v>1607</v>
      </c>
      <c r="H2885" t="s">
        <v>235</v>
      </c>
      <c r="I2885" t="s">
        <v>274</v>
      </c>
      <c r="J2885" t="s">
        <v>673</v>
      </c>
      <c r="K2885" t="s">
        <v>674</v>
      </c>
      <c r="L2885" t="s">
        <v>675</v>
      </c>
      <c r="M2885">
        <v>1501804800</v>
      </c>
      <c r="N2885" t="s">
        <v>1628</v>
      </c>
      <c r="O2885" t="s">
        <v>1628</v>
      </c>
      <c r="P2885" t="s">
        <v>1628</v>
      </c>
      <c r="Q2885">
        <f>LEN(AMAZON_FASHION_5__2[[#This Row],[reviewText]])</f>
        <v>114</v>
      </c>
      <c r="R2885" t="str">
        <f>IF(AMAZON_FASHION_5__2[[#This Row],[overall]]&gt;=4,"Positive",IF(AMAZON_FASHION_5__2[[#This Row],[overall]]&lt;=2,"Negative","Neutral"))</f>
        <v>Positive</v>
      </c>
      <c r="S28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86" spans="1:19" x14ac:dyDescent="0.25">
      <c r="A2886">
        <v>3</v>
      </c>
      <c r="B2886" t="b">
        <v>1</v>
      </c>
      <c r="C2886" s="1">
        <v>42949</v>
      </c>
      <c r="D2886">
        <f>YEAR(AMAZON_FASHION_5__2[[#This Row],[reviewDate]])</f>
        <v>2017</v>
      </c>
      <c r="E2886" s="1" t="str">
        <f>TEXT(AMAZON_FASHION_5__2[[#This Row],[reviewDate]], "mmmm")</f>
        <v>August</v>
      </c>
      <c r="F2886" t="s">
        <v>676</v>
      </c>
      <c r="G2886" t="s">
        <v>1607</v>
      </c>
      <c r="H2886" t="s">
        <v>1585</v>
      </c>
      <c r="I2886" t="s">
        <v>198</v>
      </c>
      <c r="J2886" t="s">
        <v>678</v>
      </c>
      <c r="K2886" t="s">
        <v>679</v>
      </c>
      <c r="L2886" t="s">
        <v>680</v>
      </c>
      <c r="M2886">
        <v>1501632000</v>
      </c>
      <c r="N2886" t="s">
        <v>1628</v>
      </c>
      <c r="O2886" t="s">
        <v>1628</v>
      </c>
      <c r="P2886" t="s">
        <v>1628</v>
      </c>
      <c r="Q2886">
        <f>LEN(AMAZON_FASHION_5__2[[#This Row],[reviewText]])</f>
        <v>264</v>
      </c>
      <c r="R2886" t="str">
        <f>IF(AMAZON_FASHION_5__2[[#This Row],[overall]]&gt;=4,"Positive",IF(AMAZON_FASHION_5__2[[#This Row],[overall]]&lt;=2,"Negative","Neutral"))</f>
        <v>Neutral</v>
      </c>
      <c r="S28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87" spans="1:19" x14ac:dyDescent="0.25">
      <c r="A2887">
        <v>5</v>
      </c>
      <c r="B2887" t="b">
        <v>1</v>
      </c>
      <c r="C2887" s="1">
        <v>42936</v>
      </c>
      <c r="D2887">
        <f>YEAR(AMAZON_FASHION_5__2[[#This Row],[reviewDate]])</f>
        <v>2017</v>
      </c>
      <c r="E2887" s="1" t="str">
        <f>TEXT(AMAZON_FASHION_5__2[[#This Row],[reviewDate]], "mmmm")</f>
        <v>July</v>
      </c>
      <c r="F2887" t="s">
        <v>681</v>
      </c>
      <c r="G2887" t="s">
        <v>1607</v>
      </c>
      <c r="H2887" t="s">
        <v>210</v>
      </c>
      <c r="I2887" t="s">
        <v>198</v>
      </c>
      <c r="J2887" t="s">
        <v>63</v>
      </c>
      <c r="K2887" t="s">
        <v>682</v>
      </c>
      <c r="L2887" t="s">
        <v>365</v>
      </c>
      <c r="M2887">
        <v>1500508800</v>
      </c>
      <c r="N2887" t="s">
        <v>1628</v>
      </c>
      <c r="O2887" t="s">
        <v>1628</v>
      </c>
      <c r="P2887" t="s">
        <v>1628</v>
      </c>
      <c r="Q2887">
        <f>LEN(AMAZON_FASHION_5__2[[#This Row],[reviewText]])</f>
        <v>34</v>
      </c>
      <c r="R2887" t="str">
        <f>IF(AMAZON_FASHION_5__2[[#This Row],[overall]]&gt;=4,"Positive",IF(AMAZON_FASHION_5__2[[#This Row],[overall]]&lt;=2,"Negative","Neutral"))</f>
        <v>Positive</v>
      </c>
      <c r="S28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88" spans="1:19" x14ac:dyDescent="0.25">
      <c r="A2888">
        <v>5</v>
      </c>
      <c r="B2888" t="b">
        <v>1</v>
      </c>
      <c r="C2888" s="1">
        <v>42934</v>
      </c>
      <c r="D2888">
        <f>YEAR(AMAZON_FASHION_5__2[[#This Row],[reviewDate]])</f>
        <v>2017</v>
      </c>
      <c r="E2888" s="1" t="str">
        <f>TEXT(AMAZON_FASHION_5__2[[#This Row],[reviewDate]], "mmmm")</f>
        <v>July</v>
      </c>
      <c r="F2888" t="s">
        <v>683</v>
      </c>
      <c r="G2888" t="s">
        <v>1607</v>
      </c>
      <c r="H2888" t="s">
        <v>1571</v>
      </c>
      <c r="I2888" t="s">
        <v>507</v>
      </c>
      <c r="J2888" t="s">
        <v>684</v>
      </c>
      <c r="K2888" t="s">
        <v>685</v>
      </c>
      <c r="L2888" t="s">
        <v>686</v>
      </c>
      <c r="M2888">
        <v>1500336000</v>
      </c>
      <c r="N2888" t="s">
        <v>1628</v>
      </c>
      <c r="O2888" t="s">
        <v>1628</v>
      </c>
      <c r="P2888" t="s">
        <v>1628</v>
      </c>
      <c r="Q2888">
        <f>LEN(AMAZON_FASHION_5__2[[#This Row],[reviewText]])</f>
        <v>124</v>
      </c>
      <c r="R2888" t="str">
        <f>IF(AMAZON_FASHION_5__2[[#This Row],[overall]]&gt;=4,"Positive",IF(AMAZON_FASHION_5__2[[#This Row],[overall]]&lt;=2,"Negative","Neutral"))</f>
        <v>Positive</v>
      </c>
      <c r="S28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89" spans="1:19" x14ac:dyDescent="0.25">
      <c r="A2889">
        <v>4</v>
      </c>
      <c r="B2889" t="b">
        <v>1</v>
      </c>
      <c r="C2889" s="1">
        <v>42934</v>
      </c>
      <c r="D2889">
        <f>YEAR(AMAZON_FASHION_5__2[[#This Row],[reviewDate]])</f>
        <v>2017</v>
      </c>
      <c r="E2889" s="1" t="str">
        <f>TEXT(AMAZON_FASHION_5__2[[#This Row],[reviewDate]], "mmmm")</f>
        <v>July</v>
      </c>
      <c r="F2889" t="s">
        <v>687</v>
      </c>
      <c r="G2889" t="s">
        <v>1607</v>
      </c>
      <c r="H2889" t="s">
        <v>1568</v>
      </c>
      <c r="I2889" t="s">
        <v>344</v>
      </c>
      <c r="J2889" t="s">
        <v>688</v>
      </c>
      <c r="K2889" t="s">
        <v>689</v>
      </c>
      <c r="L2889" t="s">
        <v>103</v>
      </c>
      <c r="M2889">
        <v>1500336000</v>
      </c>
      <c r="N2889" t="s">
        <v>1628</v>
      </c>
      <c r="O2889" t="s">
        <v>1628</v>
      </c>
      <c r="P2889" t="s">
        <v>1628</v>
      </c>
      <c r="Q2889">
        <f>LEN(AMAZON_FASHION_5__2[[#This Row],[reviewText]])</f>
        <v>28</v>
      </c>
      <c r="R2889" t="str">
        <f>IF(AMAZON_FASHION_5__2[[#This Row],[overall]]&gt;=4,"Positive",IF(AMAZON_FASHION_5__2[[#This Row],[overall]]&lt;=2,"Negative","Neutral"))</f>
        <v>Positive</v>
      </c>
      <c r="S28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90" spans="1:19" x14ac:dyDescent="0.25">
      <c r="A2890">
        <v>5</v>
      </c>
      <c r="B2890" t="b">
        <v>1</v>
      </c>
      <c r="C2890" s="1">
        <v>42934</v>
      </c>
      <c r="D2890">
        <f>YEAR(AMAZON_FASHION_5__2[[#This Row],[reviewDate]])</f>
        <v>2017</v>
      </c>
      <c r="E2890" s="1" t="str">
        <f>TEXT(AMAZON_FASHION_5__2[[#This Row],[reviewDate]], "mmmm")</f>
        <v>July</v>
      </c>
      <c r="F2890" t="s">
        <v>690</v>
      </c>
      <c r="G2890" t="s">
        <v>1607</v>
      </c>
      <c r="H2890" t="s">
        <v>1574</v>
      </c>
      <c r="I2890" t="s">
        <v>198</v>
      </c>
      <c r="J2890" t="s">
        <v>691</v>
      </c>
      <c r="K2890" t="s">
        <v>692</v>
      </c>
      <c r="L2890" t="s">
        <v>693</v>
      </c>
      <c r="M2890">
        <v>1500336000</v>
      </c>
      <c r="N2890" t="s">
        <v>1628</v>
      </c>
      <c r="O2890" t="s">
        <v>1628</v>
      </c>
      <c r="P2890" t="s">
        <v>1628</v>
      </c>
      <c r="Q2890">
        <f>LEN(AMAZON_FASHION_5__2[[#This Row],[reviewText]])</f>
        <v>184</v>
      </c>
      <c r="R2890" t="str">
        <f>IF(AMAZON_FASHION_5__2[[#This Row],[overall]]&gt;=4,"Positive",IF(AMAZON_FASHION_5__2[[#This Row],[overall]]&lt;=2,"Negative","Neutral"))</f>
        <v>Positive</v>
      </c>
      <c r="S28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91" spans="1:19" x14ac:dyDescent="0.25">
      <c r="A2891">
        <v>5</v>
      </c>
      <c r="B2891" t="b">
        <v>1</v>
      </c>
      <c r="C2891" s="1">
        <v>42934</v>
      </c>
      <c r="D2891">
        <f>YEAR(AMAZON_FASHION_5__2[[#This Row],[reviewDate]])</f>
        <v>2017</v>
      </c>
      <c r="E2891" s="1" t="str">
        <f>TEXT(AMAZON_FASHION_5__2[[#This Row],[reviewDate]], "mmmm")</f>
        <v>July</v>
      </c>
      <c r="F2891" t="s">
        <v>694</v>
      </c>
      <c r="G2891" t="s">
        <v>1607</v>
      </c>
      <c r="H2891" t="s">
        <v>1598</v>
      </c>
      <c r="I2891" t="s">
        <v>198</v>
      </c>
      <c r="J2891" t="s">
        <v>695</v>
      </c>
      <c r="K2891" t="s">
        <v>18</v>
      </c>
      <c r="L2891" t="s">
        <v>17</v>
      </c>
      <c r="M2891">
        <v>1500336000</v>
      </c>
      <c r="N2891" t="s">
        <v>1628</v>
      </c>
      <c r="O2891" t="s">
        <v>1628</v>
      </c>
      <c r="P2891" t="s">
        <v>1628</v>
      </c>
      <c r="Q2891">
        <f>LEN(AMAZON_FASHION_5__2[[#This Row],[reviewText]])</f>
        <v>0</v>
      </c>
      <c r="R2891" t="str">
        <f>IF(AMAZON_FASHION_5__2[[#This Row],[overall]]&gt;=4,"Positive",IF(AMAZON_FASHION_5__2[[#This Row],[overall]]&lt;=2,"Negative","Neutral"))</f>
        <v>Positive</v>
      </c>
      <c r="S28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92" spans="1:19" x14ac:dyDescent="0.25">
      <c r="A2892">
        <v>5</v>
      </c>
      <c r="B2892" t="b">
        <v>1</v>
      </c>
      <c r="C2892" s="1">
        <v>42934</v>
      </c>
      <c r="D2892">
        <f>YEAR(AMAZON_FASHION_5__2[[#This Row],[reviewDate]])</f>
        <v>2017</v>
      </c>
      <c r="E2892" s="1" t="str">
        <f>TEXT(AMAZON_FASHION_5__2[[#This Row],[reviewDate]], "mmmm")</f>
        <v>July</v>
      </c>
      <c r="F2892" t="s">
        <v>696</v>
      </c>
      <c r="G2892" t="s">
        <v>1607</v>
      </c>
      <c r="H2892" t="s">
        <v>1567</v>
      </c>
      <c r="I2892" t="s">
        <v>99</v>
      </c>
      <c r="J2892" t="s">
        <v>697</v>
      </c>
      <c r="K2892" t="s">
        <v>276</v>
      </c>
      <c r="L2892" t="s">
        <v>17</v>
      </c>
      <c r="M2892">
        <v>1500336000</v>
      </c>
      <c r="N2892" t="s">
        <v>1628</v>
      </c>
      <c r="O2892" t="s">
        <v>1628</v>
      </c>
      <c r="P2892" t="s">
        <v>1628</v>
      </c>
      <c r="Q2892">
        <f>LEN(AMAZON_FASHION_5__2[[#This Row],[reviewText]])</f>
        <v>4</v>
      </c>
      <c r="R2892" t="str">
        <f>IF(AMAZON_FASHION_5__2[[#This Row],[overall]]&gt;=4,"Positive",IF(AMAZON_FASHION_5__2[[#This Row],[overall]]&lt;=2,"Negative","Neutral"))</f>
        <v>Positive</v>
      </c>
      <c r="S28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93" spans="1:19" x14ac:dyDescent="0.25">
      <c r="A2893">
        <v>5</v>
      </c>
      <c r="B2893" t="b">
        <v>1</v>
      </c>
      <c r="C2893" s="1">
        <v>42934</v>
      </c>
      <c r="D2893">
        <f>YEAR(AMAZON_FASHION_5__2[[#This Row],[reviewDate]])</f>
        <v>2017</v>
      </c>
      <c r="E2893" s="1" t="str">
        <f>TEXT(AMAZON_FASHION_5__2[[#This Row],[reviewDate]], "mmmm")</f>
        <v>July</v>
      </c>
      <c r="F2893" t="s">
        <v>698</v>
      </c>
      <c r="G2893" t="s">
        <v>1607</v>
      </c>
      <c r="H2893" t="s">
        <v>1567</v>
      </c>
      <c r="I2893" t="s">
        <v>642</v>
      </c>
      <c r="J2893" t="s">
        <v>63</v>
      </c>
      <c r="K2893" t="s">
        <v>699</v>
      </c>
      <c r="L2893" t="s">
        <v>700</v>
      </c>
      <c r="M2893">
        <v>1500336000</v>
      </c>
      <c r="N2893" t="s">
        <v>1628</v>
      </c>
      <c r="O2893" t="s">
        <v>1628</v>
      </c>
      <c r="P2893" t="s">
        <v>1628</v>
      </c>
      <c r="Q2893">
        <f>LEN(AMAZON_FASHION_5__2[[#This Row],[reviewText]])</f>
        <v>99</v>
      </c>
      <c r="R2893" t="str">
        <f>IF(AMAZON_FASHION_5__2[[#This Row],[overall]]&gt;=4,"Positive",IF(AMAZON_FASHION_5__2[[#This Row],[overall]]&lt;=2,"Negative","Neutral"))</f>
        <v>Positive</v>
      </c>
      <c r="S28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94" spans="1:19" x14ac:dyDescent="0.25">
      <c r="A2894">
        <v>5</v>
      </c>
      <c r="B2894" t="b">
        <v>1</v>
      </c>
      <c r="C2894" s="1">
        <v>42934</v>
      </c>
      <c r="D2894">
        <f>YEAR(AMAZON_FASHION_5__2[[#This Row],[reviewDate]])</f>
        <v>2017</v>
      </c>
      <c r="E2894" s="1" t="str">
        <f>TEXT(AMAZON_FASHION_5__2[[#This Row],[reviewDate]], "mmmm")</f>
        <v>July</v>
      </c>
      <c r="F2894" t="s">
        <v>701</v>
      </c>
      <c r="G2894" t="s">
        <v>1607</v>
      </c>
      <c r="H2894" t="s">
        <v>1578</v>
      </c>
      <c r="I2894" t="s">
        <v>198</v>
      </c>
      <c r="J2894" t="s">
        <v>702</v>
      </c>
      <c r="K2894" t="s">
        <v>703</v>
      </c>
      <c r="L2894" t="s">
        <v>704</v>
      </c>
      <c r="M2894">
        <v>1500336000</v>
      </c>
      <c r="N2894" t="s">
        <v>1628</v>
      </c>
      <c r="O2894" t="s">
        <v>1628</v>
      </c>
      <c r="P2894" t="s">
        <v>1628</v>
      </c>
      <c r="Q2894">
        <f>LEN(AMAZON_FASHION_5__2[[#This Row],[reviewText]])</f>
        <v>178</v>
      </c>
      <c r="R2894" t="str">
        <f>IF(AMAZON_FASHION_5__2[[#This Row],[overall]]&gt;=4,"Positive",IF(AMAZON_FASHION_5__2[[#This Row],[overall]]&lt;=2,"Negative","Neutral"))</f>
        <v>Positive</v>
      </c>
      <c r="S28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95" spans="1:19" x14ac:dyDescent="0.25">
      <c r="A2895">
        <v>5</v>
      </c>
      <c r="B2895" t="b">
        <v>1</v>
      </c>
      <c r="C2895" s="1">
        <v>42931</v>
      </c>
      <c r="D2895">
        <f>YEAR(AMAZON_FASHION_5__2[[#This Row],[reviewDate]])</f>
        <v>2017</v>
      </c>
      <c r="E2895" s="1" t="str">
        <f>TEXT(AMAZON_FASHION_5__2[[#This Row],[reviewDate]], "mmmm")</f>
        <v>July</v>
      </c>
      <c r="F2895" t="s">
        <v>705</v>
      </c>
      <c r="G2895" t="s">
        <v>1607</v>
      </c>
      <c r="H2895" t="s">
        <v>1598</v>
      </c>
      <c r="I2895" t="s">
        <v>396</v>
      </c>
      <c r="J2895" t="s">
        <v>706</v>
      </c>
      <c r="K2895" t="s">
        <v>707</v>
      </c>
      <c r="L2895" t="s">
        <v>17</v>
      </c>
      <c r="M2895">
        <v>1500076800</v>
      </c>
      <c r="N2895" t="s">
        <v>1628</v>
      </c>
      <c r="O2895" t="s">
        <v>1628</v>
      </c>
      <c r="P2895" t="s">
        <v>1628</v>
      </c>
      <c r="Q2895">
        <f>LEN(AMAZON_FASHION_5__2[[#This Row],[reviewText]])</f>
        <v>30</v>
      </c>
      <c r="R2895" t="str">
        <f>IF(AMAZON_FASHION_5__2[[#This Row],[overall]]&gt;=4,"Positive",IF(AMAZON_FASHION_5__2[[#This Row],[overall]]&lt;=2,"Negative","Neutral"))</f>
        <v>Positive</v>
      </c>
      <c r="S28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96" spans="1:19" x14ac:dyDescent="0.25">
      <c r="A2896">
        <v>3</v>
      </c>
      <c r="B2896" t="b">
        <v>1</v>
      </c>
      <c r="C2896" s="1">
        <v>42931</v>
      </c>
      <c r="D2896">
        <f>YEAR(AMAZON_FASHION_5__2[[#This Row],[reviewDate]])</f>
        <v>2017</v>
      </c>
      <c r="E2896" s="1" t="str">
        <f>TEXT(AMAZON_FASHION_5__2[[#This Row],[reviewDate]], "mmmm")</f>
        <v>July</v>
      </c>
      <c r="F2896" t="s">
        <v>708</v>
      </c>
      <c r="G2896" t="s">
        <v>1607</v>
      </c>
      <c r="H2896" t="s">
        <v>1571</v>
      </c>
      <c r="I2896" t="s">
        <v>274</v>
      </c>
      <c r="J2896" t="s">
        <v>709</v>
      </c>
      <c r="K2896" t="s">
        <v>710</v>
      </c>
      <c r="L2896" t="s">
        <v>711</v>
      </c>
      <c r="M2896">
        <v>1500076800</v>
      </c>
      <c r="N2896" t="s">
        <v>1628</v>
      </c>
      <c r="O2896" t="s">
        <v>1628</v>
      </c>
      <c r="P2896" t="s">
        <v>1628</v>
      </c>
      <c r="Q2896">
        <f>LEN(AMAZON_FASHION_5__2[[#This Row],[reviewText]])</f>
        <v>130</v>
      </c>
      <c r="R2896" t="str">
        <f>IF(AMAZON_FASHION_5__2[[#This Row],[overall]]&gt;=4,"Positive",IF(AMAZON_FASHION_5__2[[#This Row],[overall]]&lt;=2,"Negative","Neutral"))</f>
        <v>Neutral</v>
      </c>
      <c r="S28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97" spans="1:19" x14ac:dyDescent="0.25">
      <c r="A2897">
        <v>5</v>
      </c>
      <c r="B2897" t="b">
        <v>1</v>
      </c>
      <c r="C2897" s="1">
        <v>42925</v>
      </c>
      <c r="D2897">
        <f>YEAR(AMAZON_FASHION_5__2[[#This Row],[reviewDate]])</f>
        <v>2017</v>
      </c>
      <c r="E2897" s="1" t="str">
        <f>TEXT(AMAZON_FASHION_5__2[[#This Row],[reviewDate]], "mmmm")</f>
        <v>July</v>
      </c>
      <c r="F2897" t="s">
        <v>712</v>
      </c>
      <c r="G2897" t="s">
        <v>1607</v>
      </c>
      <c r="H2897" t="s">
        <v>1596</v>
      </c>
      <c r="I2897" t="s">
        <v>419</v>
      </c>
      <c r="J2897" t="s">
        <v>713</v>
      </c>
      <c r="K2897" t="s">
        <v>714</v>
      </c>
      <c r="L2897" t="s">
        <v>715</v>
      </c>
      <c r="M2897">
        <v>1499558400</v>
      </c>
      <c r="N2897" t="s">
        <v>1628</v>
      </c>
      <c r="O2897" t="s">
        <v>1628</v>
      </c>
      <c r="P2897" t="s">
        <v>1628</v>
      </c>
      <c r="Q2897">
        <f>LEN(AMAZON_FASHION_5__2[[#This Row],[reviewText]])</f>
        <v>112</v>
      </c>
      <c r="R2897" t="str">
        <f>IF(AMAZON_FASHION_5__2[[#This Row],[overall]]&gt;=4,"Positive",IF(AMAZON_FASHION_5__2[[#This Row],[overall]]&lt;=2,"Negative","Neutral"))</f>
        <v>Positive</v>
      </c>
      <c r="S28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98" spans="1:19" x14ac:dyDescent="0.25">
      <c r="A2898">
        <v>5</v>
      </c>
      <c r="B2898" t="b">
        <v>1</v>
      </c>
      <c r="C2898" s="1">
        <v>42924</v>
      </c>
      <c r="D2898">
        <f>YEAR(AMAZON_FASHION_5__2[[#This Row],[reviewDate]])</f>
        <v>2017</v>
      </c>
      <c r="E2898" s="1" t="str">
        <f>TEXT(AMAZON_FASHION_5__2[[#This Row],[reviewDate]], "mmmm")</f>
        <v>July</v>
      </c>
      <c r="F2898" t="s">
        <v>716</v>
      </c>
      <c r="G2898" t="s">
        <v>1607</v>
      </c>
      <c r="H2898" t="s">
        <v>1603</v>
      </c>
      <c r="I2898" t="s">
        <v>336</v>
      </c>
      <c r="J2898" t="s">
        <v>718</v>
      </c>
      <c r="K2898" t="s">
        <v>719</v>
      </c>
      <c r="L2898" t="s">
        <v>720</v>
      </c>
      <c r="M2898">
        <v>1499472000</v>
      </c>
      <c r="N2898" t="s">
        <v>1628</v>
      </c>
      <c r="O2898" t="s">
        <v>1628</v>
      </c>
      <c r="P2898" t="s">
        <v>1628</v>
      </c>
      <c r="Q2898">
        <f>LEN(AMAZON_FASHION_5__2[[#This Row],[reviewText]])</f>
        <v>22</v>
      </c>
      <c r="R2898" t="str">
        <f>IF(AMAZON_FASHION_5__2[[#This Row],[overall]]&gt;=4,"Positive",IF(AMAZON_FASHION_5__2[[#This Row],[overall]]&lt;=2,"Negative","Neutral"))</f>
        <v>Positive</v>
      </c>
      <c r="S28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899" spans="1:19" x14ac:dyDescent="0.25">
      <c r="A2899">
        <v>4</v>
      </c>
      <c r="B2899" t="b">
        <v>1</v>
      </c>
      <c r="C2899" s="1">
        <v>42923</v>
      </c>
      <c r="D2899">
        <f>YEAR(AMAZON_FASHION_5__2[[#This Row],[reviewDate]])</f>
        <v>2017</v>
      </c>
      <c r="E2899" s="1" t="str">
        <f>TEXT(AMAZON_FASHION_5__2[[#This Row],[reviewDate]], "mmmm")</f>
        <v>July</v>
      </c>
      <c r="F2899" t="s">
        <v>721</v>
      </c>
      <c r="G2899" t="s">
        <v>1607</v>
      </c>
      <c r="H2899" t="s">
        <v>1578</v>
      </c>
      <c r="I2899" t="s">
        <v>198</v>
      </c>
      <c r="J2899" t="s">
        <v>722</v>
      </c>
      <c r="K2899" t="s">
        <v>723</v>
      </c>
      <c r="L2899" t="s">
        <v>724</v>
      </c>
      <c r="M2899">
        <v>1499385600</v>
      </c>
      <c r="N2899" t="s">
        <v>1628</v>
      </c>
      <c r="O2899" t="s">
        <v>1628</v>
      </c>
      <c r="P2899" t="s">
        <v>1628</v>
      </c>
      <c r="Q2899">
        <f>LEN(AMAZON_FASHION_5__2[[#This Row],[reviewText]])</f>
        <v>453</v>
      </c>
      <c r="R2899" t="str">
        <f>IF(AMAZON_FASHION_5__2[[#This Row],[overall]]&gt;=4,"Positive",IF(AMAZON_FASHION_5__2[[#This Row],[overall]]&lt;=2,"Negative","Neutral"))</f>
        <v>Positive</v>
      </c>
      <c r="S28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00" spans="1:19" x14ac:dyDescent="0.25">
      <c r="A2900">
        <v>3</v>
      </c>
      <c r="B2900" t="b">
        <v>0</v>
      </c>
      <c r="C2900" s="1">
        <v>42917</v>
      </c>
      <c r="D2900">
        <f>YEAR(AMAZON_FASHION_5__2[[#This Row],[reviewDate]])</f>
        <v>2017</v>
      </c>
      <c r="E2900" s="1" t="str">
        <f>TEXT(AMAZON_FASHION_5__2[[#This Row],[reviewDate]], "mmmm")</f>
        <v>July</v>
      </c>
      <c r="F2900" t="s">
        <v>725</v>
      </c>
      <c r="G2900" t="s">
        <v>1607</v>
      </c>
      <c r="H2900" t="s">
        <v>1595</v>
      </c>
      <c r="I2900" t="s">
        <v>99</v>
      </c>
      <c r="J2900" t="s">
        <v>726</v>
      </c>
      <c r="K2900" t="s">
        <v>727</v>
      </c>
      <c r="L2900" t="s">
        <v>728</v>
      </c>
      <c r="M2900">
        <v>1498867200</v>
      </c>
      <c r="N2900" t="s">
        <v>1628</v>
      </c>
      <c r="O2900" t="s">
        <v>1628</v>
      </c>
      <c r="P2900" t="s">
        <v>1628</v>
      </c>
      <c r="Q2900">
        <f>LEN(AMAZON_FASHION_5__2[[#This Row],[reviewText]])</f>
        <v>566</v>
      </c>
      <c r="R2900" t="str">
        <f>IF(AMAZON_FASHION_5__2[[#This Row],[overall]]&gt;=4,"Positive",IF(AMAZON_FASHION_5__2[[#This Row],[overall]]&lt;=2,"Negative","Neutral"))</f>
        <v>Neutral</v>
      </c>
      <c r="S29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01" spans="1:19" x14ac:dyDescent="0.25">
      <c r="A2901">
        <v>5</v>
      </c>
      <c r="B2901" t="b">
        <v>1</v>
      </c>
      <c r="C2901" s="1">
        <v>42916</v>
      </c>
      <c r="D2901">
        <f>YEAR(AMAZON_FASHION_5__2[[#This Row],[reviewDate]])</f>
        <v>2017</v>
      </c>
      <c r="E2901" s="1" t="str">
        <f>TEXT(AMAZON_FASHION_5__2[[#This Row],[reviewDate]], "mmmm")</f>
        <v>June</v>
      </c>
      <c r="F2901" t="s">
        <v>729</v>
      </c>
      <c r="G2901" t="s">
        <v>1607</v>
      </c>
      <c r="H2901" t="s">
        <v>1578</v>
      </c>
      <c r="I2901" t="s">
        <v>198</v>
      </c>
      <c r="J2901" t="s">
        <v>730</v>
      </c>
      <c r="K2901" t="s">
        <v>731</v>
      </c>
      <c r="L2901" t="s">
        <v>732</v>
      </c>
      <c r="M2901">
        <v>1498780800</v>
      </c>
      <c r="N2901" t="s">
        <v>1628</v>
      </c>
      <c r="O2901" t="s">
        <v>1628</v>
      </c>
      <c r="P2901" t="s">
        <v>1628</v>
      </c>
      <c r="Q2901">
        <f>LEN(AMAZON_FASHION_5__2[[#This Row],[reviewText]])</f>
        <v>5</v>
      </c>
      <c r="R2901" t="str">
        <f>IF(AMAZON_FASHION_5__2[[#This Row],[overall]]&gt;=4,"Positive",IF(AMAZON_FASHION_5__2[[#This Row],[overall]]&lt;=2,"Negative","Neutral"))</f>
        <v>Positive</v>
      </c>
      <c r="S29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02" spans="1:19" x14ac:dyDescent="0.25">
      <c r="A2902">
        <v>5</v>
      </c>
      <c r="B2902" t="b">
        <v>1</v>
      </c>
      <c r="C2902" s="1">
        <v>42914</v>
      </c>
      <c r="D2902">
        <f>YEAR(AMAZON_FASHION_5__2[[#This Row],[reviewDate]])</f>
        <v>2017</v>
      </c>
      <c r="E2902" s="1" t="str">
        <f>TEXT(AMAZON_FASHION_5__2[[#This Row],[reviewDate]], "mmmm")</f>
        <v>June</v>
      </c>
      <c r="F2902" t="s">
        <v>733</v>
      </c>
      <c r="G2902" t="s">
        <v>1607</v>
      </c>
      <c r="H2902" t="s">
        <v>1568</v>
      </c>
      <c r="I2902" t="s">
        <v>493</v>
      </c>
      <c r="J2902" t="s">
        <v>734</v>
      </c>
      <c r="K2902" t="s">
        <v>735</v>
      </c>
      <c r="L2902" t="s">
        <v>17</v>
      </c>
      <c r="M2902">
        <v>1498608000</v>
      </c>
      <c r="N2902" t="s">
        <v>1628</v>
      </c>
      <c r="O2902" t="s">
        <v>1628</v>
      </c>
      <c r="P2902" t="s">
        <v>1628</v>
      </c>
      <c r="Q2902">
        <f>LEN(AMAZON_FASHION_5__2[[#This Row],[reviewText]])</f>
        <v>18</v>
      </c>
      <c r="R2902" t="str">
        <f>IF(AMAZON_FASHION_5__2[[#This Row],[overall]]&gt;=4,"Positive",IF(AMAZON_FASHION_5__2[[#This Row],[overall]]&lt;=2,"Negative","Neutral"))</f>
        <v>Positive</v>
      </c>
      <c r="S29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03" spans="1:19" x14ac:dyDescent="0.25">
      <c r="A2903">
        <v>5</v>
      </c>
      <c r="B2903" t="b">
        <v>1</v>
      </c>
      <c r="C2903" s="1">
        <v>42912</v>
      </c>
      <c r="D2903">
        <f>YEAR(AMAZON_FASHION_5__2[[#This Row],[reviewDate]])</f>
        <v>2017</v>
      </c>
      <c r="E2903" s="1" t="str">
        <f>TEXT(AMAZON_FASHION_5__2[[#This Row],[reviewDate]], "mmmm")</f>
        <v>June</v>
      </c>
      <c r="F2903" t="s">
        <v>736</v>
      </c>
      <c r="G2903" t="s">
        <v>1607</v>
      </c>
      <c r="H2903" t="s">
        <v>1578</v>
      </c>
      <c r="I2903" t="s">
        <v>524</v>
      </c>
      <c r="J2903" t="s">
        <v>737</v>
      </c>
      <c r="K2903" t="s">
        <v>738</v>
      </c>
      <c r="L2903" t="s">
        <v>17</v>
      </c>
      <c r="M2903">
        <v>1498435200</v>
      </c>
      <c r="N2903" t="s">
        <v>1628</v>
      </c>
      <c r="O2903" t="s">
        <v>1628</v>
      </c>
      <c r="P2903" t="s">
        <v>1628</v>
      </c>
      <c r="Q2903">
        <f>LEN(AMAZON_FASHION_5__2[[#This Row],[reviewText]])</f>
        <v>8</v>
      </c>
      <c r="R2903" t="str">
        <f>IF(AMAZON_FASHION_5__2[[#This Row],[overall]]&gt;=4,"Positive",IF(AMAZON_FASHION_5__2[[#This Row],[overall]]&lt;=2,"Negative","Neutral"))</f>
        <v>Positive</v>
      </c>
      <c r="S29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04" spans="1:19" x14ac:dyDescent="0.25">
      <c r="A2904">
        <v>5</v>
      </c>
      <c r="B2904" t="b">
        <v>1</v>
      </c>
      <c r="C2904" s="1">
        <v>42907</v>
      </c>
      <c r="D2904">
        <f>YEAR(AMAZON_FASHION_5__2[[#This Row],[reviewDate]])</f>
        <v>2017</v>
      </c>
      <c r="E2904" s="1" t="str">
        <f>TEXT(AMAZON_FASHION_5__2[[#This Row],[reviewDate]], "mmmm")</f>
        <v>June</v>
      </c>
      <c r="F2904" t="s">
        <v>739</v>
      </c>
      <c r="G2904" t="s">
        <v>1607</v>
      </c>
      <c r="H2904" t="s">
        <v>1567</v>
      </c>
      <c r="I2904" t="s">
        <v>303</v>
      </c>
      <c r="J2904" t="s">
        <v>63</v>
      </c>
      <c r="K2904" t="s">
        <v>740</v>
      </c>
      <c r="L2904" t="s">
        <v>741</v>
      </c>
      <c r="M2904">
        <v>1498003200</v>
      </c>
      <c r="N2904" t="s">
        <v>1628</v>
      </c>
      <c r="O2904" t="s">
        <v>1628</v>
      </c>
      <c r="P2904" t="s">
        <v>1628</v>
      </c>
      <c r="Q2904">
        <f>LEN(AMAZON_FASHION_5__2[[#This Row],[reviewText]])</f>
        <v>141</v>
      </c>
      <c r="R2904" t="str">
        <f>IF(AMAZON_FASHION_5__2[[#This Row],[overall]]&gt;=4,"Positive",IF(AMAZON_FASHION_5__2[[#This Row],[overall]]&lt;=2,"Negative","Neutral"))</f>
        <v>Positive</v>
      </c>
      <c r="S29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05" spans="1:19" x14ac:dyDescent="0.25">
      <c r="A2905">
        <v>5</v>
      </c>
      <c r="B2905" t="b">
        <v>1</v>
      </c>
      <c r="C2905" s="1">
        <v>42906</v>
      </c>
      <c r="D2905">
        <f>YEAR(AMAZON_FASHION_5__2[[#This Row],[reviewDate]])</f>
        <v>2017</v>
      </c>
      <c r="E2905" s="1" t="str">
        <f>TEXT(AMAZON_FASHION_5__2[[#This Row],[reviewDate]], "mmmm")</f>
        <v>June</v>
      </c>
      <c r="F2905" t="s">
        <v>742</v>
      </c>
      <c r="G2905" t="s">
        <v>1607</v>
      </c>
      <c r="H2905" t="s">
        <v>1488</v>
      </c>
      <c r="I2905" t="s">
        <v>336</v>
      </c>
      <c r="J2905" t="s">
        <v>743</v>
      </c>
      <c r="K2905" t="s">
        <v>744</v>
      </c>
      <c r="L2905" t="s">
        <v>745</v>
      </c>
      <c r="M2905">
        <v>1497916800</v>
      </c>
      <c r="N2905" t="s">
        <v>1628</v>
      </c>
      <c r="O2905" t="s">
        <v>1628</v>
      </c>
      <c r="P2905" t="s">
        <v>1628</v>
      </c>
      <c r="Q2905">
        <f>LEN(AMAZON_FASHION_5__2[[#This Row],[reviewText]])</f>
        <v>275</v>
      </c>
      <c r="R2905" t="str">
        <f>IF(AMAZON_FASHION_5__2[[#This Row],[overall]]&gt;=4,"Positive",IF(AMAZON_FASHION_5__2[[#This Row],[overall]]&lt;=2,"Negative","Neutral"))</f>
        <v>Positive</v>
      </c>
      <c r="S29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06" spans="1:19" x14ac:dyDescent="0.25">
      <c r="A2906">
        <v>5</v>
      </c>
      <c r="B2906" t="b">
        <v>1</v>
      </c>
      <c r="C2906" s="1">
        <v>42906</v>
      </c>
      <c r="D2906">
        <f>YEAR(AMAZON_FASHION_5__2[[#This Row],[reviewDate]])</f>
        <v>2017</v>
      </c>
      <c r="E2906" s="1" t="str">
        <f>TEXT(AMAZON_FASHION_5__2[[#This Row],[reviewDate]], "mmmm")</f>
        <v>June</v>
      </c>
      <c r="F2906" t="s">
        <v>746</v>
      </c>
      <c r="G2906" t="s">
        <v>1607</v>
      </c>
      <c r="H2906" t="s">
        <v>1578</v>
      </c>
      <c r="I2906" t="s">
        <v>198</v>
      </c>
      <c r="J2906" t="s">
        <v>747</v>
      </c>
      <c r="K2906" t="s">
        <v>748</v>
      </c>
      <c r="L2906" t="s">
        <v>749</v>
      </c>
      <c r="M2906">
        <v>1497916800</v>
      </c>
      <c r="N2906" t="s">
        <v>1628</v>
      </c>
      <c r="O2906" t="s">
        <v>1628</v>
      </c>
      <c r="P2906" t="s">
        <v>1628</v>
      </c>
      <c r="Q2906">
        <f>LEN(AMAZON_FASHION_5__2[[#This Row],[reviewText]])</f>
        <v>69</v>
      </c>
      <c r="R2906" t="str">
        <f>IF(AMAZON_FASHION_5__2[[#This Row],[overall]]&gt;=4,"Positive",IF(AMAZON_FASHION_5__2[[#This Row],[overall]]&lt;=2,"Negative","Neutral"))</f>
        <v>Positive</v>
      </c>
      <c r="S29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07" spans="1:19" x14ac:dyDescent="0.25">
      <c r="A2907">
        <v>4</v>
      </c>
      <c r="B2907" t="b">
        <v>1</v>
      </c>
      <c r="C2907" s="1">
        <v>42905</v>
      </c>
      <c r="D2907">
        <f>YEAR(AMAZON_FASHION_5__2[[#This Row],[reviewDate]])</f>
        <v>2017</v>
      </c>
      <c r="E2907" s="1" t="str">
        <f>TEXT(AMAZON_FASHION_5__2[[#This Row],[reviewDate]], "mmmm")</f>
        <v>June</v>
      </c>
      <c r="F2907" t="s">
        <v>750</v>
      </c>
      <c r="G2907" t="s">
        <v>1607</v>
      </c>
      <c r="H2907" t="s">
        <v>1578</v>
      </c>
      <c r="I2907" t="s">
        <v>198</v>
      </c>
      <c r="J2907" t="s">
        <v>751</v>
      </c>
      <c r="K2907" t="s">
        <v>752</v>
      </c>
      <c r="L2907" t="s">
        <v>103</v>
      </c>
      <c r="M2907">
        <v>1497830400</v>
      </c>
      <c r="N2907" t="s">
        <v>1628</v>
      </c>
      <c r="O2907" t="s">
        <v>1628</v>
      </c>
      <c r="P2907" t="s">
        <v>1628</v>
      </c>
      <c r="Q2907">
        <f>LEN(AMAZON_FASHION_5__2[[#This Row],[reviewText]])</f>
        <v>12</v>
      </c>
      <c r="R2907" t="str">
        <f>IF(AMAZON_FASHION_5__2[[#This Row],[overall]]&gt;=4,"Positive",IF(AMAZON_FASHION_5__2[[#This Row],[overall]]&lt;=2,"Negative","Neutral"))</f>
        <v>Positive</v>
      </c>
      <c r="S29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08" spans="1:19" x14ac:dyDescent="0.25">
      <c r="A2908">
        <v>5</v>
      </c>
      <c r="B2908" t="b">
        <v>1</v>
      </c>
      <c r="C2908" s="1">
        <v>42905</v>
      </c>
      <c r="D2908">
        <f>YEAR(AMAZON_FASHION_5__2[[#This Row],[reviewDate]])</f>
        <v>2017</v>
      </c>
      <c r="E2908" s="1" t="str">
        <f>TEXT(AMAZON_FASHION_5__2[[#This Row],[reviewDate]], "mmmm")</f>
        <v>June</v>
      </c>
      <c r="F2908" t="s">
        <v>753</v>
      </c>
      <c r="G2908" t="s">
        <v>1607</v>
      </c>
      <c r="H2908" t="s">
        <v>1600</v>
      </c>
      <c r="I2908" t="s">
        <v>198</v>
      </c>
      <c r="J2908" t="s">
        <v>754</v>
      </c>
      <c r="K2908" t="s">
        <v>755</v>
      </c>
      <c r="L2908" t="s">
        <v>756</v>
      </c>
      <c r="M2908">
        <v>1497830400</v>
      </c>
      <c r="N2908" t="s">
        <v>1628</v>
      </c>
      <c r="O2908" t="s">
        <v>1628</v>
      </c>
      <c r="P2908" t="s">
        <v>1628</v>
      </c>
      <c r="Q2908">
        <f>LEN(AMAZON_FASHION_5__2[[#This Row],[reviewText]])</f>
        <v>108</v>
      </c>
      <c r="R2908" t="str">
        <f>IF(AMAZON_FASHION_5__2[[#This Row],[overall]]&gt;=4,"Positive",IF(AMAZON_FASHION_5__2[[#This Row],[overall]]&lt;=2,"Negative","Neutral"))</f>
        <v>Positive</v>
      </c>
      <c r="S29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09" spans="1:19" x14ac:dyDescent="0.25">
      <c r="A2909">
        <v>5</v>
      </c>
      <c r="B2909" t="b">
        <v>1</v>
      </c>
      <c r="C2909" s="1">
        <v>42905</v>
      </c>
      <c r="D2909">
        <f>YEAR(AMAZON_FASHION_5__2[[#This Row],[reviewDate]])</f>
        <v>2017</v>
      </c>
      <c r="E2909" s="1" t="str">
        <f>TEXT(AMAZON_FASHION_5__2[[#This Row],[reviewDate]], "mmmm")</f>
        <v>June</v>
      </c>
      <c r="F2909" t="s">
        <v>757</v>
      </c>
      <c r="G2909" t="s">
        <v>1607</v>
      </c>
      <c r="H2909" t="s">
        <v>210</v>
      </c>
      <c r="I2909" t="s">
        <v>198</v>
      </c>
      <c r="J2909" t="s">
        <v>63</v>
      </c>
      <c r="K2909" t="s">
        <v>758</v>
      </c>
      <c r="L2909" t="s">
        <v>759</v>
      </c>
      <c r="M2909">
        <v>1497830400</v>
      </c>
      <c r="N2909" t="s">
        <v>1628</v>
      </c>
      <c r="O2909" t="s">
        <v>1628</v>
      </c>
      <c r="P2909" t="s">
        <v>1628</v>
      </c>
      <c r="Q2909">
        <f>LEN(AMAZON_FASHION_5__2[[#This Row],[reviewText]])</f>
        <v>76</v>
      </c>
      <c r="R2909" t="str">
        <f>IF(AMAZON_FASHION_5__2[[#This Row],[overall]]&gt;=4,"Positive",IF(AMAZON_FASHION_5__2[[#This Row],[overall]]&lt;=2,"Negative","Neutral"))</f>
        <v>Positive</v>
      </c>
      <c r="S29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10" spans="1:19" x14ac:dyDescent="0.25">
      <c r="A2910">
        <v>3</v>
      </c>
      <c r="B2910" t="b">
        <v>1</v>
      </c>
      <c r="C2910" s="1">
        <v>42902</v>
      </c>
      <c r="D2910">
        <f>YEAR(AMAZON_FASHION_5__2[[#This Row],[reviewDate]])</f>
        <v>2017</v>
      </c>
      <c r="E2910" s="1" t="str">
        <f>TEXT(AMAZON_FASHION_5__2[[#This Row],[reviewDate]], "mmmm")</f>
        <v>June</v>
      </c>
      <c r="F2910" t="s">
        <v>760</v>
      </c>
      <c r="G2910" t="s">
        <v>1607</v>
      </c>
      <c r="H2910" t="s">
        <v>1598</v>
      </c>
      <c r="I2910" t="s">
        <v>198</v>
      </c>
      <c r="J2910" t="s">
        <v>761</v>
      </c>
      <c r="K2910" t="s">
        <v>762</v>
      </c>
      <c r="L2910" t="s">
        <v>763</v>
      </c>
      <c r="M2910">
        <v>1497571200</v>
      </c>
      <c r="N2910" t="s">
        <v>1628</v>
      </c>
      <c r="O2910" t="s">
        <v>1628</v>
      </c>
      <c r="P2910" t="s">
        <v>1628</v>
      </c>
      <c r="Q2910">
        <f>LEN(AMAZON_FASHION_5__2[[#This Row],[reviewText]])</f>
        <v>468</v>
      </c>
      <c r="R2910" t="str">
        <f>IF(AMAZON_FASHION_5__2[[#This Row],[overall]]&gt;=4,"Positive",IF(AMAZON_FASHION_5__2[[#This Row],[overall]]&lt;=2,"Negative","Neutral"))</f>
        <v>Neutral</v>
      </c>
      <c r="S29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11" spans="1:19" x14ac:dyDescent="0.25">
      <c r="A2911">
        <v>5</v>
      </c>
      <c r="B2911" t="b">
        <v>1</v>
      </c>
      <c r="C2911" s="1">
        <v>42901</v>
      </c>
      <c r="D2911">
        <f>YEAR(AMAZON_FASHION_5__2[[#This Row],[reviewDate]])</f>
        <v>2017</v>
      </c>
      <c r="E2911" s="1" t="str">
        <f>TEXT(AMAZON_FASHION_5__2[[#This Row],[reviewDate]], "mmmm")</f>
        <v>June</v>
      </c>
      <c r="F2911" t="s">
        <v>764</v>
      </c>
      <c r="G2911" t="s">
        <v>1607</v>
      </c>
      <c r="H2911" t="s">
        <v>235</v>
      </c>
      <c r="I2911" t="s">
        <v>198</v>
      </c>
      <c r="J2911" t="s">
        <v>765</v>
      </c>
      <c r="K2911" t="s">
        <v>766</v>
      </c>
      <c r="L2911" t="s">
        <v>767</v>
      </c>
      <c r="M2911">
        <v>1497484800</v>
      </c>
      <c r="N2911" t="s">
        <v>1628</v>
      </c>
      <c r="O2911" t="s">
        <v>1628</v>
      </c>
      <c r="P2911" t="s">
        <v>1628</v>
      </c>
      <c r="Q2911">
        <f>LEN(AMAZON_FASHION_5__2[[#This Row],[reviewText]])</f>
        <v>125</v>
      </c>
      <c r="R2911" t="str">
        <f>IF(AMAZON_FASHION_5__2[[#This Row],[overall]]&gt;=4,"Positive",IF(AMAZON_FASHION_5__2[[#This Row],[overall]]&lt;=2,"Negative","Neutral"))</f>
        <v>Positive</v>
      </c>
      <c r="S29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12" spans="1:19" x14ac:dyDescent="0.25">
      <c r="A2912">
        <v>5</v>
      </c>
      <c r="B2912" t="b">
        <v>1</v>
      </c>
      <c r="C2912" s="1">
        <v>42901</v>
      </c>
      <c r="D2912">
        <f>YEAR(AMAZON_FASHION_5__2[[#This Row],[reviewDate]])</f>
        <v>2017</v>
      </c>
      <c r="E2912" s="1" t="str">
        <f>TEXT(AMAZON_FASHION_5__2[[#This Row],[reviewDate]], "mmmm")</f>
        <v>June</v>
      </c>
      <c r="F2912" t="s">
        <v>768</v>
      </c>
      <c r="G2912" t="s">
        <v>1607</v>
      </c>
      <c r="H2912" t="s">
        <v>1567</v>
      </c>
      <c r="I2912" t="s">
        <v>419</v>
      </c>
      <c r="J2912" t="s">
        <v>769</v>
      </c>
      <c r="K2912" t="s">
        <v>770</v>
      </c>
      <c r="L2912" t="s">
        <v>17</v>
      </c>
      <c r="M2912">
        <v>1497484800</v>
      </c>
      <c r="N2912" t="s">
        <v>1628</v>
      </c>
      <c r="O2912" t="s">
        <v>1628</v>
      </c>
      <c r="P2912" t="s">
        <v>1628</v>
      </c>
      <c r="Q2912">
        <f>LEN(AMAZON_FASHION_5__2[[#This Row],[reviewText]])</f>
        <v>56</v>
      </c>
      <c r="R2912" t="str">
        <f>IF(AMAZON_FASHION_5__2[[#This Row],[overall]]&gt;=4,"Positive",IF(AMAZON_FASHION_5__2[[#This Row],[overall]]&lt;=2,"Negative","Neutral"))</f>
        <v>Positive</v>
      </c>
      <c r="S29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13" spans="1:19" x14ac:dyDescent="0.25">
      <c r="A2913">
        <v>5</v>
      </c>
      <c r="B2913" t="b">
        <v>1</v>
      </c>
      <c r="C2913" s="1">
        <v>42900</v>
      </c>
      <c r="D2913">
        <f>YEAR(AMAZON_FASHION_5__2[[#This Row],[reviewDate]])</f>
        <v>2017</v>
      </c>
      <c r="E2913" s="1" t="str">
        <f>TEXT(AMAZON_FASHION_5__2[[#This Row],[reviewDate]], "mmmm")</f>
        <v>June</v>
      </c>
      <c r="F2913" t="s">
        <v>771</v>
      </c>
      <c r="G2913" t="s">
        <v>1607</v>
      </c>
      <c r="H2913" t="s">
        <v>1578</v>
      </c>
      <c r="I2913" t="s">
        <v>211</v>
      </c>
      <c r="J2913" t="s">
        <v>63</v>
      </c>
      <c r="K2913" t="s">
        <v>772</v>
      </c>
      <c r="L2913" t="s">
        <v>17</v>
      </c>
      <c r="M2913">
        <v>1497398400</v>
      </c>
      <c r="N2913" t="s">
        <v>1628</v>
      </c>
      <c r="O2913" t="s">
        <v>1628</v>
      </c>
      <c r="P2913" t="s">
        <v>1628</v>
      </c>
      <c r="Q2913">
        <f>LEN(AMAZON_FASHION_5__2[[#This Row],[reviewText]])</f>
        <v>21</v>
      </c>
      <c r="R2913" t="str">
        <f>IF(AMAZON_FASHION_5__2[[#This Row],[overall]]&gt;=4,"Positive",IF(AMAZON_FASHION_5__2[[#This Row],[overall]]&lt;=2,"Negative","Neutral"))</f>
        <v>Positive</v>
      </c>
      <c r="S29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14" spans="1:19" x14ac:dyDescent="0.25">
      <c r="A2914">
        <v>5</v>
      </c>
      <c r="B2914" t="b">
        <v>1</v>
      </c>
      <c r="C2914" s="1">
        <v>42899</v>
      </c>
      <c r="D2914">
        <f>YEAR(AMAZON_FASHION_5__2[[#This Row],[reviewDate]])</f>
        <v>2017</v>
      </c>
      <c r="E2914" s="1" t="str">
        <f>TEXT(AMAZON_FASHION_5__2[[#This Row],[reviewDate]], "mmmm")</f>
        <v>June</v>
      </c>
      <c r="F2914" t="s">
        <v>773</v>
      </c>
      <c r="G2914" t="s">
        <v>1607</v>
      </c>
      <c r="H2914" t="s">
        <v>1568</v>
      </c>
      <c r="I2914" t="s">
        <v>493</v>
      </c>
      <c r="J2914" t="s">
        <v>774</v>
      </c>
      <c r="K2914" t="s">
        <v>775</v>
      </c>
      <c r="L2914" t="s">
        <v>17</v>
      </c>
      <c r="M2914">
        <v>1497312000</v>
      </c>
      <c r="N2914" t="s">
        <v>1628</v>
      </c>
      <c r="O2914" t="s">
        <v>1628</v>
      </c>
      <c r="P2914" t="s">
        <v>1628</v>
      </c>
      <c r="Q2914">
        <f>LEN(AMAZON_FASHION_5__2[[#This Row],[reviewText]])</f>
        <v>64</v>
      </c>
      <c r="R2914" t="str">
        <f>IF(AMAZON_FASHION_5__2[[#This Row],[overall]]&gt;=4,"Positive",IF(AMAZON_FASHION_5__2[[#This Row],[overall]]&lt;=2,"Negative","Neutral"))</f>
        <v>Positive</v>
      </c>
      <c r="S29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15" spans="1:19" x14ac:dyDescent="0.25">
      <c r="A2915">
        <v>5</v>
      </c>
      <c r="B2915" t="b">
        <v>1</v>
      </c>
      <c r="C2915" s="1">
        <v>42894</v>
      </c>
      <c r="D2915">
        <f>YEAR(AMAZON_FASHION_5__2[[#This Row],[reviewDate]])</f>
        <v>2017</v>
      </c>
      <c r="E2915" s="1" t="str">
        <f>TEXT(AMAZON_FASHION_5__2[[#This Row],[reviewDate]], "mmmm")</f>
        <v>June</v>
      </c>
      <c r="F2915" t="s">
        <v>776</v>
      </c>
      <c r="G2915" t="s">
        <v>1607</v>
      </c>
      <c r="H2915" t="s">
        <v>1568</v>
      </c>
      <c r="I2915" t="s">
        <v>303</v>
      </c>
      <c r="J2915" t="s">
        <v>777</v>
      </c>
      <c r="K2915" t="s">
        <v>778</v>
      </c>
      <c r="L2915" t="s">
        <v>17</v>
      </c>
      <c r="M2915">
        <v>1496880000</v>
      </c>
      <c r="N2915" t="s">
        <v>1628</v>
      </c>
      <c r="O2915" t="s">
        <v>1628</v>
      </c>
      <c r="P2915" t="s">
        <v>1628</v>
      </c>
      <c r="Q2915">
        <f>LEN(AMAZON_FASHION_5__2[[#This Row],[reviewText]])</f>
        <v>27</v>
      </c>
      <c r="R2915" t="str">
        <f>IF(AMAZON_FASHION_5__2[[#This Row],[overall]]&gt;=4,"Positive",IF(AMAZON_FASHION_5__2[[#This Row],[overall]]&lt;=2,"Negative","Neutral"))</f>
        <v>Positive</v>
      </c>
      <c r="S29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16" spans="1:19" x14ac:dyDescent="0.25">
      <c r="A2916">
        <v>1</v>
      </c>
      <c r="B2916" t="b">
        <v>1</v>
      </c>
      <c r="C2916" s="1">
        <v>42891</v>
      </c>
      <c r="D2916">
        <f>YEAR(AMAZON_FASHION_5__2[[#This Row],[reviewDate]])</f>
        <v>2017</v>
      </c>
      <c r="E2916" s="1" t="str">
        <f>TEXT(AMAZON_FASHION_5__2[[#This Row],[reviewDate]], "mmmm")</f>
        <v>June</v>
      </c>
      <c r="F2916" t="s">
        <v>779</v>
      </c>
      <c r="G2916" t="s">
        <v>1607</v>
      </c>
      <c r="H2916" t="s">
        <v>1477</v>
      </c>
      <c r="I2916" t="s">
        <v>336</v>
      </c>
      <c r="J2916" t="s">
        <v>780</v>
      </c>
      <c r="K2916" t="s">
        <v>781</v>
      </c>
      <c r="L2916" t="s">
        <v>782</v>
      </c>
      <c r="M2916">
        <v>1496620800</v>
      </c>
      <c r="N2916" t="s">
        <v>1628</v>
      </c>
      <c r="O2916" t="s">
        <v>1628</v>
      </c>
      <c r="P2916" t="s">
        <v>1628</v>
      </c>
      <c r="Q2916">
        <f>LEN(AMAZON_FASHION_5__2[[#This Row],[reviewText]])</f>
        <v>75</v>
      </c>
      <c r="R2916" t="str">
        <f>IF(AMAZON_FASHION_5__2[[#This Row],[overall]]&gt;=4,"Positive",IF(AMAZON_FASHION_5__2[[#This Row],[overall]]&lt;=2,"Negative","Neutral"))</f>
        <v>Negative</v>
      </c>
      <c r="S29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17" spans="1:19" x14ac:dyDescent="0.25">
      <c r="A2917">
        <v>5</v>
      </c>
      <c r="B2917" t="b">
        <v>1</v>
      </c>
      <c r="C2917" s="1">
        <v>42888</v>
      </c>
      <c r="D2917">
        <f>YEAR(AMAZON_FASHION_5__2[[#This Row],[reviewDate]])</f>
        <v>2017</v>
      </c>
      <c r="E2917" s="1" t="str">
        <f>TEXT(AMAZON_FASHION_5__2[[#This Row],[reviewDate]], "mmmm")</f>
        <v>June</v>
      </c>
      <c r="F2917" t="s">
        <v>783</v>
      </c>
      <c r="G2917" t="s">
        <v>1607</v>
      </c>
      <c r="H2917" t="s">
        <v>1571</v>
      </c>
      <c r="I2917" t="s">
        <v>198</v>
      </c>
      <c r="J2917" t="s">
        <v>784</v>
      </c>
      <c r="K2917" t="s">
        <v>785</v>
      </c>
      <c r="L2917" t="s">
        <v>17</v>
      </c>
      <c r="M2917">
        <v>1496361600</v>
      </c>
      <c r="N2917" t="s">
        <v>1628</v>
      </c>
      <c r="O2917" t="s">
        <v>1628</v>
      </c>
      <c r="P2917" t="s">
        <v>1628</v>
      </c>
      <c r="Q2917">
        <f>LEN(AMAZON_FASHION_5__2[[#This Row],[reviewText]])</f>
        <v>91</v>
      </c>
      <c r="R2917" t="str">
        <f>IF(AMAZON_FASHION_5__2[[#This Row],[overall]]&gt;=4,"Positive",IF(AMAZON_FASHION_5__2[[#This Row],[overall]]&lt;=2,"Negative","Neutral"))</f>
        <v>Positive</v>
      </c>
      <c r="S29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18" spans="1:19" x14ac:dyDescent="0.25">
      <c r="A2918">
        <v>5</v>
      </c>
      <c r="B2918" t="b">
        <v>1</v>
      </c>
      <c r="C2918" s="1">
        <v>42885</v>
      </c>
      <c r="D2918">
        <f>YEAR(AMAZON_FASHION_5__2[[#This Row],[reviewDate]])</f>
        <v>2017</v>
      </c>
      <c r="E2918" s="1" t="str">
        <f>TEXT(AMAZON_FASHION_5__2[[#This Row],[reviewDate]], "mmmm")</f>
        <v>May</v>
      </c>
      <c r="F2918" t="s">
        <v>786</v>
      </c>
      <c r="G2918" t="s">
        <v>1607</v>
      </c>
      <c r="H2918" t="s">
        <v>1574</v>
      </c>
      <c r="I2918" t="s">
        <v>198</v>
      </c>
      <c r="J2918" t="s">
        <v>787</v>
      </c>
      <c r="K2918" t="s">
        <v>543</v>
      </c>
      <c r="L2918" t="s">
        <v>17</v>
      </c>
      <c r="M2918">
        <v>1496102400</v>
      </c>
      <c r="N2918" t="s">
        <v>1628</v>
      </c>
      <c r="O2918" t="s">
        <v>1628</v>
      </c>
      <c r="P2918" t="s">
        <v>1628</v>
      </c>
      <c r="Q2918">
        <f>LEN(AMAZON_FASHION_5__2[[#This Row],[reviewText]])</f>
        <v>11</v>
      </c>
      <c r="R2918" t="str">
        <f>IF(AMAZON_FASHION_5__2[[#This Row],[overall]]&gt;=4,"Positive",IF(AMAZON_FASHION_5__2[[#This Row],[overall]]&lt;=2,"Negative","Neutral"))</f>
        <v>Positive</v>
      </c>
      <c r="S29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19" spans="1:19" x14ac:dyDescent="0.25">
      <c r="A2919">
        <v>5</v>
      </c>
      <c r="B2919" t="b">
        <v>1</v>
      </c>
      <c r="C2919" s="1">
        <v>42885</v>
      </c>
      <c r="D2919">
        <f>YEAR(AMAZON_FASHION_5__2[[#This Row],[reviewDate]])</f>
        <v>2017</v>
      </c>
      <c r="E2919" s="1" t="str">
        <f>TEXT(AMAZON_FASHION_5__2[[#This Row],[reviewDate]], "mmmm")</f>
        <v>May</v>
      </c>
      <c r="F2919" t="s">
        <v>788</v>
      </c>
      <c r="G2919" t="s">
        <v>1607</v>
      </c>
      <c r="H2919" t="s">
        <v>1596</v>
      </c>
      <c r="I2919" t="s">
        <v>344</v>
      </c>
      <c r="J2919" t="s">
        <v>789</v>
      </c>
      <c r="K2919" t="s">
        <v>790</v>
      </c>
      <c r="L2919" t="s">
        <v>791</v>
      </c>
      <c r="M2919">
        <v>1496102400</v>
      </c>
      <c r="N2919" t="s">
        <v>1628</v>
      </c>
      <c r="O2919" t="s">
        <v>1628</v>
      </c>
      <c r="P2919" t="s">
        <v>1628</v>
      </c>
      <c r="Q2919">
        <f>LEN(AMAZON_FASHION_5__2[[#This Row],[reviewText]])</f>
        <v>61</v>
      </c>
      <c r="R2919" t="str">
        <f>IF(AMAZON_FASHION_5__2[[#This Row],[overall]]&gt;=4,"Positive",IF(AMAZON_FASHION_5__2[[#This Row],[overall]]&lt;=2,"Negative","Neutral"))</f>
        <v>Positive</v>
      </c>
      <c r="S29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20" spans="1:19" x14ac:dyDescent="0.25">
      <c r="A2920">
        <v>4</v>
      </c>
      <c r="B2920" t="b">
        <v>1</v>
      </c>
      <c r="C2920" s="1">
        <v>42884</v>
      </c>
      <c r="D2920">
        <f>YEAR(AMAZON_FASHION_5__2[[#This Row],[reviewDate]])</f>
        <v>2017</v>
      </c>
      <c r="E2920" s="1" t="str">
        <f>TEXT(AMAZON_FASHION_5__2[[#This Row],[reviewDate]], "mmmm")</f>
        <v>May</v>
      </c>
      <c r="F2920" t="s">
        <v>792</v>
      </c>
      <c r="G2920" t="s">
        <v>1607</v>
      </c>
      <c r="H2920" t="s">
        <v>1488</v>
      </c>
      <c r="I2920" t="s">
        <v>336</v>
      </c>
      <c r="J2920" t="s">
        <v>793</v>
      </c>
      <c r="K2920" t="s">
        <v>794</v>
      </c>
      <c r="L2920" t="s">
        <v>795</v>
      </c>
      <c r="M2920">
        <v>1496016000</v>
      </c>
      <c r="N2920" t="s">
        <v>1628</v>
      </c>
      <c r="O2920" t="s">
        <v>1628</v>
      </c>
      <c r="P2920" t="s">
        <v>1628</v>
      </c>
      <c r="Q2920">
        <f>LEN(AMAZON_FASHION_5__2[[#This Row],[reviewText]])</f>
        <v>65</v>
      </c>
      <c r="R2920" t="str">
        <f>IF(AMAZON_FASHION_5__2[[#This Row],[overall]]&gt;=4,"Positive",IF(AMAZON_FASHION_5__2[[#This Row],[overall]]&lt;=2,"Negative","Neutral"))</f>
        <v>Positive</v>
      </c>
      <c r="S29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21" spans="1:19" x14ac:dyDescent="0.25">
      <c r="A2921">
        <v>3</v>
      </c>
      <c r="B2921" t="b">
        <v>1</v>
      </c>
      <c r="C2921" s="1">
        <v>42880</v>
      </c>
      <c r="D2921">
        <f>YEAR(AMAZON_FASHION_5__2[[#This Row],[reviewDate]])</f>
        <v>2017</v>
      </c>
      <c r="E2921" s="1" t="str">
        <f>TEXT(AMAZON_FASHION_5__2[[#This Row],[reviewDate]], "mmmm")</f>
        <v>May</v>
      </c>
      <c r="F2921" t="s">
        <v>796</v>
      </c>
      <c r="G2921" t="s">
        <v>1607</v>
      </c>
      <c r="H2921" t="s">
        <v>1596</v>
      </c>
      <c r="I2921" t="s">
        <v>198</v>
      </c>
      <c r="J2921" t="s">
        <v>797</v>
      </c>
      <c r="K2921" t="s">
        <v>798</v>
      </c>
      <c r="L2921" t="s">
        <v>799</v>
      </c>
      <c r="M2921">
        <v>1495670400</v>
      </c>
      <c r="N2921" t="s">
        <v>1628</v>
      </c>
      <c r="O2921" t="s">
        <v>1628</v>
      </c>
      <c r="P2921" t="s">
        <v>1628</v>
      </c>
      <c r="Q2921">
        <f>LEN(AMAZON_FASHION_5__2[[#This Row],[reviewText]])</f>
        <v>40</v>
      </c>
      <c r="R2921" t="str">
        <f>IF(AMAZON_FASHION_5__2[[#This Row],[overall]]&gt;=4,"Positive",IF(AMAZON_FASHION_5__2[[#This Row],[overall]]&lt;=2,"Negative","Neutral"))</f>
        <v>Neutral</v>
      </c>
      <c r="S29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22" spans="1:19" x14ac:dyDescent="0.25">
      <c r="A2922">
        <v>5</v>
      </c>
      <c r="B2922" t="b">
        <v>1</v>
      </c>
      <c r="C2922" s="1">
        <v>42877</v>
      </c>
      <c r="D2922">
        <f>YEAR(AMAZON_FASHION_5__2[[#This Row],[reviewDate]])</f>
        <v>2017</v>
      </c>
      <c r="E2922" s="1" t="str">
        <f>TEXT(AMAZON_FASHION_5__2[[#This Row],[reviewDate]], "mmmm")</f>
        <v>May</v>
      </c>
      <c r="F2922" t="s">
        <v>800</v>
      </c>
      <c r="G2922" t="s">
        <v>1607</v>
      </c>
      <c r="H2922" t="s">
        <v>1571</v>
      </c>
      <c r="I2922" t="s">
        <v>198</v>
      </c>
      <c r="J2922" t="s">
        <v>801</v>
      </c>
      <c r="K2922" t="s">
        <v>802</v>
      </c>
      <c r="L2922" t="s">
        <v>803</v>
      </c>
      <c r="M2922">
        <v>1495411200</v>
      </c>
      <c r="N2922" t="s">
        <v>1628</v>
      </c>
      <c r="O2922" t="s">
        <v>1628</v>
      </c>
      <c r="P2922" t="s">
        <v>1628</v>
      </c>
      <c r="Q2922">
        <f>LEN(AMAZON_FASHION_5__2[[#This Row],[reviewText]])</f>
        <v>45</v>
      </c>
      <c r="R2922" t="str">
        <f>IF(AMAZON_FASHION_5__2[[#This Row],[overall]]&gt;=4,"Positive",IF(AMAZON_FASHION_5__2[[#This Row],[overall]]&lt;=2,"Negative","Neutral"))</f>
        <v>Positive</v>
      </c>
      <c r="S29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23" spans="1:19" x14ac:dyDescent="0.25">
      <c r="A2923">
        <v>5</v>
      </c>
      <c r="B2923" t="b">
        <v>1</v>
      </c>
      <c r="C2923" s="1">
        <v>42877</v>
      </c>
      <c r="D2923">
        <f>YEAR(AMAZON_FASHION_5__2[[#This Row],[reviewDate]])</f>
        <v>2017</v>
      </c>
      <c r="E2923" s="1" t="str">
        <f>TEXT(AMAZON_FASHION_5__2[[#This Row],[reviewDate]], "mmmm")</f>
        <v>May</v>
      </c>
      <c r="F2923" t="s">
        <v>804</v>
      </c>
      <c r="G2923" t="s">
        <v>1607</v>
      </c>
      <c r="H2923" t="s">
        <v>210</v>
      </c>
      <c r="I2923" t="s">
        <v>198</v>
      </c>
      <c r="J2923" t="s">
        <v>805</v>
      </c>
      <c r="K2923" t="s">
        <v>806</v>
      </c>
      <c r="L2923" t="s">
        <v>807</v>
      </c>
      <c r="M2923">
        <v>1495411200</v>
      </c>
      <c r="N2923" t="s">
        <v>1628</v>
      </c>
      <c r="O2923" t="s">
        <v>1628</v>
      </c>
      <c r="P2923" t="s">
        <v>1628</v>
      </c>
      <c r="Q2923">
        <f>LEN(AMAZON_FASHION_5__2[[#This Row],[reviewText]])</f>
        <v>86</v>
      </c>
      <c r="R2923" t="str">
        <f>IF(AMAZON_FASHION_5__2[[#This Row],[overall]]&gt;=4,"Positive",IF(AMAZON_FASHION_5__2[[#This Row],[overall]]&lt;=2,"Negative","Neutral"))</f>
        <v>Positive</v>
      </c>
      <c r="S29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24" spans="1:19" x14ac:dyDescent="0.25">
      <c r="A2924">
        <v>5</v>
      </c>
      <c r="B2924" t="b">
        <v>0</v>
      </c>
      <c r="C2924" s="1">
        <v>42874</v>
      </c>
      <c r="D2924">
        <f>YEAR(AMAZON_FASHION_5__2[[#This Row],[reviewDate]])</f>
        <v>2017</v>
      </c>
      <c r="E2924" s="1" t="str">
        <f>TEXT(AMAZON_FASHION_5__2[[#This Row],[reviewDate]], "mmmm")</f>
        <v>May</v>
      </c>
      <c r="F2924" t="s">
        <v>808</v>
      </c>
      <c r="G2924" t="s">
        <v>1607</v>
      </c>
      <c r="H2924" t="s">
        <v>1489</v>
      </c>
      <c r="I2924" t="s">
        <v>336</v>
      </c>
      <c r="J2924" t="s">
        <v>810</v>
      </c>
      <c r="K2924" t="s">
        <v>811</v>
      </c>
      <c r="L2924" t="s">
        <v>812</v>
      </c>
      <c r="M2924">
        <v>1495152000</v>
      </c>
      <c r="N2924" t="s">
        <v>1628</v>
      </c>
      <c r="O2924" t="s">
        <v>1628</v>
      </c>
      <c r="P2924">
        <v>2</v>
      </c>
      <c r="Q2924">
        <f>LEN(AMAZON_FASHION_5__2[[#This Row],[reviewText]])</f>
        <v>109</v>
      </c>
      <c r="R2924" t="str">
        <f>IF(AMAZON_FASHION_5__2[[#This Row],[overall]]&gt;=4,"Positive",IF(AMAZON_FASHION_5__2[[#This Row],[overall]]&lt;=2,"Negative","Neutral"))</f>
        <v>Positive</v>
      </c>
      <c r="S29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25" spans="1:19" x14ac:dyDescent="0.25">
      <c r="A2925">
        <v>5</v>
      </c>
      <c r="B2925" t="b">
        <v>0</v>
      </c>
      <c r="C2925" s="1">
        <v>42874</v>
      </c>
      <c r="D2925">
        <f>YEAR(AMAZON_FASHION_5__2[[#This Row],[reviewDate]])</f>
        <v>2017</v>
      </c>
      <c r="E2925" s="1" t="str">
        <f>TEXT(AMAZON_FASHION_5__2[[#This Row],[reviewDate]], "mmmm")</f>
        <v>May</v>
      </c>
      <c r="F2925" t="s">
        <v>808</v>
      </c>
      <c r="G2925" t="s">
        <v>1607</v>
      </c>
      <c r="H2925" t="s">
        <v>1596</v>
      </c>
      <c r="I2925" t="s">
        <v>396</v>
      </c>
      <c r="J2925" t="s">
        <v>810</v>
      </c>
      <c r="K2925" t="s">
        <v>813</v>
      </c>
      <c r="L2925" t="s">
        <v>814</v>
      </c>
      <c r="M2925">
        <v>1495152000</v>
      </c>
      <c r="N2925" t="s">
        <v>1628</v>
      </c>
      <c r="O2925" t="s">
        <v>1628</v>
      </c>
      <c r="P2925">
        <v>4</v>
      </c>
      <c r="Q2925">
        <f>LEN(AMAZON_FASHION_5__2[[#This Row],[reviewText]])</f>
        <v>274</v>
      </c>
      <c r="R2925" t="str">
        <f>IF(AMAZON_FASHION_5__2[[#This Row],[overall]]&gt;=4,"Positive",IF(AMAZON_FASHION_5__2[[#This Row],[overall]]&lt;=2,"Negative","Neutral"))</f>
        <v>Positive</v>
      </c>
      <c r="S29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26" spans="1:19" x14ac:dyDescent="0.25">
      <c r="A2926">
        <v>4</v>
      </c>
      <c r="B2926" t="b">
        <v>1</v>
      </c>
      <c r="C2926" s="1">
        <v>42873</v>
      </c>
      <c r="D2926">
        <f>YEAR(AMAZON_FASHION_5__2[[#This Row],[reviewDate]])</f>
        <v>2017</v>
      </c>
      <c r="E2926" s="1" t="str">
        <f>TEXT(AMAZON_FASHION_5__2[[#This Row],[reviewDate]], "mmmm")</f>
        <v>May</v>
      </c>
      <c r="F2926" t="s">
        <v>815</v>
      </c>
      <c r="G2926" t="s">
        <v>1607</v>
      </c>
      <c r="H2926" t="s">
        <v>1578</v>
      </c>
      <c r="I2926" t="s">
        <v>198</v>
      </c>
      <c r="J2926" t="s">
        <v>816</v>
      </c>
      <c r="K2926" t="s">
        <v>817</v>
      </c>
      <c r="L2926" t="s">
        <v>818</v>
      </c>
      <c r="M2926">
        <v>1495065600</v>
      </c>
      <c r="N2926" t="s">
        <v>1628</v>
      </c>
      <c r="O2926" t="s">
        <v>1628</v>
      </c>
      <c r="P2926" t="s">
        <v>1628</v>
      </c>
      <c r="Q2926">
        <f>LEN(AMAZON_FASHION_5__2[[#This Row],[reviewText]])</f>
        <v>20</v>
      </c>
      <c r="R2926" t="str">
        <f>IF(AMAZON_FASHION_5__2[[#This Row],[overall]]&gt;=4,"Positive",IF(AMAZON_FASHION_5__2[[#This Row],[overall]]&lt;=2,"Negative","Neutral"))</f>
        <v>Positive</v>
      </c>
      <c r="S29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27" spans="1:19" x14ac:dyDescent="0.25">
      <c r="A2927">
        <v>4</v>
      </c>
      <c r="B2927" t="b">
        <v>1</v>
      </c>
      <c r="C2927" s="1">
        <v>42870</v>
      </c>
      <c r="D2927">
        <f>YEAR(AMAZON_FASHION_5__2[[#This Row],[reviewDate]])</f>
        <v>2017</v>
      </c>
      <c r="E2927" s="1" t="str">
        <f>TEXT(AMAZON_FASHION_5__2[[#This Row],[reviewDate]], "mmmm")</f>
        <v>May</v>
      </c>
      <c r="F2927" t="s">
        <v>819</v>
      </c>
      <c r="G2927" t="s">
        <v>1607</v>
      </c>
      <c r="H2927" t="s">
        <v>1578</v>
      </c>
      <c r="I2927" t="s">
        <v>524</v>
      </c>
      <c r="J2927" t="s">
        <v>820</v>
      </c>
      <c r="K2927" t="s">
        <v>821</v>
      </c>
      <c r="L2927" t="s">
        <v>103</v>
      </c>
      <c r="M2927">
        <v>1494806400</v>
      </c>
      <c r="N2927" t="s">
        <v>1628</v>
      </c>
      <c r="O2927" t="s">
        <v>1628</v>
      </c>
      <c r="P2927" t="s">
        <v>1628</v>
      </c>
      <c r="Q2927">
        <f>LEN(AMAZON_FASHION_5__2[[#This Row],[reviewText]])</f>
        <v>40</v>
      </c>
      <c r="R2927" t="str">
        <f>IF(AMAZON_FASHION_5__2[[#This Row],[overall]]&gt;=4,"Positive",IF(AMAZON_FASHION_5__2[[#This Row],[overall]]&lt;=2,"Negative","Neutral"))</f>
        <v>Positive</v>
      </c>
      <c r="S29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28" spans="1:19" x14ac:dyDescent="0.25">
      <c r="A2928">
        <v>3</v>
      </c>
      <c r="B2928" t="b">
        <v>1</v>
      </c>
      <c r="C2928" s="1">
        <v>42865</v>
      </c>
      <c r="D2928">
        <f>YEAR(AMAZON_FASHION_5__2[[#This Row],[reviewDate]])</f>
        <v>2017</v>
      </c>
      <c r="E2928" s="1" t="str">
        <f>TEXT(AMAZON_FASHION_5__2[[#This Row],[reviewDate]], "mmmm")</f>
        <v>May</v>
      </c>
      <c r="F2928" t="s">
        <v>822</v>
      </c>
      <c r="G2928" t="s">
        <v>1607</v>
      </c>
      <c r="H2928" t="s">
        <v>210</v>
      </c>
      <c r="I2928" t="s">
        <v>198</v>
      </c>
      <c r="J2928" t="s">
        <v>823</v>
      </c>
      <c r="K2928" t="s">
        <v>824</v>
      </c>
      <c r="L2928" t="s">
        <v>825</v>
      </c>
      <c r="M2928">
        <v>1494374400</v>
      </c>
      <c r="N2928" t="s">
        <v>1628</v>
      </c>
      <c r="O2928" t="s">
        <v>1628</v>
      </c>
      <c r="P2928" t="s">
        <v>1628</v>
      </c>
      <c r="Q2928">
        <f>LEN(AMAZON_FASHION_5__2[[#This Row],[reviewText]])</f>
        <v>170</v>
      </c>
      <c r="R2928" t="str">
        <f>IF(AMAZON_FASHION_5__2[[#This Row],[overall]]&gt;=4,"Positive",IF(AMAZON_FASHION_5__2[[#This Row],[overall]]&lt;=2,"Negative","Neutral"))</f>
        <v>Neutral</v>
      </c>
      <c r="S29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29" spans="1:19" x14ac:dyDescent="0.25">
      <c r="A2929">
        <v>5</v>
      </c>
      <c r="B2929" t="b">
        <v>1</v>
      </c>
      <c r="C2929" s="1">
        <v>42862</v>
      </c>
      <c r="D2929">
        <f>YEAR(AMAZON_FASHION_5__2[[#This Row],[reviewDate]])</f>
        <v>2017</v>
      </c>
      <c r="E2929" s="1" t="str">
        <f>TEXT(AMAZON_FASHION_5__2[[#This Row],[reviewDate]], "mmmm")</f>
        <v>May</v>
      </c>
      <c r="F2929" t="s">
        <v>826</v>
      </c>
      <c r="G2929" t="s">
        <v>1607</v>
      </c>
      <c r="H2929" t="s">
        <v>1599</v>
      </c>
      <c r="I2929" t="s">
        <v>827</v>
      </c>
      <c r="J2929" t="s">
        <v>828</v>
      </c>
      <c r="K2929" t="s">
        <v>829</v>
      </c>
      <c r="L2929" t="s">
        <v>830</v>
      </c>
      <c r="M2929">
        <v>1494115200</v>
      </c>
      <c r="N2929" t="s">
        <v>1628</v>
      </c>
      <c r="O2929" t="s">
        <v>1628</v>
      </c>
      <c r="P2929" t="s">
        <v>1628</v>
      </c>
      <c r="Q2929">
        <f>LEN(AMAZON_FASHION_5__2[[#This Row],[reviewText]])</f>
        <v>193</v>
      </c>
      <c r="R2929" t="str">
        <f>IF(AMAZON_FASHION_5__2[[#This Row],[overall]]&gt;=4,"Positive",IF(AMAZON_FASHION_5__2[[#This Row],[overall]]&lt;=2,"Negative","Neutral"))</f>
        <v>Positive</v>
      </c>
      <c r="S29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30" spans="1:19" x14ac:dyDescent="0.25">
      <c r="A2930">
        <v>5</v>
      </c>
      <c r="B2930" t="b">
        <v>1</v>
      </c>
      <c r="C2930" s="1">
        <v>42861</v>
      </c>
      <c r="D2930">
        <f>YEAR(AMAZON_FASHION_5__2[[#This Row],[reviewDate]])</f>
        <v>2017</v>
      </c>
      <c r="E2930" s="1" t="str">
        <f>TEXT(AMAZON_FASHION_5__2[[#This Row],[reviewDate]], "mmmm")</f>
        <v>May</v>
      </c>
      <c r="F2930" t="s">
        <v>831</v>
      </c>
      <c r="G2930" t="s">
        <v>1607</v>
      </c>
      <c r="H2930" t="s">
        <v>1603</v>
      </c>
      <c r="I2930" t="s">
        <v>336</v>
      </c>
      <c r="J2930" t="s">
        <v>832</v>
      </c>
      <c r="K2930" t="s">
        <v>833</v>
      </c>
      <c r="L2930" t="s">
        <v>834</v>
      </c>
      <c r="M2930">
        <v>1494028800</v>
      </c>
      <c r="N2930" t="s">
        <v>1628</v>
      </c>
      <c r="O2930" t="s">
        <v>1628</v>
      </c>
      <c r="P2930" t="s">
        <v>1628</v>
      </c>
      <c r="Q2930">
        <f>LEN(AMAZON_FASHION_5__2[[#This Row],[reviewText]])</f>
        <v>126</v>
      </c>
      <c r="R2930" t="str">
        <f>IF(AMAZON_FASHION_5__2[[#This Row],[overall]]&gt;=4,"Positive",IF(AMAZON_FASHION_5__2[[#This Row],[overall]]&lt;=2,"Negative","Neutral"))</f>
        <v>Positive</v>
      </c>
      <c r="S29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31" spans="1:19" x14ac:dyDescent="0.25">
      <c r="A2931">
        <v>5</v>
      </c>
      <c r="B2931" t="b">
        <v>1</v>
      </c>
      <c r="C2931" s="1">
        <v>42860</v>
      </c>
      <c r="D2931">
        <f>YEAR(AMAZON_FASHION_5__2[[#This Row],[reviewDate]])</f>
        <v>2017</v>
      </c>
      <c r="E2931" s="1" t="str">
        <f>TEXT(AMAZON_FASHION_5__2[[#This Row],[reviewDate]], "mmmm")</f>
        <v>May</v>
      </c>
      <c r="F2931" t="s">
        <v>835</v>
      </c>
      <c r="G2931" t="s">
        <v>1607</v>
      </c>
      <c r="H2931" t="s">
        <v>1571</v>
      </c>
      <c r="I2931" t="s">
        <v>396</v>
      </c>
      <c r="J2931" t="s">
        <v>836</v>
      </c>
      <c r="K2931" t="s">
        <v>837</v>
      </c>
      <c r="L2931" t="s">
        <v>838</v>
      </c>
      <c r="M2931">
        <v>1493942400</v>
      </c>
      <c r="N2931" t="s">
        <v>1628</v>
      </c>
      <c r="O2931" t="s">
        <v>1628</v>
      </c>
      <c r="P2931" t="s">
        <v>1628</v>
      </c>
      <c r="Q2931">
        <f>LEN(AMAZON_FASHION_5__2[[#This Row],[reviewText]])</f>
        <v>110</v>
      </c>
      <c r="R2931" t="str">
        <f>IF(AMAZON_FASHION_5__2[[#This Row],[overall]]&gt;=4,"Positive",IF(AMAZON_FASHION_5__2[[#This Row],[overall]]&lt;=2,"Negative","Neutral"))</f>
        <v>Positive</v>
      </c>
      <c r="S29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32" spans="1:19" x14ac:dyDescent="0.25">
      <c r="A2932">
        <v>5</v>
      </c>
      <c r="B2932" t="b">
        <v>1</v>
      </c>
      <c r="C2932" s="1">
        <v>42858</v>
      </c>
      <c r="D2932">
        <f>YEAR(AMAZON_FASHION_5__2[[#This Row],[reviewDate]])</f>
        <v>2017</v>
      </c>
      <c r="E2932" s="1" t="str">
        <f>TEXT(AMAZON_FASHION_5__2[[#This Row],[reviewDate]], "mmmm")</f>
        <v>May</v>
      </c>
      <c r="F2932" t="s">
        <v>839</v>
      </c>
      <c r="G2932" t="s">
        <v>1607</v>
      </c>
      <c r="H2932" t="s">
        <v>1598</v>
      </c>
      <c r="I2932" t="s">
        <v>198</v>
      </c>
      <c r="J2932" t="s">
        <v>840</v>
      </c>
      <c r="K2932" t="s">
        <v>841</v>
      </c>
      <c r="L2932" t="s">
        <v>17</v>
      </c>
      <c r="M2932">
        <v>1493769600</v>
      </c>
      <c r="N2932" t="s">
        <v>1628</v>
      </c>
      <c r="O2932" t="s">
        <v>1628</v>
      </c>
      <c r="P2932" t="s">
        <v>1628</v>
      </c>
      <c r="Q2932">
        <f>LEN(AMAZON_FASHION_5__2[[#This Row],[reviewText]])</f>
        <v>42</v>
      </c>
      <c r="R2932" t="str">
        <f>IF(AMAZON_FASHION_5__2[[#This Row],[overall]]&gt;=4,"Positive",IF(AMAZON_FASHION_5__2[[#This Row],[overall]]&lt;=2,"Negative","Neutral"))</f>
        <v>Positive</v>
      </c>
      <c r="S29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33" spans="1:19" x14ac:dyDescent="0.25">
      <c r="A2933">
        <v>5</v>
      </c>
      <c r="B2933" t="b">
        <v>1</v>
      </c>
      <c r="C2933" s="1">
        <v>42858</v>
      </c>
      <c r="D2933">
        <f>YEAR(AMAZON_FASHION_5__2[[#This Row],[reviewDate]])</f>
        <v>2017</v>
      </c>
      <c r="E2933" s="1" t="str">
        <f>TEXT(AMAZON_FASHION_5__2[[#This Row],[reviewDate]], "mmmm")</f>
        <v>May</v>
      </c>
      <c r="F2933" t="s">
        <v>842</v>
      </c>
      <c r="G2933" t="s">
        <v>1607</v>
      </c>
      <c r="H2933" t="s">
        <v>1571</v>
      </c>
      <c r="I2933" t="s">
        <v>198</v>
      </c>
      <c r="J2933" t="s">
        <v>843</v>
      </c>
      <c r="K2933" t="s">
        <v>844</v>
      </c>
      <c r="L2933" t="s">
        <v>17</v>
      </c>
      <c r="M2933">
        <v>1493769600</v>
      </c>
      <c r="N2933" t="s">
        <v>1628</v>
      </c>
      <c r="O2933" t="s">
        <v>1628</v>
      </c>
      <c r="P2933" t="s">
        <v>1628</v>
      </c>
      <c r="Q2933">
        <f>LEN(AMAZON_FASHION_5__2[[#This Row],[reviewText]])</f>
        <v>12</v>
      </c>
      <c r="R2933" t="str">
        <f>IF(AMAZON_FASHION_5__2[[#This Row],[overall]]&gt;=4,"Positive",IF(AMAZON_FASHION_5__2[[#This Row],[overall]]&lt;=2,"Negative","Neutral"))</f>
        <v>Positive</v>
      </c>
      <c r="S29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34" spans="1:19" x14ac:dyDescent="0.25">
      <c r="A2934">
        <v>4</v>
      </c>
      <c r="B2934" t="b">
        <v>1</v>
      </c>
      <c r="C2934" s="1">
        <v>42857</v>
      </c>
      <c r="D2934">
        <f>YEAR(AMAZON_FASHION_5__2[[#This Row],[reviewDate]])</f>
        <v>2017</v>
      </c>
      <c r="E2934" s="1" t="str">
        <f>TEXT(AMAZON_FASHION_5__2[[#This Row],[reviewDate]], "mmmm")</f>
        <v>May</v>
      </c>
      <c r="F2934" t="s">
        <v>845</v>
      </c>
      <c r="G2934" t="s">
        <v>1607</v>
      </c>
      <c r="H2934" t="s">
        <v>1599</v>
      </c>
      <c r="I2934" t="s">
        <v>827</v>
      </c>
      <c r="J2934" t="s">
        <v>846</v>
      </c>
      <c r="K2934" t="s">
        <v>847</v>
      </c>
      <c r="L2934" t="s">
        <v>812</v>
      </c>
      <c r="M2934">
        <v>1493683200</v>
      </c>
      <c r="N2934" t="s">
        <v>1628</v>
      </c>
      <c r="O2934" t="s">
        <v>1628</v>
      </c>
      <c r="P2934" t="s">
        <v>1628</v>
      </c>
      <c r="Q2934">
        <f>LEN(AMAZON_FASHION_5__2[[#This Row],[reviewText]])</f>
        <v>86</v>
      </c>
      <c r="R2934" t="str">
        <f>IF(AMAZON_FASHION_5__2[[#This Row],[overall]]&gt;=4,"Positive",IF(AMAZON_FASHION_5__2[[#This Row],[overall]]&lt;=2,"Negative","Neutral"))</f>
        <v>Positive</v>
      </c>
      <c r="S29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35" spans="1:19" x14ac:dyDescent="0.25">
      <c r="A2935">
        <v>5</v>
      </c>
      <c r="B2935" t="b">
        <v>1</v>
      </c>
      <c r="C2935" s="1">
        <v>42856</v>
      </c>
      <c r="D2935">
        <f>YEAR(AMAZON_FASHION_5__2[[#This Row],[reviewDate]])</f>
        <v>2017</v>
      </c>
      <c r="E2935" s="1" t="str">
        <f>TEXT(AMAZON_FASHION_5__2[[#This Row],[reviewDate]], "mmmm")</f>
        <v>May</v>
      </c>
      <c r="F2935" t="s">
        <v>848</v>
      </c>
      <c r="G2935" t="s">
        <v>1607</v>
      </c>
      <c r="H2935" t="s">
        <v>320</v>
      </c>
      <c r="I2935" t="s">
        <v>849</v>
      </c>
      <c r="J2935" t="s">
        <v>850</v>
      </c>
      <c r="K2935" t="s">
        <v>851</v>
      </c>
      <c r="L2935" t="s">
        <v>17</v>
      </c>
      <c r="M2935">
        <v>1493596800</v>
      </c>
      <c r="N2935" t="s">
        <v>1628</v>
      </c>
      <c r="O2935" t="s">
        <v>1628</v>
      </c>
      <c r="P2935" t="s">
        <v>1628</v>
      </c>
      <c r="Q2935">
        <f>LEN(AMAZON_FASHION_5__2[[#This Row],[reviewText]])</f>
        <v>89</v>
      </c>
      <c r="R2935" t="str">
        <f>IF(AMAZON_FASHION_5__2[[#This Row],[overall]]&gt;=4,"Positive",IF(AMAZON_FASHION_5__2[[#This Row],[overall]]&lt;=2,"Negative","Neutral"))</f>
        <v>Positive</v>
      </c>
      <c r="S29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36" spans="1:19" x14ac:dyDescent="0.25">
      <c r="A2936">
        <v>5</v>
      </c>
      <c r="B2936" t="b">
        <v>1</v>
      </c>
      <c r="C2936" s="1">
        <v>42853</v>
      </c>
      <c r="D2936">
        <f>YEAR(AMAZON_FASHION_5__2[[#This Row],[reviewDate]])</f>
        <v>2017</v>
      </c>
      <c r="E2936" s="1" t="str">
        <f>TEXT(AMAZON_FASHION_5__2[[#This Row],[reviewDate]], "mmmm")</f>
        <v>April</v>
      </c>
      <c r="F2936" t="s">
        <v>852</v>
      </c>
      <c r="G2936" t="s">
        <v>1607</v>
      </c>
      <c r="H2936" t="s">
        <v>1568</v>
      </c>
      <c r="I2936" t="s">
        <v>211</v>
      </c>
      <c r="J2936" t="s">
        <v>853</v>
      </c>
      <c r="K2936" t="s">
        <v>854</v>
      </c>
      <c r="L2936" t="s">
        <v>17</v>
      </c>
      <c r="M2936">
        <v>1493337600</v>
      </c>
      <c r="N2936" t="s">
        <v>1628</v>
      </c>
      <c r="O2936" t="s">
        <v>1628</v>
      </c>
      <c r="P2936" t="s">
        <v>1628</v>
      </c>
      <c r="Q2936">
        <f>LEN(AMAZON_FASHION_5__2[[#This Row],[reviewText]])</f>
        <v>12</v>
      </c>
      <c r="R2936" t="str">
        <f>IF(AMAZON_FASHION_5__2[[#This Row],[overall]]&gt;=4,"Positive",IF(AMAZON_FASHION_5__2[[#This Row],[overall]]&lt;=2,"Negative","Neutral"))</f>
        <v>Positive</v>
      </c>
      <c r="S29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37" spans="1:19" x14ac:dyDescent="0.25">
      <c r="A2937">
        <v>4</v>
      </c>
      <c r="B2937" t="b">
        <v>1</v>
      </c>
      <c r="C2937" s="1">
        <v>42852</v>
      </c>
      <c r="D2937">
        <f>YEAR(AMAZON_FASHION_5__2[[#This Row],[reviewDate]])</f>
        <v>2017</v>
      </c>
      <c r="E2937" s="1" t="str">
        <f>TEXT(AMAZON_FASHION_5__2[[#This Row],[reviewDate]], "mmmm")</f>
        <v>April</v>
      </c>
      <c r="F2937" t="s">
        <v>855</v>
      </c>
      <c r="G2937" t="s">
        <v>1607</v>
      </c>
      <c r="H2937" t="s">
        <v>1489</v>
      </c>
      <c r="I2937" t="s">
        <v>336</v>
      </c>
      <c r="J2937" t="s">
        <v>63</v>
      </c>
      <c r="K2937" t="s">
        <v>856</v>
      </c>
      <c r="L2937" t="s">
        <v>103</v>
      </c>
      <c r="M2937">
        <v>1493251200</v>
      </c>
      <c r="N2937" t="s">
        <v>1628</v>
      </c>
      <c r="O2937" t="s">
        <v>1628</v>
      </c>
      <c r="P2937" t="s">
        <v>1628</v>
      </c>
      <c r="Q2937">
        <f>LEN(AMAZON_FASHION_5__2[[#This Row],[reviewText]])</f>
        <v>58</v>
      </c>
      <c r="R2937" t="str">
        <f>IF(AMAZON_FASHION_5__2[[#This Row],[overall]]&gt;=4,"Positive",IF(AMAZON_FASHION_5__2[[#This Row],[overall]]&lt;=2,"Negative","Neutral"))</f>
        <v>Positive</v>
      </c>
      <c r="S29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38" spans="1:19" x14ac:dyDescent="0.25">
      <c r="A2938">
        <v>4</v>
      </c>
      <c r="B2938" t="b">
        <v>1</v>
      </c>
      <c r="C2938" s="1">
        <v>42852</v>
      </c>
      <c r="D2938">
        <f>YEAR(AMAZON_FASHION_5__2[[#This Row],[reviewDate]])</f>
        <v>2017</v>
      </c>
      <c r="E2938" s="1" t="str">
        <f>TEXT(AMAZON_FASHION_5__2[[#This Row],[reviewDate]], "mmmm")</f>
        <v>April</v>
      </c>
      <c r="F2938" t="s">
        <v>857</v>
      </c>
      <c r="G2938" t="s">
        <v>1607</v>
      </c>
      <c r="H2938" t="s">
        <v>1478</v>
      </c>
      <c r="I2938" t="s">
        <v>336</v>
      </c>
      <c r="J2938" t="s">
        <v>859</v>
      </c>
      <c r="K2938" t="s">
        <v>860</v>
      </c>
      <c r="L2938" t="s">
        <v>861</v>
      </c>
      <c r="M2938">
        <v>1493251200</v>
      </c>
      <c r="N2938" t="s">
        <v>1628</v>
      </c>
      <c r="O2938" t="s">
        <v>1628</v>
      </c>
      <c r="P2938" t="s">
        <v>1628</v>
      </c>
      <c r="Q2938">
        <f>LEN(AMAZON_FASHION_5__2[[#This Row],[reviewText]])</f>
        <v>199</v>
      </c>
      <c r="R2938" t="str">
        <f>IF(AMAZON_FASHION_5__2[[#This Row],[overall]]&gt;=4,"Positive",IF(AMAZON_FASHION_5__2[[#This Row],[overall]]&lt;=2,"Negative","Neutral"))</f>
        <v>Positive</v>
      </c>
      <c r="S29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39" spans="1:19" x14ac:dyDescent="0.25">
      <c r="A2939">
        <v>5</v>
      </c>
      <c r="B2939" t="b">
        <v>1</v>
      </c>
      <c r="C2939" s="1">
        <v>42851</v>
      </c>
      <c r="D2939">
        <f>YEAR(AMAZON_FASHION_5__2[[#This Row],[reviewDate]])</f>
        <v>2017</v>
      </c>
      <c r="E2939" s="1" t="str">
        <f>TEXT(AMAZON_FASHION_5__2[[#This Row],[reviewDate]], "mmmm")</f>
        <v>April</v>
      </c>
      <c r="F2939" t="s">
        <v>862</v>
      </c>
      <c r="G2939" t="s">
        <v>1607</v>
      </c>
      <c r="H2939" t="s">
        <v>235</v>
      </c>
      <c r="I2939" t="s">
        <v>198</v>
      </c>
      <c r="J2939" t="s">
        <v>863</v>
      </c>
      <c r="K2939" t="s">
        <v>864</v>
      </c>
      <c r="L2939" t="s">
        <v>17</v>
      </c>
      <c r="M2939">
        <v>1493164800</v>
      </c>
      <c r="N2939" t="s">
        <v>1628</v>
      </c>
      <c r="O2939" t="s">
        <v>1628</v>
      </c>
      <c r="P2939" t="s">
        <v>1628</v>
      </c>
      <c r="Q2939">
        <f>LEN(AMAZON_FASHION_5__2[[#This Row],[reviewText]])</f>
        <v>28</v>
      </c>
      <c r="R2939" t="str">
        <f>IF(AMAZON_FASHION_5__2[[#This Row],[overall]]&gt;=4,"Positive",IF(AMAZON_FASHION_5__2[[#This Row],[overall]]&lt;=2,"Negative","Neutral"))</f>
        <v>Positive</v>
      </c>
      <c r="S29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40" spans="1:19" x14ac:dyDescent="0.25">
      <c r="A2940">
        <v>5</v>
      </c>
      <c r="B2940" t="b">
        <v>1</v>
      </c>
      <c r="C2940" s="1">
        <v>42850</v>
      </c>
      <c r="D2940">
        <f>YEAR(AMAZON_FASHION_5__2[[#This Row],[reviewDate]])</f>
        <v>2017</v>
      </c>
      <c r="E2940" s="1" t="str">
        <f>TEXT(AMAZON_FASHION_5__2[[#This Row],[reviewDate]], "mmmm")</f>
        <v>April</v>
      </c>
      <c r="F2940" t="s">
        <v>865</v>
      </c>
      <c r="G2940" t="s">
        <v>1607</v>
      </c>
      <c r="H2940" t="s">
        <v>1488</v>
      </c>
      <c r="I2940" t="s">
        <v>336</v>
      </c>
      <c r="J2940" t="s">
        <v>866</v>
      </c>
      <c r="K2940" t="s">
        <v>867</v>
      </c>
      <c r="L2940" t="s">
        <v>868</v>
      </c>
      <c r="M2940">
        <v>1493078400</v>
      </c>
      <c r="N2940" t="s">
        <v>1628</v>
      </c>
      <c r="O2940" t="s">
        <v>1628</v>
      </c>
      <c r="P2940" t="s">
        <v>1628</v>
      </c>
      <c r="Q2940">
        <f>LEN(AMAZON_FASHION_5__2[[#This Row],[reviewText]])</f>
        <v>235</v>
      </c>
      <c r="R2940" t="str">
        <f>IF(AMAZON_FASHION_5__2[[#This Row],[overall]]&gt;=4,"Positive",IF(AMAZON_FASHION_5__2[[#This Row],[overall]]&lt;=2,"Negative","Neutral"))</f>
        <v>Positive</v>
      </c>
      <c r="S29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41" spans="1:19" x14ac:dyDescent="0.25">
      <c r="A2941">
        <v>4</v>
      </c>
      <c r="B2941" t="b">
        <v>1</v>
      </c>
      <c r="C2941" s="1">
        <v>42849</v>
      </c>
      <c r="D2941">
        <f>YEAR(AMAZON_FASHION_5__2[[#This Row],[reviewDate]])</f>
        <v>2017</v>
      </c>
      <c r="E2941" s="1" t="str">
        <f>TEXT(AMAZON_FASHION_5__2[[#This Row],[reviewDate]], "mmmm")</f>
        <v>April</v>
      </c>
      <c r="F2941" t="s">
        <v>869</v>
      </c>
      <c r="G2941" t="s">
        <v>1607</v>
      </c>
      <c r="H2941" t="s">
        <v>1578</v>
      </c>
      <c r="I2941" t="s">
        <v>198</v>
      </c>
      <c r="J2941" t="s">
        <v>870</v>
      </c>
      <c r="K2941" t="s">
        <v>871</v>
      </c>
      <c r="L2941" t="s">
        <v>872</v>
      </c>
      <c r="M2941">
        <v>1492992000</v>
      </c>
      <c r="N2941" t="s">
        <v>1628</v>
      </c>
      <c r="O2941" t="s">
        <v>1628</v>
      </c>
      <c r="P2941" t="s">
        <v>1628</v>
      </c>
      <c r="Q2941">
        <f>LEN(AMAZON_FASHION_5__2[[#This Row],[reviewText]])</f>
        <v>140</v>
      </c>
      <c r="R2941" t="str">
        <f>IF(AMAZON_FASHION_5__2[[#This Row],[overall]]&gt;=4,"Positive",IF(AMAZON_FASHION_5__2[[#This Row],[overall]]&lt;=2,"Negative","Neutral"))</f>
        <v>Positive</v>
      </c>
      <c r="S29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42" spans="1:19" x14ac:dyDescent="0.25">
      <c r="A2942">
        <v>5</v>
      </c>
      <c r="B2942" t="b">
        <v>1</v>
      </c>
      <c r="C2942" s="1">
        <v>42849</v>
      </c>
      <c r="D2942">
        <f>YEAR(AMAZON_FASHION_5__2[[#This Row],[reviewDate]])</f>
        <v>2017</v>
      </c>
      <c r="E2942" s="1" t="str">
        <f>TEXT(AMAZON_FASHION_5__2[[#This Row],[reviewDate]], "mmmm")</f>
        <v>April</v>
      </c>
      <c r="F2942" t="s">
        <v>873</v>
      </c>
      <c r="G2942" t="s">
        <v>1607</v>
      </c>
      <c r="H2942" t="s">
        <v>1574</v>
      </c>
      <c r="I2942" t="s">
        <v>524</v>
      </c>
      <c r="J2942" t="s">
        <v>63</v>
      </c>
      <c r="K2942" t="s">
        <v>874</v>
      </c>
      <c r="L2942" t="s">
        <v>17</v>
      </c>
      <c r="M2942">
        <v>1492992000</v>
      </c>
      <c r="N2942" t="s">
        <v>1628</v>
      </c>
      <c r="O2942" t="s">
        <v>1628</v>
      </c>
      <c r="P2942" t="s">
        <v>1628</v>
      </c>
      <c r="Q2942">
        <f>LEN(AMAZON_FASHION_5__2[[#This Row],[reviewText]])</f>
        <v>39</v>
      </c>
      <c r="R2942" t="str">
        <f>IF(AMAZON_FASHION_5__2[[#This Row],[overall]]&gt;=4,"Positive",IF(AMAZON_FASHION_5__2[[#This Row],[overall]]&lt;=2,"Negative","Neutral"))</f>
        <v>Positive</v>
      </c>
      <c r="S29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43" spans="1:19" x14ac:dyDescent="0.25">
      <c r="A2943">
        <v>5</v>
      </c>
      <c r="B2943" t="b">
        <v>1</v>
      </c>
      <c r="C2943" s="1">
        <v>42845</v>
      </c>
      <c r="D2943">
        <f>YEAR(AMAZON_FASHION_5__2[[#This Row],[reviewDate]])</f>
        <v>2017</v>
      </c>
      <c r="E2943" s="1" t="str">
        <f>TEXT(AMAZON_FASHION_5__2[[#This Row],[reviewDate]], "mmmm")</f>
        <v>April</v>
      </c>
      <c r="F2943" t="s">
        <v>875</v>
      </c>
      <c r="G2943" t="s">
        <v>1607</v>
      </c>
      <c r="H2943" t="s">
        <v>1571</v>
      </c>
      <c r="I2943" t="s">
        <v>198</v>
      </c>
      <c r="J2943" t="s">
        <v>63</v>
      </c>
      <c r="K2943" t="s">
        <v>715</v>
      </c>
      <c r="L2943" t="s">
        <v>17</v>
      </c>
      <c r="M2943">
        <v>1492646400</v>
      </c>
      <c r="N2943" t="s">
        <v>1628</v>
      </c>
      <c r="O2943" t="s">
        <v>1628</v>
      </c>
      <c r="P2943" t="s">
        <v>1628</v>
      </c>
      <c r="Q2943">
        <f>LEN(AMAZON_FASHION_5__2[[#This Row],[reviewText]])</f>
        <v>7</v>
      </c>
      <c r="R2943" t="str">
        <f>IF(AMAZON_FASHION_5__2[[#This Row],[overall]]&gt;=4,"Positive",IF(AMAZON_FASHION_5__2[[#This Row],[overall]]&lt;=2,"Negative","Neutral"))</f>
        <v>Positive</v>
      </c>
      <c r="S29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44" spans="1:19" x14ac:dyDescent="0.25">
      <c r="A2944">
        <v>5</v>
      </c>
      <c r="B2944" t="b">
        <v>1</v>
      </c>
      <c r="C2944" s="1">
        <v>42844</v>
      </c>
      <c r="D2944">
        <f>YEAR(AMAZON_FASHION_5__2[[#This Row],[reviewDate]])</f>
        <v>2017</v>
      </c>
      <c r="E2944" s="1" t="str">
        <f>TEXT(AMAZON_FASHION_5__2[[#This Row],[reviewDate]], "mmmm")</f>
        <v>April</v>
      </c>
      <c r="F2944" t="s">
        <v>876</v>
      </c>
      <c r="G2944" t="s">
        <v>1607</v>
      </c>
      <c r="H2944" t="s">
        <v>210</v>
      </c>
      <c r="I2944" t="s">
        <v>198</v>
      </c>
      <c r="J2944" t="s">
        <v>63</v>
      </c>
      <c r="K2944" t="s">
        <v>877</v>
      </c>
      <c r="L2944" t="s">
        <v>17</v>
      </c>
      <c r="M2944">
        <v>1492560000</v>
      </c>
      <c r="N2944" t="s">
        <v>1628</v>
      </c>
      <c r="O2944" t="s">
        <v>1628</v>
      </c>
      <c r="P2944" t="s">
        <v>1628</v>
      </c>
      <c r="Q2944">
        <f>LEN(AMAZON_FASHION_5__2[[#This Row],[reviewText]])</f>
        <v>9</v>
      </c>
      <c r="R2944" t="str">
        <f>IF(AMAZON_FASHION_5__2[[#This Row],[overall]]&gt;=4,"Positive",IF(AMAZON_FASHION_5__2[[#This Row],[overall]]&lt;=2,"Negative","Neutral"))</f>
        <v>Positive</v>
      </c>
      <c r="S29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45" spans="1:19" x14ac:dyDescent="0.25">
      <c r="A2945">
        <v>5</v>
      </c>
      <c r="B2945" t="b">
        <v>0</v>
      </c>
      <c r="C2945" s="1">
        <v>42843</v>
      </c>
      <c r="D2945">
        <f>YEAR(AMAZON_FASHION_5__2[[#This Row],[reviewDate]])</f>
        <v>2017</v>
      </c>
      <c r="E2945" s="1" t="str">
        <f>TEXT(AMAZON_FASHION_5__2[[#This Row],[reviewDate]], "mmmm")</f>
        <v>April</v>
      </c>
      <c r="F2945" t="s">
        <v>878</v>
      </c>
      <c r="G2945" t="s">
        <v>1607</v>
      </c>
      <c r="H2945" t="s">
        <v>1578</v>
      </c>
      <c r="I2945" t="s">
        <v>198</v>
      </c>
      <c r="J2945" t="s">
        <v>879</v>
      </c>
      <c r="K2945" t="s">
        <v>880</v>
      </c>
      <c r="L2945" t="s">
        <v>881</v>
      </c>
      <c r="M2945">
        <v>1492473600</v>
      </c>
      <c r="N2945" t="s">
        <v>1628</v>
      </c>
      <c r="O2945" t="s">
        <v>1628</v>
      </c>
      <c r="P2945" t="s">
        <v>1628</v>
      </c>
      <c r="Q2945">
        <f>LEN(AMAZON_FASHION_5__2[[#This Row],[reviewText]])</f>
        <v>115</v>
      </c>
      <c r="R2945" t="str">
        <f>IF(AMAZON_FASHION_5__2[[#This Row],[overall]]&gt;=4,"Positive",IF(AMAZON_FASHION_5__2[[#This Row],[overall]]&lt;=2,"Negative","Neutral"))</f>
        <v>Positive</v>
      </c>
      <c r="S29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46" spans="1:19" x14ac:dyDescent="0.25">
      <c r="A2946">
        <v>5</v>
      </c>
      <c r="B2946" t="b">
        <v>1</v>
      </c>
      <c r="C2946" s="1">
        <v>42842</v>
      </c>
      <c r="D2946">
        <f>YEAR(AMAZON_FASHION_5__2[[#This Row],[reviewDate]])</f>
        <v>2017</v>
      </c>
      <c r="E2946" s="1" t="str">
        <f>TEXT(AMAZON_FASHION_5__2[[#This Row],[reviewDate]], "mmmm")</f>
        <v>April</v>
      </c>
      <c r="F2946" t="s">
        <v>882</v>
      </c>
      <c r="G2946" t="s">
        <v>1607</v>
      </c>
      <c r="H2946" t="s">
        <v>1571</v>
      </c>
      <c r="I2946" t="s">
        <v>198</v>
      </c>
      <c r="J2946" t="s">
        <v>883</v>
      </c>
      <c r="K2946" t="s">
        <v>884</v>
      </c>
      <c r="L2946" t="s">
        <v>543</v>
      </c>
      <c r="M2946">
        <v>1492387200</v>
      </c>
      <c r="N2946" t="s">
        <v>1628</v>
      </c>
      <c r="O2946" t="s">
        <v>1628</v>
      </c>
      <c r="P2946" t="s">
        <v>1628</v>
      </c>
      <c r="Q2946">
        <f>LEN(AMAZON_FASHION_5__2[[#This Row],[reviewText]])</f>
        <v>62</v>
      </c>
      <c r="R2946" t="str">
        <f>IF(AMAZON_FASHION_5__2[[#This Row],[overall]]&gt;=4,"Positive",IF(AMAZON_FASHION_5__2[[#This Row],[overall]]&lt;=2,"Negative","Neutral"))</f>
        <v>Positive</v>
      </c>
      <c r="S29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47" spans="1:19" x14ac:dyDescent="0.25">
      <c r="A2947">
        <v>5</v>
      </c>
      <c r="B2947" t="b">
        <v>1</v>
      </c>
      <c r="C2947" s="1">
        <v>42840</v>
      </c>
      <c r="D2947">
        <f>YEAR(AMAZON_FASHION_5__2[[#This Row],[reviewDate]])</f>
        <v>2017</v>
      </c>
      <c r="E2947" s="1" t="str">
        <f>TEXT(AMAZON_FASHION_5__2[[#This Row],[reviewDate]], "mmmm")</f>
        <v>April</v>
      </c>
      <c r="F2947" t="s">
        <v>885</v>
      </c>
      <c r="G2947" t="s">
        <v>1607</v>
      </c>
      <c r="H2947" t="s">
        <v>1595</v>
      </c>
      <c r="I2947" t="s">
        <v>1455</v>
      </c>
      <c r="J2947" t="s">
        <v>886</v>
      </c>
      <c r="K2947" t="s">
        <v>887</v>
      </c>
      <c r="L2947" t="s">
        <v>247</v>
      </c>
      <c r="M2947">
        <v>1492214400</v>
      </c>
      <c r="N2947" t="s">
        <v>1628</v>
      </c>
      <c r="O2947" t="s">
        <v>1628</v>
      </c>
      <c r="P2947" t="s">
        <v>1628</v>
      </c>
      <c r="Q2947">
        <f>LEN(AMAZON_FASHION_5__2[[#This Row],[reviewText]])</f>
        <v>112</v>
      </c>
      <c r="R2947" t="str">
        <f>IF(AMAZON_FASHION_5__2[[#This Row],[overall]]&gt;=4,"Positive",IF(AMAZON_FASHION_5__2[[#This Row],[overall]]&lt;=2,"Negative","Neutral"))</f>
        <v>Positive</v>
      </c>
      <c r="S29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48" spans="1:19" x14ac:dyDescent="0.25">
      <c r="A2948">
        <v>5</v>
      </c>
      <c r="B2948" t="b">
        <v>1</v>
      </c>
      <c r="C2948" s="1">
        <v>42839</v>
      </c>
      <c r="D2948">
        <f>YEAR(AMAZON_FASHION_5__2[[#This Row],[reviewDate]])</f>
        <v>2017</v>
      </c>
      <c r="E2948" s="1" t="str">
        <f>TEXT(AMAZON_FASHION_5__2[[#This Row],[reviewDate]], "mmmm")</f>
        <v>April</v>
      </c>
      <c r="F2948" t="s">
        <v>888</v>
      </c>
      <c r="G2948" t="s">
        <v>1607</v>
      </c>
      <c r="H2948" t="s">
        <v>235</v>
      </c>
      <c r="I2948" t="s">
        <v>198</v>
      </c>
      <c r="J2948" t="s">
        <v>63</v>
      </c>
      <c r="K2948" t="s">
        <v>889</v>
      </c>
      <c r="L2948" t="s">
        <v>17</v>
      </c>
      <c r="M2948">
        <v>1492128000</v>
      </c>
      <c r="N2948" t="s">
        <v>1628</v>
      </c>
      <c r="O2948" t="s">
        <v>1628</v>
      </c>
      <c r="P2948" t="s">
        <v>1628</v>
      </c>
      <c r="Q2948">
        <f>LEN(AMAZON_FASHION_5__2[[#This Row],[reviewText]])</f>
        <v>38</v>
      </c>
      <c r="R2948" t="str">
        <f>IF(AMAZON_FASHION_5__2[[#This Row],[overall]]&gt;=4,"Positive",IF(AMAZON_FASHION_5__2[[#This Row],[overall]]&lt;=2,"Negative","Neutral"))</f>
        <v>Positive</v>
      </c>
      <c r="S29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49" spans="1:19" x14ac:dyDescent="0.25">
      <c r="A2949">
        <v>4</v>
      </c>
      <c r="B2949" t="b">
        <v>1</v>
      </c>
      <c r="C2949" s="1">
        <v>42836</v>
      </c>
      <c r="D2949">
        <f>YEAR(AMAZON_FASHION_5__2[[#This Row],[reviewDate]])</f>
        <v>2017</v>
      </c>
      <c r="E2949" s="1" t="str">
        <f>TEXT(AMAZON_FASHION_5__2[[#This Row],[reviewDate]], "mmmm")</f>
        <v>April</v>
      </c>
      <c r="F2949" t="s">
        <v>890</v>
      </c>
      <c r="G2949" t="s">
        <v>1607</v>
      </c>
      <c r="H2949" t="s">
        <v>1600</v>
      </c>
      <c r="I2949" t="s">
        <v>198</v>
      </c>
      <c r="J2949" t="s">
        <v>891</v>
      </c>
      <c r="K2949" t="s">
        <v>892</v>
      </c>
      <c r="L2949" t="s">
        <v>893</v>
      </c>
      <c r="M2949">
        <v>1491868800</v>
      </c>
      <c r="N2949" t="s">
        <v>1628</v>
      </c>
      <c r="O2949" t="s">
        <v>1628</v>
      </c>
      <c r="P2949" t="s">
        <v>1628</v>
      </c>
      <c r="Q2949">
        <f>LEN(AMAZON_FASHION_5__2[[#This Row],[reviewText]])</f>
        <v>67</v>
      </c>
      <c r="R2949" t="str">
        <f>IF(AMAZON_FASHION_5__2[[#This Row],[overall]]&gt;=4,"Positive",IF(AMAZON_FASHION_5__2[[#This Row],[overall]]&lt;=2,"Negative","Neutral"))</f>
        <v>Positive</v>
      </c>
      <c r="S29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50" spans="1:19" x14ac:dyDescent="0.25">
      <c r="A2950">
        <v>5</v>
      </c>
      <c r="B2950" t="b">
        <v>1</v>
      </c>
      <c r="C2950" s="1">
        <v>42836</v>
      </c>
      <c r="D2950">
        <f>YEAR(AMAZON_FASHION_5__2[[#This Row],[reviewDate]])</f>
        <v>2017</v>
      </c>
      <c r="E2950" s="1" t="str">
        <f>TEXT(AMAZON_FASHION_5__2[[#This Row],[reviewDate]], "mmmm")</f>
        <v>April</v>
      </c>
      <c r="F2950" t="s">
        <v>894</v>
      </c>
      <c r="G2950" t="s">
        <v>1607</v>
      </c>
      <c r="H2950" t="s">
        <v>1500</v>
      </c>
      <c r="I2950" t="s">
        <v>336</v>
      </c>
      <c r="J2950" t="s">
        <v>896</v>
      </c>
      <c r="K2950" t="s">
        <v>897</v>
      </c>
      <c r="L2950" t="s">
        <v>17</v>
      </c>
      <c r="M2950">
        <v>1491868800</v>
      </c>
      <c r="N2950" t="s">
        <v>1628</v>
      </c>
      <c r="O2950" t="s">
        <v>1628</v>
      </c>
      <c r="P2950" t="s">
        <v>1628</v>
      </c>
      <c r="Q2950">
        <f>LEN(AMAZON_FASHION_5__2[[#This Row],[reviewText]])</f>
        <v>13</v>
      </c>
      <c r="R2950" t="str">
        <f>IF(AMAZON_FASHION_5__2[[#This Row],[overall]]&gt;=4,"Positive",IF(AMAZON_FASHION_5__2[[#This Row],[overall]]&lt;=2,"Negative","Neutral"))</f>
        <v>Positive</v>
      </c>
      <c r="S29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51" spans="1:19" x14ac:dyDescent="0.25">
      <c r="A2951">
        <v>5</v>
      </c>
      <c r="B2951" t="b">
        <v>1</v>
      </c>
      <c r="C2951" s="1">
        <v>42835</v>
      </c>
      <c r="D2951">
        <f>YEAR(AMAZON_FASHION_5__2[[#This Row],[reviewDate]])</f>
        <v>2017</v>
      </c>
      <c r="E2951" s="1" t="str">
        <f>TEXT(AMAZON_FASHION_5__2[[#This Row],[reviewDate]], "mmmm")</f>
        <v>April</v>
      </c>
      <c r="F2951" t="s">
        <v>898</v>
      </c>
      <c r="G2951" t="s">
        <v>1607</v>
      </c>
      <c r="H2951" t="s">
        <v>1568</v>
      </c>
      <c r="I2951" t="s">
        <v>411</v>
      </c>
      <c r="J2951" t="s">
        <v>899</v>
      </c>
      <c r="K2951" t="s">
        <v>900</v>
      </c>
      <c r="L2951" t="s">
        <v>901</v>
      </c>
      <c r="M2951">
        <v>1491782400</v>
      </c>
      <c r="N2951" t="s">
        <v>1628</v>
      </c>
      <c r="O2951" t="s">
        <v>1628</v>
      </c>
      <c r="P2951" t="s">
        <v>1628</v>
      </c>
      <c r="Q2951">
        <f>LEN(AMAZON_FASHION_5__2[[#This Row],[reviewText]])</f>
        <v>49</v>
      </c>
      <c r="R2951" t="str">
        <f>IF(AMAZON_FASHION_5__2[[#This Row],[overall]]&gt;=4,"Positive",IF(AMAZON_FASHION_5__2[[#This Row],[overall]]&lt;=2,"Negative","Neutral"))</f>
        <v>Positive</v>
      </c>
      <c r="S29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52" spans="1:19" x14ac:dyDescent="0.25">
      <c r="A2952">
        <v>5</v>
      </c>
      <c r="B2952" t="b">
        <v>1</v>
      </c>
      <c r="C2952" s="1">
        <v>42835</v>
      </c>
      <c r="D2952">
        <f>YEAR(AMAZON_FASHION_5__2[[#This Row],[reviewDate]])</f>
        <v>2017</v>
      </c>
      <c r="E2952" s="1" t="str">
        <f>TEXT(AMAZON_FASHION_5__2[[#This Row],[reviewDate]], "mmmm")</f>
        <v>April</v>
      </c>
      <c r="F2952" t="s">
        <v>902</v>
      </c>
      <c r="G2952" t="s">
        <v>1607</v>
      </c>
      <c r="H2952" t="s">
        <v>1598</v>
      </c>
      <c r="I2952" t="s">
        <v>396</v>
      </c>
      <c r="J2952" t="s">
        <v>903</v>
      </c>
      <c r="K2952" t="s">
        <v>904</v>
      </c>
      <c r="L2952" t="s">
        <v>905</v>
      </c>
      <c r="M2952">
        <v>1491782400</v>
      </c>
      <c r="N2952" t="s">
        <v>1628</v>
      </c>
      <c r="O2952" t="s">
        <v>1628</v>
      </c>
      <c r="P2952" t="s">
        <v>1628</v>
      </c>
      <c r="Q2952">
        <f>LEN(AMAZON_FASHION_5__2[[#This Row],[reviewText]])</f>
        <v>17</v>
      </c>
      <c r="R2952" t="str">
        <f>IF(AMAZON_FASHION_5__2[[#This Row],[overall]]&gt;=4,"Positive",IF(AMAZON_FASHION_5__2[[#This Row],[overall]]&lt;=2,"Negative","Neutral"))</f>
        <v>Positive</v>
      </c>
      <c r="S29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53" spans="1:19" x14ac:dyDescent="0.25">
      <c r="A2953">
        <v>4</v>
      </c>
      <c r="B2953" t="b">
        <v>1</v>
      </c>
      <c r="C2953" s="1">
        <v>42835</v>
      </c>
      <c r="D2953">
        <f>YEAR(AMAZON_FASHION_5__2[[#This Row],[reviewDate]])</f>
        <v>2017</v>
      </c>
      <c r="E2953" s="1" t="str">
        <f>TEXT(AMAZON_FASHION_5__2[[#This Row],[reviewDate]], "mmmm")</f>
        <v>April</v>
      </c>
      <c r="F2953" t="s">
        <v>906</v>
      </c>
      <c r="G2953" t="s">
        <v>1607</v>
      </c>
      <c r="H2953" t="s">
        <v>1600</v>
      </c>
      <c r="I2953" t="s">
        <v>411</v>
      </c>
      <c r="J2953" t="s">
        <v>907</v>
      </c>
      <c r="K2953" t="s">
        <v>908</v>
      </c>
      <c r="L2953" t="s">
        <v>909</v>
      </c>
      <c r="M2953">
        <v>1491782400</v>
      </c>
      <c r="N2953" t="s">
        <v>1628</v>
      </c>
      <c r="O2953" t="s">
        <v>1628</v>
      </c>
      <c r="P2953" t="s">
        <v>1628</v>
      </c>
      <c r="Q2953">
        <f>LEN(AMAZON_FASHION_5__2[[#This Row],[reviewText]])</f>
        <v>177</v>
      </c>
      <c r="R2953" t="str">
        <f>IF(AMAZON_FASHION_5__2[[#This Row],[overall]]&gt;=4,"Positive",IF(AMAZON_FASHION_5__2[[#This Row],[overall]]&lt;=2,"Negative","Neutral"))</f>
        <v>Positive</v>
      </c>
      <c r="S29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54" spans="1:19" x14ac:dyDescent="0.25">
      <c r="A2954">
        <v>5</v>
      </c>
      <c r="B2954" t="b">
        <v>1</v>
      </c>
      <c r="C2954" s="1">
        <v>42833</v>
      </c>
      <c r="D2954">
        <f>YEAR(AMAZON_FASHION_5__2[[#This Row],[reviewDate]])</f>
        <v>2017</v>
      </c>
      <c r="E2954" s="1" t="str">
        <f>TEXT(AMAZON_FASHION_5__2[[#This Row],[reviewDate]], "mmmm")</f>
        <v>April</v>
      </c>
      <c r="F2954" t="s">
        <v>910</v>
      </c>
      <c r="G2954" t="s">
        <v>1607</v>
      </c>
      <c r="H2954" t="s">
        <v>1571</v>
      </c>
      <c r="I2954" t="s">
        <v>198</v>
      </c>
      <c r="J2954" t="s">
        <v>63</v>
      </c>
      <c r="K2954" t="s">
        <v>911</v>
      </c>
      <c r="L2954" t="s">
        <v>912</v>
      </c>
      <c r="M2954">
        <v>1491609600</v>
      </c>
      <c r="N2954" t="s">
        <v>1628</v>
      </c>
      <c r="O2954" t="s">
        <v>1628</v>
      </c>
      <c r="P2954" t="s">
        <v>1628</v>
      </c>
      <c r="Q2954">
        <f>LEN(AMAZON_FASHION_5__2[[#This Row],[reviewText]])</f>
        <v>163</v>
      </c>
      <c r="R2954" t="str">
        <f>IF(AMAZON_FASHION_5__2[[#This Row],[overall]]&gt;=4,"Positive",IF(AMAZON_FASHION_5__2[[#This Row],[overall]]&lt;=2,"Negative","Neutral"))</f>
        <v>Positive</v>
      </c>
      <c r="S29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55" spans="1:19" x14ac:dyDescent="0.25">
      <c r="A2955">
        <v>4</v>
      </c>
      <c r="B2955" t="b">
        <v>1</v>
      </c>
      <c r="C2955" s="1">
        <v>42830</v>
      </c>
      <c r="D2955">
        <f>YEAR(AMAZON_FASHION_5__2[[#This Row],[reviewDate]])</f>
        <v>2017</v>
      </c>
      <c r="E2955" s="1" t="str">
        <f>TEXT(AMAZON_FASHION_5__2[[#This Row],[reviewDate]], "mmmm")</f>
        <v>April</v>
      </c>
      <c r="F2955" t="s">
        <v>913</v>
      </c>
      <c r="G2955" t="s">
        <v>1607</v>
      </c>
      <c r="H2955" t="s">
        <v>1596</v>
      </c>
      <c r="I2955" t="s">
        <v>198</v>
      </c>
      <c r="J2955" t="s">
        <v>63</v>
      </c>
      <c r="K2955" t="s">
        <v>914</v>
      </c>
      <c r="L2955" t="s">
        <v>103</v>
      </c>
      <c r="M2955">
        <v>1491350400</v>
      </c>
      <c r="N2955" t="s">
        <v>1628</v>
      </c>
      <c r="O2955" t="s">
        <v>1628</v>
      </c>
      <c r="P2955" t="s">
        <v>1628</v>
      </c>
      <c r="Q2955">
        <f>LEN(AMAZON_FASHION_5__2[[#This Row],[reviewText]])</f>
        <v>17</v>
      </c>
      <c r="R2955" t="str">
        <f>IF(AMAZON_FASHION_5__2[[#This Row],[overall]]&gt;=4,"Positive",IF(AMAZON_FASHION_5__2[[#This Row],[overall]]&lt;=2,"Negative","Neutral"))</f>
        <v>Positive</v>
      </c>
      <c r="S29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56" spans="1:19" x14ac:dyDescent="0.25">
      <c r="A2956">
        <v>5</v>
      </c>
      <c r="B2956" t="b">
        <v>1</v>
      </c>
      <c r="C2956" s="1">
        <v>42830</v>
      </c>
      <c r="D2956">
        <f>YEAR(AMAZON_FASHION_5__2[[#This Row],[reviewDate]])</f>
        <v>2017</v>
      </c>
      <c r="E2956" s="1" t="str">
        <f>TEXT(AMAZON_FASHION_5__2[[#This Row],[reviewDate]], "mmmm")</f>
        <v>April</v>
      </c>
      <c r="F2956" t="s">
        <v>915</v>
      </c>
      <c r="G2956" t="s">
        <v>1607</v>
      </c>
      <c r="H2956" t="s">
        <v>210</v>
      </c>
      <c r="I2956" t="s">
        <v>198</v>
      </c>
      <c r="J2956" t="s">
        <v>916</v>
      </c>
      <c r="K2956" t="s">
        <v>917</v>
      </c>
      <c r="L2956" t="s">
        <v>17</v>
      </c>
      <c r="M2956">
        <v>1491350400</v>
      </c>
      <c r="N2956" t="s">
        <v>1628</v>
      </c>
      <c r="O2956" t="s">
        <v>1628</v>
      </c>
      <c r="P2956" t="s">
        <v>1628</v>
      </c>
      <c r="Q2956">
        <f>LEN(AMAZON_FASHION_5__2[[#This Row],[reviewText]])</f>
        <v>30</v>
      </c>
      <c r="R2956" t="str">
        <f>IF(AMAZON_FASHION_5__2[[#This Row],[overall]]&gt;=4,"Positive",IF(AMAZON_FASHION_5__2[[#This Row],[overall]]&lt;=2,"Negative","Neutral"))</f>
        <v>Positive</v>
      </c>
      <c r="S29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57" spans="1:19" x14ac:dyDescent="0.25">
      <c r="A2957">
        <v>5</v>
      </c>
      <c r="B2957" t="b">
        <v>1</v>
      </c>
      <c r="C2957" s="1">
        <v>42829</v>
      </c>
      <c r="D2957">
        <f>YEAR(AMAZON_FASHION_5__2[[#This Row],[reviewDate]])</f>
        <v>2017</v>
      </c>
      <c r="E2957" s="1" t="str">
        <f>TEXT(AMAZON_FASHION_5__2[[#This Row],[reviewDate]], "mmmm")</f>
        <v>April</v>
      </c>
      <c r="F2957" t="s">
        <v>918</v>
      </c>
      <c r="G2957" t="s">
        <v>1607</v>
      </c>
      <c r="H2957" t="s">
        <v>1596</v>
      </c>
      <c r="I2957" t="s">
        <v>827</v>
      </c>
      <c r="J2957" t="s">
        <v>919</v>
      </c>
      <c r="K2957" t="s">
        <v>920</v>
      </c>
      <c r="L2957" t="s">
        <v>17</v>
      </c>
      <c r="M2957">
        <v>1491264000</v>
      </c>
      <c r="N2957" t="s">
        <v>1628</v>
      </c>
      <c r="O2957" t="s">
        <v>1628</v>
      </c>
      <c r="P2957" t="s">
        <v>1628</v>
      </c>
      <c r="Q2957">
        <f>LEN(AMAZON_FASHION_5__2[[#This Row],[reviewText]])</f>
        <v>38</v>
      </c>
      <c r="R2957" t="str">
        <f>IF(AMAZON_FASHION_5__2[[#This Row],[overall]]&gt;=4,"Positive",IF(AMAZON_FASHION_5__2[[#This Row],[overall]]&lt;=2,"Negative","Neutral"))</f>
        <v>Positive</v>
      </c>
      <c r="S29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58" spans="1:19" x14ac:dyDescent="0.25">
      <c r="A2958">
        <v>5</v>
      </c>
      <c r="B2958" t="b">
        <v>1</v>
      </c>
      <c r="C2958" s="1">
        <v>42827</v>
      </c>
      <c r="D2958">
        <f>YEAR(AMAZON_FASHION_5__2[[#This Row],[reviewDate]])</f>
        <v>2017</v>
      </c>
      <c r="E2958" s="1" t="str">
        <f>TEXT(AMAZON_FASHION_5__2[[#This Row],[reviewDate]], "mmmm")</f>
        <v>April</v>
      </c>
      <c r="F2958" t="s">
        <v>921</v>
      </c>
      <c r="G2958" t="s">
        <v>1607</v>
      </c>
      <c r="H2958" t="s">
        <v>1598</v>
      </c>
      <c r="I2958" t="s">
        <v>344</v>
      </c>
      <c r="J2958" t="s">
        <v>922</v>
      </c>
      <c r="K2958" t="s">
        <v>923</v>
      </c>
      <c r="L2958" t="s">
        <v>17</v>
      </c>
      <c r="M2958">
        <v>1491091200</v>
      </c>
      <c r="N2958" t="s">
        <v>1628</v>
      </c>
      <c r="O2958" t="s">
        <v>1628</v>
      </c>
      <c r="P2958" t="s">
        <v>1628</v>
      </c>
      <c r="Q2958">
        <f>LEN(AMAZON_FASHION_5__2[[#This Row],[reviewText]])</f>
        <v>39</v>
      </c>
      <c r="R2958" t="str">
        <f>IF(AMAZON_FASHION_5__2[[#This Row],[overall]]&gt;=4,"Positive",IF(AMAZON_FASHION_5__2[[#This Row],[overall]]&lt;=2,"Negative","Neutral"))</f>
        <v>Positive</v>
      </c>
      <c r="S29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59" spans="1:19" x14ac:dyDescent="0.25">
      <c r="A2959">
        <v>4</v>
      </c>
      <c r="B2959" t="b">
        <v>1</v>
      </c>
      <c r="C2959" s="1">
        <v>42824</v>
      </c>
      <c r="D2959">
        <f>YEAR(AMAZON_FASHION_5__2[[#This Row],[reviewDate]])</f>
        <v>2017</v>
      </c>
      <c r="E2959" s="1" t="str">
        <f>TEXT(AMAZON_FASHION_5__2[[#This Row],[reviewDate]], "mmmm")</f>
        <v>March</v>
      </c>
      <c r="F2959" t="s">
        <v>924</v>
      </c>
      <c r="G2959" t="s">
        <v>1607</v>
      </c>
      <c r="H2959" t="s">
        <v>1598</v>
      </c>
      <c r="I2959" t="s">
        <v>198</v>
      </c>
      <c r="J2959" t="s">
        <v>925</v>
      </c>
      <c r="K2959" t="s">
        <v>926</v>
      </c>
      <c r="L2959" t="s">
        <v>927</v>
      </c>
      <c r="M2959">
        <v>1490832000</v>
      </c>
      <c r="N2959" t="s">
        <v>1628</v>
      </c>
      <c r="O2959" t="s">
        <v>1628</v>
      </c>
      <c r="P2959" t="s">
        <v>1628</v>
      </c>
      <c r="Q2959">
        <f>LEN(AMAZON_FASHION_5__2[[#This Row],[reviewText]])</f>
        <v>87</v>
      </c>
      <c r="R2959" t="str">
        <f>IF(AMAZON_FASHION_5__2[[#This Row],[overall]]&gt;=4,"Positive",IF(AMAZON_FASHION_5__2[[#This Row],[overall]]&lt;=2,"Negative","Neutral"))</f>
        <v>Positive</v>
      </c>
      <c r="S29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60" spans="1:19" x14ac:dyDescent="0.25">
      <c r="A2960">
        <v>5</v>
      </c>
      <c r="B2960" t="b">
        <v>1</v>
      </c>
      <c r="C2960" s="1">
        <v>42823</v>
      </c>
      <c r="D2960">
        <f>YEAR(AMAZON_FASHION_5__2[[#This Row],[reviewDate]])</f>
        <v>2017</v>
      </c>
      <c r="E2960" s="1" t="str">
        <f>TEXT(AMAZON_FASHION_5__2[[#This Row],[reviewDate]], "mmmm")</f>
        <v>March</v>
      </c>
      <c r="F2960" t="s">
        <v>928</v>
      </c>
      <c r="G2960" t="s">
        <v>1607</v>
      </c>
      <c r="H2960" t="s">
        <v>1568</v>
      </c>
      <c r="I2960" t="s">
        <v>411</v>
      </c>
      <c r="J2960" t="s">
        <v>929</v>
      </c>
      <c r="K2960" t="s">
        <v>930</v>
      </c>
      <c r="L2960" t="s">
        <v>931</v>
      </c>
      <c r="M2960">
        <v>1490745600</v>
      </c>
      <c r="N2960" t="s">
        <v>1628</v>
      </c>
      <c r="O2960" t="s">
        <v>1628</v>
      </c>
      <c r="P2960" t="s">
        <v>1628</v>
      </c>
      <c r="Q2960">
        <f>LEN(AMAZON_FASHION_5__2[[#This Row],[reviewText]])</f>
        <v>120</v>
      </c>
      <c r="R2960" t="str">
        <f>IF(AMAZON_FASHION_5__2[[#This Row],[overall]]&gt;=4,"Positive",IF(AMAZON_FASHION_5__2[[#This Row],[overall]]&lt;=2,"Negative","Neutral"))</f>
        <v>Positive</v>
      </c>
      <c r="S29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61" spans="1:19" x14ac:dyDescent="0.25">
      <c r="A2961">
        <v>2</v>
      </c>
      <c r="B2961" t="b">
        <v>1</v>
      </c>
      <c r="C2961" s="1">
        <v>42820</v>
      </c>
      <c r="D2961">
        <f>YEAR(AMAZON_FASHION_5__2[[#This Row],[reviewDate]])</f>
        <v>2017</v>
      </c>
      <c r="E2961" s="1" t="str">
        <f>TEXT(AMAZON_FASHION_5__2[[#This Row],[reviewDate]], "mmmm")</f>
        <v>March</v>
      </c>
      <c r="F2961" t="s">
        <v>932</v>
      </c>
      <c r="G2961" t="s">
        <v>1607</v>
      </c>
      <c r="H2961" t="s">
        <v>1596</v>
      </c>
      <c r="I2961" t="s">
        <v>211</v>
      </c>
      <c r="J2961" t="s">
        <v>933</v>
      </c>
      <c r="K2961" t="s">
        <v>934</v>
      </c>
      <c r="L2961" t="s">
        <v>935</v>
      </c>
      <c r="M2961">
        <v>1490486400</v>
      </c>
      <c r="N2961" t="s">
        <v>1628</v>
      </c>
      <c r="O2961" t="s">
        <v>1628</v>
      </c>
      <c r="P2961" t="s">
        <v>1628</v>
      </c>
      <c r="Q2961">
        <f>LEN(AMAZON_FASHION_5__2[[#This Row],[reviewText]])</f>
        <v>178</v>
      </c>
      <c r="R2961" t="str">
        <f>IF(AMAZON_FASHION_5__2[[#This Row],[overall]]&gt;=4,"Positive",IF(AMAZON_FASHION_5__2[[#This Row],[overall]]&lt;=2,"Negative","Neutral"))</f>
        <v>Negative</v>
      </c>
      <c r="S29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62" spans="1:19" x14ac:dyDescent="0.25">
      <c r="A2962">
        <v>1</v>
      </c>
      <c r="B2962" t="b">
        <v>1</v>
      </c>
      <c r="C2962" s="1">
        <v>42819</v>
      </c>
      <c r="D2962">
        <f>YEAR(AMAZON_FASHION_5__2[[#This Row],[reviewDate]])</f>
        <v>2017</v>
      </c>
      <c r="E2962" s="1" t="str">
        <f>TEXT(AMAZON_FASHION_5__2[[#This Row],[reviewDate]], "mmmm")</f>
        <v>March</v>
      </c>
      <c r="F2962" t="s">
        <v>936</v>
      </c>
      <c r="G2962" t="s">
        <v>1607</v>
      </c>
      <c r="H2962" t="s">
        <v>1488</v>
      </c>
      <c r="I2962" t="s">
        <v>336</v>
      </c>
      <c r="J2962" t="s">
        <v>937</v>
      </c>
      <c r="K2962" t="s">
        <v>938</v>
      </c>
      <c r="L2962" t="s">
        <v>65</v>
      </c>
      <c r="M2962">
        <v>1490400000</v>
      </c>
      <c r="N2962" t="s">
        <v>1628</v>
      </c>
      <c r="O2962" t="s">
        <v>1628</v>
      </c>
      <c r="P2962" t="s">
        <v>1628</v>
      </c>
      <c r="Q2962">
        <f>LEN(AMAZON_FASHION_5__2[[#This Row],[reviewText]])</f>
        <v>84</v>
      </c>
      <c r="R2962" t="str">
        <f>IF(AMAZON_FASHION_5__2[[#This Row],[overall]]&gt;=4,"Positive",IF(AMAZON_FASHION_5__2[[#This Row],[overall]]&lt;=2,"Negative","Neutral"))</f>
        <v>Negative</v>
      </c>
      <c r="S29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63" spans="1:19" x14ac:dyDescent="0.25">
      <c r="A2963">
        <v>5</v>
      </c>
      <c r="B2963" t="b">
        <v>1</v>
      </c>
      <c r="C2963" s="1">
        <v>42818</v>
      </c>
      <c r="D2963">
        <f>YEAR(AMAZON_FASHION_5__2[[#This Row],[reviewDate]])</f>
        <v>2017</v>
      </c>
      <c r="E2963" s="1" t="str">
        <f>TEXT(AMAZON_FASHION_5__2[[#This Row],[reviewDate]], "mmmm")</f>
        <v>March</v>
      </c>
      <c r="F2963" t="s">
        <v>939</v>
      </c>
      <c r="G2963" t="s">
        <v>1607</v>
      </c>
      <c r="H2963" t="s">
        <v>235</v>
      </c>
      <c r="I2963" t="s">
        <v>198</v>
      </c>
      <c r="J2963" t="s">
        <v>63</v>
      </c>
      <c r="K2963" t="s">
        <v>940</v>
      </c>
      <c r="L2963" t="s">
        <v>17</v>
      </c>
      <c r="M2963">
        <v>1490313600</v>
      </c>
      <c r="N2963" t="s">
        <v>1628</v>
      </c>
      <c r="O2963" t="s">
        <v>1628</v>
      </c>
      <c r="P2963" t="s">
        <v>1628</v>
      </c>
      <c r="Q2963">
        <f>LEN(AMAZON_FASHION_5__2[[#This Row],[reviewText]])</f>
        <v>10</v>
      </c>
      <c r="R2963" t="str">
        <f>IF(AMAZON_FASHION_5__2[[#This Row],[overall]]&gt;=4,"Positive",IF(AMAZON_FASHION_5__2[[#This Row],[overall]]&lt;=2,"Negative","Neutral"))</f>
        <v>Positive</v>
      </c>
      <c r="S29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64" spans="1:19" x14ac:dyDescent="0.25">
      <c r="A2964">
        <v>5</v>
      </c>
      <c r="B2964" t="b">
        <v>1</v>
      </c>
      <c r="C2964" s="1">
        <v>42818</v>
      </c>
      <c r="D2964">
        <f>YEAR(AMAZON_FASHION_5__2[[#This Row],[reviewDate]])</f>
        <v>2017</v>
      </c>
      <c r="E2964" s="1" t="str">
        <f>TEXT(AMAZON_FASHION_5__2[[#This Row],[reviewDate]], "mmmm")</f>
        <v>March</v>
      </c>
      <c r="F2964" t="s">
        <v>941</v>
      </c>
      <c r="G2964" t="s">
        <v>1607</v>
      </c>
      <c r="H2964" t="s">
        <v>210</v>
      </c>
      <c r="I2964" t="s">
        <v>198</v>
      </c>
      <c r="J2964" t="s">
        <v>942</v>
      </c>
      <c r="K2964" t="s">
        <v>943</v>
      </c>
      <c r="L2964" t="s">
        <v>944</v>
      </c>
      <c r="M2964">
        <v>1490313600</v>
      </c>
      <c r="N2964" t="s">
        <v>1628</v>
      </c>
      <c r="O2964" t="s">
        <v>1628</v>
      </c>
      <c r="P2964" t="s">
        <v>1628</v>
      </c>
      <c r="Q2964">
        <f>LEN(AMAZON_FASHION_5__2[[#This Row],[reviewText]])</f>
        <v>225</v>
      </c>
      <c r="R2964" t="str">
        <f>IF(AMAZON_FASHION_5__2[[#This Row],[overall]]&gt;=4,"Positive",IF(AMAZON_FASHION_5__2[[#This Row],[overall]]&lt;=2,"Negative","Neutral"))</f>
        <v>Positive</v>
      </c>
      <c r="S29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65" spans="1:19" x14ac:dyDescent="0.25">
      <c r="A2965">
        <v>5</v>
      </c>
      <c r="B2965" t="b">
        <v>1</v>
      </c>
      <c r="C2965" s="1">
        <v>42817</v>
      </c>
      <c r="D2965">
        <f>YEAR(AMAZON_FASHION_5__2[[#This Row],[reviewDate]])</f>
        <v>2017</v>
      </c>
      <c r="E2965" s="1" t="str">
        <f>TEXT(AMAZON_FASHION_5__2[[#This Row],[reviewDate]], "mmmm")</f>
        <v>March</v>
      </c>
      <c r="F2965" t="s">
        <v>945</v>
      </c>
      <c r="G2965" t="s">
        <v>1607</v>
      </c>
      <c r="H2965" t="s">
        <v>1571</v>
      </c>
      <c r="I2965" t="s">
        <v>574</v>
      </c>
      <c r="J2965" t="s">
        <v>946</v>
      </c>
      <c r="K2965" t="s">
        <v>947</v>
      </c>
      <c r="L2965" t="s">
        <v>948</v>
      </c>
      <c r="M2965">
        <v>1490227200</v>
      </c>
      <c r="N2965" t="s">
        <v>1628</v>
      </c>
      <c r="O2965" t="s">
        <v>1628</v>
      </c>
      <c r="P2965">
        <v>3</v>
      </c>
      <c r="Q2965">
        <f>LEN(AMAZON_FASHION_5__2[[#This Row],[reviewText]])</f>
        <v>401</v>
      </c>
      <c r="R2965" t="str">
        <f>IF(AMAZON_FASHION_5__2[[#This Row],[overall]]&gt;=4,"Positive",IF(AMAZON_FASHION_5__2[[#This Row],[overall]]&lt;=2,"Negative","Neutral"))</f>
        <v>Positive</v>
      </c>
      <c r="S29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66" spans="1:19" x14ac:dyDescent="0.25">
      <c r="A2966">
        <v>5</v>
      </c>
      <c r="B2966" t="b">
        <v>1</v>
      </c>
      <c r="C2966" s="1">
        <v>42815</v>
      </c>
      <c r="D2966">
        <f>YEAR(AMAZON_FASHION_5__2[[#This Row],[reviewDate]])</f>
        <v>2017</v>
      </c>
      <c r="E2966" s="1" t="str">
        <f>TEXT(AMAZON_FASHION_5__2[[#This Row],[reviewDate]], "mmmm")</f>
        <v>March</v>
      </c>
      <c r="F2966" t="s">
        <v>949</v>
      </c>
      <c r="G2966" t="s">
        <v>1607</v>
      </c>
      <c r="H2966" t="s">
        <v>1567</v>
      </c>
      <c r="I2966" t="s">
        <v>419</v>
      </c>
      <c r="J2966" t="s">
        <v>950</v>
      </c>
      <c r="K2966" t="s">
        <v>951</v>
      </c>
      <c r="L2966" t="s">
        <v>543</v>
      </c>
      <c r="M2966">
        <v>1490054400</v>
      </c>
      <c r="N2966" t="s">
        <v>1628</v>
      </c>
      <c r="O2966" t="s">
        <v>1628</v>
      </c>
      <c r="P2966" t="s">
        <v>1628</v>
      </c>
      <c r="Q2966">
        <f>LEN(AMAZON_FASHION_5__2[[#This Row],[reviewText]])</f>
        <v>110</v>
      </c>
      <c r="R2966" t="str">
        <f>IF(AMAZON_FASHION_5__2[[#This Row],[overall]]&gt;=4,"Positive",IF(AMAZON_FASHION_5__2[[#This Row],[overall]]&lt;=2,"Negative","Neutral"))</f>
        <v>Positive</v>
      </c>
      <c r="S29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67" spans="1:19" x14ac:dyDescent="0.25">
      <c r="A2967">
        <v>4</v>
      </c>
      <c r="B2967" t="b">
        <v>1</v>
      </c>
      <c r="C2967" s="1">
        <v>42814</v>
      </c>
      <c r="D2967">
        <f>YEAR(AMAZON_FASHION_5__2[[#This Row],[reviewDate]])</f>
        <v>2017</v>
      </c>
      <c r="E2967" s="1" t="str">
        <f>TEXT(AMAZON_FASHION_5__2[[#This Row],[reviewDate]], "mmmm")</f>
        <v>March</v>
      </c>
      <c r="F2967" t="s">
        <v>952</v>
      </c>
      <c r="G2967" t="s">
        <v>1607</v>
      </c>
      <c r="H2967" t="s">
        <v>1596</v>
      </c>
      <c r="I2967" t="s">
        <v>344</v>
      </c>
      <c r="J2967" t="s">
        <v>953</v>
      </c>
      <c r="K2967" t="s">
        <v>954</v>
      </c>
      <c r="L2967" t="s">
        <v>955</v>
      </c>
      <c r="M2967">
        <v>1489968000</v>
      </c>
      <c r="N2967" t="s">
        <v>1628</v>
      </c>
      <c r="O2967" t="s">
        <v>1628</v>
      </c>
      <c r="P2967" t="s">
        <v>1628</v>
      </c>
      <c r="Q2967">
        <f>LEN(AMAZON_FASHION_5__2[[#This Row],[reviewText]])</f>
        <v>23</v>
      </c>
      <c r="R2967" t="str">
        <f>IF(AMAZON_FASHION_5__2[[#This Row],[overall]]&gt;=4,"Positive",IF(AMAZON_FASHION_5__2[[#This Row],[overall]]&lt;=2,"Negative","Neutral"))</f>
        <v>Positive</v>
      </c>
      <c r="S29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68" spans="1:19" x14ac:dyDescent="0.25">
      <c r="A2968">
        <v>5</v>
      </c>
      <c r="B2968" t="b">
        <v>1</v>
      </c>
      <c r="C2968" s="1">
        <v>42812</v>
      </c>
      <c r="D2968">
        <f>YEAR(AMAZON_FASHION_5__2[[#This Row],[reviewDate]])</f>
        <v>2017</v>
      </c>
      <c r="E2968" s="1" t="str">
        <f>TEXT(AMAZON_FASHION_5__2[[#This Row],[reviewDate]], "mmmm")</f>
        <v>March</v>
      </c>
      <c r="F2968" t="s">
        <v>956</v>
      </c>
      <c r="G2968" t="s">
        <v>1607</v>
      </c>
      <c r="H2968" t="s">
        <v>1578</v>
      </c>
      <c r="I2968" t="s">
        <v>198</v>
      </c>
      <c r="J2968" t="s">
        <v>957</v>
      </c>
      <c r="K2968" t="s">
        <v>958</v>
      </c>
      <c r="L2968" t="s">
        <v>17</v>
      </c>
      <c r="M2968">
        <v>1489795200</v>
      </c>
      <c r="N2968" t="s">
        <v>1628</v>
      </c>
      <c r="O2968" t="s">
        <v>1628</v>
      </c>
      <c r="P2968" t="s">
        <v>1628</v>
      </c>
      <c r="Q2968">
        <f>LEN(AMAZON_FASHION_5__2[[#This Row],[reviewText]])</f>
        <v>40</v>
      </c>
      <c r="R2968" t="str">
        <f>IF(AMAZON_FASHION_5__2[[#This Row],[overall]]&gt;=4,"Positive",IF(AMAZON_FASHION_5__2[[#This Row],[overall]]&lt;=2,"Negative","Neutral"))</f>
        <v>Positive</v>
      </c>
      <c r="S29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69" spans="1:19" x14ac:dyDescent="0.25">
      <c r="A2969">
        <v>5</v>
      </c>
      <c r="B2969" t="b">
        <v>1</v>
      </c>
      <c r="C2969" s="1">
        <v>42812</v>
      </c>
      <c r="D2969">
        <f>YEAR(AMAZON_FASHION_5__2[[#This Row],[reviewDate]])</f>
        <v>2017</v>
      </c>
      <c r="E2969" s="1" t="str">
        <f>TEXT(AMAZON_FASHION_5__2[[#This Row],[reviewDate]], "mmmm")</f>
        <v>March</v>
      </c>
      <c r="F2969" t="s">
        <v>959</v>
      </c>
      <c r="G2969" t="s">
        <v>1607</v>
      </c>
      <c r="H2969" t="s">
        <v>1578</v>
      </c>
      <c r="I2969" t="s">
        <v>419</v>
      </c>
      <c r="J2969" t="s">
        <v>960</v>
      </c>
      <c r="K2969" t="s">
        <v>961</v>
      </c>
      <c r="L2969" t="s">
        <v>962</v>
      </c>
      <c r="M2969">
        <v>1489795200</v>
      </c>
      <c r="N2969" t="s">
        <v>1628</v>
      </c>
      <c r="O2969" t="s">
        <v>1628</v>
      </c>
      <c r="P2969">
        <v>8</v>
      </c>
      <c r="Q2969">
        <f>LEN(AMAZON_FASHION_5__2[[#This Row],[reviewText]])</f>
        <v>267</v>
      </c>
      <c r="R2969" t="str">
        <f>IF(AMAZON_FASHION_5__2[[#This Row],[overall]]&gt;=4,"Positive",IF(AMAZON_FASHION_5__2[[#This Row],[overall]]&lt;=2,"Negative","Neutral"))</f>
        <v>Positive</v>
      </c>
      <c r="S29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70" spans="1:19" x14ac:dyDescent="0.25">
      <c r="A2970">
        <v>3</v>
      </c>
      <c r="B2970" t="b">
        <v>1</v>
      </c>
      <c r="C2970" s="1">
        <v>42811</v>
      </c>
      <c r="D2970">
        <f>YEAR(AMAZON_FASHION_5__2[[#This Row],[reviewDate]])</f>
        <v>2017</v>
      </c>
      <c r="E2970" s="1" t="str">
        <f>TEXT(AMAZON_FASHION_5__2[[#This Row],[reviewDate]], "mmmm")</f>
        <v>March</v>
      </c>
      <c r="F2970" t="s">
        <v>963</v>
      </c>
      <c r="G2970" t="s">
        <v>1607</v>
      </c>
      <c r="H2970" t="s">
        <v>1596</v>
      </c>
      <c r="I2970" t="s">
        <v>344</v>
      </c>
      <c r="J2970" t="s">
        <v>1076</v>
      </c>
      <c r="K2970" t="s">
        <v>965</v>
      </c>
      <c r="L2970" t="s">
        <v>966</v>
      </c>
      <c r="M2970">
        <v>1489708800</v>
      </c>
      <c r="N2970" t="s">
        <v>1628</v>
      </c>
      <c r="O2970" t="s">
        <v>1628</v>
      </c>
      <c r="P2970" t="s">
        <v>1628</v>
      </c>
      <c r="Q2970">
        <f>LEN(AMAZON_FASHION_5__2[[#This Row],[reviewText]])</f>
        <v>143</v>
      </c>
      <c r="R2970" t="str">
        <f>IF(AMAZON_FASHION_5__2[[#This Row],[overall]]&gt;=4,"Positive",IF(AMAZON_FASHION_5__2[[#This Row],[overall]]&lt;=2,"Negative","Neutral"))</f>
        <v>Neutral</v>
      </c>
      <c r="S29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71" spans="1:19" x14ac:dyDescent="0.25">
      <c r="A2971">
        <v>4</v>
      </c>
      <c r="B2971" t="b">
        <v>1</v>
      </c>
      <c r="C2971" s="1">
        <v>42809</v>
      </c>
      <c r="D2971">
        <f>YEAR(AMAZON_FASHION_5__2[[#This Row],[reviewDate]])</f>
        <v>2017</v>
      </c>
      <c r="E2971" s="1" t="str">
        <f>TEXT(AMAZON_FASHION_5__2[[#This Row],[reviewDate]], "mmmm")</f>
        <v>March</v>
      </c>
      <c r="F2971" t="s">
        <v>967</v>
      </c>
      <c r="G2971" t="s">
        <v>1607</v>
      </c>
      <c r="H2971" t="s">
        <v>1578</v>
      </c>
      <c r="I2971" t="s">
        <v>524</v>
      </c>
      <c r="J2971" t="s">
        <v>968</v>
      </c>
      <c r="K2971" t="s">
        <v>969</v>
      </c>
      <c r="L2971" t="s">
        <v>970</v>
      </c>
      <c r="M2971">
        <v>1489536000</v>
      </c>
      <c r="N2971" t="s">
        <v>1628</v>
      </c>
      <c r="O2971" t="s">
        <v>1628</v>
      </c>
      <c r="P2971" t="s">
        <v>1628</v>
      </c>
      <c r="Q2971">
        <f>LEN(AMAZON_FASHION_5__2[[#This Row],[reviewText]])</f>
        <v>118</v>
      </c>
      <c r="R2971" t="str">
        <f>IF(AMAZON_FASHION_5__2[[#This Row],[overall]]&gt;=4,"Positive",IF(AMAZON_FASHION_5__2[[#This Row],[overall]]&lt;=2,"Negative","Neutral"))</f>
        <v>Positive</v>
      </c>
      <c r="S29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72" spans="1:19" x14ac:dyDescent="0.25">
      <c r="A2972">
        <v>3</v>
      </c>
      <c r="B2972" t="b">
        <v>1</v>
      </c>
      <c r="C2972" s="1">
        <v>42809</v>
      </c>
      <c r="D2972">
        <f>YEAR(AMAZON_FASHION_5__2[[#This Row],[reviewDate]])</f>
        <v>2017</v>
      </c>
      <c r="E2972" s="1" t="str">
        <f>TEXT(AMAZON_FASHION_5__2[[#This Row],[reviewDate]], "mmmm")</f>
        <v>March</v>
      </c>
      <c r="F2972" t="s">
        <v>971</v>
      </c>
      <c r="G2972" t="s">
        <v>1607</v>
      </c>
      <c r="H2972" t="s">
        <v>1568</v>
      </c>
      <c r="I2972" t="s">
        <v>411</v>
      </c>
      <c r="J2972" t="s">
        <v>972</v>
      </c>
      <c r="K2972" t="s">
        <v>973</v>
      </c>
      <c r="L2972" t="s">
        <v>974</v>
      </c>
      <c r="M2972">
        <v>1489536000</v>
      </c>
      <c r="N2972" t="s">
        <v>1628</v>
      </c>
      <c r="O2972" t="s">
        <v>1628</v>
      </c>
      <c r="P2972">
        <v>2</v>
      </c>
      <c r="Q2972">
        <f>LEN(AMAZON_FASHION_5__2[[#This Row],[reviewText]])</f>
        <v>150</v>
      </c>
      <c r="R2972" t="str">
        <f>IF(AMAZON_FASHION_5__2[[#This Row],[overall]]&gt;=4,"Positive",IF(AMAZON_FASHION_5__2[[#This Row],[overall]]&lt;=2,"Negative","Neutral"))</f>
        <v>Neutral</v>
      </c>
      <c r="S29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73" spans="1:19" x14ac:dyDescent="0.25">
      <c r="A2973">
        <v>5</v>
      </c>
      <c r="B2973" t="b">
        <v>1</v>
      </c>
      <c r="C2973" s="1">
        <v>42809</v>
      </c>
      <c r="D2973">
        <f>YEAR(AMAZON_FASHION_5__2[[#This Row],[reviewDate]])</f>
        <v>2017</v>
      </c>
      <c r="E2973" s="1" t="str">
        <f>TEXT(AMAZON_FASHION_5__2[[#This Row],[reviewDate]], "mmmm")</f>
        <v>March</v>
      </c>
      <c r="F2973" t="s">
        <v>975</v>
      </c>
      <c r="G2973" t="s">
        <v>1607</v>
      </c>
      <c r="H2973" t="s">
        <v>1578</v>
      </c>
      <c r="I2973" t="s">
        <v>524</v>
      </c>
      <c r="J2973" t="s">
        <v>976</v>
      </c>
      <c r="K2973" t="s">
        <v>977</v>
      </c>
      <c r="L2973" t="s">
        <v>17</v>
      </c>
      <c r="M2973">
        <v>1489536000</v>
      </c>
      <c r="N2973" t="s">
        <v>1628</v>
      </c>
      <c r="O2973" t="s">
        <v>1628</v>
      </c>
      <c r="P2973" t="s">
        <v>1628</v>
      </c>
      <c r="Q2973">
        <f>LEN(AMAZON_FASHION_5__2[[#This Row],[reviewText]])</f>
        <v>40</v>
      </c>
      <c r="R2973" t="str">
        <f>IF(AMAZON_FASHION_5__2[[#This Row],[overall]]&gt;=4,"Positive",IF(AMAZON_FASHION_5__2[[#This Row],[overall]]&lt;=2,"Negative","Neutral"))</f>
        <v>Positive</v>
      </c>
      <c r="S29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74" spans="1:19" x14ac:dyDescent="0.25">
      <c r="A2974">
        <v>5</v>
      </c>
      <c r="B2974" t="b">
        <v>1</v>
      </c>
      <c r="C2974" s="1">
        <v>42808</v>
      </c>
      <c r="D2974">
        <f>YEAR(AMAZON_FASHION_5__2[[#This Row],[reviewDate]])</f>
        <v>2017</v>
      </c>
      <c r="E2974" s="1" t="str">
        <f>TEXT(AMAZON_FASHION_5__2[[#This Row],[reviewDate]], "mmmm")</f>
        <v>March</v>
      </c>
      <c r="F2974" t="s">
        <v>978</v>
      </c>
      <c r="G2974" t="s">
        <v>1607</v>
      </c>
      <c r="H2974" t="s">
        <v>1598</v>
      </c>
      <c r="I2974" t="s">
        <v>827</v>
      </c>
      <c r="J2974" t="s">
        <v>979</v>
      </c>
      <c r="K2974" t="s">
        <v>980</v>
      </c>
      <c r="L2974" t="s">
        <v>17</v>
      </c>
      <c r="M2974">
        <v>1489449600</v>
      </c>
      <c r="N2974" t="s">
        <v>1628</v>
      </c>
      <c r="O2974" t="s">
        <v>1628</v>
      </c>
      <c r="P2974" t="s">
        <v>1628</v>
      </c>
      <c r="Q2974">
        <f>LEN(AMAZON_FASHION_5__2[[#This Row],[reviewText]])</f>
        <v>33</v>
      </c>
      <c r="R2974" t="str">
        <f>IF(AMAZON_FASHION_5__2[[#This Row],[overall]]&gt;=4,"Positive",IF(AMAZON_FASHION_5__2[[#This Row],[overall]]&lt;=2,"Negative","Neutral"))</f>
        <v>Positive</v>
      </c>
      <c r="S29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75" spans="1:19" x14ac:dyDescent="0.25">
      <c r="A2975">
        <v>5</v>
      </c>
      <c r="B2975" t="b">
        <v>1</v>
      </c>
      <c r="C2975" s="1">
        <v>42807</v>
      </c>
      <c r="D2975">
        <f>YEAR(AMAZON_FASHION_5__2[[#This Row],[reviewDate]])</f>
        <v>2017</v>
      </c>
      <c r="E2975" s="1" t="str">
        <f>TEXT(AMAZON_FASHION_5__2[[#This Row],[reviewDate]], "mmmm")</f>
        <v>March</v>
      </c>
      <c r="F2975" t="s">
        <v>981</v>
      </c>
      <c r="G2975" t="s">
        <v>1607</v>
      </c>
      <c r="H2975" t="s">
        <v>1567</v>
      </c>
      <c r="I2975" t="s">
        <v>524</v>
      </c>
      <c r="J2975" t="s">
        <v>982</v>
      </c>
      <c r="K2975" t="s">
        <v>983</v>
      </c>
      <c r="L2975" t="s">
        <v>984</v>
      </c>
      <c r="M2975">
        <v>1489363200</v>
      </c>
      <c r="N2975" t="s">
        <v>1628</v>
      </c>
      <c r="O2975" t="s">
        <v>1628</v>
      </c>
      <c r="P2975" t="s">
        <v>1628</v>
      </c>
      <c r="Q2975">
        <f>LEN(AMAZON_FASHION_5__2[[#This Row],[reviewText]])</f>
        <v>297</v>
      </c>
      <c r="R2975" t="str">
        <f>IF(AMAZON_FASHION_5__2[[#This Row],[overall]]&gt;=4,"Positive",IF(AMAZON_FASHION_5__2[[#This Row],[overall]]&lt;=2,"Negative","Neutral"))</f>
        <v>Positive</v>
      </c>
      <c r="S29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76" spans="1:19" x14ac:dyDescent="0.25">
      <c r="A2976">
        <v>5</v>
      </c>
      <c r="B2976" t="b">
        <v>1</v>
      </c>
      <c r="C2976" s="1">
        <v>42806</v>
      </c>
      <c r="D2976">
        <f>YEAR(AMAZON_FASHION_5__2[[#This Row],[reviewDate]])</f>
        <v>2017</v>
      </c>
      <c r="E2976" s="1" t="str">
        <f>TEXT(AMAZON_FASHION_5__2[[#This Row],[reviewDate]], "mmmm")</f>
        <v>March</v>
      </c>
      <c r="F2976" t="s">
        <v>985</v>
      </c>
      <c r="G2976" t="s">
        <v>1607</v>
      </c>
      <c r="H2976" t="s">
        <v>235</v>
      </c>
      <c r="I2976" t="s">
        <v>198</v>
      </c>
      <c r="J2976" t="s">
        <v>986</v>
      </c>
      <c r="K2976" t="s">
        <v>987</v>
      </c>
      <c r="L2976" t="s">
        <v>988</v>
      </c>
      <c r="M2976">
        <v>1489276800</v>
      </c>
      <c r="N2976" t="s">
        <v>1628</v>
      </c>
      <c r="O2976" t="s">
        <v>1628</v>
      </c>
      <c r="P2976" t="s">
        <v>1628</v>
      </c>
      <c r="Q2976">
        <f>LEN(AMAZON_FASHION_5__2[[#This Row],[reviewText]])</f>
        <v>81</v>
      </c>
      <c r="R2976" t="str">
        <f>IF(AMAZON_FASHION_5__2[[#This Row],[overall]]&gt;=4,"Positive",IF(AMAZON_FASHION_5__2[[#This Row],[overall]]&lt;=2,"Negative","Neutral"))</f>
        <v>Positive</v>
      </c>
      <c r="S29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77" spans="1:19" x14ac:dyDescent="0.25">
      <c r="A2977">
        <v>5</v>
      </c>
      <c r="B2977" t="b">
        <v>1</v>
      </c>
      <c r="C2977" s="1">
        <v>42802</v>
      </c>
      <c r="D2977">
        <f>YEAR(AMAZON_FASHION_5__2[[#This Row],[reviewDate]])</f>
        <v>2017</v>
      </c>
      <c r="E2977" s="1" t="str">
        <f>TEXT(AMAZON_FASHION_5__2[[#This Row],[reviewDate]], "mmmm")</f>
        <v>March</v>
      </c>
      <c r="F2977" t="s">
        <v>989</v>
      </c>
      <c r="G2977" t="s">
        <v>1607</v>
      </c>
      <c r="H2977" t="s">
        <v>1596</v>
      </c>
      <c r="I2977" t="s">
        <v>198</v>
      </c>
      <c r="J2977" t="s">
        <v>990</v>
      </c>
      <c r="K2977" t="s">
        <v>991</v>
      </c>
      <c r="L2977" t="s">
        <v>17</v>
      </c>
      <c r="M2977">
        <v>1488931200</v>
      </c>
      <c r="N2977" t="s">
        <v>1628</v>
      </c>
      <c r="O2977" t="s">
        <v>1628</v>
      </c>
      <c r="P2977" t="s">
        <v>1628</v>
      </c>
      <c r="Q2977">
        <f>LEN(AMAZON_FASHION_5__2[[#This Row],[reviewText]])</f>
        <v>13</v>
      </c>
      <c r="R2977" t="str">
        <f>IF(AMAZON_FASHION_5__2[[#This Row],[overall]]&gt;=4,"Positive",IF(AMAZON_FASHION_5__2[[#This Row],[overall]]&lt;=2,"Negative","Neutral"))</f>
        <v>Positive</v>
      </c>
      <c r="S29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78" spans="1:19" x14ac:dyDescent="0.25">
      <c r="A2978">
        <v>4</v>
      </c>
      <c r="B2978" t="b">
        <v>1</v>
      </c>
      <c r="C2978" s="1">
        <v>42802</v>
      </c>
      <c r="D2978">
        <f>YEAR(AMAZON_FASHION_5__2[[#This Row],[reviewDate]])</f>
        <v>2017</v>
      </c>
      <c r="E2978" s="1" t="str">
        <f>TEXT(AMAZON_FASHION_5__2[[#This Row],[reviewDate]], "mmmm")</f>
        <v>March</v>
      </c>
      <c r="F2978" t="s">
        <v>992</v>
      </c>
      <c r="G2978" t="s">
        <v>1607</v>
      </c>
      <c r="H2978" t="s">
        <v>1598</v>
      </c>
      <c r="I2978" t="s">
        <v>827</v>
      </c>
      <c r="J2978" t="s">
        <v>63</v>
      </c>
      <c r="K2978" t="s">
        <v>993</v>
      </c>
      <c r="L2978" t="s">
        <v>994</v>
      </c>
      <c r="M2978">
        <v>1488931200</v>
      </c>
      <c r="N2978" t="s">
        <v>1628</v>
      </c>
      <c r="O2978" t="s">
        <v>1628</v>
      </c>
      <c r="P2978" t="s">
        <v>1628</v>
      </c>
      <c r="Q2978">
        <f>LEN(AMAZON_FASHION_5__2[[#This Row],[reviewText]])</f>
        <v>182</v>
      </c>
      <c r="R2978" t="str">
        <f>IF(AMAZON_FASHION_5__2[[#This Row],[overall]]&gt;=4,"Positive",IF(AMAZON_FASHION_5__2[[#This Row],[overall]]&lt;=2,"Negative","Neutral"))</f>
        <v>Positive</v>
      </c>
      <c r="S29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79" spans="1:19" x14ac:dyDescent="0.25">
      <c r="A2979">
        <v>4</v>
      </c>
      <c r="B2979" t="b">
        <v>1</v>
      </c>
      <c r="C2979" s="1">
        <v>42802</v>
      </c>
      <c r="D2979">
        <f>YEAR(AMAZON_FASHION_5__2[[#This Row],[reviewDate]])</f>
        <v>2017</v>
      </c>
      <c r="E2979" s="1" t="str">
        <f>TEXT(AMAZON_FASHION_5__2[[#This Row],[reviewDate]], "mmmm")</f>
        <v>March</v>
      </c>
      <c r="F2979" t="s">
        <v>992</v>
      </c>
      <c r="G2979" t="s">
        <v>1607</v>
      </c>
      <c r="H2979" t="s">
        <v>1598</v>
      </c>
      <c r="I2979" t="s">
        <v>344</v>
      </c>
      <c r="J2979" t="s">
        <v>63</v>
      </c>
      <c r="K2979" t="s">
        <v>993</v>
      </c>
      <c r="L2979" t="s">
        <v>994</v>
      </c>
      <c r="M2979">
        <v>1488931200</v>
      </c>
      <c r="N2979" t="s">
        <v>1628</v>
      </c>
      <c r="O2979" t="s">
        <v>1628</v>
      </c>
      <c r="P2979" t="s">
        <v>1628</v>
      </c>
      <c r="Q2979">
        <f>LEN(AMAZON_FASHION_5__2[[#This Row],[reviewText]])</f>
        <v>182</v>
      </c>
      <c r="R2979" t="str">
        <f>IF(AMAZON_FASHION_5__2[[#This Row],[overall]]&gt;=4,"Positive",IF(AMAZON_FASHION_5__2[[#This Row],[overall]]&lt;=2,"Negative","Neutral"))</f>
        <v>Positive</v>
      </c>
      <c r="S29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80" spans="1:19" x14ac:dyDescent="0.25">
      <c r="A2980">
        <v>5</v>
      </c>
      <c r="B2980" t="b">
        <v>1</v>
      </c>
      <c r="C2980" s="1">
        <v>42800</v>
      </c>
      <c r="D2980">
        <f>YEAR(AMAZON_FASHION_5__2[[#This Row],[reviewDate]])</f>
        <v>2017</v>
      </c>
      <c r="E2980" s="1" t="str">
        <f>TEXT(AMAZON_FASHION_5__2[[#This Row],[reviewDate]], "mmmm")</f>
        <v>March</v>
      </c>
      <c r="F2980" t="s">
        <v>995</v>
      </c>
      <c r="G2980" t="s">
        <v>1607</v>
      </c>
      <c r="H2980" t="s">
        <v>1571</v>
      </c>
      <c r="I2980" t="s">
        <v>198</v>
      </c>
      <c r="J2980" t="s">
        <v>996</v>
      </c>
      <c r="K2980" t="s">
        <v>997</v>
      </c>
      <c r="L2980" t="s">
        <v>17</v>
      </c>
      <c r="M2980">
        <v>1488758400</v>
      </c>
      <c r="N2980" t="s">
        <v>1628</v>
      </c>
      <c r="O2980" t="s">
        <v>1628</v>
      </c>
      <c r="P2980" t="s">
        <v>1628</v>
      </c>
      <c r="Q2980">
        <f>LEN(AMAZON_FASHION_5__2[[#This Row],[reviewText]])</f>
        <v>10</v>
      </c>
      <c r="R2980" t="str">
        <f>IF(AMAZON_FASHION_5__2[[#This Row],[overall]]&gt;=4,"Positive",IF(AMAZON_FASHION_5__2[[#This Row],[overall]]&lt;=2,"Negative","Neutral"))</f>
        <v>Positive</v>
      </c>
      <c r="S29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81" spans="1:19" x14ac:dyDescent="0.25">
      <c r="A2981">
        <v>5</v>
      </c>
      <c r="B2981" t="b">
        <v>0</v>
      </c>
      <c r="C2981" s="1">
        <v>42792</v>
      </c>
      <c r="D2981">
        <f>YEAR(AMAZON_FASHION_5__2[[#This Row],[reviewDate]])</f>
        <v>2017</v>
      </c>
      <c r="E2981" s="1" t="str">
        <f>TEXT(AMAZON_FASHION_5__2[[#This Row],[reviewDate]], "mmmm")</f>
        <v>February</v>
      </c>
      <c r="F2981" t="s">
        <v>998</v>
      </c>
      <c r="G2981" t="s">
        <v>1607</v>
      </c>
      <c r="H2981" t="s">
        <v>1595</v>
      </c>
      <c r="I2981" t="s">
        <v>1455</v>
      </c>
      <c r="J2981" t="s">
        <v>1604</v>
      </c>
      <c r="K2981" t="s">
        <v>1000</v>
      </c>
      <c r="L2981" t="s">
        <v>1001</v>
      </c>
      <c r="M2981">
        <v>1488067200</v>
      </c>
      <c r="N2981" t="s">
        <v>1628</v>
      </c>
      <c r="O2981" t="s">
        <v>1628</v>
      </c>
      <c r="P2981" t="s">
        <v>1628</v>
      </c>
      <c r="Q2981">
        <f>LEN(AMAZON_FASHION_5__2[[#This Row],[reviewText]])</f>
        <v>206</v>
      </c>
      <c r="R2981" t="str">
        <f>IF(AMAZON_FASHION_5__2[[#This Row],[overall]]&gt;=4,"Positive",IF(AMAZON_FASHION_5__2[[#This Row],[overall]]&lt;=2,"Negative","Neutral"))</f>
        <v>Positive</v>
      </c>
      <c r="S29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82" spans="1:19" x14ac:dyDescent="0.25">
      <c r="A2982">
        <v>4</v>
      </c>
      <c r="B2982" t="b">
        <v>1</v>
      </c>
      <c r="C2982" s="1">
        <v>42790</v>
      </c>
      <c r="D2982">
        <f>YEAR(AMAZON_FASHION_5__2[[#This Row],[reviewDate]])</f>
        <v>2017</v>
      </c>
      <c r="E2982" s="1" t="str">
        <f>TEXT(AMAZON_FASHION_5__2[[#This Row],[reviewDate]], "mmmm")</f>
        <v>February</v>
      </c>
      <c r="F2982" t="s">
        <v>1002</v>
      </c>
      <c r="G2982" t="s">
        <v>1607</v>
      </c>
      <c r="H2982" t="s">
        <v>1574</v>
      </c>
      <c r="I2982" t="s">
        <v>198</v>
      </c>
      <c r="J2982" t="s">
        <v>1003</v>
      </c>
      <c r="K2982" t="s">
        <v>1004</v>
      </c>
      <c r="L2982" t="s">
        <v>1005</v>
      </c>
      <c r="M2982">
        <v>1487894400</v>
      </c>
      <c r="N2982" t="s">
        <v>1628</v>
      </c>
      <c r="O2982" t="s">
        <v>1628</v>
      </c>
      <c r="P2982" t="s">
        <v>1628</v>
      </c>
      <c r="Q2982">
        <f>LEN(AMAZON_FASHION_5__2[[#This Row],[reviewText]])</f>
        <v>171</v>
      </c>
      <c r="R2982" t="str">
        <f>IF(AMAZON_FASHION_5__2[[#This Row],[overall]]&gt;=4,"Positive",IF(AMAZON_FASHION_5__2[[#This Row],[overall]]&lt;=2,"Negative","Neutral"))</f>
        <v>Positive</v>
      </c>
      <c r="S29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83" spans="1:19" x14ac:dyDescent="0.25">
      <c r="A2983">
        <v>5</v>
      </c>
      <c r="B2983" t="b">
        <v>1</v>
      </c>
      <c r="C2983" s="1">
        <v>42790</v>
      </c>
      <c r="D2983">
        <f>YEAR(AMAZON_FASHION_5__2[[#This Row],[reviewDate]])</f>
        <v>2017</v>
      </c>
      <c r="E2983" s="1" t="str">
        <f>TEXT(AMAZON_FASHION_5__2[[#This Row],[reviewDate]], "mmmm")</f>
        <v>February</v>
      </c>
      <c r="F2983" t="s">
        <v>1006</v>
      </c>
      <c r="G2983" t="s">
        <v>1607</v>
      </c>
      <c r="H2983" t="s">
        <v>1574</v>
      </c>
      <c r="I2983" t="s">
        <v>198</v>
      </c>
      <c r="J2983" t="s">
        <v>1007</v>
      </c>
      <c r="K2983" t="s">
        <v>1008</v>
      </c>
      <c r="L2983" t="s">
        <v>17</v>
      </c>
      <c r="M2983">
        <v>1487894400</v>
      </c>
      <c r="N2983" t="s">
        <v>1628</v>
      </c>
      <c r="O2983" t="s">
        <v>1628</v>
      </c>
      <c r="P2983" t="s">
        <v>1628</v>
      </c>
      <c r="Q2983">
        <f>LEN(AMAZON_FASHION_5__2[[#This Row],[reviewText]])</f>
        <v>12</v>
      </c>
      <c r="R2983" t="str">
        <f>IF(AMAZON_FASHION_5__2[[#This Row],[overall]]&gt;=4,"Positive",IF(AMAZON_FASHION_5__2[[#This Row],[overall]]&lt;=2,"Negative","Neutral"))</f>
        <v>Positive</v>
      </c>
      <c r="S29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84" spans="1:19" x14ac:dyDescent="0.25">
      <c r="A2984">
        <v>4</v>
      </c>
      <c r="B2984" t="b">
        <v>1</v>
      </c>
      <c r="C2984" s="1">
        <v>42787</v>
      </c>
      <c r="D2984">
        <f>YEAR(AMAZON_FASHION_5__2[[#This Row],[reviewDate]])</f>
        <v>2017</v>
      </c>
      <c r="E2984" s="1" t="str">
        <f>TEXT(AMAZON_FASHION_5__2[[#This Row],[reviewDate]], "mmmm")</f>
        <v>February</v>
      </c>
      <c r="F2984" t="s">
        <v>1009</v>
      </c>
      <c r="G2984" t="s">
        <v>1607</v>
      </c>
      <c r="H2984" t="s">
        <v>1578</v>
      </c>
      <c r="I2984" t="s">
        <v>642</v>
      </c>
      <c r="J2984" t="s">
        <v>1010</v>
      </c>
      <c r="K2984" t="s">
        <v>1011</v>
      </c>
      <c r="L2984" t="s">
        <v>1012</v>
      </c>
      <c r="M2984">
        <v>1487635200</v>
      </c>
      <c r="N2984" t="s">
        <v>1628</v>
      </c>
      <c r="O2984" t="s">
        <v>1628</v>
      </c>
      <c r="P2984" t="s">
        <v>1628</v>
      </c>
      <c r="Q2984">
        <f>LEN(AMAZON_FASHION_5__2[[#This Row],[reviewText]])</f>
        <v>126</v>
      </c>
      <c r="R2984" t="str">
        <f>IF(AMAZON_FASHION_5__2[[#This Row],[overall]]&gt;=4,"Positive",IF(AMAZON_FASHION_5__2[[#This Row],[overall]]&lt;=2,"Negative","Neutral"))</f>
        <v>Positive</v>
      </c>
      <c r="S29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85" spans="1:19" x14ac:dyDescent="0.25">
      <c r="A2985">
        <v>5</v>
      </c>
      <c r="B2985" t="b">
        <v>1</v>
      </c>
      <c r="C2985" s="1">
        <v>42787</v>
      </c>
      <c r="D2985">
        <f>YEAR(AMAZON_FASHION_5__2[[#This Row],[reviewDate]])</f>
        <v>2017</v>
      </c>
      <c r="E2985" s="1" t="str">
        <f>TEXT(AMAZON_FASHION_5__2[[#This Row],[reviewDate]], "mmmm")</f>
        <v>February</v>
      </c>
      <c r="F2985" t="s">
        <v>1013</v>
      </c>
      <c r="G2985" t="s">
        <v>1607</v>
      </c>
      <c r="H2985" t="s">
        <v>210</v>
      </c>
      <c r="I2985" t="s">
        <v>198</v>
      </c>
      <c r="J2985" t="s">
        <v>1014</v>
      </c>
      <c r="K2985" t="s">
        <v>1015</v>
      </c>
      <c r="L2985" t="s">
        <v>17</v>
      </c>
      <c r="M2985">
        <v>1487635200</v>
      </c>
      <c r="N2985" t="s">
        <v>1628</v>
      </c>
      <c r="O2985" t="s">
        <v>1628</v>
      </c>
      <c r="P2985" t="s">
        <v>1628</v>
      </c>
      <c r="Q2985">
        <f>LEN(AMAZON_FASHION_5__2[[#This Row],[reviewText]])</f>
        <v>56</v>
      </c>
      <c r="R2985" t="str">
        <f>IF(AMAZON_FASHION_5__2[[#This Row],[overall]]&gt;=4,"Positive",IF(AMAZON_FASHION_5__2[[#This Row],[overall]]&lt;=2,"Negative","Neutral"))</f>
        <v>Positive</v>
      </c>
      <c r="S29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86" spans="1:19" x14ac:dyDescent="0.25">
      <c r="A2986">
        <v>3</v>
      </c>
      <c r="B2986" t="b">
        <v>1</v>
      </c>
      <c r="C2986" s="1">
        <v>42782</v>
      </c>
      <c r="D2986">
        <f>YEAR(AMAZON_FASHION_5__2[[#This Row],[reviewDate]])</f>
        <v>2017</v>
      </c>
      <c r="E2986" s="1" t="str">
        <f>TEXT(AMAZON_FASHION_5__2[[#This Row],[reviewDate]], "mmmm")</f>
        <v>February</v>
      </c>
      <c r="F2986" t="s">
        <v>1016</v>
      </c>
      <c r="G2986" t="s">
        <v>1607</v>
      </c>
      <c r="H2986" t="s">
        <v>1574</v>
      </c>
      <c r="I2986" t="s">
        <v>524</v>
      </c>
      <c r="J2986" t="s">
        <v>63</v>
      </c>
      <c r="K2986" t="s">
        <v>1017</v>
      </c>
      <c r="L2986" t="s">
        <v>1018</v>
      </c>
      <c r="M2986">
        <v>1487203200</v>
      </c>
      <c r="N2986" t="s">
        <v>1628</v>
      </c>
      <c r="O2986" t="s">
        <v>1628</v>
      </c>
      <c r="P2986" t="s">
        <v>1628</v>
      </c>
      <c r="Q2986">
        <f>LEN(AMAZON_FASHION_5__2[[#This Row],[reviewText]])</f>
        <v>198</v>
      </c>
      <c r="R2986" t="str">
        <f>IF(AMAZON_FASHION_5__2[[#This Row],[overall]]&gt;=4,"Positive",IF(AMAZON_FASHION_5__2[[#This Row],[overall]]&lt;=2,"Negative","Neutral"))</f>
        <v>Neutral</v>
      </c>
      <c r="S29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87" spans="1:19" x14ac:dyDescent="0.25">
      <c r="A2987">
        <v>5</v>
      </c>
      <c r="B2987" t="b">
        <v>1</v>
      </c>
      <c r="C2987" s="1">
        <v>42781</v>
      </c>
      <c r="D2987">
        <f>YEAR(AMAZON_FASHION_5__2[[#This Row],[reviewDate]])</f>
        <v>2017</v>
      </c>
      <c r="E2987" s="1" t="str">
        <f>TEXT(AMAZON_FASHION_5__2[[#This Row],[reviewDate]], "mmmm")</f>
        <v>February</v>
      </c>
      <c r="F2987" t="s">
        <v>1019</v>
      </c>
      <c r="G2987" t="s">
        <v>1607</v>
      </c>
      <c r="H2987" t="s">
        <v>1568</v>
      </c>
      <c r="I2987" t="s">
        <v>827</v>
      </c>
      <c r="J2987" t="s">
        <v>1020</v>
      </c>
      <c r="K2987" t="s">
        <v>1021</v>
      </c>
      <c r="L2987" t="s">
        <v>1022</v>
      </c>
      <c r="M2987">
        <v>1487116800</v>
      </c>
      <c r="N2987" t="s">
        <v>1628</v>
      </c>
      <c r="O2987" t="s">
        <v>1628</v>
      </c>
      <c r="P2987">
        <v>5</v>
      </c>
      <c r="Q2987">
        <f>LEN(AMAZON_FASHION_5__2[[#This Row],[reviewText]])</f>
        <v>388</v>
      </c>
      <c r="R2987" t="str">
        <f>IF(AMAZON_FASHION_5__2[[#This Row],[overall]]&gt;=4,"Positive",IF(AMAZON_FASHION_5__2[[#This Row],[overall]]&lt;=2,"Negative","Neutral"))</f>
        <v>Positive</v>
      </c>
      <c r="S29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88" spans="1:19" x14ac:dyDescent="0.25">
      <c r="A2988">
        <v>5</v>
      </c>
      <c r="B2988" t="b">
        <v>1</v>
      </c>
      <c r="C2988" s="1">
        <v>42779</v>
      </c>
      <c r="D2988">
        <f>YEAR(AMAZON_FASHION_5__2[[#This Row],[reviewDate]])</f>
        <v>2017</v>
      </c>
      <c r="E2988" s="1" t="str">
        <f>TEXT(AMAZON_FASHION_5__2[[#This Row],[reviewDate]], "mmmm")</f>
        <v>February</v>
      </c>
      <c r="F2988" t="s">
        <v>1023</v>
      </c>
      <c r="G2988" t="s">
        <v>1607</v>
      </c>
      <c r="H2988" t="s">
        <v>1598</v>
      </c>
      <c r="I2988" t="s">
        <v>198</v>
      </c>
      <c r="J2988" t="s">
        <v>1024</v>
      </c>
      <c r="K2988" t="s">
        <v>1025</v>
      </c>
      <c r="L2988" t="s">
        <v>1026</v>
      </c>
      <c r="M2988">
        <v>1486944000</v>
      </c>
      <c r="N2988" t="s">
        <v>1628</v>
      </c>
      <c r="O2988" t="s">
        <v>1628</v>
      </c>
      <c r="P2988" t="s">
        <v>1628</v>
      </c>
      <c r="Q2988">
        <f>LEN(AMAZON_FASHION_5__2[[#This Row],[reviewText]])</f>
        <v>87</v>
      </c>
      <c r="R2988" t="str">
        <f>IF(AMAZON_FASHION_5__2[[#This Row],[overall]]&gt;=4,"Positive",IF(AMAZON_FASHION_5__2[[#This Row],[overall]]&lt;=2,"Negative","Neutral"))</f>
        <v>Positive</v>
      </c>
      <c r="S29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89" spans="1:19" x14ac:dyDescent="0.25">
      <c r="A2989">
        <v>5</v>
      </c>
      <c r="B2989" t="b">
        <v>1</v>
      </c>
      <c r="C2989" s="1">
        <v>42778</v>
      </c>
      <c r="D2989">
        <f>YEAR(AMAZON_FASHION_5__2[[#This Row],[reviewDate]])</f>
        <v>2017</v>
      </c>
      <c r="E2989" s="1" t="str">
        <f>TEXT(AMAZON_FASHION_5__2[[#This Row],[reviewDate]], "mmmm")</f>
        <v>February</v>
      </c>
      <c r="F2989" t="s">
        <v>1027</v>
      </c>
      <c r="G2989" t="s">
        <v>1607</v>
      </c>
      <c r="H2989" t="s">
        <v>1578</v>
      </c>
      <c r="I2989" t="s">
        <v>198</v>
      </c>
      <c r="J2989" t="s">
        <v>1028</v>
      </c>
      <c r="K2989" t="s">
        <v>1029</v>
      </c>
      <c r="L2989" t="s">
        <v>1030</v>
      </c>
      <c r="M2989">
        <v>1486857600</v>
      </c>
      <c r="N2989" t="s">
        <v>1628</v>
      </c>
      <c r="O2989" t="s">
        <v>1628</v>
      </c>
      <c r="P2989" t="s">
        <v>1628</v>
      </c>
      <c r="Q2989">
        <f>LEN(AMAZON_FASHION_5__2[[#This Row],[reviewText]])</f>
        <v>140</v>
      </c>
      <c r="R2989" t="str">
        <f>IF(AMAZON_FASHION_5__2[[#This Row],[overall]]&gt;=4,"Positive",IF(AMAZON_FASHION_5__2[[#This Row],[overall]]&lt;=2,"Negative","Neutral"))</f>
        <v>Positive</v>
      </c>
      <c r="S29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90" spans="1:19" x14ac:dyDescent="0.25">
      <c r="A2990">
        <v>5</v>
      </c>
      <c r="B2990" t="b">
        <v>1</v>
      </c>
      <c r="C2990" s="1">
        <v>42777</v>
      </c>
      <c r="D2990">
        <f>YEAR(AMAZON_FASHION_5__2[[#This Row],[reviewDate]])</f>
        <v>2017</v>
      </c>
      <c r="E2990" s="1" t="str">
        <f>TEXT(AMAZON_FASHION_5__2[[#This Row],[reviewDate]], "mmmm")</f>
        <v>February</v>
      </c>
      <c r="F2990" t="s">
        <v>1031</v>
      </c>
      <c r="G2990" t="s">
        <v>1607</v>
      </c>
      <c r="H2990" t="s">
        <v>320</v>
      </c>
      <c r="I2990" t="s">
        <v>198</v>
      </c>
      <c r="J2990" t="s">
        <v>1032</v>
      </c>
      <c r="K2990" t="s">
        <v>1033</v>
      </c>
      <c r="L2990" t="s">
        <v>17</v>
      </c>
      <c r="M2990">
        <v>1486771200</v>
      </c>
      <c r="N2990" t="s">
        <v>1628</v>
      </c>
      <c r="O2990" t="s">
        <v>1628</v>
      </c>
      <c r="P2990" t="s">
        <v>1628</v>
      </c>
      <c r="Q2990">
        <f>LEN(AMAZON_FASHION_5__2[[#This Row],[reviewText]])</f>
        <v>28</v>
      </c>
      <c r="R2990" t="str">
        <f>IF(AMAZON_FASHION_5__2[[#This Row],[overall]]&gt;=4,"Positive",IF(AMAZON_FASHION_5__2[[#This Row],[overall]]&lt;=2,"Negative","Neutral"))</f>
        <v>Positive</v>
      </c>
      <c r="S29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91" spans="1:19" x14ac:dyDescent="0.25">
      <c r="A2991">
        <v>4</v>
      </c>
      <c r="B2991" t="b">
        <v>1</v>
      </c>
      <c r="C2991" s="1">
        <v>42774</v>
      </c>
      <c r="D2991">
        <f>YEAR(AMAZON_FASHION_5__2[[#This Row],[reviewDate]])</f>
        <v>2017</v>
      </c>
      <c r="E2991" s="1" t="str">
        <f>TEXT(AMAZON_FASHION_5__2[[#This Row],[reviewDate]], "mmmm")</f>
        <v>February</v>
      </c>
      <c r="F2991" t="s">
        <v>1034</v>
      </c>
      <c r="G2991" t="s">
        <v>1607</v>
      </c>
      <c r="H2991" t="s">
        <v>1578</v>
      </c>
      <c r="I2991" t="s">
        <v>827</v>
      </c>
      <c r="J2991" t="s">
        <v>1035</v>
      </c>
      <c r="K2991" t="s">
        <v>1036</v>
      </c>
      <c r="L2991" t="s">
        <v>1037</v>
      </c>
      <c r="M2991">
        <v>1486512000</v>
      </c>
      <c r="N2991" t="s">
        <v>1628</v>
      </c>
      <c r="O2991" t="s">
        <v>1628</v>
      </c>
      <c r="P2991">
        <v>4</v>
      </c>
      <c r="Q2991">
        <f>LEN(AMAZON_FASHION_5__2[[#This Row],[reviewText]])</f>
        <v>570</v>
      </c>
      <c r="R2991" t="str">
        <f>IF(AMAZON_FASHION_5__2[[#This Row],[overall]]&gt;=4,"Positive",IF(AMAZON_FASHION_5__2[[#This Row],[overall]]&lt;=2,"Negative","Neutral"))</f>
        <v>Positive</v>
      </c>
      <c r="S29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92" spans="1:19" x14ac:dyDescent="0.25">
      <c r="A2992">
        <v>4</v>
      </c>
      <c r="B2992" t="b">
        <v>1</v>
      </c>
      <c r="C2992" s="1">
        <v>42772</v>
      </c>
      <c r="D2992">
        <f>YEAR(AMAZON_FASHION_5__2[[#This Row],[reviewDate]])</f>
        <v>2017</v>
      </c>
      <c r="E2992" s="1" t="str">
        <f>TEXT(AMAZON_FASHION_5__2[[#This Row],[reviewDate]], "mmmm")</f>
        <v>February</v>
      </c>
      <c r="F2992" t="s">
        <v>1038</v>
      </c>
      <c r="G2992" t="s">
        <v>1607</v>
      </c>
      <c r="H2992" t="s">
        <v>1578</v>
      </c>
      <c r="I2992" t="s">
        <v>236</v>
      </c>
      <c r="J2992" t="s">
        <v>1039</v>
      </c>
      <c r="K2992" t="s">
        <v>1040</v>
      </c>
      <c r="L2992" t="s">
        <v>1041</v>
      </c>
      <c r="M2992">
        <v>1486339200</v>
      </c>
      <c r="N2992" t="s">
        <v>1628</v>
      </c>
      <c r="O2992" t="s">
        <v>1628</v>
      </c>
      <c r="P2992" t="s">
        <v>1628</v>
      </c>
      <c r="Q2992">
        <f>LEN(AMAZON_FASHION_5__2[[#This Row],[reviewText]])</f>
        <v>316</v>
      </c>
      <c r="R2992" t="str">
        <f>IF(AMAZON_FASHION_5__2[[#This Row],[overall]]&gt;=4,"Positive",IF(AMAZON_FASHION_5__2[[#This Row],[overall]]&lt;=2,"Negative","Neutral"))</f>
        <v>Positive</v>
      </c>
      <c r="S29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93" spans="1:19" x14ac:dyDescent="0.25">
      <c r="A2993">
        <v>2</v>
      </c>
      <c r="B2993" t="b">
        <v>1</v>
      </c>
      <c r="C2993" s="1">
        <v>42768</v>
      </c>
      <c r="D2993">
        <f>YEAR(AMAZON_FASHION_5__2[[#This Row],[reviewDate]])</f>
        <v>2017</v>
      </c>
      <c r="E2993" s="1" t="str">
        <f>TEXT(AMAZON_FASHION_5__2[[#This Row],[reviewDate]], "mmmm")</f>
        <v>February</v>
      </c>
      <c r="F2993" t="s">
        <v>1042</v>
      </c>
      <c r="G2993" t="s">
        <v>1607</v>
      </c>
      <c r="H2993" t="s">
        <v>1598</v>
      </c>
      <c r="I2993" t="s">
        <v>344</v>
      </c>
      <c r="J2993" t="s">
        <v>63</v>
      </c>
      <c r="K2993" t="s">
        <v>1043</v>
      </c>
      <c r="L2993" t="s">
        <v>1044</v>
      </c>
      <c r="M2993">
        <v>1485993600</v>
      </c>
      <c r="N2993" t="s">
        <v>1628</v>
      </c>
      <c r="O2993" t="s">
        <v>1628</v>
      </c>
      <c r="P2993" t="s">
        <v>1628</v>
      </c>
      <c r="Q2993">
        <f>LEN(AMAZON_FASHION_5__2[[#This Row],[reviewText]])</f>
        <v>107</v>
      </c>
      <c r="R2993" t="str">
        <f>IF(AMAZON_FASHION_5__2[[#This Row],[overall]]&gt;=4,"Positive",IF(AMAZON_FASHION_5__2[[#This Row],[overall]]&lt;=2,"Negative","Neutral"))</f>
        <v>Negative</v>
      </c>
      <c r="S29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94" spans="1:19" x14ac:dyDescent="0.25">
      <c r="A2994">
        <v>5</v>
      </c>
      <c r="B2994" t="b">
        <v>1</v>
      </c>
      <c r="C2994" s="1">
        <v>42767</v>
      </c>
      <c r="D2994">
        <f>YEAR(AMAZON_FASHION_5__2[[#This Row],[reviewDate]])</f>
        <v>2017</v>
      </c>
      <c r="E2994" s="1" t="str">
        <f>TEXT(AMAZON_FASHION_5__2[[#This Row],[reviewDate]], "mmmm")</f>
        <v>February</v>
      </c>
      <c r="F2994" t="s">
        <v>158</v>
      </c>
      <c r="G2994" t="s">
        <v>1607</v>
      </c>
      <c r="H2994" t="s">
        <v>320</v>
      </c>
      <c r="I2994" t="s">
        <v>198</v>
      </c>
      <c r="J2994" t="s">
        <v>160</v>
      </c>
      <c r="K2994" t="s">
        <v>1045</v>
      </c>
      <c r="L2994" t="s">
        <v>1046</v>
      </c>
      <c r="M2994">
        <v>1485907200</v>
      </c>
      <c r="N2994" t="s">
        <v>1628</v>
      </c>
      <c r="O2994" t="s">
        <v>1628</v>
      </c>
      <c r="P2994" t="s">
        <v>1628</v>
      </c>
      <c r="Q2994">
        <f>LEN(AMAZON_FASHION_5__2[[#This Row],[reviewText]])</f>
        <v>122</v>
      </c>
      <c r="R2994" t="str">
        <f>IF(AMAZON_FASHION_5__2[[#This Row],[overall]]&gt;=4,"Positive",IF(AMAZON_FASHION_5__2[[#This Row],[overall]]&lt;=2,"Negative","Neutral"))</f>
        <v>Positive</v>
      </c>
      <c r="S29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95" spans="1:19" x14ac:dyDescent="0.25">
      <c r="A2995">
        <v>3</v>
      </c>
      <c r="B2995" t="b">
        <v>1</v>
      </c>
      <c r="C2995" s="1">
        <v>42766</v>
      </c>
      <c r="D2995">
        <f>YEAR(AMAZON_FASHION_5__2[[#This Row],[reviewDate]])</f>
        <v>2017</v>
      </c>
      <c r="E2995" s="1" t="str">
        <f>TEXT(AMAZON_FASHION_5__2[[#This Row],[reviewDate]], "mmmm")</f>
        <v>January</v>
      </c>
      <c r="F2995" t="s">
        <v>1047</v>
      </c>
      <c r="G2995" t="s">
        <v>1607</v>
      </c>
      <c r="H2995" t="s">
        <v>1568</v>
      </c>
      <c r="I2995" t="s">
        <v>419</v>
      </c>
      <c r="J2995" t="s">
        <v>1048</v>
      </c>
      <c r="K2995" t="s">
        <v>1049</v>
      </c>
      <c r="L2995" t="s">
        <v>101</v>
      </c>
      <c r="M2995">
        <v>1485820800</v>
      </c>
      <c r="N2995" t="s">
        <v>1628</v>
      </c>
      <c r="O2995" t="s">
        <v>1628</v>
      </c>
      <c r="P2995">
        <v>3</v>
      </c>
      <c r="Q2995">
        <f>LEN(AMAZON_FASHION_5__2[[#This Row],[reviewText]])</f>
        <v>7</v>
      </c>
      <c r="R2995" t="str">
        <f>IF(AMAZON_FASHION_5__2[[#This Row],[overall]]&gt;=4,"Positive",IF(AMAZON_FASHION_5__2[[#This Row],[overall]]&lt;=2,"Negative","Neutral"))</f>
        <v>Neutral</v>
      </c>
      <c r="S29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96" spans="1:19" x14ac:dyDescent="0.25">
      <c r="A2996">
        <v>5</v>
      </c>
      <c r="B2996" t="b">
        <v>1</v>
      </c>
      <c r="C2996" s="1">
        <v>42760</v>
      </c>
      <c r="D2996">
        <f>YEAR(AMAZON_FASHION_5__2[[#This Row],[reviewDate]])</f>
        <v>2017</v>
      </c>
      <c r="E2996" s="1" t="str">
        <f>TEXT(AMAZON_FASHION_5__2[[#This Row],[reviewDate]], "mmmm")</f>
        <v>January</v>
      </c>
      <c r="F2996" t="s">
        <v>1050</v>
      </c>
      <c r="G2996" t="s">
        <v>1607</v>
      </c>
      <c r="H2996" t="s">
        <v>1574</v>
      </c>
      <c r="I2996" t="s">
        <v>524</v>
      </c>
      <c r="J2996" t="s">
        <v>63</v>
      </c>
      <c r="K2996" t="s">
        <v>1051</v>
      </c>
      <c r="L2996" t="s">
        <v>1052</v>
      </c>
      <c r="M2996">
        <v>1485302400</v>
      </c>
      <c r="N2996" t="s">
        <v>1628</v>
      </c>
      <c r="O2996" t="s">
        <v>1628</v>
      </c>
      <c r="P2996" t="s">
        <v>1628</v>
      </c>
      <c r="Q2996">
        <f>LEN(AMAZON_FASHION_5__2[[#This Row],[reviewText]])</f>
        <v>521</v>
      </c>
      <c r="R2996" t="str">
        <f>IF(AMAZON_FASHION_5__2[[#This Row],[overall]]&gt;=4,"Positive",IF(AMAZON_FASHION_5__2[[#This Row],[overall]]&lt;=2,"Negative","Neutral"))</f>
        <v>Positive</v>
      </c>
      <c r="S29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97" spans="1:19" x14ac:dyDescent="0.25">
      <c r="A2997">
        <v>5</v>
      </c>
      <c r="B2997" t="b">
        <v>1</v>
      </c>
      <c r="C2997" s="1">
        <v>42757</v>
      </c>
      <c r="D2997">
        <f>YEAR(AMAZON_FASHION_5__2[[#This Row],[reviewDate]])</f>
        <v>2017</v>
      </c>
      <c r="E2997" s="1" t="str">
        <f>TEXT(AMAZON_FASHION_5__2[[#This Row],[reviewDate]], "mmmm")</f>
        <v>January</v>
      </c>
      <c r="F2997" t="s">
        <v>1053</v>
      </c>
      <c r="G2997" t="s">
        <v>1607</v>
      </c>
      <c r="H2997" t="s">
        <v>1598</v>
      </c>
      <c r="I2997" t="s">
        <v>827</v>
      </c>
      <c r="J2997" t="s">
        <v>1054</v>
      </c>
      <c r="K2997" t="s">
        <v>1055</v>
      </c>
      <c r="L2997" t="s">
        <v>1056</v>
      </c>
      <c r="M2997">
        <v>1485043200</v>
      </c>
      <c r="N2997" t="s">
        <v>1628</v>
      </c>
      <c r="O2997" t="s">
        <v>1628</v>
      </c>
      <c r="P2997" t="s">
        <v>1628</v>
      </c>
      <c r="Q2997">
        <f>LEN(AMAZON_FASHION_5__2[[#This Row],[reviewText]])</f>
        <v>90</v>
      </c>
      <c r="R2997" t="str">
        <f>IF(AMAZON_FASHION_5__2[[#This Row],[overall]]&gt;=4,"Positive",IF(AMAZON_FASHION_5__2[[#This Row],[overall]]&lt;=2,"Negative","Neutral"))</f>
        <v>Positive</v>
      </c>
      <c r="S29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98" spans="1:19" x14ac:dyDescent="0.25">
      <c r="A2998">
        <v>5</v>
      </c>
      <c r="B2998" t="b">
        <v>1</v>
      </c>
      <c r="C2998" s="1">
        <v>42755</v>
      </c>
      <c r="D2998">
        <f>YEAR(AMAZON_FASHION_5__2[[#This Row],[reviewDate]])</f>
        <v>2017</v>
      </c>
      <c r="E2998" s="1" t="str">
        <f>TEXT(AMAZON_FASHION_5__2[[#This Row],[reviewDate]], "mmmm")</f>
        <v>January</v>
      </c>
      <c r="F2998" t="s">
        <v>1057</v>
      </c>
      <c r="G2998" t="s">
        <v>1607</v>
      </c>
      <c r="H2998" t="s">
        <v>1567</v>
      </c>
      <c r="I2998" t="s">
        <v>524</v>
      </c>
      <c r="J2998" t="s">
        <v>1058</v>
      </c>
      <c r="K2998" t="s">
        <v>1059</v>
      </c>
      <c r="L2998" t="s">
        <v>1060</v>
      </c>
      <c r="M2998">
        <v>1484870400</v>
      </c>
      <c r="N2998" t="s">
        <v>1628</v>
      </c>
      <c r="O2998" t="s">
        <v>1628</v>
      </c>
      <c r="P2998" t="s">
        <v>1628</v>
      </c>
      <c r="Q2998">
        <f>LEN(AMAZON_FASHION_5__2[[#This Row],[reviewText]])</f>
        <v>40</v>
      </c>
      <c r="R2998" t="str">
        <f>IF(AMAZON_FASHION_5__2[[#This Row],[overall]]&gt;=4,"Positive",IF(AMAZON_FASHION_5__2[[#This Row],[overall]]&lt;=2,"Negative","Neutral"))</f>
        <v>Positive</v>
      </c>
      <c r="S29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2999" spans="1:19" x14ac:dyDescent="0.25">
      <c r="A2999">
        <v>5</v>
      </c>
      <c r="B2999" t="b">
        <v>1</v>
      </c>
      <c r="C2999" s="1">
        <v>42753</v>
      </c>
      <c r="D2999">
        <f>YEAR(AMAZON_FASHION_5__2[[#This Row],[reviewDate]])</f>
        <v>2017</v>
      </c>
      <c r="E2999" s="1" t="str">
        <f>TEXT(AMAZON_FASHION_5__2[[#This Row],[reviewDate]], "mmmm")</f>
        <v>January</v>
      </c>
      <c r="F2999" t="s">
        <v>1061</v>
      </c>
      <c r="G2999" t="s">
        <v>1607</v>
      </c>
      <c r="H2999" t="s">
        <v>1571</v>
      </c>
      <c r="I2999" t="s">
        <v>396</v>
      </c>
      <c r="J2999" t="s">
        <v>1062</v>
      </c>
      <c r="K2999" t="s">
        <v>1063</v>
      </c>
      <c r="L2999" t="s">
        <v>1064</v>
      </c>
      <c r="M2999">
        <v>1484697600</v>
      </c>
      <c r="N2999" t="s">
        <v>1628</v>
      </c>
      <c r="O2999" t="s">
        <v>1628</v>
      </c>
      <c r="P2999" t="s">
        <v>1628</v>
      </c>
      <c r="Q2999">
        <f>LEN(AMAZON_FASHION_5__2[[#This Row],[reviewText]])</f>
        <v>105</v>
      </c>
      <c r="R2999" t="str">
        <f>IF(AMAZON_FASHION_5__2[[#This Row],[overall]]&gt;=4,"Positive",IF(AMAZON_FASHION_5__2[[#This Row],[overall]]&lt;=2,"Negative","Neutral"))</f>
        <v>Positive</v>
      </c>
      <c r="S29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00" spans="1:19" x14ac:dyDescent="0.25">
      <c r="A3000">
        <v>2</v>
      </c>
      <c r="B3000" t="b">
        <v>1</v>
      </c>
      <c r="C3000" s="1">
        <v>42753</v>
      </c>
      <c r="D3000">
        <f>YEAR(AMAZON_FASHION_5__2[[#This Row],[reviewDate]])</f>
        <v>2017</v>
      </c>
      <c r="E3000" s="1" t="str">
        <f>TEXT(AMAZON_FASHION_5__2[[#This Row],[reviewDate]], "mmmm")</f>
        <v>January</v>
      </c>
      <c r="F3000" t="s">
        <v>1065</v>
      </c>
      <c r="G3000" t="s">
        <v>1607</v>
      </c>
      <c r="H3000" t="s">
        <v>1571</v>
      </c>
      <c r="I3000" t="s">
        <v>198</v>
      </c>
      <c r="J3000" t="s">
        <v>1066</v>
      </c>
      <c r="K3000" t="s">
        <v>1067</v>
      </c>
      <c r="L3000" t="s">
        <v>1068</v>
      </c>
      <c r="M3000">
        <v>1484697600</v>
      </c>
      <c r="N3000" t="s">
        <v>1628</v>
      </c>
      <c r="O3000" t="s">
        <v>1628</v>
      </c>
      <c r="P3000" t="s">
        <v>1628</v>
      </c>
      <c r="Q3000">
        <f>LEN(AMAZON_FASHION_5__2[[#This Row],[reviewText]])</f>
        <v>118</v>
      </c>
      <c r="R3000" t="str">
        <f>IF(AMAZON_FASHION_5__2[[#This Row],[overall]]&gt;=4,"Positive",IF(AMAZON_FASHION_5__2[[#This Row],[overall]]&lt;=2,"Negative","Neutral"))</f>
        <v>Negative</v>
      </c>
      <c r="S30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01" spans="1:19" x14ac:dyDescent="0.25">
      <c r="A3001">
        <v>5</v>
      </c>
      <c r="B3001" t="b">
        <v>1</v>
      </c>
      <c r="C3001" s="1">
        <v>42753</v>
      </c>
      <c r="D3001">
        <f>YEAR(AMAZON_FASHION_5__2[[#This Row],[reviewDate]])</f>
        <v>2017</v>
      </c>
      <c r="E3001" s="1" t="str">
        <f>TEXT(AMAZON_FASHION_5__2[[#This Row],[reviewDate]], "mmmm")</f>
        <v>January</v>
      </c>
      <c r="F3001" t="s">
        <v>1069</v>
      </c>
      <c r="G3001" t="s">
        <v>1607</v>
      </c>
      <c r="H3001" t="s">
        <v>1574</v>
      </c>
      <c r="I3001" t="s">
        <v>211</v>
      </c>
      <c r="J3001" t="s">
        <v>1070</v>
      </c>
      <c r="K3001" t="s">
        <v>1071</v>
      </c>
      <c r="L3001" t="s">
        <v>1072</v>
      </c>
      <c r="M3001">
        <v>1484697600</v>
      </c>
      <c r="N3001" t="s">
        <v>1628</v>
      </c>
      <c r="O3001" t="s">
        <v>1628</v>
      </c>
      <c r="P3001" t="s">
        <v>1628</v>
      </c>
      <c r="Q3001">
        <f>LEN(AMAZON_FASHION_5__2[[#This Row],[reviewText]])</f>
        <v>88</v>
      </c>
      <c r="R3001" t="str">
        <f>IF(AMAZON_FASHION_5__2[[#This Row],[overall]]&gt;=4,"Positive",IF(AMAZON_FASHION_5__2[[#This Row],[overall]]&lt;=2,"Negative","Neutral"))</f>
        <v>Positive</v>
      </c>
      <c r="S30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02" spans="1:19" x14ac:dyDescent="0.25">
      <c r="A3002">
        <v>5</v>
      </c>
      <c r="B3002" t="b">
        <v>1</v>
      </c>
      <c r="C3002" s="1">
        <v>42753</v>
      </c>
      <c r="D3002">
        <f>YEAR(AMAZON_FASHION_5__2[[#This Row],[reviewDate]])</f>
        <v>2017</v>
      </c>
      <c r="E3002" s="1" t="str">
        <f>TEXT(AMAZON_FASHION_5__2[[#This Row],[reviewDate]], "mmmm")</f>
        <v>January</v>
      </c>
      <c r="F3002" t="s">
        <v>1073</v>
      </c>
      <c r="G3002" t="s">
        <v>1607</v>
      </c>
      <c r="H3002" t="s">
        <v>1568</v>
      </c>
      <c r="I3002" t="s">
        <v>99</v>
      </c>
      <c r="J3002" t="s">
        <v>63</v>
      </c>
      <c r="K3002" t="s">
        <v>1074</v>
      </c>
      <c r="L3002" t="s">
        <v>17</v>
      </c>
      <c r="M3002">
        <v>1484697600</v>
      </c>
      <c r="N3002" t="s">
        <v>1628</v>
      </c>
      <c r="O3002" t="s">
        <v>1628</v>
      </c>
      <c r="P3002" t="s">
        <v>1628</v>
      </c>
      <c r="Q3002">
        <f>LEN(AMAZON_FASHION_5__2[[#This Row],[reviewText]])</f>
        <v>11</v>
      </c>
      <c r="R3002" t="str">
        <f>IF(AMAZON_FASHION_5__2[[#This Row],[overall]]&gt;=4,"Positive",IF(AMAZON_FASHION_5__2[[#This Row],[overall]]&lt;=2,"Negative","Neutral"))</f>
        <v>Positive</v>
      </c>
      <c r="S30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03" spans="1:19" x14ac:dyDescent="0.25">
      <c r="A3003">
        <v>4</v>
      </c>
      <c r="B3003" t="b">
        <v>1</v>
      </c>
      <c r="C3003" s="1">
        <v>42753</v>
      </c>
      <c r="D3003">
        <f>YEAR(AMAZON_FASHION_5__2[[#This Row],[reviewDate]])</f>
        <v>2017</v>
      </c>
      <c r="E3003" s="1" t="str">
        <f>TEXT(AMAZON_FASHION_5__2[[#This Row],[reviewDate]], "mmmm")</f>
        <v>January</v>
      </c>
      <c r="F3003" t="s">
        <v>1075</v>
      </c>
      <c r="G3003" t="s">
        <v>1607</v>
      </c>
      <c r="H3003" t="s">
        <v>1578</v>
      </c>
      <c r="I3003" t="s">
        <v>198</v>
      </c>
      <c r="J3003" t="s">
        <v>1076</v>
      </c>
      <c r="K3003" t="s">
        <v>1077</v>
      </c>
      <c r="L3003" t="s">
        <v>1078</v>
      </c>
      <c r="M3003">
        <v>1484697600</v>
      </c>
      <c r="N3003" t="s">
        <v>1628</v>
      </c>
      <c r="O3003" t="s">
        <v>1628</v>
      </c>
      <c r="P3003" t="s">
        <v>1628</v>
      </c>
      <c r="Q3003">
        <f>LEN(AMAZON_FASHION_5__2[[#This Row],[reviewText]])</f>
        <v>316</v>
      </c>
      <c r="R3003" t="str">
        <f>IF(AMAZON_FASHION_5__2[[#This Row],[overall]]&gt;=4,"Positive",IF(AMAZON_FASHION_5__2[[#This Row],[overall]]&lt;=2,"Negative","Neutral"))</f>
        <v>Positive</v>
      </c>
      <c r="S30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04" spans="1:19" x14ac:dyDescent="0.25">
      <c r="A3004">
        <v>1</v>
      </c>
      <c r="B3004" t="b">
        <v>1</v>
      </c>
      <c r="C3004" s="1">
        <v>42750</v>
      </c>
      <c r="D3004">
        <f>YEAR(AMAZON_FASHION_5__2[[#This Row],[reviewDate]])</f>
        <v>2017</v>
      </c>
      <c r="E3004" s="1" t="str">
        <f>TEXT(AMAZON_FASHION_5__2[[#This Row],[reviewDate]], "mmmm")</f>
        <v>January</v>
      </c>
      <c r="F3004" t="s">
        <v>1079</v>
      </c>
      <c r="G3004" t="s">
        <v>1607</v>
      </c>
      <c r="H3004" t="s">
        <v>1568</v>
      </c>
      <c r="I3004" t="s">
        <v>411</v>
      </c>
      <c r="J3004" t="s">
        <v>1080</v>
      </c>
      <c r="K3004" t="s">
        <v>1081</v>
      </c>
      <c r="L3004" t="s">
        <v>1082</v>
      </c>
      <c r="M3004">
        <v>1484438400</v>
      </c>
      <c r="N3004" t="s">
        <v>1628</v>
      </c>
      <c r="O3004" t="s">
        <v>1628</v>
      </c>
      <c r="P3004">
        <v>22</v>
      </c>
      <c r="Q3004">
        <f>LEN(AMAZON_FASHION_5__2[[#This Row],[reviewText]])</f>
        <v>69</v>
      </c>
      <c r="R3004" t="str">
        <f>IF(AMAZON_FASHION_5__2[[#This Row],[overall]]&gt;=4,"Positive",IF(AMAZON_FASHION_5__2[[#This Row],[overall]]&lt;=2,"Negative","Neutral"))</f>
        <v>Negative</v>
      </c>
      <c r="S30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05" spans="1:19" x14ac:dyDescent="0.25">
      <c r="A3005">
        <v>4</v>
      </c>
      <c r="B3005" t="b">
        <v>1</v>
      </c>
      <c r="C3005" s="1">
        <v>42748</v>
      </c>
      <c r="D3005">
        <f>YEAR(AMAZON_FASHION_5__2[[#This Row],[reviewDate]])</f>
        <v>2017</v>
      </c>
      <c r="E3005" s="1" t="str">
        <f>TEXT(AMAZON_FASHION_5__2[[#This Row],[reviewDate]], "mmmm")</f>
        <v>January</v>
      </c>
      <c r="F3005" t="s">
        <v>1083</v>
      </c>
      <c r="G3005" t="s">
        <v>1607</v>
      </c>
      <c r="H3005" t="s">
        <v>1598</v>
      </c>
      <c r="I3005" t="s">
        <v>1084</v>
      </c>
      <c r="J3005" t="s">
        <v>63</v>
      </c>
      <c r="K3005" t="s">
        <v>1085</v>
      </c>
      <c r="L3005" t="s">
        <v>1086</v>
      </c>
      <c r="M3005">
        <v>1484265600</v>
      </c>
      <c r="N3005" t="s">
        <v>1628</v>
      </c>
      <c r="O3005" t="s">
        <v>1628</v>
      </c>
      <c r="P3005" t="s">
        <v>1628</v>
      </c>
      <c r="Q3005">
        <f>LEN(AMAZON_FASHION_5__2[[#This Row],[reviewText]])</f>
        <v>187</v>
      </c>
      <c r="R3005" t="str">
        <f>IF(AMAZON_FASHION_5__2[[#This Row],[overall]]&gt;=4,"Positive",IF(AMAZON_FASHION_5__2[[#This Row],[overall]]&lt;=2,"Negative","Neutral"))</f>
        <v>Positive</v>
      </c>
      <c r="S30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06" spans="1:19" x14ac:dyDescent="0.25">
      <c r="A3006">
        <v>5</v>
      </c>
      <c r="B3006" t="b">
        <v>1</v>
      </c>
      <c r="C3006" s="1">
        <v>42747</v>
      </c>
      <c r="D3006">
        <f>YEAR(AMAZON_FASHION_5__2[[#This Row],[reviewDate]])</f>
        <v>2017</v>
      </c>
      <c r="E3006" s="1" t="str">
        <f>TEXT(AMAZON_FASHION_5__2[[#This Row],[reviewDate]], "mmmm")</f>
        <v>January</v>
      </c>
      <c r="F3006" t="s">
        <v>1087</v>
      </c>
      <c r="G3006" t="s">
        <v>1607</v>
      </c>
      <c r="H3006" t="s">
        <v>1571</v>
      </c>
      <c r="I3006" t="s">
        <v>507</v>
      </c>
      <c r="J3006" t="s">
        <v>1088</v>
      </c>
      <c r="K3006" t="s">
        <v>1089</v>
      </c>
      <c r="L3006" t="s">
        <v>1090</v>
      </c>
      <c r="M3006">
        <v>1484179200</v>
      </c>
      <c r="N3006" t="s">
        <v>1628</v>
      </c>
      <c r="O3006" t="s">
        <v>1628</v>
      </c>
      <c r="P3006" t="s">
        <v>1628</v>
      </c>
      <c r="Q3006">
        <f>LEN(AMAZON_FASHION_5__2[[#This Row],[reviewText]])</f>
        <v>216</v>
      </c>
      <c r="R3006" t="str">
        <f>IF(AMAZON_FASHION_5__2[[#This Row],[overall]]&gt;=4,"Positive",IF(AMAZON_FASHION_5__2[[#This Row],[overall]]&lt;=2,"Negative","Neutral"))</f>
        <v>Positive</v>
      </c>
      <c r="S30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07" spans="1:19" x14ac:dyDescent="0.25">
      <c r="A3007">
        <v>5</v>
      </c>
      <c r="B3007" t="b">
        <v>1</v>
      </c>
      <c r="C3007" s="1">
        <v>42747</v>
      </c>
      <c r="D3007">
        <f>YEAR(AMAZON_FASHION_5__2[[#This Row],[reviewDate]])</f>
        <v>2017</v>
      </c>
      <c r="E3007" s="1" t="str">
        <f>TEXT(AMAZON_FASHION_5__2[[#This Row],[reviewDate]], "mmmm")</f>
        <v>January</v>
      </c>
      <c r="F3007" t="s">
        <v>1091</v>
      </c>
      <c r="G3007" t="s">
        <v>1607</v>
      </c>
      <c r="H3007" t="s">
        <v>1578</v>
      </c>
      <c r="I3007" t="s">
        <v>198</v>
      </c>
      <c r="J3007" t="s">
        <v>1092</v>
      </c>
      <c r="K3007" t="s">
        <v>1093</v>
      </c>
      <c r="L3007" t="s">
        <v>17</v>
      </c>
      <c r="M3007">
        <v>1484179200</v>
      </c>
      <c r="N3007" t="s">
        <v>1628</v>
      </c>
      <c r="O3007" t="s">
        <v>1628</v>
      </c>
      <c r="P3007" t="s">
        <v>1628</v>
      </c>
      <c r="Q3007">
        <f>LEN(AMAZON_FASHION_5__2[[#This Row],[reviewText]])</f>
        <v>20</v>
      </c>
      <c r="R3007" t="str">
        <f>IF(AMAZON_FASHION_5__2[[#This Row],[overall]]&gt;=4,"Positive",IF(AMAZON_FASHION_5__2[[#This Row],[overall]]&lt;=2,"Negative","Neutral"))</f>
        <v>Positive</v>
      </c>
      <c r="S30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08" spans="1:19" x14ac:dyDescent="0.25">
      <c r="A3008">
        <v>5</v>
      </c>
      <c r="B3008" t="b">
        <v>1</v>
      </c>
      <c r="C3008" s="1">
        <v>42745</v>
      </c>
      <c r="D3008">
        <f>YEAR(AMAZON_FASHION_5__2[[#This Row],[reviewDate]])</f>
        <v>2017</v>
      </c>
      <c r="E3008" s="1" t="str">
        <f>TEXT(AMAZON_FASHION_5__2[[#This Row],[reviewDate]], "mmmm")</f>
        <v>January</v>
      </c>
      <c r="F3008" t="s">
        <v>1094</v>
      </c>
      <c r="G3008" t="s">
        <v>1607</v>
      </c>
      <c r="H3008" t="s">
        <v>1568</v>
      </c>
      <c r="I3008" t="s">
        <v>574</v>
      </c>
      <c r="J3008" t="s">
        <v>63</v>
      </c>
      <c r="K3008" t="s">
        <v>914</v>
      </c>
      <c r="L3008" t="s">
        <v>17</v>
      </c>
      <c r="M3008">
        <v>1484006400</v>
      </c>
      <c r="N3008" t="s">
        <v>1628</v>
      </c>
      <c r="O3008" t="s">
        <v>1628</v>
      </c>
      <c r="P3008" t="s">
        <v>1628</v>
      </c>
      <c r="Q3008">
        <f>LEN(AMAZON_FASHION_5__2[[#This Row],[reviewText]])</f>
        <v>17</v>
      </c>
      <c r="R3008" t="str">
        <f>IF(AMAZON_FASHION_5__2[[#This Row],[overall]]&gt;=4,"Positive",IF(AMAZON_FASHION_5__2[[#This Row],[overall]]&lt;=2,"Negative","Neutral"))</f>
        <v>Positive</v>
      </c>
      <c r="S30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09" spans="1:19" x14ac:dyDescent="0.25">
      <c r="A3009">
        <v>5</v>
      </c>
      <c r="B3009" t="b">
        <v>1</v>
      </c>
      <c r="C3009" s="1">
        <v>42742</v>
      </c>
      <c r="D3009">
        <f>YEAR(AMAZON_FASHION_5__2[[#This Row],[reviewDate]])</f>
        <v>2017</v>
      </c>
      <c r="E3009" s="1" t="str">
        <f>TEXT(AMAZON_FASHION_5__2[[#This Row],[reviewDate]], "mmmm")</f>
        <v>January</v>
      </c>
      <c r="F3009" t="s">
        <v>1095</v>
      </c>
      <c r="G3009" t="s">
        <v>1607</v>
      </c>
      <c r="H3009" t="s">
        <v>235</v>
      </c>
      <c r="I3009" t="s">
        <v>1084</v>
      </c>
      <c r="J3009" t="s">
        <v>63</v>
      </c>
      <c r="K3009" t="s">
        <v>1096</v>
      </c>
      <c r="L3009" t="s">
        <v>1097</v>
      </c>
      <c r="M3009">
        <v>1483747200</v>
      </c>
      <c r="N3009" t="s">
        <v>1628</v>
      </c>
      <c r="O3009" t="s">
        <v>1628</v>
      </c>
      <c r="P3009" t="s">
        <v>1628</v>
      </c>
      <c r="Q3009">
        <f>LEN(AMAZON_FASHION_5__2[[#This Row],[reviewText]])</f>
        <v>92</v>
      </c>
      <c r="R3009" t="str">
        <f>IF(AMAZON_FASHION_5__2[[#This Row],[overall]]&gt;=4,"Positive",IF(AMAZON_FASHION_5__2[[#This Row],[overall]]&lt;=2,"Negative","Neutral"))</f>
        <v>Positive</v>
      </c>
      <c r="S30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10" spans="1:19" x14ac:dyDescent="0.25">
      <c r="A3010">
        <v>5</v>
      </c>
      <c r="B3010" t="b">
        <v>1</v>
      </c>
      <c r="C3010" s="1">
        <v>42742</v>
      </c>
      <c r="D3010">
        <f>YEAR(AMAZON_FASHION_5__2[[#This Row],[reviewDate]])</f>
        <v>2017</v>
      </c>
      <c r="E3010" s="1" t="str">
        <f>TEXT(AMAZON_FASHION_5__2[[#This Row],[reviewDate]], "mmmm")</f>
        <v>January</v>
      </c>
      <c r="F3010" t="s">
        <v>1098</v>
      </c>
      <c r="G3010" t="s">
        <v>1607</v>
      </c>
      <c r="H3010" t="s">
        <v>320</v>
      </c>
      <c r="I3010" t="s">
        <v>1084</v>
      </c>
      <c r="J3010" t="s">
        <v>1099</v>
      </c>
      <c r="K3010" t="s">
        <v>1100</v>
      </c>
      <c r="L3010" t="s">
        <v>970</v>
      </c>
      <c r="M3010">
        <v>1483747200</v>
      </c>
      <c r="N3010" t="s">
        <v>1628</v>
      </c>
      <c r="O3010" t="s">
        <v>1628</v>
      </c>
      <c r="P3010" t="s">
        <v>1628</v>
      </c>
      <c r="Q3010">
        <f>LEN(AMAZON_FASHION_5__2[[#This Row],[reviewText]])</f>
        <v>182</v>
      </c>
      <c r="R3010" t="str">
        <f>IF(AMAZON_FASHION_5__2[[#This Row],[overall]]&gt;=4,"Positive",IF(AMAZON_FASHION_5__2[[#This Row],[overall]]&lt;=2,"Negative","Neutral"))</f>
        <v>Positive</v>
      </c>
      <c r="S30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11" spans="1:19" x14ac:dyDescent="0.25">
      <c r="A3011">
        <v>4</v>
      </c>
      <c r="B3011" t="b">
        <v>1</v>
      </c>
      <c r="C3011" s="1">
        <v>42741</v>
      </c>
      <c r="D3011">
        <f>YEAR(AMAZON_FASHION_5__2[[#This Row],[reviewDate]])</f>
        <v>2017</v>
      </c>
      <c r="E3011" s="1" t="str">
        <f>TEXT(AMAZON_FASHION_5__2[[#This Row],[reviewDate]], "mmmm")</f>
        <v>January</v>
      </c>
      <c r="F3011" t="s">
        <v>1101</v>
      </c>
      <c r="G3011" t="s">
        <v>1607</v>
      </c>
      <c r="H3011" t="s">
        <v>1574</v>
      </c>
      <c r="I3011" t="s">
        <v>1084</v>
      </c>
      <c r="J3011" t="s">
        <v>63</v>
      </c>
      <c r="K3011" t="s">
        <v>1102</v>
      </c>
      <c r="L3011" t="s">
        <v>1103</v>
      </c>
      <c r="M3011">
        <v>1483660800</v>
      </c>
      <c r="N3011" t="s">
        <v>1628</v>
      </c>
      <c r="O3011" t="s">
        <v>1628</v>
      </c>
      <c r="P3011" t="s">
        <v>1628</v>
      </c>
      <c r="Q3011">
        <f>LEN(AMAZON_FASHION_5__2[[#This Row],[reviewText]])</f>
        <v>219</v>
      </c>
      <c r="R3011" t="str">
        <f>IF(AMAZON_FASHION_5__2[[#This Row],[overall]]&gt;=4,"Positive",IF(AMAZON_FASHION_5__2[[#This Row],[overall]]&lt;=2,"Negative","Neutral"))</f>
        <v>Positive</v>
      </c>
      <c r="S30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12" spans="1:19" x14ac:dyDescent="0.25">
      <c r="A3012">
        <v>1</v>
      </c>
      <c r="B3012" t="b">
        <v>1</v>
      </c>
      <c r="C3012" s="1">
        <v>42739</v>
      </c>
      <c r="D3012">
        <f>YEAR(AMAZON_FASHION_5__2[[#This Row],[reviewDate]])</f>
        <v>2017</v>
      </c>
      <c r="E3012" s="1" t="str">
        <f>TEXT(AMAZON_FASHION_5__2[[#This Row],[reviewDate]], "mmmm")</f>
        <v>January</v>
      </c>
      <c r="F3012" t="s">
        <v>1104</v>
      </c>
      <c r="G3012" t="s">
        <v>1607</v>
      </c>
      <c r="H3012" t="s">
        <v>205</v>
      </c>
      <c r="I3012" t="s">
        <v>211</v>
      </c>
      <c r="J3012" t="s">
        <v>1605</v>
      </c>
      <c r="K3012" t="s">
        <v>1106</v>
      </c>
      <c r="L3012" t="s">
        <v>1107</v>
      </c>
      <c r="M3012">
        <v>1483488000</v>
      </c>
      <c r="N3012" t="s">
        <v>1628</v>
      </c>
      <c r="O3012" t="s">
        <v>1628</v>
      </c>
      <c r="P3012" t="s">
        <v>1628</v>
      </c>
      <c r="Q3012">
        <f>LEN(AMAZON_FASHION_5__2[[#This Row],[reviewText]])</f>
        <v>258</v>
      </c>
      <c r="R3012" t="str">
        <f>IF(AMAZON_FASHION_5__2[[#This Row],[overall]]&gt;=4,"Positive",IF(AMAZON_FASHION_5__2[[#This Row],[overall]]&lt;=2,"Negative","Neutral"))</f>
        <v>Negative</v>
      </c>
      <c r="S30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13" spans="1:19" x14ac:dyDescent="0.25">
      <c r="A3013">
        <v>5</v>
      </c>
      <c r="B3013" t="b">
        <v>1</v>
      </c>
      <c r="C3013" s="1">
        <v>42739</v>
      </c>
      <c r="D3013">
        <f>YEAR(AMAZON_FASHION_5__2[[#This Row],[reviewDate]])</f>
        <v>2017</v>
      </c>
      <c r="E3013" s="1" t="str">
        <f>TEXT(AMAZON_FASHION_5__2[[#This Row],[reviewDate]], "mmmm")</f>
        <v>January</v>
      </c>
      <c r="F3013" t="s">
        <v>1108</v>
      </c>
      <c r="G3013" t="s">
        <v>1607</v>
      </c>
      <c r="H3013" t="s">
        <v>1568</v>
      </c>
      <c r="I3013" t="s">
        <v>99</v>
      </c>
      <c r="J3013" t="s">
        <v>1109</v>
      </c>
      <c r="K3013" t="s">
        <v>1110</v>
      </c>
      <c r="L3013" t="s">
        <v>1111</v>
      </c>
      <c r="M3013">
        <v>1483488000</v>
      </c>
      <c r="N3013" t="s">
        <v>1628</v>
      </c>
      <c r="O3013" t="s">
        <v>1628</v>
      </c>
      <c r="P3013" t="s">
        <v>1628</v>
      </c>
      <c r="Q3013">
        <f>LEN(AMAZON_FASHION_5__2[[#This Row],[reviewText]])</f>
        <v>69</v>
      </c>
      <c r="R3013" t="str">
        <f>IF(AMAZON_FASHION_5__2[[#This Row],[overall]]&gt;=4,"Positive",IF(AMAZON_FASHION_5__2[[#This Row],[overall]]&lt;=2,"Negative","Neutral"))</f>
        <v>Positive</v>
      </c>
      <c r="S30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14" spans="1:19" x14ac:dyDescent="0.25">
      <c r="A3014">
        <v>5</v>
      </c>
      <c r="B3014" t="b">
        <v>1</v>
      </c>
      <c r="C3014" s="1">
        <v>42736</v>
      </c>
      <c r="D3014">
        <f>YEAR(AMAZON_FASHION_5__2[[#This Row],[reviewDate]])</f>
        <v>2017</v>
      </c>
      <c r="E3014" s="1" t="str">
        <f>TEXT(AMAZON_FASHION_5__2[[#This Row],[reviewDate]], "mmmm")</f>
        <v>January</v>
      </c>
      <c r="F3014" t="s">
        <v>1112</v>
      </c>
      <c r="G3014" t="s">
        <v>1607</v>
      </c>
      <c r="H3014" t="s">
        <v>1574</v>
      </c>
      <c r="I3014" t="s">
        <v>1084</v>
      </c>
      <c r="J3014" t="s">
        <v>1113</v>
      </c>
      <c r="K3014" t="s">
        <v>1114</v>
      </c>
      <c r="L3014" t="s">
        <v>17</v>
      </c>
      <c r="M3014">
        <v>1483228800</v>
      </c>
      <c r="N3014" t="s">
        <v>1628</v>
      </c>
      <c r="O3014" t="s">
        <v>1628</v>
      </c>
      <c r="P3014" t="s">
        <v>1628</v>
      </c>
      <c r="Q3014">
        <f>LEN(AMAZON_FASHION_5__2[[#This Row],[reviewText]])</f>
        <v>32</v>
      </c>
      <c r="R3014" t="str">
        <f>IF(AMAZON_FASHION_5__2[[#This Row],[overall]]&gt;=4,"Positive",IF(AMAZON_FASHION_5__2[[#This Row],[overall]]&lt;=2,"Negative","Neutral"))</f>
        <v>Positive</v>
      </c>
      <c r="S30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15" spans="1:19" x14ac:dyDescent="0.25">
      <c r="A3015">
        <v>5</v>
      </c>
      <c r="B3015" t="b">
        <v>1</v>
      </c>
      <c r="C3015" s="1">
        <v>42736</v>
      </c>
      <c r="D3015">
        <f>YEAR(AMAZON_FASHION_5__2[[#This Row],[reviewDate]])</f>
        <v>2017</v>
      </c>
      <c r="E3015" s="1" t="str">
        <f>TEXT(AMAZON_FASHION_5__2[[#This Row],[reviewDate]], "mmmm")</f>
        <v>January</v>
      </c>
      <c r="F3015" t="s">
        <v>1115</v>
      </c>
      <c r="G3015" t="s">
        <v>1607</v>
      </c>
      <c r="H3015" t="s">
        <v>1598</v>
      </c>
      <c r="I3015" t="s">
        <v>198</v>
      </c>
      <c r="J3015" t="s">
        <v>1116</v>
      </c>
      <c r="K3015" t="s">
        <v>1117</v>
      </c>
      <c r="L3015" t="s">
        <v>17</v>
      </c>
      <c r="M3015">
        <v>1483228800</v>
      </c>
      <c r="N3015" t="s">
        <v>1628</v>
      </c>
      <c r="O3015" t="s">
        <v>1628</v>
      </c>
      <c r="P3015" t="s">
        <v>1628</v>
      </c>
      <c r="Q3015">
        <f>LEN(AMAZON_FASHION_5__2[[#This Row],[reviewText]])</f>
        <v>36</v>
      </c>
      <c r="R3015" t="str">
        <f>IF(AMAZON_FASHION_5__2[[#This Row],[overall]]&gt;=4,"Positive",IF(AMAZON_FASHION_5__2[[#This Row],[overall]]&lt;=2,"Negative","Neutral"))</f>
        <v>Positive</v>
      </c>
      <c r="S30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16" spans="1:19" x14ac:dyDescent="0.25">
      <c r="A3016">
        <v>5</v>
      </c>
      <c r="B3016" t="b">
        <v>1</v>
      </c>
      <c r="C3016" s="1">
        <v>42735</v>
      </c>
      <c r="D3016">
        <f>YEAR(AMAZON_FASHION_5__2[[#This Row],[reviewDate]])</f>
        <v>2016</v>
      </c>
      <c r="E3016" s="1" t="str">
        <f>TEXT(AMAZON_FASHION_5__2[[#This Row],[reviewDate]], "mmmm")</f>
        <v>December</v>
      </c>
      <c r="F3016" t="s">
        <v>1118</v>
      </c>
      <c r="G3016" t="s">
        <v>1607</v>
      </c>
      <c r="H3016" t="s">
        <v>1578</v>
      </c>
      <c r="I3016" t="s">
        <v>198</v>
      </c>
      <c r="J3016" t="s">
        <v>1119</v>
      </c>
      <c r="K3016" t="s">
        <v>1120</v>
      </c>
      <c r="L3016" t="s">
        <v>1121</v>
      </c>
      <c r="M3016">
        <v>1483142400</v>
      </c>
      <c r="N3016" t="s">
        <v>1628</v>
      </c>
      <c r="O3016" t="s">
        <v>1628</v>
      </c>
      <c r="P3016" t="s">
        <v>1628</v>
      </c>
      <c r="Q3016">
        <f>LEN(AMAZON_FASHION_5__2[[#This Row],[reviewText]])</f>
        <v>169</v>
      </c>
      <c r="R3016" t="str">
        <f>IF(AMAZON_FASHION_5__2[[#This Row],[overall]]&gt;=4,"Positive",IF(AMAZON_FASHION_5__2[[#This Row],[overall]]&lt;=2,"Negative","Neutral"))</f>
        <v>Positive</v>
      </c>
      <c r="S30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17" spans="1:19" x14ac:dyDescent="0.25">
      <c r="A3017">
        <v>5</v>
      </c>
      <c r="B3017" t="b">
        <v>1</v>
      </c>
      <c r="C3017" s="1">
        <v>42733</v>
      </c>
      <c r="D3017">
        <f>YEAR(AMAZON_FASHION_5__2[[#This Row],[reviewDate]])</f>
        <v>2016</v>
      </c>
      <c r="E3017" s="1" t="str">
        <f>TEXT(AMAZON_FASHION_5__2[[#This Row],[reviewDate]], "mmmm")</f>
        <v>December</v>
      </c>
      <c r="F3017" t="s">
        <v>1122</v>
      </c>
      <c r="G3017" t="s">
        <v>1607</v>
      </c>
      <c r="H3017" t="s">
        <v>1578</v>
      </c>
      <c r="I3017" t="s">
        <v>198</v>
      </c>
      <c r="J3017" t="s">
        <v>1123</v>
      </c>
      <c r="K3017" t="s">
        <v>1124</v>
      </c>
      <c r="L3017" t="s">
        <v>17</v>
      </c>
      <c r="M3017">
        <v>1482969600</v>
      </c>
      <c r="N3017" t="s">
        <v>1628</v>
      </c>
      <c r="O3017" t="s">
        <v>1628</v>
      </c>
      <c r="P3017" t="s">
        <v>1628</v>
      </c>
      <c r="Q3017">
        <f>LEN(AMAZON_FASHION_5__2[[#This Row],[reviewText]])</f>
        <v>37</v>
      </c>
      <c r="R3017" t="str">
        <f>IF(AMAZON_FASHION_5__2[[#This Row],[overall]]&gt;=4,"Positive",IF(AMAZON_FASHION_5__2[[#This Row],[overall]]&lt;=2,"Negative","Neutral"))</f>
        <v>Positive</v>
      </c>
      <c r="S30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18" spans="1:19" x14ac:dyDescent="0.25">
      <c r="A3018">
        <v>5</v>
      </c>
      <c r="B3018" t="b">
        <v>1</v>
      </c>
      <c r="C3018" s="1">
        <v>42733</v>
      </c>
      <c r="D3018">
        <f>YEAR(AMAZON_FASHION_5__2[[#This Row],[reviewDate]])</f>
        <v>2016</v>
      </c>
      <c r="E3018" s="1" t="str">
        <f>TEXT(AMAZON_FASHION_5__2[[#This Row],[reviewDate]], "mmmm")</f>
        <v>December</v>
      </c>
      <c r="F3018" t="s">
        <v>1125</v>
      </c>
      <c r="G3018" t="s">
        <v>1607</v>
      </c>
      <c r="H3018" t="s">
        <v>1567</v>
      </c>
      <c r="I3018" t="s">
        <v>1084</v>
      </c>
      <c r="J3018" t="s">
        <v>63</v>
      </c>
      <c r="K3018" t="s">
        <v>1126</v>
      </c>
      <c r="L3018" t="s">
        <v>17</v>
      </c>
      <c r="M3018">
        <v>1482969600</v>
      </c>
      <c r="N3018" t="s">
        <v>1628</v>
      </c>
      <c r="O3018" t="s">
        <v>1628</v>
      </c>
      <c r="P3018" t="s">
        <v>1628</v>
      </c>
      <c r="Q3018">
        <f>LEN(AMAZON_FASHION_5__2[[#This Row],[reviewText]])</f>
        <v>45</v>
      </c>
      <c r="R3018" t="str">
        <f>IF(AMAZON_FASHION_5__2[[#This Row],[overall]]&gt;=4,"Positive",IF(AMAZON_FASHION_5__2[[#This Row],[overall]]&lt;=2,"Negative","Neutral"))</f>
        <v>Positive</v>
      </c>
      <c r="S30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19" spans="1:19" x14ac:dyDescent="0.25">
      <c r="A3019">
        <v>5</v>
      </c>
      <c r="B3019" t="b">
        <v>1</v>
      </c>
      <c r="C3019" s="1">
        <v>42732</v>
      </c>
      <c r="D3019">
        <f>YEAR(AMAZON_FASHION_5__2[[#This Row],[reviewDate]])</f>
        <v>2016</v>
      </c>
      <c r="E3019" s="1" t="str">
        <f>TEXT(AMAZON_FASHION_5__2[[#This Row],[reviewDate]], "mmmm")</f>
        <v>December</v>
      </c>
      <c r="F3019" t="s">
        <v>1127</v>
      </c>
      <c r="G3019" t="s">
        <v>1607</v>
      </c>
      <c r="H3019" t="s">
        <v>1578</v>
      </c>
      <c r="I3019" t="s">
        <v>198</v>
      </c>
      <c r="J3019" t="s">
        <v>63</v>
      </c>
      <c r="K3019" t="s">
        <v>483</v>
      </c>
      <c r="L3019" t="s">
        <v>1128</v>
      </c>
      <c r="M3019">
        <v>1482883200</v>
      </c>
      <c r="N3019" t="s">
        <v>1628</v>
      </c>
      <c r="O3019" t="s">
        <v>1628</v>
      </c>
      <c r="P3019" t="s">
        <v>1628</v>
      </c>
      <c r="Q3019">
        <f>LEN(AMAZON_FASHION_5__2[[#This Row],[reviewText]])</f>
        <v>8</v>
      </c>
      <c r="R3019" t="str">
        <f>IF(AMAZON_FASHION_5__2[[#This Row],[overall]]&gt;=4,"Positive",IF(AMAZON_FASHION_5__2[[#This Row],[overall]]&lt;=2,"Negative","Neutral"))</f>
        <v>Positive</v>
      </c>
      <c r="S30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20" spans="1:19" x14ac:dyDescent="0.25">
      <c r="A3020">
        <v>5</v>
      </c>
      <c r="B3020" t="b">
        <v>1</v>
      </c>
      <c r="C3020" s="1">
        <v>42732</v>
      </c>
      <c r="D3020">
        <f>YEAR(AMAZON_FASHION_5__2[[#This Row],[reviewDate]])</f>
        <v>2016</v>
      </c>
      <c r="E3020" s="1" t="str">
        <f>TEXT(AMAZON_FASHION_5__2[[#This Row],[reviewDate]], "mmmm")</f>
        <v>December</v>
      </c>
      <c r="F3020" t="s">
        <v>1129</v>
      </c>
      <c r="G3020" t="s">
        <v>1607</v>
      </c>
      <c r="H3020" t="s">
        <v>1571</v>
      </c>
      <c r="I3020" t="s">
        <v>211</v>
      </c>
      <c r="J3020" t="s">
        <v>1130</v>
      </c>
      <c r="K3020" t="s">
        <v>1131</v>
      </c>
      <c r="L3020" t="s">
        <v>1132</v>
      </c>
      <c r="M3020">
        <v>1482883200</v>
      </c>
      <c r="N3020" t="s">
        <v>1628</v>
      </c>
      <c r="O3020" t="s">
        <v>1628</v>
      </c>
      <c r="P3020" t="s">
        <v>1628</v>
      </c>
      <c r="Q3020">
        <f>LEN(AMAZON_FASHION_5__2[[#This Row],[reviewText]])</f>
        <v>134</v>
      </c>
      <c r="R3020" t="str">
        <f>IF(AMAZON_FASHION_5__2[[#This Row],[overall]]&gt;=4,"Positive",IF(AMAZON_FASHION_5__2[[#This Row],[overall]]&lt;=2,"Negative","Neutral"))</f>
        <v>Positive</v>
      </c>
      <c r="S30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21" spans="1:19" x14ac:dyDescent="0.25">
      <c r="A3021">
        <v>5</v>
      </c>
      <c r="B3021" t="b">
        <v>1</v>
      </c>
      <c r="C3021" s="1">
        <v>42731</v>
      </c>
      <c r="D3021">
        <f>YEAR(AMAZON_FASHION_5__2[[#This Row],[reviewDate]])</f>
        <v>2016</v>
      </c>
      <c r="E3021" s="1" t="str">
        <f>TEXT(AMAZON_FASHION_5__2[[#This Row],[reviewDate]], "mmmm")</f>
        <v>December</v>
      </c>
      <c r="F3021" t="s">
        <v>1133</v>
      </c>
      <c r="G3021" t="s">
        <v>1607</v>
      </c>
      <c r="H3021" t="s">
        <v>1598</v>
      </c>
      <c r="I3021" t="s">
        <v>198</v>
      </c>
      <c r="J3021" t="s">
        <v>1134</v>
      </c>
      <c r="K3021" t="s">
        <v>1135</v>
      </c>
      <c r="L3021" t="s">
        <v>17</v>
      </c>
      <c r="M3021">
        <v>1482796800</v>
      </c>
      <c r="N3021" t="s">
        <v>1628</v>
      </c>
      <c r="O3021" t="s">
        <v>1628</v>
      </c>
      <c r="P3021" t="s">
        <v>1628</v>
      </c>
      <c r="Q3021">
        <f>LEN(AMAZON_FASHION_5__2[[#This Row],[reviewText]])</f>
        <v>32</v>
      </c>
      <c r="R3021" t="str">
        <f>IF(AMAZON_FASHION_5__2[[#This Row],[overall]]&gt;=4,"Positive",IF(AMAZON_FASHION_5__2[[#This Row],[overall]]&lt;=2,"Negative","Neutral"))</f>
        <v>Positive</v>
      </c>
      <c r="S30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22" spans="1:19" x14ac:dyDescent="0.25">
      <c r="A3022">
        <v>2</v>
      </c>
      <c r="B3022" t="b">
        <v>1</v>
      </c>
      <c r="C3022" s="1">
        <v>42729</v>
      </c>
      <c r="D3022">
        <f>YEAR(AMAZON_FASHION_5__2[[#This Row],[reviewDate]])</f>
        <v>2016</v>
      </c>
      <c r="E3022" s="1" t="str">
        <f>TEXT(AMAZON_FASHION_5__2[[#This Row],[reviewDate]], "mmmm")</f>
        <v>December</v>
      </c>
      <c r="F3022" t="s">
        <v>1136</v>
      </c>
      <c r="G3022" t="s">
        <v>1607</v>
      </c>
      <c r="H3022" t="s">
        <v>1596</v>
      </c>
      <c r="I3022" t="s">
        <v>396</v>
      </c>
      <c r="J3022" t="s">
        <v>1137</v>
      </c>
      <c r="K3022" t="s">
        <v>1138</v>
      </c>
      <c r="L3022" t="s">
        <v>1139</v>
      </c>
      <c r="M3022">
        <v>1482624000</v>
      </c>
      <c r="N3022" t="s">
        <v>1628</v>
      </c>
      <c r="O3022" t="s">
        <v>1628</v>
      </c>
      <c r="P3022">
        <v>2</v>
      </c>
      <c r="Q3022">
        <f>LEN(AMAZON_FASHION_5__2[[#This Row],[reviewText]])</f>
        <v>108</v>
      </c>
      <c r="R3022" t="str">
        <f>IF(AMAZON_FASHION_5__2[[#This Row],[overall]]&gt;=4,"Positive",IF(AMAZON_FASHION_5__2[[#This Row],[overall]]&lt;=2,"Negative","Neutral"))</f>
        <v>Negative</v>
      </c>
      <c r="S30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23" spans="1:19" x14ac:dyDescent="0.25">
      <c r="A3023">
        <v>5</v>
      </c>
      <c r="B3023" t="b">
        <v>1</v>
      </c>
      <c r="C3023" s="1">
        <v>42727</v>
      </c>
      <c r="D3023">
        <f>YEAR(AMAZON_FASHION_5__2[[#This Row],[reviewDate]])</f>
        <v>2016</v>
      </c>
      <c r="E3023" s="1" t="str">
        <f>TEXT(AMAZON_FASHION_5__2[[#This Row],[reviewDate]], "mmmm")</f>
        <v>December</v>
      </c>
      <c r="F3023" t="s">
        <v>1140</v>
      </c>
      <c r="G3023" t="s">
        <v>1607</v>
      </c>
      <c r="H3023" t="s">
        <v>1596</v>
      </c>
      <c r="I3023" t="s">
        <v>574</v>
      </c>
      <c r="J3023" t="s">
        <v>1141</v>
      </c>
      <c r="K3023" t="s">
        <v>1142</v>
      </c>
      <c r="L3023" t="s">
        <v>1143</v>
      </c>
      <c r="M3023">
        <v>1482451200</v>
      </c>
      <c r="N3023" t="s">
        <v>1628</v>
      </c>
      <c r="O3023" t="s">
        <v>1628</v>
      </c>
      <c r="P3023" t="s">
        <v>1628</v>
      </c>
      <c r="Q3023">
        <f>LEN(AMAZON_FASHION_5__2[[#This Row],[reviewText]])</f>
        <v>198</v>
      </c>
      <c r="R3023" t="str">
        <f>IF(AMAZON_FASHION_5__2[[#This Row],[overall]]&gt;=4,"Positive",IF(AMAZON_FASHION_5__2[[#This Row],[overall]]&lt;=2,"Negative","Neutral"))</f>
        <v>Positive</v>
      </c>
      <c r="S30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24" spans="1:19" x14ac:dyDescent="0.25">
      <c r="A3024">
        <v>5</v>
      </c>
      <c r="B3024" t="b">
        <v>1</v>
      </c>
      <c r="C3024" s="1">
        <v>42726</v>
      </c>
      <c r="D3024">
        <f>YEAR(AMAZON_FASHION_5__2[[#This Row],[reviewDate]])</f>
        <v>2016</v>
      </c>
      <c r="E3024" s="1" t="str">
        <f>TEXT(AMAZON_FASHION_5__2[[#This Row],[reviewDate]], "mmmm")</f>
        <v>December</v>
      </c>
      <c r="F3024" t="s">
        <v>1144</v>
      </c>
      <c r="G3024" t="s">
        <v>1607</v>
      </c>
      <c r="H3024" t="s">
        <v>1597</v>
      </c>
      <c r="I3024" t="s">
        <v>411</v>
      </c>
      <c r="J3024" t="s">
        <v>63</v>
      </c>
      <c r="K3024" t="s">
        <v>1146</v>
      </c>
      <c r="L3024" t="s">
        <v>17</v>
      </c>
      <c r="M3024">
        <v>1482364800</v>
      </c>
      <c r="N3024" t="s">
        <v>1628</v>
      </c>
      <c r="O3024" t="s">
        <v>1628</v>
      </c>
      <c r="P3024" t="s">
        <v>1628</v>
      </c>
      <c r="Q3024">
        <f>LEN(AMAZON_FASHION_5__2[[#This Row],[reviewText]])</f>
        <v>105</v>
      </c>
      <c r="R3024" t="str">
        <f>IF(AMAZON_FASHION_5__2[[#This Row],[overall]]&gt;=4,"Positive",IF(AMAZON_FASHION_5__2[[#This Row],[overall]]&lt;=2,"Negative","Neutral"))</f>
        <v>Positive</v>
      </c>
      <c r="S30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25" spans="1:19" x14ac:dyDescent="0.25">
      <c r="A3025">
        <v>2</v>
      </c>
      <c r="B3025" t="b">
        <v>1</v>
      </c>
      <c r="C3025" s="1">
        <v>42720</v>
      </c>
      <c r="D3025">
        <f>YEAR(AMAZON_FASHION_5__2[[#This Row],[reviewDate]])</f>
        <v>2016</v>
      </c>
      <c r="E3025" s="1" t="str">
        <f>TEXT(AMAZON_FASHION_5__2[[#This Row],[reviewDate]], "mmmm")</f>
        <v>December</v>
      </c>
      <c r="F3025" t="s">
        <v>1147</v>
      </c>
      <c r="G3025" t="s">
        <v>1607</v>
      </c>
      <c r="H3025" t="s">
        <v>1578</v>
      </c>
      <c r="I3025" t="s">
        <v>524</v>
      </c>
      <c r="J3025" t="s">
        <v>1148</v>
      </c>
      <c r="K3025" t="s">
        <v>1149</v>
      </c>
      <c r="L3025" t="s">
        <v>1150</v>
      </c>
      <c r="M3025">
        <v>1481846400</v>
      </c>
      <c r="N3025" t="s">
        <v>1628</v>
      </c>
      <c r="O3025" t="s">
        <v>1628</v>
      </c>
      <c r="P3025" t="s">
        <v>1628</v>
      </c>
      <c r="Q3025">
        <f>LEN(AMAZON_FASHION_5__2[[#This Row],[reviewText]])</f>
        <v>63</v>
      </c>
      <c r="R3025" t="str">
        <f>IF(AMAZON_FASHION_5__2[[#This Row],[overall]]&gt;=4,"Positive",IF(AMAZON_FASHION_5__2[[#This Row],[overall]]&lt;=2,"Negative","Neutral"))</f>
        <v>Negative</v>
      </c>
      <c r="S30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26" spans="1:19" x14ac:dyDescent="0.25">
      <c r="A3026">
        <v>1</v>
      </c>
      <c r="B3026" t="b">
        <v>1</v>
      </c>
      <c r="C3026" s="1">
        <v>42719</v>
      </c>
      <c r="D3026">
        <f>YEAR(AMAZON_FASHION_5__2[[#This Row],[reviewDate]])</f>
        <v>2016</v>
      </c>
      <c r="E3026" s="1" t="str">
        <f>TEXT(AMAZON_FASHION_5__2[[#This Row],[reviewDate]], "mmmm")</f>
        <v>December</v>
      </c>
      <c r="F3026" t="s">
        <v>1151</v>
      </c>
      <c r="G3026" t="s">
        <v>1607</v>
      </c>
      <c r="H3026" t="s">
        <v>1574</v>
      </c>
      <c r="I3026" t="s">
        <v>1084</v>
      </c>
      <c r="J3026" t="s">
        <v>63</v>
      </c>
      <c r="K3026" t="s">
        <v>1152</v>
      </c>
      <c r="L3026" t="s">
        <v>65</v>
      </c>
      <c r="M3026">
        <v>1481760000</v>
      </c>
      <c r="N3026" t="s">
        <v>1628</v>
      </c>
      <c r="O3026" t="s">
        <v>1628</v>
      </c>
      <c r="P3026" t="s">
        <v>1628</v>
      </c>
      <c r="Q3026">
        <f>LEN(AMAZON_FASHION_5__2[[#This Row],[reviewText]])</f>
        <v>11</v>
      </c>
      <c r="R3026" t="str">
        <f>IF(AMAZON_FASHION_5__2[[#This Row],[overall]]&gt;=4,"Positive",IF(AMAZON_FASHION_5__2[[#This Row],[overall]]&lt;=2,"Negative","Neutral"))</f>
        <v>Negative</v>
      </c>
      <c r="S30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27" spans="1:19" x14ac:dyDescent="0.25">
      <c r="A3027">
        <v>5</v>
      </c>
      <c r="B3027" t="b">
        <v>1</v>
      </c>
      <c r="C3027" s="1">
        <v>42716</v>
      </c>
      <c r="D3027">
        <f>YEAR(AMAZON_FASHION_5__2[[#This Row],[reviewDate]])</f>
        <v>2016</v>
      </c>
      <c r="E3027" s="1" t="str">
        <f>TEXT(AMAZON_FASHION_5__2[[#This Row],[reviewDate]], "mmmm")</f>
        <v>December</v>
      </c>
      <c r="F3027" t="s">
        <v>1153</v>
      </c>
      <c r="G3027" t="s">
        <v>1607</v>
      </c>
      <c r="H3027" t="s">
        <v>1477</v>
      </c>
      <c r="I3027" t="s">
        <v>336</v>
      </c>
      <c r="J3027" t="s">
        <v>1154</v>
      </c>
      <c r="K3027" t="s">
        <v>1155</v>
      </c>
      <c r="L3027" t="s">
        <v>276</v>
      </c>
      <c r="M3027">
        <v>1481500800</v>
      </c>
      <c r="N3027" t="s">
        <v>1628</v>
      </c>
      <c r="O3027" t="s">
        <v>1628</v>
      </c>
      <c r="P3027" t="s">
        <v>1628</v>
      </c>
      <c r="Q3027">
        <f>LEN(AMAZON_FASHION_5__2[[#This Row],[reviewText]])</f>
        <v>15</v>
      </c>
      <c r="R3027" t="str">
        <f>IF(AMAZON_FASHION_5__2[[#This Row],[overall]]&gt;=4,"Positive",IF(AMAZON_FASHION_5__2[[#This Row],[overall]]&lt;=2,"Negative","Neutral"))</f>
        <v>Positive</v>
      </c>
      <c r="S30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28" spans="1:19" x14ac:dyDescent="0.25">
      <c r="A3028">
        <v>5</v>
      </c>
      <c r="B3028" t="b">
        <v>1</v>
      </c>
      <c r="C3028" s="1">
        <v>42716</v>
      </c>
      <c r="D3028">
        <f>YEAR(AMAZON_FASHION_5__2[[#This Row],[reviewDate]])</f>
        <v>2016</v>
      </c>
      <c r="E3028" s="1" t="str">
        <f>TEXT(AMAZON_FASHION_5__2[[#This Row],[reviewDate]], "mmmm")</f>
        <v>December</v>
      </c>
      <c r="F3028" t="s">
        <v>1156</v>
      </c>
      <c r="G3028" t="s">
        <v>1607</v>
      </c>
      <c r="H3028" t="s">
        <v>235</v>
      </c>
      <c r="I3028" t="s">
        <v>198</v>
      </c>
      <c r="J3028" t="s">
        <v>1157</v>
      </c>
      <c r="K3028" t="s">
        <v>1158</v>
      </c>
      <c r="L3028" t="s">
        <v>30</v>
      </c>
      <c r="M3028">
        <v>1481500800</v>
      </c>
      <c r="N3028" t="s">
        <v>1628</v>
      </c>
      <c r="O3028" t="s">
        <v>1628</v>
      </c>
      <c r="P3028">
        <v>4</v>
      </c>
      <c r="Q3028">
        <f>LEN(AMAZON_FASHION_5__2[[#This Row],[reviewText]])</f>
        <v>362</v>
      </c>
      <c r="R3028" t="str">
        <f>IF(AMAZON_FASHION_5__2[[#This Row],[overall]]&gt;=4,"Positive",IF(AMAZON_FASHION_5__2[[#This Row],[overall]]&lt;=2,"Negative","Neutral"))</f>
        <v>Positive</v>
      </c>
      <c r="S30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29" spans="1:19" x14ac:dyDescent="0.25">
      <c r="A3029">
        <v>4</v>
      </c>
      <c r="B3029" t="b">
        <v>1</v>
      </c>
      <c r="C3029" s="1">
        <v>42712</v>
      </c>
      <c r="D3029">
        <f>YEAR(AMAZON_FASHION_5__2[[#This Row],[reviewDate]])</f>
        <v>2016</v>
      </c>
      <c r="E3029" s="1" t="str">
        <f>TEXT(AMAZON_FASHION_5__2[[#This Row],[reviewDate]], "mmmm")</f>
        <v>December</v>
      </c>
      <c r="F3029" t="s">
        <v>1159</v>
      </c>
      <c r="G3029" t="s">
        <v>1607</v>
      </c>
      <c r="H3029" t="s">
        <v>1574</v>
      </c>
      <c r="I3029" t="s">
        <v>1084</v>
      </c>
      <c r="J3029" t="s">
        <v>1160</v>
      </c>
      <c r="K3029" t="s">
        <v>1161</v>
      </c>
      <c r="L3029" t="s">
        <v>103</v>
      </c>
      <c r="M3029">
        <v>1481155200</v>
      </c>
      <c r="N3029" t="s">
        <v>1628</v>
      </c>
      <c r="O3029" t="s">
        <v>1628</v>
      </c>
      <c r="P3029" t="s">
        <v>1628</v>
      </c>
      <c r="Q3029">
        <f>LEN(AMAZON_FASHION_5__2[[#This Row],[reviewText]])</f>
        <v>36</v>
      </c>
      <c r="R3029" t="str">
        <f>IF(AMAZON_FASHION_5__2[[#This Row],[overall]]&gt;=4,"Positive",IF(AMAZON_FASHION_5__2[[#This Row],[overall]]&lt;=2,"Negative","Neutral"))</f>
        <v>Positive</v>
      </c>
      <c r="S30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30" spans="1:19" x14ac:dyDescent="0.25">
      <c r="A3030">
        <v>4</v>
      </c>
      <c r="B3030" t="b">
        <v>1</v>
      </c>
      <c r="C3030" s="1">
        <v>42708</v>
      </c>
      <c r="D3030">
        <f>YEAR(AMAZON_FASHION_5__2[[#This Row],[reviewDate]])</f>
        <v>2016</v>
      </c>
      <c r="E3030" s="1" t="str">
        <f>TEXT(AMAZON_FASHION_5__2[[#This Row],[reviewDate]], "mmmm")</f>
        <v>December</v>
      </c>
      <c r="F3030" t="s">
        <v>1162</v>
      </c>
      <c r="G3030" t="s">
        <v>1607</v>
      </c>
      <c r="H3030" t="s">
        <v>1599</v>
      </c>
      <c r="I3030" t="s">
        <v>827</v>
      </c>
      <c r="J3030" t="s">
        <v>1163</v>
      </c>
      <c r="K3030" t="s">
        <v>1164</v>
      </c>
      <c r="L3030" t="s">
        <v>103</v>
      </c>
      <c r="M3030">
        <v>1480809600</v>
      </c>
      <c r="N3030" t="s">
        <v>1628</v>
      </c>
      <c r="O3030" t="s">
        <v>1628</v>
      </c>
      <c r="P3030" t="s">
        <v>1628</v>
      </c>
      <c r="Q3030">
        <f>LEN(AMAZON_FASHION_5__2[[#This Row],[reviewText]])</f>
        <v>36</v>
      </c>
      <c r="R3030" t="str">
        <f>IF(AMAZON_FASHION_5__2[[#This Row],[overall]]&gt;=4,"Positive",IF(AMAZON_FASHION_5__2[[#This Row],[overall]]&lt;=2,"Negative","Neutral"))</f>
        <v>Positive</v>
      </c>
      <c r="S30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31" spans="1:19" x14ac:dyDescent="0.25">
      <c r="A3031">
        <v>4</v>
      </c>
      <c r="B3031" t="b">
        <v>1</v>
      </c>
      <c r="C3031" s="1">
        <v>42706</v>
      </c>
      <c r="D3031">
        <f>YEAR(AMAZON_FASHION_5__2[[#This Row],[reviewDate]])</f>
        <v>2016</v>
      </c>
      <c r="E3031" s="1" t="str">
        <f>TEXT(AMAZON_FASHION_5__2[[#This Row],[reviewDate]], "mmmm")</f>
        <v>December</v>
      </c>
      <c r="F3031" t="s">
        <v>1165</v>
      </c>
      <c r="G3031" t="s">
        <v>1607</v>
      </c>
      <c r="H3031" t="s">
        <v>1603</v>
      </c>
      <c r="I3031" t="s">
        <v>336</v>
      </c>
      <c r="J3031" t="s">
        <v>63</v>
      </c>
      <c r="K3031" t="s">
        <v>1166</v>
      </c>
      <c r="L3031" t="s">
        <v>103</v>
      </c>
      <c r="M3031">
        <v>1480636800</v>
      </c>
      <c r="N3031" t="s">
        <v>1628</v>
      </c>
      <c r="O3031" t="s">
        <v>1628</v>
      </c>
      <c r="P3031">
        <v>2</v>
      </c>
      <c r="Q3031">
        <f>LEN(AMAZON_FASHION_5__2[[#This Row],[reviewText]])</f>
        <v>29</v>
      </c>
      <c r="R3031" t="str">
        <f>IF(AMAZON_FASHION_5__2[[#This Row],[overall]]&gt;=4,"Positive",IF(AMAZON_FASHION_5__2[[#This Row],[overall]]&lt;=2,"Negative","Neutral"))</f>
        <v>Positive</v>
      </c>
      <c r="S30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32" spans="1:19" x14ac:dyDescent="0.25">
      <c r="A3032">
        <v>5</v>
      </c>
      <c r="B3032" t="b">
        <v>1</v>
      </c>
      <c r="C3032" s="1">
        <v>42706</v>
      </c>
      <c r="D3032">
        <f>YEAR(AMAZON_FASHION_5__2[[#This Row],[reviewDate]])</f>
        <v>2016</v>
      </c>
      <c r="E3032" s="1" t="str">
        <f>TEXT(AMAZON_FASHION_5__2[[#This Row],[reviewDate]], "mmmm")</f>
        <v>December</v>
      </c>
      <c r="F3032" t="s">
        <v>1167</v>
      </c>
      <c r="G3032" t="s">
        <v>1607</v>
      </c>
      <c r="H3032" t="s">
        <v>210</v>
      </c>
      <c r="I3032" t="s">
        <v>198</v>
      </c>
      <c r="J3032" t="s">
        <v>1168</v>
      </c>
      <c r="K3032" t="s">
        <v>1169</v>
      </c>
      <c r="L3032" t="s">
        <v>17</v>
      </c>
      <c r="M3032">
        <v>1480636800</v>
      </c>
      <c r="N3032" t="s">
        <v>1628</v>
      </c>
      <c r="O3032" t="s">
        <v>1628</v>
      </c>
      <c r="P3032" t="s">
        <v>1628</v>
      </c>
      <c r="Q3032">
        <f>LEN(AMAZON_FASHION_5__2[[#This Row],[reviewText]])</f>
        <v>43</v>
      </c>
      <c r="R3032" t="str">
        <f>IF(AMAZON_FASHION_5__2[[#This Row],[overall]]&gt;=4,"Positive",IF(AMAZON_FASHION_5__2[[#This Row],[overall]]&lt;=2,"Negative","Neutral"))</f>
        <v>Positive</v>
      </c>
      <c r="S30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33" spans="1:19" x14ac:dyDescent="0.25">
      <c r="A3033">
        <v>5</v>
      </c>
      <c r="B3033" t="b">
        <v>1</v>
      </c>
      <c r="C3033" s="1">
        <v>42705</v>
      </c>
      <c r="D3033">
        <f>YEAR(AMAZON_FASHION_5__2[[#This Row],[reviewDate]])</f>
        <v>2016</v>
      </c>
      <c r="E3033" s="1" t="str">
        <f>TEXT(AMAZON_FASHION_5__2[[#This Row],[reviewDate]], "mmmm")</f>
        <v>December</v>
      </c>
      <c r="F3033" t="s">
        <v>1170</v>
      </c>
      <c r="G3033" t="s">
        <v>1607</v>
      </c>
      <c r="H3033" t="s">
        <v>1571</v>
      </c>
      <c r="I3033" t="s">
        <v>396</v>
      </c>
      <c r="J3033" t="s">
        <v>451</v>
      </c>
      <c r="K3033" t="s">
        <v>1171</v>
      </c>
      <c r="L3033" t="s">
        <v>17</v>
      </c>
      <c r="M3033">
        <v>1480550400</v>
      </c>
      <c r="N3033" t="s">
        <v>1628</v>
      </c>
      <c r="O3033" t="s">
        <v>1628</v>
      </c>
      <c r="P3033" t="s">
        <v>1628</v>
      </c>
      <c r="Q3033">
        <f>LEN(AMAZON_FASHION_5__2[[#This Row],[reviewText]])</f>
        <v>93</v>
      </c>
      <c r="R3033" t="str">
        <f>IF(AMAZON_FASHION_5__2[[#This Row],[overall]]&gt;=4,"Positive",IF(AMAZON_FASHION_5__2[[#This Row],[overall]]&lt;=2,"Negative","Neutral"))</f>
        <v>Positive</v>
      </c>
      <c r="S30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34" spans="1:19" x14ac:dyDescent="0.25">
      <c r="A3034">
        <v>5</v>
      </c>
      <c r="B3034" t="b">
        <v>1</v>
      </c>
      <c r="C3034" s="1">
        <v>42702</v>
      </c>
      <c r="D3034">
        <f>YEAR(AMAZON_FASHION_5__2[[#This Row],[reviewDate]])</f>
        <v>2016</v>
      </c>
      <c r="E3034" s="1" t="str">
        <f>TEXT(AMAZON_FASHION_5__2[[#This Row],[reviewDate]], "mmmm")</f>
        <v>November</v>
      </c>
      <c r="F3034" t="s">
        <v>1172</v>
      </c>
      <c r="G3034" t="s">
        <v>1607</v>
      </c>
      <c r="H3034" t="s">
        <v>1571</v>
      </c>
      <c r="I3034" t="s">
        <v>198</v>
      </c>
      <c r="J3034" t="s">
        <v>1076</v>
      </c>
      <c r="K3034" t="s">
        <v>1173</v>
      </c>
      <c r="L3034" t="s">
        <v>17</v>
      </c>
      <c r="M3034">
        <v>1480291200</v>
      </c>
      <c r="N3034" t="s">
        <v>1628</v>
      </c>
      <c r="O3034" t="s">
        <v>1628</v>
      </c>
      <c r="P3034" t="s">
        <v>1628</v>
      </c>
      <c r="Q3034">
        <f>LEN(AMAZON_FASHION_5__2[[#This Row],[reviewText]])</f>
        <v>90</v>
      </c>
      <c r="R3034" t="str">
        <f>IF(AMAZON_FASHION_5__2[[#This Row],[overall]]&gt;=4,"Positive",IF(AMAZON_FASHION_5__2[[#This Row],[overall]]&lt;=2,"Negative","Neutral"))</f>
        <v>Positive</v>
      </c>
      <c r="S30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35" spans="1:19" x14ac:dyDescent="0.25">
      <c r="A3035">
        <v>5</v>
      </c>
      <c r="B3035" t="b">
        <v>1</v>
      </c>
      <c r="C3035" s="1">
        <v>42701</v>
      </c>
      <c r="D3035">
        <f>YEAR(AMAZON_FASHION_5__2[[#This Row],[reviewDate]])</f>
        <v>2016</v>
      </c>
      <c r="E3035" s="1" t="str">
        <f>TEXT(AMAZON_FASHION_5__2[[#This Row],[reviewDate]], "mmmm")</f>
        <v>November</v>
      </c>
      <c r="F3035" t="s">
        <v>1174</v>
      </c>
      <c r="G3035" t="s">
        <v>1607</v>
      </c>
      <c r="H3035" t="s">
        <v>1596</v>
      </c>
      <c r="I3035" t="s">
        <v>849</v>
      </c>
      <c r="J3035" t="s">
        <v>1175</v>
      </c>
      <c r="K3035" t="s">
        <v>1176</v>
      </c>
      <c r="L3035" t="s">
        <v>877</v>
      </c>
      <c r="M3035">
        <v>1480204800</v>
      </c>
      <c r="N3035" t="s">
        <v>1628</v>
      </c>
      <c r="O3035" t="s">
        <v>1628</v>
      </c>
      <c r="P3035" t="s">
        <v>1628</v>
      </c>
      <c r="Q3035">
        <f>LEN(AMAZON_FASHION_5__2[[#This Row],[reviewText]])</f>
        <v>338</v>
      </c>
      <c r="R3035" t="str">
        <f>IF(AMAZON_FASHION_5__2[[#This Row],[overall]]&gt;=4,"Positive",IF(AMAZON_FASHION_5__2[[#This Row],[overall]]&lt;=2,"Negative","Neutral"))</f>
        <v>Positive</v>
      </c>
      <c r="S30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36" spans="1:19" x14ac:dyDescent="0.25">
      <c r="A3036">
        <v>5</v>
      </c>
      <c r="B3036" t="b">
        <v>1</v>
      </c>
      <c r="C3036" s="1">
        <v>42697</v>
      </c>
      <c r="D3036">
        <f>YEAR(AMAZON_FASHION_5__2[[#This Row],[reviewDate]])</f>
        <v>2016</v>
      </c>
      <c r="E3036" s="1" t="str">
        <f>TEXT(AMAZON_FASHION_5__2[[#This Row],[reviewDate]], "mmmm")</f>
        <v>November</v>
      </c>
      <c r="F3036" t="s">
        <v>1177</v>
      </c>
      <c r="G3036" t="s">
        <v>1607</v>
      </c>
      <c r="H3036" t="s">
        <v>1578</v>
      </c>
      <c r="I3036" t="s">
        <v>198</v>
      </c>
      <c r="J3036" t="s">
        <v>1178</v>
      </c>
      <c r="K3036" t="s">
        <v>1179</v>
      </c>
      <c r="L3036" t="s">
        <v>1180</v>
      </c>
      <c r="M3036">
        <v>1479859200</v>
      </c>
      <c r="N3036" t="s">
        <v>1628</v>
      </c>
      <c r="O3036" t="s">
        <v>1628</v>
      </c>
      <c r="P3036" t="s">
        <v>1628</v>
      </c>
      <c r="Q3036">
        <f>LEN(AMAZON_FASHION_5__2[[#This Row],[reviewText]])</f>
        <v>76</v>
      </c>
      <c r="R3036" t="str">
        <f>IF(AMAZON_FASHION_5__2[[#This Row],[overall]]&gt;=4,"Positive",IF(AMAZON_FASHION_5__2[[#This Row],[overall]]&lt;=2,"Negative","Neutral"))</f>
        <v>Positive</v>
      </c>
      <c r="S30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37" spans="1:19" x14ac:dyDescent="0.25">
      <c r="A3037">
        <v>4</v>
      </c>
      <c r="B3037" t="b">
        <v>0</v>
      </c>
      <c r="C3037" s="1">
        <v>42695</v>
      </c>
      <c r="D3037">
        <f>YEAR(AMAZON_FASHION_5__2[[#This Row],[reviewDate]])</f>
        <v>2016</v>
      </c>
      <c r="E3037" s="1" t="str">
        <f>TEXT(AMAZON_FASHION_5__2[[#This Row],[reviewDate]], "mmmm")</f>
        <v>November</v>
      </c>
      <c r="F3037" t="s">
        <v>1181</v>
      </c>
      <c r="G3037" t="s">
        <v>1607</v>
      </c>
      <c r="H3037" t="s">
        <v>320</v>
      </c>
      <c r="I3037" t="s">
        <v>574</v>
      </c>
      <c r="J3037" t="s">
        <v>1182</v>
      </c>
      <c r="K3037" t="s">
        <v>1183</v>
      </c>
      <c r="L3037" t="s">
        <v>1184</v>
      </c>
      <c r="M3037">
        <v>1479686400</v>
      </c>
      <c r="N3037" t="s">
        <v>1628</v>
      </c>
      <c r="O3037" t="s">
        <v>1628</v>
      </c>
      <c r="P3037" t="s">
        <v>1628</v>
      </c>
      <c r="Q3037">
        <f>LEN(AMAZON_FASHION_5__2[[#This Row],[reviewText]])</f>
        <v>767</v>
      </c>
      <c r="R3037" t="str">
        <f>IF(AMAZON_FASHION_5__2[[#This Row],[overall]]&gt;=4,"Positive",IF(AMAZON_FASHION_5__2[[#This Row],[overall]]&lt;=2,"Negative","Neutral"))</f>
        <v>Positive</v>
      </c>
      <c r="S30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38" spans="1:19" x14ac:dyDescent="0.25">
      <c r="A3038">
        <v>4</v>
      </c>
      <c r="B3038" t="b">
        <v>1</v>
      </c>
      <c r="C3038" s="1">
        <v>42690</v>
      </c>
      <c r="D3038">
        <f>YEAR(AMAZON_FASHION_5__2[[#This Row],[reviewDate]])</f>
        <v>2016</v>
      </c>
      <c r="E3038" s="1" t="str">
        <f>TEXT(AMAZON_FASHION_5__2[[#This Row],[reviewDate]], "mmmm")</f>
        <v>November</v>
      </c>
      <c r="F3038" t="s">
        <v>1185</v>
      </c>
      <c r="G3038" t="s">
        <v>1607</v>
      </c>
      <c r="H3038" t="s">
        <v>1571</v>
      </c>
      <c r="I3038" t="s">
        <v>396</v>
      </c>
      <c r="J3038" t="s">
        <v>1186</v>
      </c>
      <c r="K3038" t="s">
        <v>1187</v>
      </c>
      <c r="L3038" t="s">
        <v>103</v>
      </c>
      <c r="M3038">
        <v>1479254400</v>
      </c>
      <c r="N3038" t="s">
        <v>1628</v>
      </c>
      <c r="O3038" t="s">
        <v>1628</v>
      </c>
      <c r="P3038" t="s">
        <v>1628</v>
      </c>
      <c r="Q3038">
        <f>LEN(AMAZON_FASHION_5__2[[#This Row],[reviewText]])</f>
        <v>49</v>
      </c>
      <c r="R3038" t="str">
        <f>IF(AMAZON_FASHION_5__2[[#This Row],[overall]]&gt;=4,"Positive",IF(AMAZON_FASHION_5__2[[#This Row],[overall]]&lt;=2,"Negative","Neutral"))</f>
        <v>Positive</v>
      </c>
      <c r="S30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39" spans="1:19" x14ac:dyDescent="0.25">
      <c r="A3039">
        <v>5</v>
      </c>
      <c r="B3039" t="b">
        <v>1</v>
      </c>
      <c r="C3039" s="1">
        <v>42690</v>
      </c>
      <c r="D3039">
        <f>YEAR(AMAZON_FASHION_5__2[[#This Row],[reviewDate]])</f>
        <v>2016</v>
      </c>
      <c r="E3039" s="1" t="str">
        <f>TEXT(AMAZON_FASHION_5__2[[#This Row],[reviewDate]], "mmmm")</f>
        <v>November</v>
      </c>
      <c r="F3039" t="s">
        <v>1188</v>
      </c>
      <c r="G3039" t="s">
        <v>1607</v>
      </c>
      <c r="H3039" t="s">
        <v>1571</v>
      </c>
      <c r="I3039" t="s">
        <v>198</v>
      </c>
      <c r="J3039" t="s">
        <v>63</v>
      </c>
      <c r="K3039" t="s">
        <v>1189</v>
      </c>
      <c r="L3039" t="s">
        <v>17</v>
      </c>
      <c r="M3039">
        <v>1479254400</v>
      </c>
      <c r="N3039" t="s">
        <v>1628</v>
      </c>
      <c r="O3039" t="s">
        <v>1628</v>
      </c>
      <c r="P3039" t="s">
        <v>1628</v>
      </c>
      <c r="Q3039">
        <f>LEN(AMAZON_FASHION_5__2[[#This Row],[reviewText]])</f>
        <v>9</v>
      </c>
      <c r="R3039" t="str">
        <f>IF(AMAZON_FASHION_5__2[[#This Row],[overall]]&gt;=4,"Positive",IF(AMAZON_FASHION_5__2[[#This Row],[overall]]&lt;=2,"Negative","Neutral"))</f>
        <v>Positive</v>
      </c>
      <c r="S30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40" spans="1:19" x14ac:dyDescent="0.25">
      <c r="A3040">
        <v>3</v>
      </c>
      <c r="B3040" t="b">
        <v>1</v>
      </c>
      <c r="C3040" s="1">
        <v>42688</v>
      </c>
      <c r="D3040">
        <f>YEAR(AMAZON_FASHION_5__2[[#This Row],[reviewDate]])</f>
        <v>2016</v>
      </c>
      <c r="E3040" s="1" t="str">
        <f>TEXT(AMAZON_FASHION_5__2[[#This Row],[reviewDate]], "mmmm")</f>
        <v>November</v>
      </c>
      <c r="F3040" t="s">
        <v>1190</v>
      </c>
      <c r="G3040" t="s">
        <v>1607</v>
      </c>
      <c r="H3040" t="s">
        <v>1578</v>
      </c>
      <c r="I3040" t="s">
        <v>524</v>
      </c>
      <c r="J3040" t="s">
        <v>1191</v>
      </c>
      <c r="K3040" t="s">
        <v>1192</v>
      </c>
      <c r="L3040" t="s">
        <v>1193</v>
      </c>
      <c r="M3040">
        <v>1479081600</v>
      </c>
      <c r="N3040" t="s">
        <v>1628</v>
      </c>
      <c r="O3040" t="s">
        <v>1628</v>
      </c>
      <c r="P3040" t="s">
        <v>1628</v>
      </c>
      <c r="Q3040">
        <f>LEN(AMAZON_FASHION_5__2[[#This Row],[reviewText]])</f>
        <v>92</v>
      </c>
      <c r="R3040" t="str">
        <f>IF(AMAZON_FASHION_5__2[[#This Row],[overall]]&gt;=4,"Positive",IF(AMAZON_FASHION_5__2[[#This Row],[overall]]&lt;=2,"Negative","Neutral"))</f>
        <v>Neutral</v>
      </c>
      <c r="S30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41" spans="1:19" x14ac:dyDescent="0.25">
      <c r="A3041">
        <v>5</v>
      </c>
      <c r="B3041" t="b">
        <v>1</v>
      </c>
      <c r="C3041" s="1">
        <v>42685</v>
      </c>
      <c r="D3041">
        <f>YEAR(AMAZON_FASHION_5__2[[#This Row],[reviewDate]])</f>
        <v>2016</v>
      </c>
      <c r="E3041" s="1" t="str">
        <f>TEXT(AMAZON_FASHION_5__2[[#This Row],[reviewDate]], "mmmm")</f>
        <v>November</v>
      </c>
      <c r="F3041" t="s">
        <v>1194</v>
      </c>
      <c r="G3041" t="s">
        <v>1607</v>
      </c>
      <c r="H3041" t="s">
        <v>1568</v>
      </c>
      <c r="I3041" t="s">
        <v>303</v>
      </c>
      <c r="J3041" t="s">
        <v>1195</v>
      </c>
      <c r="K3041" t="s">
        <v>1196</v>
      </c>
      <c r="L3041" t="s">
        <v>1197</v>
      </c>
      <c r="M3041">
        <v>1478822400</v>
      </c>
      <c r="N3041" t="s">
        <v>1628</v>
      </c>
      <c r="O3041" t="s">
        <v>1628</v>
      </c>
      <c r="P3041" t="s">
        <v>1628</v>
      </c>
      <c r="Q3041">
        <f>LEN(AMAZON_FASHION_5__2[[#This Row],[reviewText]])</f>
        <v>133</v>
      </c>
      <c r="R3041" t="str">
        <f>IF(AMAZON_FASHION_5__2[[#This Row],[overall]]&gt;=4,"Positive",IF(AMAZON_FASHION_5__2[[#This Row],[overall]]&lt;=2,"Negative","Neutral"))</f>
        <v>Positive</v>
      </c>
      <c r="S30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42" spans="1:19" x14ac:dyDescent="0.25">
      <c r="A3042">
        <v>4</v>
      </c>
      <c r="B3042" t="b">
        <v>1</v>
      </c>
      <c r="C3042" s="1">
        <v>42685</v>
      </c>
      <c r="D3042">
        <f>YEAR(AMAZON_FASHION_5__2[[#This Row],[reviewDate]])</f>
        <v>2016</v>
      </c>
      <c r="E3042" s="1" t="str">
        <f>TEXT(AMAZON_FASHION_5__2[[#This Row],[reviewDate]], "mmmm")</f>
        <v>November</v>
      </c>
      <c r="F3042" t="s">
        <v>1198</v>
      </c>
      <c r="G3042" t="s">
        <v>1607</v>
      </c>
      <c r="H3042" t="s">
        <v>1598</v>
      </c>
      <c r="I3042" t="s">
        <v>396</v>
      </c>
      <c r="J3042" t="s">
        <v>1199</v>
      </c>
      <c r="K3042" t="s">
        <v>1200</v>
      </c>
      <c r="L3042" t="s">
        <v>103</v>
      </c>
      <c r="M3042">
        <v>1478822400</v>
      </c>
      <c r="N3042" t="s">
        <v>1628</v>
      </c>
      <c r="O3042" t="s">
        <v>1628</v>
      </c>
      <c r="P3042" t="s">
        <v>1628</v>
      </c>
      <c r="Q3042">
        <f>LEN(AMAZON_FASHION_5__2[[#This Row],[reviewText]])</f>
        <v>25</v>
      </c>
      <c r="R3042" t="str">
        <f>IF(AMAZON_FASHION_5__2[[#This Row],[overall]]&gt;=4,"Positive",IF(AMAZON_FASHION_5__2[[#This Row],[overall]]&lt;=2,"Negative","Neutral"))</f>
        <v>Positive</v>
      </c>
      <c r="S30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43" spans="1:19" x14ac:dyDescent="0.25">
      <c r="A3043">
        <v>5</v>
      </c>
      <c r="B3043" t="b">
        <v>1</v>
      </c>
      <c r="C3043" s="1">
        <v>42683</v>
      </c>
      <c r="D3043">
        <f>YEAR(AMAZON_FASHION_5__2[[#This Row],[reviewDate]])</f>
        <v>2016</v>
      </c>
      <c r="E3043" s="1" t="str">
        <f>TEXT(AMAZON_FASHION_5__2[[#This Row],[reviewDate]], "mmmm")</f>
        <v>November</v>
      </c>
      <c r="F3043" t="s">
        <v>1201</v>
      </c>
      <c r="G3043" t="s">
        <v>1607</v>
      </c>
      <c r="H3043" t="s">
        <v>1574</v>
      </c>
      <c r="I3043" t="s">
        <v>198</v>
      </c>
      <c r="J3043" t="s">
        <v>63</v>
      </c>
      <c r="K3043" t="s">
        <v>1202</v>
      </c>
      <c r="L3043" t="s">
        <v>1203</v>
      </c>
      <c r="M3043">
        <v>1478649600</v>
      </c>
      <c r="N3043" t="s">
        <v>1628</v>
      </c>
      <c r="O3043" t="s">
        <v>1628</v>
      </c>
      <c r="P3043" t="s">
        <v>1628</v>
      </c>
      <c r="Q3043">
        <f>LEN(AMAZON_FASHION_5__2[[#This Row],[reviewText]])</f>
        <v>64</v>
      </c>
      <c r="R3043" t="str">
        <f>IF(AMAZON_FASHION_5__2[[#This Row],[overall]]&gt;=4,"Positive",IF(AMAZON_FASHION_5__2[[#This Row],[overall]]&lt;=2,"Negative","Neutral"))</f>
        <v>Positive</v>
      </c>
      <c r="S30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44" spans="1:19" x14ac:dyDescent="0.25">
      <c r="A3044">
        <v>4</v>
      </c>
      <c r="B3044" t="b">
        <v>1</v>
      </c>
      <c r="C3044" s="1">
        <v>42682</v>
      </c>
      <c r="D3044">
        <f>YEAR(AMAZON_FASHION_5__2[[#This Row],[reviewDate]])</f>
        <v>2016</v>
      </c>
      <c r="E3044" s="1" t="str">
        <f>TEXT(AMAZON_FASHION_5__2[[#This Row],[reviewDate]], "mmmm")</f>
        <v>November</v>
      </c>
      <c r="F3044" t="s">
        <v>1204</v>
      </c>
      <c r="G3044" t="s">
        <v>1607</v>
      </c>
      <c r="H3044" t="s">
        <v>1599</v>
      </c>
      <c r="I3044" t="s">
        <v>827</v>
      </c>
      <c r="J3044" t="s">
        <v>1205</v>
      </c>
      <c r="K3044" t="s">
        <v>1206</v>
      </c>
      <c r="L3044" t="s">
        <v>1207</v>
      </c>
      <c r="M3044">
        <v>1478563200</v>
      </c>
      <c r="N3044" t="s">
        <v>1628</v>
      </c>
      <c r="O3044" t="s">
        <v>1628</v>
      </c>
      <c r="P3044" t="s">
        <v>1628</v>
      </c>
      <c r="Q3044">
        <f>LEN(AMAZON_FASHION_5__2[[#This Row],[reviewText]])</f>
        <v>83</v>
      </c>
      <c r="R3044" t="str">
        <f>IF(AMAZON_FASHION_5__2[[#This Row],[overall]]&gt;=4,"Positive",IF(AMAZON_FASHION_5__2[[#This Row],[overall]]&lt;=2,"Negative","Neutral"))</f>
        <v>Positive</v>
      </c>
      <c r="S30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45" spans="1:19" x14ac:dyDescent="0.25">
      <c r="A3045">
        <v>5</v>
      </c>
      <c r="B3045" t="b">
        <v>1</v>
      </c>
      <c r="C3045" s="1">
        <v>42681</v>
      </c>
      <c r="D3045">
        <f>YEAR(AMAZON_FASHION_5__2[[#This Row],[reviewDate]])</f>
        <v>2016</v>
      </c>
      <c r="E3045" s="1" t="str">
        <f>TEXT(AMAZON_FASHION_5__2[[#This Row],[reviewDate]], "mmmm")</f>
        <v>November</v>
      </c>
      <c r="F3045" t="s">
        <v>1208</v>
      </c>
      <c r="G3045" t="s">
        <v>1607</v>
      </c>
      <c r="H3045" t="s">
        <v>1596</v>
      </c>
      <c r="I3045" t="s">
        <v>198</v>
      </c>
      <c r="J3045" t="s">
        <v>1209</v>
      </c>
      <c r="K3045" t="s">
        <v>1210</v>
      </c>
      <c r="L3045" t="s">
        <v>1211</v>
      </c>
      <c r="M3045">
        <v>1478476800</v>
      </c>
      <c r="N3045" t="s">
        <v>1628</v>
      </c>
      <c r="O3045" t="s">
        <v>1628</v>
      </c>
      <c r="P3045">
        <v>3</v>
      </c>
      <c r="Q3045">
        <f>LEN(AMAZON_FASHION_5__2[[#This Row],[reviewText]])</f>
        <v>235</v>
      </c>
      <c r="R3045" t="str">
        <f>IF(AMAZON_FASHION_5__2[[#This Row],[overall]]&gt;=4,"Positive",IF(AMAZON_FASHION_5__2[[#This Row],[overall]]&lt;=2,"Negative","Neutral"))</f>
        <v>Positive</v>
      </c>
      <c r="S30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46" spans="1:19" x14ac:dyDescent="0.25">
      <c r="A3046">
        <v>3</v>
      </c>
      <c r="B3046" t="b">
        <v>1</v>
      </c>
      <c r="C3046" s="1">
        <v>42680</v>
      </c>
      <c r="D3046">
        <f>YEAR(AMAZON_FASHION_5__2[[#This Row],[reviewDate]])</f>
        <v>2016</v>
      </c>
      <c r="E3046" s="1" t="str">
        <f>TEXT(AMAZON_FASHION_5__2[[#This Row],[reviewDate]], "mmmm")</f>
        <v>November</v>
      </c>
      <c r="F3046" t="s">
        <v>1212</v>
      </c>
      <c r="G3046" t="s">
        <v>1607</v>
      </c>
      <c r="H3046" t="s">
        <v>1571</v>
      </c>
      <c r="I3046" t="s">
        <v>827</v>
      </c>
      <c r="J3046" t="s">
        <v>1213</v>
      </c>
      <c r="K3046" t="s">
        <v>1214</v>
      </c>
      <c r="L3046" t="s">
        <v>1215</v>
      </c>
      <c r="M3046">
        <v>1478390400</v>
      </c>
      <c r="N3046" t="s">
        <v>1628</v>
      </c>
      <c r="O3046" t="s">
        <v>1628</v>
      </c>
      <c r="P3046" t="s">
        <v>1628</v>
      </c>
      <c r="Q3046">
        <f>LEN(AMAZON_FASHION_5__2[[#This Row],[reviewText]])</f>
        <v>115</v>
      </c>
      <c r="R3046" t="str">
        <f>IF(AMAZON_FASHION_5__2[[#This Row],[overall]]&gt;=4,"Positive",IF(AMAZON_FASHION_5__2[[#This Row],[overall]]&lt;=2,"Negative","Neutral"))</f>
        <v>Neutral</v>
      </c>
      <c r="S30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47" spans="1:19" x14ac:dyDescent="0.25">
      <c r="A3047">
        <v>3</v>
      </c>
      <c r="B3047" t="b">
        <v>1</v>
      </c>
      <c r="C3047" s="1">
        <v>42673</v>
      </c>
      <c r="D3047">
        <f>YEAR(AMAZON_FASHION_5__2[[#This Row],[reviewDate]])</f>
        <v>2016</v>
      </c>
      <c r="E3047" s="1" t="str">
        <f>TEXT(AMAZON_FASHION_5__2[[#This Row],[reviewDate]], "mmmm")</f>
        <v>October</v>
      </c>
      <c r="F3047" t="s">
        <v>1216</v>
      </c>
      <c r="G3047" t="s">
        <v>1607</v>
      </c>
      <c r="H3047" t="s">
        <v>1596</v>
      </c>
      <c r="I3047" t="s">
        <v>396</v>
      </c>
      <c r="J3047" t="s">
        <v>1217</v>
      </c>
      <c r="K3047" t="s">
        <v>1218</v>
      </c>
      <c r="L3047" t="s">
        <v>1219</v>
      </c>
      <c r="M3047">
        <v>1477785600</v>
      </c>
      <c r="N3047" t="s">
        <v>1628</v>
      </c>
      <c r="O3047" t="s">
        <v>1628</v>
      </c>
      <c r="P3047" t="s">
        <v>1628</v>
      </c>
      <c r="Q3047">
        <f>LEN(AMAZON_FASHION_5__2[[#This Row],[reviewText]])</f>
        <v>228</v>
      </c>
      <c r="R3047" t="str">
        <f>IF(AMAZON_FASHION_5__2[[#This Row],[overall]]&gt;=4,"Positive",IF(AMAZON_FASHION_5__2[[#This Row],[overall]]&lt;=2,"Negative","Neutral"))</f>
        <v>Neutral</v>
      </c>
      <c r="S30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48" spans="1:19" x14ac:dyDescent="0.25">
      <c r="A3048">
        <v>5</v>
      </c>
      <c r="B3048" t="b">
        <v>1</v>
      </c>
      <c r="C3048" s="1">
        <v>42672</v>
      </c>
      <c r="D3048">
        <f>YEAR(AMAZON_FASHION_5__2[[#This Row],[reviewDate]])</f>
        <v>2016</v>
      </c>
      <c r="E3048" s="1" t="str">
        <f>TEXT(AMAZON_FASHION_5__2[[#This Row],[reviewDate]], "mmmm")</f>
        <v>October</v>
      </c>
      <c r="F3048" t="s">
        <v>1220</v>
      </c>
      <c r="G3048" t="s">
        <v>1607</v>
      </c>
      <c r="H3048" t="s">
        <v>1567</v>
      </c>
      <c r="I3048" t="s">
        <v>274</v>
      </c>
      <c r="J3048" t="s">
        <v>1221</v>
      </c>
      <c r="K3048" t="s">
        <v>1222</v>
      </c>
      <c r="L3048" t="s">
        <v>1223</v>
      </c>
      <c r="M3048">
        <v>1477699200</v>
      </c>
      <c r="N3048" t="s">
        <v>1628</v>
      </c>
      <c r="O3048" t="s">
        <v>1628</v>
      </c>
      <c r="P3048" t="s">
        <v>1628</v>
      </c>
      <c r="Q3048">
        <f>LEN(AMAZON_FASHION_5__2[[#This Row],[reviewText]])</f>
        <v>59</v>
      </c>
      <c r="R3048" t="str">
        <f>IF(AMAZON_FASHION_5__2[[#This Row],[overall]]&gt;=4,"Positive",IF(AMAZON_FASHION_5__2[[#This Row],[overall]]&lt;=2,"Negative","Neutral"))</f>
        <v>Positive</v>
      </c>
      <c r="S30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49" spans="1:19" x14ac:dyDescent="0.25">
      <c r="A3049">
        <v>3</v>
      </c>
      <c r="B3049" t="b">
        <v>1</v>
      </c>
      <c r="C3049" s="1">
        <v>42669</v>
      </c>
      <c r="D3049">
        <f>YEAR(AMAZON_FASHION_5__2[[#This Row],[reviewDate]])</f>
        <v>2016</v>
      </c>
      <c r="E3049" s="1" t="str">
        <f>TEXT(AMAZON_FASHION_5__2[[#This Row],[reviewDate]], "mmmm")</f>
        <v>October</v>
      </c>
      <c r="F3049" t="s">
        <v>1224</v>
      </c>
      <c r="G3049" t="s">
        <v>1607</v>
      </c>
      <c r="H3049" t="s">
        <v>1571</v>
      </c>
      <c r="I3049" t="s">
        <v>198</v>
      </c>
      <c r="J3049" t="s">
        <v>1225</v>
      </c>
      <c r="K3049" t="s">
        <v>1226</v>
      </c>
      <c r="L3049" t="s">
        <v>1227</v>
      </c>
      <c r="M3049">
        <v>1477440000</v>
      </c>
      <c r="N3049" t="s">
        <v>1628</v>
      </c>
      <c r="O3049" t="s">
        <v>1628</v>
      </c>
      <c r="P3049" t="s">
        <v>1628</v>
      </c>
      <c r="Q3049">
        <f>LEN(AMAZON_FASHION_5__2[[#This Row],[reviewText]])</f>
        <v>333</v>
      </c>
      <c r="R3049" t="str">
        <f>IF(AMAZON_FASHION_5__2[[#This Row],[overall]]&gt;=4,"Positive",IF(AMAZON_FASHION_5__2[[#This Row],[overall]]&lt;=2,"Negative","Neutral"))</f>
        <v>Neutral</v>
      </c>
      <c r="S30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50" spans="1:19" x14ac:dyDescent="0.25">
      <c r="A3050">
        <v>5</v>
      </c>
      <c r="B3050" t="b">
        <v>1</v>
      </c>
      <c r="C3050" s="1">
        <v>42668</v>
      </c>
      <c r="D3050">
        <f>YEAR(AMAZON_FASHION_5__2[[#This Row],[reviewDate]])</f>
        <v>2016</v>
      </c>
      <c r="E3050" s="1" t="str">
        <f>TEXT(AMAZON_FASHION_5__2[[#This Row],[reviewDate]], "mmmm")</f>
        <v>October</v>
      </c>
      <c r="F3050" t="s">
        <v>1228</v>
      </c>
      <c r="G3050" t="s">
        <v>1607</v>
      </c>
      <c r="H3050" t="s">
        <v>1595</v>
      </c>
      <c r="I3050" t="s">
        <v>1455</v>
      </c>
      <c r="J3050" t="s">
        <v>1229</v>
      </c>
      <c r="K3050" t="s">
        <v>1230</v>
      </c>
      <c r="L3050" t="s">
        <v>17</v>
      </c>
      <c r="M3050">
        <v>1477353600</v>
      </c>
      <c r="N3050" t="s">
        <v>1628</v>
      </c>
      <c r="O3050" t="s">
        <v>1628</v>
      </c>
      <c r="P3050" t="s">
        <v>1628</v>
      </c>
      <c r="Q3050">
        <f>LEN(AMAZON_FASHION_5__2[[#This Row],[reviewText]])</f>
        <v>33</v>
      </c>
      <c r="R3050" t="str">
        <f>IF(AMAZON_FASHION_5__2[[#This Row],[overall]]&gt;=4,"Positive",IF(AMAZON_FASHION_5__2[[#This Row],[overall]]&lt;=2,"Negative","Neutral"))</f>
        <v>Positive</v>
      </c>
      <c r="S30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51" spans="1:19" x14ac:dyDescent="0.25">
      <c r="A3051">
        <v>5</v>
      </c>
      <c r="B3051" t="b">
        <v>0</v>
      </c>
      <c r="C3051" s="1">
        <v>42667</v>
      </c>
      <c r="D3051">
        <f>YEAR(AMAZON_FASHION_5__2[[#This Row],[reviewDate]])</f>
        <v>2016</v>
      </c>
      <c r="E3051" s="1" t="str">
        <f>TEXT(AMAZON_FASHION_5__2[[#This Row],[reviewDate]], "mmmm")</f>
        <v>October</v>
      </c>
      <c r="F3051" t="s">
        <v>1231</v>
      </c>
      <c r="G3051" t="s">
        <v>1607</v>
      </c>
      <c r="H3051" t="s">
        <v>1574</v>
      </c>
      <c r="I3051" t="s">
        <v>419</v>
      </c>
      <c r="J3051" t="s">
        <v>63</v>
      </c>
      <c r="K3051" t="s">
        <v>1232</v>
      </c>
      <c r="L3051" t="s">
        <v>1233</v>
      </c>
      <c r="M3051">
        <v>1477267200</v>
      </c>
      <c r="N3051" t="s">
        <v>1628</v>
      </c>
      <c r="O3051" t="s">
        <v>1628</v>
      </c>
      <c r="P3051" t="s">
        <v>1628</v>
      </c>
      <c r="Q3051">
        <f>LEN(AMAZON_FASHION_5__2[[#This Row],[reviewText]])</f>
        <v>86</v>
      </c>
      <c r="R3051" t="str">
        <f>IF(AMAZON_FASHION_5__2[[#This Row],[overall]]&gt;=4,"Positive",IF(AMAZON_FASHION_5__2[[#This Row],[overall]]&lt;=2,"Negative","Neutral"))</f>
        <v>Positive</v>
      </c>
      <c r="S30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52" spans="1:19" x14ac:dyDescent="0.25">
      <c r="A3052">
        <v>5</v>
      </c>
      <c r="B3052" t="b">
        <v>1</v>
      </c>
      <c r="C3052" s="1">
        <v>42667</v>
      </c>
      <c r="D3052">
        <f>YEAR(AMAZON_FASHION_5__2[[#This Row],[reviewDate]])</f>
        <v>2016</v>
      </c>
      <c r="E3052" s="1" t="str">
        <f>TEXT(AMAZON_FASHION_5__2[[#This Row],[reviewDate]], "mmmm")</f>
        <v>October</v>
      </c>
      <c r="F3052" t="s">
        <v>1234</v>
      </c>
      <c r="G3052" t="s">
        <v>1607</v>
      </c>
      <c r="H3052" t="s">
        <v>1574</v>
      </c>
      <c r="I3052" t="s">
        <v>493</v>
      </c>
      <c r="J3052" t="s">
        <v>1235</v>
      </c>
      <c r="K3052" t="s">
        <v>1236</v>
      </c>
      <c r="L3052" t="s">
        <v>17</v>
      </c>
      <c r="M3052">
        <v>1477267200</v>
      </c>
      <c r="N3052" t="s">
        <v>1628</v>
      </c>
      <c r="O3052" t="s">
        <v>1628</v>
      </c>
      <c r="P3052" t="s">
        <v>1628</v>
      </c>
      <c r="Q3052">
        <f>LEN(AMAZON_FASHION_5__2[[#This Row],[reviewText]])</f>
        <v>24</v>
      </c>
      <c r="R3052" t="str">
        <f>IF(AMAZON_FASHION_5__2[[#This Row],[overall]]&gt;=4,"Positive",IF(AMAZON_FASHION_5__2[[#This Row],[overall]]&lt;=2,"Negative","Neutral"))</f>
        <v>Positive</v>
      </c>
      <c r="S30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53" spans="1:19" x14ac:dyDescent="0.25">
      <c r="A3053">
        <v>5</v>
      </c>
      <c r="B3053" t="b">
        <v>1</v>
      </c>
      <c r="C3053" s="1">
        <v>42662</v>
      </c>
      <c r="D3053">
        <f>YEAR(AMAZON_FASHION_5__2[[#This Row],[reviewDate]])</f>
        <v>2016</v>
      </c>
      <c r="E3053" s="1" t="str">
        <f>TEXT(AMAZON_FASHION_5__2[[#This Row],[reviewDate]], "mmmm")</f>
        <v>October</v>
      </c>
      <c r="F3053" t="s">
        <v>1237</v>
      </c>
      <c r="G3053" t="s">
        <v>1607</v>
      </c>
      <c r="H3053" t="s">
        <v>320</v>
      </c>
      <c r="I3053" t="s">
        <v>198</v>
      </c>
      <c r="J3053" t="s">
        <v>63</v>
      </c>
      <c r="K3053" t="s">
        <v>1238</v>
      </c>
      <c r="L3053" t="s">
        <v>1239</v>
      </c>
      <c r="M3053">
        <v>1476835200</v>
      </c>
      <c r="N3053" t="s">
        <v>1628</v>
      </c>
      <c r="O3053" t="s">
        <v>1628</v>
      </c>
      <c r="P3053" t="s">
        <v>1628</v>
      </c>
      <c r="Q3053">
        <f>LEN(AMAZON_FASHION_5__2[[#This Row],[reviewText]])</f>
        <v>35</v>
      </c>
      <c r="R3053" t="str">
        <f>IF(AMAZON_FASHION_5__2[[#This Row],[overall]]&gt;=4,"Positive",IF(AMAZON_FASHION_5__2[[#This Row],[overall]]&lt;=2,"Negative","Neutral"))</f>
        <v>Positive</v>
      </c>
      <c r="S30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54" spans="1:19" x14ac:dyDescent="0.25">
      <c r="A3054">
        <v>5</v>
      </c>
      <c r="B3054" t="b">
        <v>1</v>
      </c>
      <c r="C3054" s="1">
        <v>42660</v>
      </c>
      <c r="D3054">
        <f>YEAR(AMAZON_FASHION_5__2[[#This Row],[reviewDate]])</f>
        <v>2016</v>
      </c>
      <c r="E3054" s="1" t="str">
        <f>TEXT(AMAZON_FASHION_5__2[[#This Row],[reviewDate]], "mmmm")</f>
        <v>October</v>
      </c>
      <c r="F3054" t="s">
        <v>1240</v>
      </c>
      <c r="G3054" t="s">
        <v>1607</v>
      </c>
      <c r="H3054" t="s">
        <v>1598</v>
      </c>
      <c r="I3054" t="s">
        <v>396</v>
      </c>
      <c r="J3054" t="s">
        <v>1241</v>
      </c>
      <c r="K3054" t="s">
        <v>1242</v>
      </c>
      <c r="L3054" t="s">
        <v>1243</v>
      </c>
      <c r="M3054">
        <v>1476662400</v>
      </c>
      <c r="N3054" t="s">
        <v>1628</v>
      </c>
      <c r="O3054" t="s">
        <v>1628</v>
      </c>
      <c r="P3054">
        <v>5</v>
      </c>
      <c r="Q3054">
        <f>LEN(AMAZON_FASHION_5__2[[#This Row],[reviewText]])</f>
        <v>106</v>
      </c>
      <c r="R3054" t="str">
        <f>IF(AMAZON_FASHION_5__2[[#This Row],[overall]]&gt;=4,"Positive",IF(AMAZON_FASHION_5__2[[#This Row],[overall]]&lt;=2,"Negative","Neutral"))</f>
        <v>Positive</v>
      </c>
      <c r="S30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55" spans="1:19" x14ac:dyDescent="0.25">
      <c r="A3055">
        <v>5</v>
      </c>
      <c r="B3055" t="b">
        <v>1</v>
      </c>
      <c r="C3055" s="1">
        <v>42658</v>
      </c>
      <c r="D3055">
        <f>YEAR(AMAZON_FASHION_5__2[[#This Row],[reviewDate]])</f>
        <v>2016</v>
      </c>
      <c r="E3055" s="1" t="str">
        <f>TEXT(AMAZON_FASHION_5__2[[#This Row],[reviewDate]], "mmmm")</f>
        <v>October</v>
      </c>
      <c r="F3055" t="s">
        <v>1244</v>
      </c>
      <c r="G3055" t="s">
        <v>1607</v>
      </c>
      <c r="H3055" t="s">
        <v>1598</v>
      </c>
      <c r="I3055" t="s">
        <v>198</v>
      </c>
      <c r="J3055" t="s">
        <v>1245</v>
      </c>
      <c r="K3055" t="s">
        <v>1246</v>
      </c>
      <c r="L3055" t="s">
        <v>1247</v>
      </c>
      <c r="M3055">
        <v>1476489600</v>
      </c>
      <c r="N3055" t="s">
        <v>1628</v>
      </c>
      <c r="O3055" t="s">
        <v>1628</v>
      </c>
      <c r="P3055" t="s">
        <v>1628</v>
      </c>
      <c r="Q3055">
        <f>LEN(AMAZON_FASHION_5__2[[#This Row],[reviewText]])</f>
        <v>57</v>
      </c>
      <c r="R3055" t="str">
        <f>IF(AMAZON_FASHION_5__2[[#This Row],[overall]]&gt;=4,"Positive",IF(AMAZON_FASHION_5__2[[#This Row],[overall]]&lt;=2,"Negative","Neutral"))</f>
        <v>Positive</v>
      </c>
      <c r="S30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56" spans="1:19" x14ac:dyDescent="0.25">
      <c r="A3056">
        <v>4</v>
      </c>
      <c r="B3056" t="b">
        <v>1</v>
      </c>
      <c r="C3056" s="1">
        <v>42654</v>
      </c>
      <c r="D3056">
        <f>YEAR(AMAZON_FASHION_5__2[[#This Row],[reviewDate]])</f>
        <v>2016</v>
      </c>
      <c r="E3056" s="1" t="str">
        <f>TEXT(AMAZON_FASHION_5__2[[#This Row],[reviewDate]], "mmmm")</f>
        <v>October</v>
      </c>
      <c r="F3056" t="s">
        <v>1248</v>
      </c>
      <c r="G3056" t="s">
        <v>1607</v>
      </c>
      <c r="H3056" t="s">
        <v>1578</v>
      </c>
      <c r="I3056" t="s">
        <v>827</v>
      </c>
      <c r="J3056" t="s">
        <v>1249</v>
      </c>
      <c r="K3056" t="s">
        <v>1250</v>
      </c>
      <c r="L3056" t="s">
        <v>1251</v>
      </c>
      <c r="M3056">
        <v>1476144000</v>
      </c>
      <c r="N3056" t="s">
        <v>1628</v>
      </c>
      <c r="O3056" t="s">
        <v>1628</v>
      </c>
      <c r="P3056" t="s">
        <v>1628</v>
      </c>
      <c r="Q3056">
        <f>LEN(AMAZON_FASHION_5__2[[#This Row],[reviewText]])</f>
        <v>181</v>
      </c>
      <c r="R3056" t="str">
        <f>IF(AMAZON_FASHION_5__2[[#This Row],[overall]]&gt;=4,"Positive",IF(AMAZON_FASHION_5__2[[#This Row],[overall]]&lt;=2,"Negative","Neutral"))</f>
        <v>Positive</v>
      </c>
      <c r="S30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57" spans="1:19" x14ac:dyDescent="0.25">
      <c r="A3057">
        <v>3</v>
      </c>
      <c r="B3057" t="b">
        <v>1</v>
      </c>
      <c r="C3057" s="1">
        <v>42652</v>
      </c>
      <c r="D3057">
        <f>YEAR(AMAZON_FASHION_5__2[[#This Row],[reviewDate]])</f>
        <v>2016</v>
      </c>
      <c r="E3057" s="1" t="str">
        <f>TEXT(AMAZON_FASHION_5__2[[#This Row],[reviewDate]], "mmmm")</f>
        <v>October</v>
      </c>
      <c r="F3057" t="s">
        <v>1252</v>
      </c>
      <c r="G3057" t="s">
        <v>1607</v>
      </c>
      <c r="H3057" t="s">
        <v>477</v>
      </c>
      <c r="I3057" t="s">
        <v>236</v>
      </c>
      <c r="J3057" t="s">
        <v>1253</v>
      </c>
      <c r="K3057" t="s">
        <v>1254</v>
      </c>
      <c r="L3057" t="s">
        <v>1255</v>
      </c>
      <c r="M3057">
        <v>1475971200</v>
      </c>
      <c r="N3057" t="s">
        <v>1628</v>
      </c>
      <c r="O3057" t="s">
        <v>1628</v>
      </c>
      <c r="P3057" t="s">
        <v>1628</v>
      </c>
      <c r="Q3057">
        <f>LEN(AMAZON_FASHION_5__2[[#This Row],[reviewText]])</f>
        <v>68</v>
      </c>
      <c r="R3057" t="str">
        <f>IF(AMAZON_FASHION_5__2[[#This Row],[overall]]&gt;=4,"Positive",IF(AMAZON_FASHION_5__2[[#This Row],[overall]]&lt;=2,"Negative","Neutral"))</f>
        <v>Neutral</v>
      </c>
      <c r="S30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58" spans="1:19" x14ac:dyDescent="0.25">
      <c r="A3058">
        <v>4</v>
      </c>
      <c r="B3058" t="b">
        <v>1</v>
      </c>
      <c r="C3058" s="1">
        <v>42648</v>
      </c>
      <c r="D3058">
        <f>YEAR(AMAZON_FASHION_5__2[[#This Row],[reviewDate]])</f>
        <v>2016</v>
      </c>
      <c r="E3058" s="1" t="str">
        <f>TEXT(AMAZON_FASHION_5__2[[#This Row],[reviewDate]], "mmmm")</f>
        <v>October</v>
      </c>
      <c r="F3058" t="s">
        <v>1256</v>
      </c>
      <c r="G3058" t="s">
        <v>1607</v>
      </c>
      <c r="H3058" t="s">
        <v>1574</v>
      </c>
      <c r="I3058" t="s">
        <v>198</v>
      </c>
      <c r="J3058" t="s">
        <v>1257</v>
      </c>
      <c r="K3058" t="s">
        <v>1258</v>
      </c>
      <c r="L3058" t="s">
        <v>1259</v>
      </c>
      <c r="M3058">
        <v>1475625600</v>
      </c>
      <c r="N3058" t="s">
        <v>1628</v>
      </c>
      <c r="O3058" t="s">
        <v>1628</v>
      </c>
      <c r="P3058" t="s">
        <v>1628</v>
      </c>
      <c r="Q3058">
        <f>LEN(AMAZON_FASHION_5__2[[#This Row],[reviewText]])</f>
        <v>100</v>
      </c>
      <c r="R3058" t="str">
        <f>IF(AMAZON_FASHION_5__2[[#This Row],[overall]]&gt;=4,"Positive",IF(AMAZON_FASHION_5__2[[#This Row],[overall]]&lt;=2,"Negative","Neutral"))</f>
        <v>Positive</v>
      </c>
      <c r="S30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59" spans="1:19" x14ac:dyDescent="0.25">
      <c r="A3059">
        <v>3</v>
      </c>
      <c r="B3059" t="b">
        <v>1</v>
      </c>
      <c r="C3059" s="1">
        <v>42644</v>
      </c>
      <c r="D3059">
        <f>YEAR(AMAZON_FASHION_5__2[[#This Row],[reviewDate]])</f>
        <v>2016</v>
      </c>
      <c r="E3059" s="1" t="str">
        <f>TEXT(AMAZON_FASHION_5__2[[#This Row],[reviewDate]], "mmmm")</f>
        <v>October</v>
      </c>
      <c r="F3059" t="s">
        <v>1260</v>
      </c>
      <c r="G3059" t="s">
        <v>1607</v>
      </c>
      <c r="H3059" t="s">
        <v>205</v>
      </c>
      <c r="I3059" t="s">
        <v>236</v>
      </c>
      <c r="J3059" t="s">
        <v>1261</v>
      </c>
      <c r="K3059" t="s">
        <v>1262</v>
      </c>
      <c r="L3059" t="s">
        <v>1263</v>
      </c>
      <c r="M3059">
        <v>1475280000</v>
      </c>
      <c r="N3059" t="s">
        <v>1628</v>
      </c>
      <c r="O3059" t="s">
        <v>1628</v>
      </c>
      <c r="P3059" t="s">
        <v>1628</v>
      </c>
      <c r="Q3059">
        <f>LEN(AMAZON_FASHION_5__2[[#This Row],[reviewText]])</f>
        <v>59</v>
      </c>
      <c r="R3059" t="str">
        <f>IF(AMAZON_FASHION_5__2[[#This Row],[overall]]&gt;=4,"Positive",IF(AMAZON_FASHION_5__2[[#This Row],[overall]]&lt;=2,"Negative","Neutral"))</f>
        <v>Neutral</v>
      </c>
      <c r="S30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60" spans="1:19" x14ac:dyDescent="0.25">
      <c r="A3060">
        <v>5</v>
      </c>
      <c r="B3060" t="b">
        <v>1</v>
      </c>
      <c r="C3060" s="1">
        <v>42639</v>
      </c>
      <c r="D3060">
        <f>YEAR(AMAZON_FASHION_5__2[[#This Row],[reviewDate]])</f>
        <v>2016</v>
      </c>
      <c r="E3060" s="1" t="str">
        <f>TEXT(AMAZON_FASHION_5__2[[#This Row],[reviewDate]], "mmmm")</f>
        <v>September</v>
      </c>
      <c r="F3060" t="s">
        <v>1264</v>
      </c>
      <c r="G3060" t="s">
        <v>1607</v>
      </c>
      <c r="H3060" t="s">
        <v>1596</v>
      </c>
      <c r="I3060" t="s">
        <v>211</v>
      </c>
      <c r="J3060" t="s">
        <v>1265</v>
      </c>
      <c r="K3060" t="s">
        <v>1266</v>
      </c>
      <c r="L3060" t="s">
        <v>704</v>
      </c>
      <c r="M3060">
        <v>1474848000</v>
      </c>
      <c r="N3060" t="s">
        <v>1628</v>
      </c>
      <c r="O3060" t="s">
        <v>1628</v>
      </c>
      <c r="P3060" t="s">
        <v>1628</v>
      </c>
      <c r="Q3060">
        <f>LEN(AMAZON_FASHION_5__2[[#This Row],[reviewText]])</f>
        <v>107</v>
      </c>
      <c r="R3060" t="str">
        <f>IF(AMAZON_FASHION_5__2[[#This Row],[overall]]&gt;=4,"Positive",IF(AMAZON_FASHION_5__2[[#This Row],[overall]]&lt;=2,"Negative","Neutral"))</f>
        <v>Positive</v>
      </c>
      <c r="S30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61" spans="1:19" x14ac:dyDescent="0.25">
      <c r="A3061">
        <v>5</v>
      </c>
      <c r="B3061" t="b">
        <v>1</v>
      </c>
      <c r="C3061" s="1">
        <v>42636</v>
      </c>
      <c r="D3061">
        <f>YEAR(AMAZON_FASHION_5__2[[#This Row],[reviewDate]])</f>
        <v>2016</v>
      </c>
      <c r="E3061" s="1" t="str">
        <f>TEXT(AMAZON_FASHION_5__2[[#This Row],[reviewDate]], "mmmm")</f>
        <v>September</v>
      </c>
      <c r="F3061" t="s">
        <v>1267</v>
      </c>
      <c r="G3061" t="s">
        <v>1607</v>
      </c>
      <c r="H3061" t="s">
        <v>1574</v>
      </c>
      <c r="I3061" t="s">
        <v>524</v>
      </c>
      <c r="J3061" t="s">
        <v>1268</v>
      </c>
      <c r="K3061" t="s">
        <v>1269</v>
      </c>
      <c r="L3061" t="s">
        <v>17</v>
      </c>
      <c r="M3061">
        <v>1474588800</v>
      </c>
      <c r="N3061" t="s">
        <v>1628</v>
      </c>
      <c r="O3061" t="s">
        <v>1628</v>
      </c>
      <c r="P3061" t="s">
        <v>1628</v>
      </c>
      <c r="Q3061">
        <f>LEN(AMAZON_FASHION_5__2[[#This Row],[reviewText]])</f>
        <v>12</v>
      </c>
      <c r="R3061" t="str">
        <f>IF(AMAZON_FASHION_5__2[[#This Row],[overall]]&gt;=4,"Positive",IF(AMAZON_FASHION_5__2[[#This Row],[overall]]&lt;=2,"Negative","Neutral"))</f>
        <v>Positive</v>
      </c>
      <c r="S30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62" spans="1:19" x14ac:dyDescent="0.25">
      <c r="A3062">
        <v>5</v>
      </c>
      <c r="B3062" t="b">
        <v>1</v>
      </c>
      <c r="C3062" s="1">
        <v>42631</v>
      </c>
      <c r="D3062">
        <f>YEAR(AMAZON_FASHION_5__2[[#This Row],[reviewDate]])</f>
        <v>2016</v>
      </c>
      <c r="E3062" s="1" t="str">
        <f>TEXT(AMAZON_FASHION_5__2[[#This Row],[reviewDate]], "mmmm")</f>
        <v>September</v>
      </c>
      <c r="F3062" t="s">
        <v>1270</v>
      </c>
      <c r="G3062" t="s">
        <v>1607</v>
      </c>
      <c r="H3062" t="s">
        <v>1477</v>
      </c>
      <c r="I3062" t="s">
        <v>336</v>
      </c>
      <c r="J3062" t="s">
        <v>63</v>
      </c>
      <c r="K3062" t="s">
        <v>1271</v>
      </c>
      <c r="L3062" t="s">
        <v>1272</v>
      </c>
      <c r="M3062">
        <v>1474156800</v>
      </c>
      <c r="N3062" t="s">
        <v>1628</v>
      </c>
      <c r="O3062" t="s">
        <v>1628</v>
      </c>
      <c r="P3062">
        <v>3</v>
      </c>
      <c r="Q3062">
        <f>LEN(AMAZON_FASHION_5__2[[#This Row],[reviewText]])</f>
        <v>140</v>
      </c>
      <c r="R3062" t="str">
        <f>IF(AMAZON_FASHION_5__2[[#This Row],[overall]]&gt;=4,"Positive",IF(AMAZON_FASHION_5__2[[#This Row],[overall]]&lt;=2,"Negative","Neutral"))</f>
        <v>Positive</v>
      </c>
      <c r="S30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63" spans="1:19" x14ac:dyDescent="0.25">
      <c r="A3063">
        <v>1</v>
      </c>
      <c r="B3063" t="b">
        <v>1</v>
      </c>
      <c r="C3063" s="1">
        <v>42625</v>
      </c>
      <c r="D3063">
        <f>YEAR(AMAZON_FASHION_5__2[[#This Row],[reviewDate]])</f>
        <v>2016</v>
      </c>
      <c r="E3063" s="1" t="str">
        <f>TEXT(AMAZON_FASHION_5__2[[#This Row],[reviewDate]], "mmmm")</f>
        <v>September</v>
      </c>
      <c r="F3063" t="s">
        <v>1273</v>
      </c>
      <c r="G3063" t="s">
        <v>1607</v>
      </c>
      <c r="H3063" t="s">
        <v>1571</v>
      </c>
      <c r="I3063" t="s">
        <v>274</v>
      </c>
      <c r="J3063" t="s">
        <v>1274</v>
      </c>
      <c r="K3063" t="s">
        <v>1275</v>
      </c>
      <c r="L3063" t="s">
        <v>1276</v>
      </c>
      <c r="M3063">
        <v>1473638400</v>
      </c>
      <c r="N3063" t="s">
        <v>1628</v>
      </c>
      <c r="O3063" t="s">
        <v>1628</v>
      </c>
      <c r="P3063" t="s">
        <v>1628</v>
      </c>
      <c r="Q3063">
        <f>LEN(AMAZON_FASHION_5__2[[#This Row],[reviewText]])</f>
        <v>148</v>
      </c>
      <c r="R3063" t="str">
        <f>IF(AMAZON_FASHION_5__2[[#This Row],[overall]]&gt;=4,"Positive",IF(AMAZON_FASHION_5__2[[#This Row],[overall]]&lt;=2,"Negative","Neutral"))</f>
        <v>Negative</v>
      </c>
      <c r="S30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64" spans="1:19" x14ac:dyDescent="0.25">
      <c r="A3064">
        <v>1</v>
      </c>
      <c r="B3064" t="b">
        <v>1</v>
      </c>
      <c r="C3064" s="1">
        <v>42624</v>
      </c>
      <c r="D3064">
        <f>YEAR(AMAZON_FASHION_5__2[[#This Row],[reviewDate]])</f>
        <v>2016</v>
      </c>
      <c r="E3064" s="1" t="str">
        <f>TEXT(AMAZON_FASHION_5__2[[#This Row],[reviewDate]], "mmmm")</f>
        <v>September</v>
      </c>
      <c r="F3064" t="s">
        <v>1277</v>
      </c>
      <c r="G3064" t="s">
        <v>1607</v>
      </c>
      <c r="H3064" t="s">
        <v>235</v>
      </c>
      <c r="I3064" t="s">
        <v>198</v>
      </c>
      <c r="J3064" t="s">
        <v>1278</v>
      </c>
      <c r="K3064" t="s">
        <v>1279</v>
      </c>
      <c r="L3064" t="s">
        <v>1280</v>
      </c>
      <c r="M3064">
        <v>1473552000</v>
      </c>
      <c r="N3064" t="s">
        <v>1628</v>
      </c>
      <c r="O3064" t="s">
        <v>1628</v>
      </c>
      <c r="P3064">
        <v>14</v>
      </c>
      <c r="Q3064">
        <f>LEN(AMAZON_FASHION_5__2[[#This Row],[reviewText]])</f>
        <v>258</v>
      </c>
      <c r="R3064" t="str">
        <f>IF(AMAZON_FASHION_5__2[[#This Row],[overall]]&gt;=4,"Positive",IF(AMAZON_FASHION_5__2[[#This Row],[overall]]&lt;=2,"Negative","Neutral"))</f>
        <v>Negative</v>
      </c>
      <c r="S30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65" spans="1:19" x14ac:dyDescent="0.25">
      <c r="A3065">
        <v>5</v>
      </c>
      <c r="B3065" t="b">
        <v>1</v>
      </c>
      <c r="C3065" s="1">
        <v>42622</v>
      </c>
      <c r="D3065">
        <f>YEAR(AMAZON_FASHION_5__2[[#This Row],[reviewDate]])</f>
        <v>2016</v>
      </c>
      <c r="E3065" s="1" t="str">
        <f>TEXT(AMAZON_FASHION_5__2[[#This Row],[reviewDate]], "mmmm")</f>
        <v>September</v>
      </c>
      <c r="F3065" t="s">
        <v>1281</v>
      </c>
      <c r="G3065" t="s">
        <v>1607</v>
      </c>
      <c r="H3065" t="s">
        <v>1571</v>
      </c>
      <c r="I3065" t="s">
        <v>198</v>
      </c>
      <c r="J3065" t="s">
        <v>1282</v>
      </c>
      <c r="K3065" t="s">
        <v>1283</v>
      </c>
      <c r="L3065" t="s">
        <v>17</v>
      </c>
      <c r="M3065">
        <v>1473379200</v>
      </c>
      <c r="N3065" t="s">
        <v>1628</v>
      </c>
      <c r="O3065" t="s">
        <v>1628</v>
      </c>
      <c r="P3065" t="s">
        <v>1628</v>
      </c>
      <c r="Q3065">
        <f>LEN(AMAZON_FASHION_5__2[[#This Row],[reviewText]])</f>
        <v>49</v>
      </c>
      <c r="R3065" t="str">
        <f>IF(AMAZON_FASHION_5__2[[#This Row],[overall]]&gt;=4,"Positive",IF(AMAZON_FASHION_5__2[[#This Row],[overall]]&lt;=2,"Negative","Neutral"))</f>
        <v>Positive</v>
      </c>
      <c r="S30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66" spans="1:19" x14ac:dyDescent="0.25">
      <c r="A3066">
        <v>4</v>
      </c>
      <c r="B3066" t="b">
        <v>1</v>
      </c>
      <c r="C3066" s="1">
        <v>42619</v>
      </c>
      <c r="D3066">
        <f>YEAR(AMAZON_FASHION_5__2[[#This Row],[reviewDate]])</f>
        <v>2016</v>
      </c>
      <c r="E3066" s="1" t="str">
        <f>TEXT(AMAZON_FASHION_5__2[[#This Row],[reviewDate]], "mmmm")</f>
        <v>September</v>
      </c>
      <c r="F3066" t="s">
        <v>1284</v>
      </c>
      <c r="G3066" t="s">
        <v>1607</v>
      </c>
      <c r="H3066" t="s">
        <v>210</v>
      </c>
      <c r="I3066" t="s">
        <v>198</v>
      </c>
      <c r="J3066" t="s">
        <v>1285</v>
      </c>
      <c r="K3066" t="s">
        <v>1286</v>
      </c>
      <c r="L3066" t="s">
        <v>1287</v>
      </c>
      <c r="M3066">
        <v>1473120000</v>
      </c>
      <c r="N3066" t="s">
        <v>1628</v>
      </c>
      <c r="O3066" t="s">
        <v>1628</v>
      </c>
      <c r="P3066">
        <v>2</v>
      </c>
      <c r="Q3066">
        <f>LEN(AMAZON_FASHION_5__2[[#This Row],[reviewText]])</f>
        <v>248</v>
      </c>
      <c r="R3066" t="str">
        <f>IF(AMAZON_FASHION_5__2[[#This Row],[overall]]&gt;=4,"Positive",IF(AMAZON_FASHION_5__2[[#This Row],[overall]]&lt;=2,"Negative","Neutral"))</f>
        <v>Positive</v>
      </c>
      <c r="S30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67" spans="1:19" x14ac:dyDescent="0.25">
      <c r="A3067">
        <v>4</v>
      </c>
      <c r="B3067" t="b">
        <v>1</v>
      </c>
      <c r="C3067" s="1">
        <v>42615</v>
      </c>
      <c r="D3067">
        <f>YEAR(AMAZON_FASHION_5__2[[#This Row],[reviewDate]])</f>
        <v>2016</v>
      </c>
      <c r="E3067" s="1" t="str">
        <f>TEXT(AMAZON_FASHION_5__2[[#This Row],[reviewDate]], "mmmm")</f>
        <v>September</v>
      </c>
      <c r="F3067" t="s">
        <v>1288</v>
      </c>
      <c r="G3067" t="s">
        <v>1607</v>
      </c>
      <c r="H3067" t="s">
        <v>1568</v>
      </c>
      <c r="I3067" t="s">
        <v>493</v>
      </c>
      <c r="J3067" t="s">
        <v>63</v>
      </c>
      <c r="K3067" t="s">
        <v>1289</v>
      </c>
      <c r="L3067" t="s">
        <v>1290</v>
      </c>
      <c r="M3067">
        <v>1472774400</v>
      </c>
      <c r="N3067" t="s">
        <v>1628</v>
      </c>
      <c r="O3067" t="s">
        <v>1628</v>
      </c>
      <c r="P3067" t="s">
        <v>1628</v>
      </c>
      <c r="Q3067">
        <f>LEN(AMAZON_FASHION_5__2[[#This Row],[reviewText]])</f>
        <v>177</v>
      </c>
      <c r="R3067" t="str">
        <f>IF(AMAZON_FASHION_5__2[[#This Row],[overall]]&gt;=4,"Positive",IF(AMAZON_FASHION_5__2[[#This Row],[overall]]&lt;=2,"Negative","Neutral"))</f>
        <v>Positive</v>
      </c>
      <c r="S30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68" spans="1:19" x14ac:dyDescent="0.25">
      <c r="A3068">
        <v>5</v>
      </c>
      <c r="B3068" t="b">
        <v>1</v>
      </c>
      <c r="C3068" s="1">
        <v>42611</v>
      </c>
      <c r="D3068">
        <f>YEAR(AMAZON_FASHION_5__2[[#This Row],[reviewDate]])</f>
        <v>2016</v>
      </c>
      <c r="E3068" s="1" t="str">
        <f>TEXT(AMAZON_FASHION_5__2[[#This Row],[reviewDate]], "mmmm")</f>
        <v>August</v>
      </c>
      <c r="F3068" t="s">
        <v>1291</v>
      </c>
      <c r="G3068" t="s">
        <v>1607</v>
      </c>
      <c r="H3068" t="s">
        <v>1598</v>
      </c>
      <c r="I3068" t="s">
        <v>198</v>
      </c>
      <c r="J3068" t="s">
        <v>63</v>
      </c>
      <c r="K3068" t="s">
        <v>1292</v>
      </c>
      <c r="L3068" t="s">
        <v>17</v>
      </c>
      <c r="M3068">
        <v>1472428800</v>
      </c>
      <c r="N3068" t="s">
        <v>1628</v>
      </c>
      <c r="O3068" t="s">
        <v>1628</v>
      </c>
      <c r="P3068" t="s">
        <v>1628</v>
      </c>
      <c r="Q3068">
        <f>LEN(AMAZON_FASHION_5__2[[#This Row],[reviewText]])</f>
        <v>13</v>
      </c>
      <c r="R3068" t="str">
        <f>IF(AMAZON_FASHION_5__2[[#This Row],[overall]]&gt;=4,"Positive",IF(AMAZON_FASHION_5__2[[#This Row],[overall]]&lt;=2,"Negative","Neutral"))</f>
        <v>Positive</v>
      </c>
      <c r="S30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69" spans="1:19" x14ac:dyDescent="0.25">
      <c r="A3069">
        <v>5</v>
      </c>
      <c r="B3069" t="b">
        <v>1</v>
      </c>
      <c r="C3069" s="1">
        <v>42609</v>
      </c>
      <c r="D3069">
        <f>YEAR(AMAZON_FASHION_5__2[[#This Row],[reviewDate]])</f>
        <v>2016</v>
      </c>
      <c r="E3069" s="1" t="str">
        <f>TEXT(AMAZON_FASHION_5__2[[#This Row],[reviewDate]], "mmmm")</f>
        <v>August</v>
      </c>
      <c r="F3069" t="s">
        <v>1293</v>
      </c>
      <c r="G3069" t="s">
        <v>1607</v>
      </c>
      <c r="H3069" t="s">
        <v>1571</v>
      </c>
      <c r="I3069" t="s">
        <v>419</v>
      </c>
      <c r="J3069" t="s">
        <v>63</v>
      </c>
      <c r="K3069" t="s">
        <v>1294</v>
      </c>
      <c r="L3069" t="s">
        <v>17</v>
      </c>
      <c r="M3069">
        <v>1472256000</v>
      </c>
      <c r="N3069" t="s">
        <v>1628</v>
      </c>
      <c r="O3069" t="s">
        <v>1628</v>
      </c>
      <c r="P3069" t="s">
        <v>1628</v>
      </c>
      <c r="Q3069">
        <f>LEN(AMAZON_FASHION_5__2[[#This Row],[reviewText]])</f>
        <v>62</v>
      </c>
      <c r="R3069" t="str">
        <f>IF(AMAZON_FASHION_5__2[[#This Row],[overall]]&gt;=4,"Positive",IF(AMAZON_FASHION_5__2[[#This Row],[overall]]&lt;=2,"Negative","Neutral"))</f>
        <v>Positive</v>
      </c>
      <c r="S30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70" spans="1:19" x14ac:dyDescent="0.25">
      <c r="A3070">
        <v>5</v>
      </c>
      <c r="B3070" t="b">
        <v>1</v>
      </c>
      <c r="C3070" s="1">
        <v>42609</v>
      </c>
      <c r="D3070">
        <f>YEAR(AMAZON_FASHION_5__2[[#This Row],[reviewDate]])</f>
        <v>2016</v>
      </c>
      <c r="E3070" s="1" t="str">
        <f>TEXT(AMAZON_FASHION_5__2[[#This Row],[reviewDate]], "mmmm")</f>
        <v>August</v>
      </c>
      <c r="F3070" t="s">
        <v>1295</v>
      </c>
      <c r="G3070" t="s">
        <v>1607</v>
      </c>
      <c r="H3070" t="s">
        <v>1596</v>
      </c>
      <c r="I3070" t="s">
        <v>198</v>
      </c>
      <c r="J3070" t="s">
        <v>63</v>
      </c>
      <c r="K3070" t="s">
        <v>1296</v>
      </c>
      <c r="L3070" t="s">
        <v>1297</v>
      </c>
      <c r="M3070">
        <v>1472256000</v>
      </c>
      <c r="N3070" t="s">
        <v>1628</v>
      </c>
      <c r="O3070" t="s">
        <v>1628</v>
      </c>
      <c r="P3070">
        <v>5</v>
      </c>
      <c r="Q3070">
        <f>LEN(AMAZON_FASHION_5__2[[#This Row],[reviewText]])</f>
        <v>112</v>
      </c>
      <c r="R3070" t="str">
        <f>IF(AMAZON_FASHION_5__2[[#This Row],[overall]]&gt;=4,"Positive",IF(AMAZON_FASHION_5__2[[#This Row],[overall]]&lt;=2,"Negative","Neutral"))</f>
        <v>Positive</v>
      </c>
      <c r="S30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71" spans="1:19" x14ac:dyDescent="0.25">
      <c r="A3071">
        <v>3</v>
      </c>
      <c r="B3071" t="b">
        <v>1</v>
      </c>
      <c r="C3071" s="1">
        <v>42608</v>
      </c>
      <c r="D3071">
        <f>YEAR(AMAZON_FASHION_5__2[[#This Row],[reviewDate]])</f>
        <v>2016</v>
      </c>
      <c r="E3071" s="1" t="str">
        <f>TEXT(AMAZON_FASHION_5__2[[#This Row],[reviewDate]], "mmmm")</f>
        <v>August</v>
      </c>
      <c r="F3071" t="s">
        <v>1298</v>
      </c>
      <c r="G3071" t="s">
        <v>1607</v>
      </c>
      <c r="H3071" t="s">
        <v>1571</v>
      </c>
      <c r="I3071" t="s">
        <v>198</v>
      </c>
      <c r="J3071" t="s">
        <v>63</v>
      </c>
      <c r="K3071" t="s">
        <v>1299</v>
      </c>
      <c r="L3071" t="s">
        <v>1300</v>
      </c>
      <c r="M3071">
        <v>1472169600</v>
      </c>
      <c r="N3071" t="s">
        <v>1628</v>
      </c>
      <c r="O3071" t="s">
        <v>1628</v>
      </c>
      <c r="P3071">
        <v>2</v>
      </c>
      <c r="Q3071">
        <f>LEN(AMAZON_FASHION_5__2[[#This Row],[reviewText]])</f>
        <v>256</v>
      </c>
      <c r="R3071" t="str">
        <f>IF(AMAZON_FASHION_5__2[[#This Row],[overall]]&gt;=4,"Positive",IF(AMAZON_FASHION_5__2[[#This Row],[overall]]&lt;=2,"Negative","Neutral"))</f>
        <v>Neutral</v>
      </c>
      <c r="S30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72" spans="1:19" x14ac:dyDescent="0.25">
      <c r="A3072">
        <v>5</v>
      </c>
      <c r="B3072" t="b">
        <v>1</v>
      </c>
      <c r="C3072" s="1">
        <v>42605</v>
      </c>
      <c r="D3072">
        <f>YEAR(AMAZON_FASHION_5__2[[#This Row],[reviewDate]])</f>
        <v>2016</v>
      </c>
      <c r="E3072" s="1" t="str">
        <f>TEXT(AMAZON_FASHION_5__2[[#This Row],[reviewDate]], "mmmm")</f>
        <v>August</v>
      </c>
      <c r="F3072" t="s">
        <v>1301</v>
      </c>
      <c r="G3072" t="s">
        <v>1607</v>
      </c>
      <c r="H3072" t="s">
        <v>1571</v>
      </c>
      <c r="I3072" t="s">
        <v>493</v>
      </c>
      <c r="J3072" t="s">
        <v>1302</v>
      </c>
      <c r="K3072" t="s">
        <v>1303</v>
      </c>
      <c r="L3072" t="s">
        <v>1304</v>
      </c>
      <c r="M3072">
        <v>1471910400</v>
      </c>
      <c r="N3072" t="s">
        <v>1628</v>
      </c>
      <c r="O3072" t="s">
        <v>1628</v>
      </c>
      <c r="P3072" t="s">
        <v>1628</v>
      </c>
      <c r="Q3072">
        <f>LEN(AMAZON_FASHION_5__2[[#This Row],[reviewText]])</f>
        <v>93</v>
      </c>
      <c r="R3072" t="str">
        <f>IF(AMAZON_FASHION_5__2[[#This Row],[overall]]&gt;=4,"Positive",IF(AMAZON_FASHION_5__2[[#This Row],[overall]]&lt;=2,"Negative","Neutral"))</f>
        <v>Positive</v>
      </c>
      <c r="S30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73" spans="1:19" x14ac:dyDescent="0.25">
      <c r="A3073">
        <v>5</v>
      </c>
      <c r="B3073" t="b">
        <v>1</v>
      </c>
      <c r="C3073" s="1">
        <v>42602</v>
      </c>
      <c r="D3073">
        <f>YEAR(AMAZON_FASHION_5__2[[#This Row],[reviewDate]])</f>
        <v>2016</v>
      </c>
      <c r="E3073" s="1" t="str">
        <f>TEXT(AMAZON_FASHION_5__2[[#This Row],[reviewDate]], "mmmm")</f>
        <v>August</v>
      </c>
      <c r="F3073" t="s">
        <v>1305</v>
      </c>
      <c r="G3073" t="s">
        <v>1607</v>
      </c>
      <c r="H3073" t="s">
        <v>1598</v>
      </c>
      <c r="I3073" t="s">
        <v>198</v>
      </c>
      <c r="J3073" t="s">
        <v>1306</v>
      </c>
      <c r="K3073" t="s">
        <v>1307</v>
      </c>
      <c r="L3073" t="s">
        <v>1308</v>
      </c>
      <c r="M3073">
        <v>1471651200</v>
      </c>
      <c r="N3073" t="s">
        <v>1628</v>
      </c>
      <c r="O3073" t="s">
        <v>1628</v>
      </c>
      <c r="P3073" t="s">
        <v>1628</v>
      </c>
      <c r="Q3073">
        <f>LEN(AMAZON_FASHION_5__2[[#This Row],[reviewText]])</f>
        <v>1225</v>
      </c>
      <c r="R3073" t="str">
        <f>IF(AMAZON_FASHION_5__2[[#This Row],[overall]]&gt;=4,"Positive",IF(AMAZON_FASHION_5__2[[#This Row],[overall]]&lt;=2,"Negative","Neutral"))</f>
        <v>Positive</v>
      </c>
      <c r="S30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74" spans="1:19" x14ac:dyDescent="0.25">
      <c r="A3074">
        <v>5</v>
      </c>
      <c r="B3074" t="b">
        <v>1</v>
      </c>
      <c r="C3074" s="1">
        <v>42597</v>
      </c>
      <c r="D3074">
        <f>YEAR(AMAZON_FASHION_5__2[[#This Row],[reviewDate]])</f>
        <v>2016</v>
      </c>
      <c r="E3074" s="1" t="str">
        <f>TEXT(AMAZON_FASHION_5__2[[#This Row],[reviewDate]], "mmmm")</f>
        <v>August</v>
      </c>
      <c r="F3074" t="s">
        <v>1309</v>
      </c>
      <c r="G3074" t="s">
        <v>1607</v>
      </c>
      <c r="H3074" t="s">
        <v>320</v>
      </c>
      <c r="I3074" t="s">
        <v>198</v>
      </c>
      <c r="J3074" t="s">
        <v>1310</v>
      </c>
      <c r="K3074" t="s">
        <v>1311</v>
      </c>
      <c r="L3074" t="s">
        <v>1312</v>
      </c>
      <c r="M3074">
        <v>1471219200</v>
      </c>
      <c r="N3074" t="s">
        <v>1628</v>
      </c>
      <c r="O3074" t="s">
        <v>1628</v>
      </c>
      <c r="P3074" t="s">
        <v>1628</v>
      </c>
      <c r="Q3074">
        <f>LEN(AMAZON_FASHION_5__2[[#This Row],[reviewText]])</f>
        <v>246</v>
      </c>
      <c r="R3074" t="str">
        <f>IF(AMAZON_FASHION_5__2[[#This Row],[overall]]&gt;=4,"Positive",IF(AMAZON_FASHION_5__2[[#This Row],[overall]]&lt;=2,"Negative","Neutral"))</f>
        <v>Positive</v>
      </c>
      <c r="S30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75" spans="1:19" x14ac:dyDescent="0.25">
      <c r="A3075">
        <v>5</v>
      </c>
      <c r="B3075" t="b">
        <v>1</v>
      </c>
      <c r="C3075" s="1">
        <v>42597</v>
      </c>
      <c r="D3075">
        <f>YEAR(AMAZON_FASHION_5__2[[#This Row],[reviewDate]])</f>
        <v>2016</v>
      </c>
      <c r="E3075" s="1" t="str">
        <f>TEXT(AMAZON_FASHION_5__2[[#This Row],[reviewDate]], "mmmm")</f>
        <v>August</v>
      </c>
      <c r="F3075" t="s">
        <v>1313</v>
      </c>
      <c r="G3075" t="s">
        <v>1607</v>
      </c>
      <c r="H3075" t="s">
        <v>1595</v>
      </c>
      <c r="I3075" t="s">
        <v>1455</v>
      </c>
      <c r="J3075" t="s">
        <v>1314</v>
      </c>
      <c r="K3075" t="s">
        <v>1315</v>
      </c>
      <c r="L3075" t="s">
        <v>17</v>
      </c>
      <c r="M3075">
        <v>1471219200</v>
      </c>
      <c r="N3075" t="s">
        <v>1628</v>
      </c>
      <c r="O3075" t="s">
        <v>1628</v>
      </c>
      <c r="P3075" t="s">
        <v>1628</v>
      </c>
      <c r="Q3075">
        <f>LEN(AMAZON_FASHION_5__2[[#This Row],[reviewText]])</f>
        <v>40</v>
      </c>
      <c r="R3075" t="str">
        <f>IF(AMAZON_FASHION_5__2[[#This Row],[overall]]&gt;=4,"Positive",IF(AMAZON_FASHION_5__2[[#This Row],[overall]]&lt;=2,"Negative","Neutral"))</f>
        <v>Positive</v>
      </c>
      <c r="S30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76" spans="1:19" x14ac:dyDescent="0.25">
      <c r="A3076">
        <v>5</v>
      </c>
      <c r="B3076" t="b">
        <v>1</v>
      </c>
      <c r="C3076" s="1">
        <v>42596</v>
      </c>
      <c r="D3076">
        <f>YEAR(AMAZON_FASHION_5__2[[#This Row],[reviewDate]])</f>
        <v>2016</v>
      </c>
      <c r="E3076" s="1" t="str">
        <f>TEXT(AMAZON_FASHION_5__2[[#This Row],[reviewDate]], "mmmm")</f>
        <v>August</v>
      </c>
      <c r="F3076" t="s">
        <v>1316</v>
      </c>
      <c r="G3076" t="s">
        <v>1607</v>
      </c>
      <c r="H3076" t="s">
        <v>1568</v>
      </c>
      <c r="I3076" t="s">
        <v>849</v>
      </c>
      <c r="J3076" t="s">
        <v>1317</v>
      </c>
      <c r="K3076" t="s">
        <v>1318</v>
      </c>
      <c r="L3076" t="s">
        <v>1319</v>
      </c>
      <c r="M3076">
        <v>1471132800</v>
      </c>
      <c r="N3076" t="s">
        <v>1628</v>
      </c>
      <c r="O3076" t="s">
        <v>1628</v>
      </c>
      <c r="P3076" t="s">
        <v>1628</v>
      </c>
      <c r="Q3076">
        <f>LEN(AMAZON_FASHION_5__2[[#This Row],[reviewText]])</f>
        <v>224</v>
      </c>
      <c r="R3076" t="str">
        <f>IF(AMAZON_FASHION_5__2[[#This Row],[overall]]&gt;=4,"Positive",IF(AMAZON_FASHION_5__2[[#This Row],[overall]]&lt;=2,"Negative","Neutral"))</f>
        <v>Positive</v>
      </c>
      <c r="S30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77" spans="1:19" x14ac:dyDescent="0.25">
      <c r="A3077">
        <v>5</v>
      </c>
      <c r="B3077" t="b">
        <v>1</v>
      </c>
      <c r="C3077" s="1">
        <v>42590</v>
      </c>
      <c r="D3077">
        <f>YEAR(AMAZON_FASHION_5__2[[#This Row],[reviewDate]])</f>
        <v>2016</v>
      </c>
      <c r="E3077" s="1" t="str">
        <f>TEXT(AMAZON_FASHION_5__2[[#This Row],[reviewDate]], "mmmm")</f>
        <v>August</v>
      </c>
      <c r="F3077" t="s">
        <v>1320</v>
      </c>
      <c r="G3077" t="s">
        <v>1607</v>
      </c>
      <c r="H3077" t="s">
        <v>235</v>
      </c>
      <c r="I3077" t="s">
        <v>198</v>
      </c>
      <c r="J3077" t="s">
        <v>1321</v>
      </c>
      <c r="K3077" t="s">
        <v>1322</v>
      </c>
      <c r="L3077" t="s">
        <v>1323</v>
      </c>
      <c r="M3077">
        <v>1470614400</v>
      </c>
      <c r="N3077" t="s">
        <v>1628</v>
      </c>
      <c r="O3077" t="s">
        <v>1628</v>
      </c>
      <c r="P3077" t="s">
        <v>1628</v>
      </c>
      <c r="Q3077">
        <f>LEN(AMAZON_FASHION_5__2[[#This Row],[reviewText]])</f>
        <v>105</v>
      </c>
      <c r="R3077" t="str">
        <f>IF(AMAZON_FASHION_5__2[[#This Row],[overall]]&gt;=4,"Positive",IF(AMAZON_FASHION_5__2[[#This Row],[overall]]&lt;=2,"Negative","Neutral"))</f>
        <v>Positive</v>
      </c>
      <c r="S30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78" spans="1:19" x14ac:dyDescent="0.25">
      <c r="A3078">
        <v>3</v>
      </c>
      <c r="B3078" t="b">
        <v>1</v>
      </c>
      <c r="C3078" s="1">
        <v>42587</v>
      </c>
      <c r="D3078">
        <f>YEAR(AMAZON_FASHION_5__2[[#This Row],[reviewDate]])</f>
        <v>2016</v>
      </c>
      <c r="E3078" s="1" t="str">
        <f>TEXT(AMAZON_FASHION_5__2[[#This Row],[reviewDate]], "mmmm")</f>
        <v>August</v>
      </c>
      <c r="F3078" t="s">
        <v>1324</v>
      </c>
      <c r="G3078" t="s">
        <v>1607</v>
      </c>
      <c r="H3078" t="s">
        <v>1598</v>
      </c>
      <c r="I3078" t="s">
        <v>198</v>
      </c>
      <c r="J3078" t="s">
        <v>1325</v>
      </c>
      <c r="K3078" t="s">
        <v>1326</v>
      </c>
      <c r="L3078" t="s">
        <v>1327</v>
      </c>
      <c r="M3078">
        <v>1470355200</v>
      </c>
      <c r="N3078" t="s">
        <v>1628</v>
      </c>
      <c r="O3078" t="s">
        <v>1628</v>
      </c>
      <c r="P3078">
        <v>2</v>
      </c>
      <c r="Q3078">
        <f>LEN(AMAZON_FASHION_5__2[[#This Row],[reviewText]])</f>
        <v>772</v>
      </c>
      <c r="R3078" t="str">
        <f>IF(AMAZON_FASHION_5__2[[#This Row],[overall]]&gt;=4,"Positive",IF(AMAZON_FASHION_5__2[[#This Row],[overall]]&lt;=2,"Negative","Neutral"))</f>
        <v>Neutral</v>
      </c>
      <c r="S307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79" spans="1:19" x14ac:dyDescent="0.25">
      <c r="A3079">
        <v>5</v>
      </c>
      <c r="B3079" t="b">
        <v>1</v>
      </c>
      <c r="C3079" s="1">
        <v>42578</v>
      </c>
      <c r="D3079">
        <f>YEAR(AMAZON_FASHION_5__2[[#This Row],[reviewDate]])</f>
        <v>2016</v>
      </c>
      <c r="E3079" s="1" t="str">
        <f>TEXT(AMAZON_FASHION_5__2[[#This Row],[reviewDate]], "mmmm")</f>
        <v>July</v>
      </c>
      <c r="F3079" t="s">
        <v>1328</v>
      </c>
      <c r="G3079" t="s">
        <v>1607</v>
      </c>
      <c r="H3079" t="s">
        <v>1585</v>
      </c>
      <c r="I3079" t="s">
        <v>198</v>
      </c>
      <c r="J3079" t="s">
        <v>1329</v>
      </c>
      <c r="K3079" t="s">
        <v>1330</v>
      </c>
      <c r="L3079" t="s">
        <v>1331</v>
      </c>
      <c r="M3079">
        <v>1469577600</v>
      </c>
      <c r="N3079" t="s">
        <v>1628</v>
      </c>
      <c r="O3079" t="s">
        <v>1628</v>
      </c>
      <c r="P3079" t="s">
        <v>1628</v>
      </c>
      <c r="Q3079">
        <f>LEN(AMAZON_FASHION_5__2[[#This Row],[reviewText]])</f>
        <v>37</v>
      </c>
      <c r="R3079" t="str">
        <f>IF(AMAZON_FASHION_5__2[[#This Row],[overall]]&gt;=4,"Positive",IF(AMAZON_FASHION_5__2[[#This Row],[overall]]&lt;=2,"Negative","Neutral"))</f>
        <v>Positive</v>
      </c>
      <c r="S307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80" spans="1:19" x14ac:dyDescent="0.25">
      <c r="A3080">
        <v>5</v>
      </c>
      <c r="B3080" t="b">
        <v>0</v>
      </c>
      <c r="C3080" s="1">
        <v>42573</v>
      </c>
      <c r="D3080">
        <f>YEAR(AMAZON_FASHION_5__2[[#This Row],[reviewDate]])</f>
        <v>2016</v>
      </c>
      <c r="E3080" s="1" t="str">
        <f>TEXT(AMAZON_FASHION_5__2[[#This Row],[reviewDate]], "mmmm")</f>
        <v>July</v>
      </c>
      <c r="F3080" t="s">
        <v>1332</v>
      </c>
      <c r="G3080" t="s">
        <v>1607</v>
      </c>
      <c r="H3080" t="s">
        <v>1598</v>
      </c>
      <c r="I3080" t="s">
        <v>344</v>
      </c>
      <c r="J3080" t="s">
        <v>1333</v>
      </c>
      <c r="K3080" t="s">
        <v>1334</v>
      </c>
      <c r="L3080" t="s">
        <v>543</v>
      </c>
      <c r="M3080">
        <v>1469145600</v>
      </c>
      <c r="N3080" t="s">
        <v>1628</v>
      </c>
      <c r="O3080" t="s">
        <v>1628</v>
      </c>
      <c r="P3080" t="s">
        <v>1628</v>
      </c>
      <c r="Q3080">
        <f>LEN(AMAZON_FASHION_5__2[[#This Row],[reviewText]])</f>
        <v>427</v>
      </c>
      <c r="R3080" t="str">
        <f>IF(AMAZON_FASHION_5__2[[#This Row],[overall]]&gt;=4,"Positive",IF(AMAZON_FASHION_5__2[[#This Row],[overall]]&lt;=2,"Negative","Neutral"))</f>
        <v>Positive</v>
      </c>
      <c r="S308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81" spans="1:19" x14ac:dyDescent="0.25">
      <c r="A3081">
        <v>3</v>
      </c>
      <c r="B3081" t="b">
        <v>1</v>
      </c>
      <c r="C3081" s="1">
        <v>42572</v>
      </c>
      <c r="D3081">
        <f>YEAR(AMAZON_FASHION_5__2[[#This Row],[reviewDate]])</f>
        <v>2016</v>
      </c>
      <c r="E3081" s="1" t="str">
        <f>TEXT(AMAZON_FASHION_5__2[[#This Row],[reviewDate]], "mmmm")</f>
        <v>July</v>
      </c>
      <c r="F3081" t="s">
        <v>1335</v>
      </c>
      <c r="G3081" t="s">
        <v>1607</v>
      </c>
      <c r="H3081" t="s">
        <v>1596</v>
      </c>
      <c r="I3081" t="s">
        <v>198</v>
      </c>
      <c r="J3081" t="s">
        <v>1336</v>
      </c>
      <c r="K3081" t="s">
        <v>1337</v>
      </c>
      <c r="L3081" t="s">
        <v>1338</v>
      </c>
      <c r="M3081">
        <v>1469059200</v>
      </c>
      <c r="N3081" t="s">
        <v>1628</v>
      </c>
      <c r="O3081" t="s">
        <v>1628</v>
      </c>
      <c r="P3081" t="s">
        <v>1628</v>
      </c>
      <c r="Q3081">
        <f>LEN(AMAZON_FASHION_5__2[[#This Row],[reviewText]])</f>
        <v>50</v>
      </c>
      <c r="R3081" t="str">
        <f>IF(AMAZON_FASHION_5__2[[#This Row],[overall]]&gt;=4,"Positive",IF(AMAZON_FASHION_5__2[[#This Row],[overall]]&lt;=2,"Negative","Neutral"))</f>
        <v>Neutral</v>
      </c>
      <c r="S308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82" spans="1:19" x14ac:dyDescent="0.25">
      <c r="A3082">
        <v>5</v>
      </c>
      <c r="B3082" t="b">
        <v>1</v>
      </c>
      <c r="C3082" s="1">
        <v>42570</v>
      </c>
      <c r="D3082">
        <f>YEAR(AMAZON_FASHION_5__2[[#This Row],[reviewDate]])</f>
        <v>2016</v>
      </c>
      <c r="E3082" s="1" t="str">
        <f>TEXT(AMAZON_FASHION_5__2[[#This Row],[reviewDate]], "mmmm")</f>
        <v>July</v>
      </c>
      <c r="F3082" t="s">
        <v>1339</v>
      </c>
      <c r="G3082" t="s">
        <v>1607</v>
      </c>
      <c r="H3082" t="s">
        <v>1598</v>
      </c>
      <c r="I3082" t="s">
        <v>198</v>
      </c>
      <c r="J3082" t="s">
        <v>1340</v>
      </c>
      <c r="K3082" t="s">
        <v>1341</v>
      </c>
      <c r="L3082" t="s">
        <v>17</v>
      </c>
      <c r="M3082">
        <v>1468886400</v>
      </c>
      <c r="N3082" t="s">
        <v>1628</v>
      </c>
      <c r="O3082" t="s">
        <v>1628</v>
      </c>
      <c r="P3082" t="s">
        <v>1628</v>
      </c>
      <c r="Q3082">
        <f>LEN(AMAZON_FASHION_5__2[[#This Row],[reviewText]])</f>
        <v>20</v>
      </c>
      <c r="R3082" t="str">
        <f>IF(AMAZON_FASHION_5__2[[#This Row],[overall]]&gt;=4,"Positive",IF(AMAZON_FASHION_5__2[[#This Row],[overall]]&lt;=2,"Negative","Neutral"))</f>
        <v>Positive</v>
      </c>
      <c r="S308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83" spans="1:19" x14ac:dyDescent="0.25">
      <c r="A3083">
        <v>5</v>
      </c>
      <c r="B3083" t="b">
        <v>1</v>
      </c>
      <c r="C3083" s="1">
        <v>42569</v>
      </c>
      <c r="D3083">
        <f>YEAR(AMAZON_FASHION_5__2[[#This Row],[reviewDate]])</f>
        <v>2016</v>
      </c>
      <c r="E3083" s="1" t="str">
        <f>TEXT(AMAZON_FASHION_5__2[[#This Row],[reviewDate]], "mmmm")</f>
        <v>July</v>
      </c>
      <c r="F3083" t="s">
        <v>1342</v>
      </c>
      <c r="G3083" t="s">
        <v>1607</v>
      </c>
      <c r="H3083" t="s">
        <v>1571</v>
      </c>
      <c r="I3083" t="s">
        <v>211</v>
      </c>
      <c r="J3083" t="s">
        <v>1343</v>
      </c>
      <c r="K3083" t="s">
        <v>1344</v>
      </c>
      <c r="L3083" t="s">
        <v>1345</v>
      </c>
      <c r="M3083">
        <v>1468800000</v>
      </c>
      <c r="N3083" t="s">
        <v>1628</v>
      </c>
      <c r="O3083" t="s">
        <v>1628</v>
      </c>
      <c r="P3083" t="s">
        <v>1628</v>
      </c>
      <c r="Q3083">
        <f>LEN(AMAZON_FASHION_5__2[[#This Row],[reviewText]])</f>
        <v>306</v>
      </c>
      <c r="R3083" t="str">
        <f>IF(AMAZON_FASHION_5__2[[#This Row],[overall]]&gt;=4,"Positive",IF(AMAZON_FASHION_5__2[[#This Row],[overall]]&lt;=2,"Negative","Neutral"))</f>
        <v>Positive</v>
      </c>
      <c r="S308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84" spans="1:19" x14ac:dyDescent="0.25">
      <c r="A3084">
        <v>5</v>
      </c>
      <c r="B3084" t="b">
        <v>1</v>
      </c>
      <c r="C3084" s="1">
        <v>42564</v>
      </c>
      <c r="D3084">
        <f>YEAR(AMAZON_FASHION_5__2[[#This Row],[reviewDate]])</f>
        <v>2016</v>
      </c>
      <c r="E3084" s="1" t="str">
        <f>TEXT(AMAZON_FASHION_5__2[[#This Row],[reviewDate]], "mmmm")</f>
        <v>July</v>
      </c>
      <c r="F3084" t="s">
        <v>1346</v>
      </c>
      <c r="G3084" t="s">
        <v>1607</v>
      </c>
      <c r="H3084" t="s">
        <v>210</v>
      </c>
      <c r="I3084" t="s">
        <v>198</v>
      </c>
      <c r="J3084" t="s">
        <v>1347</v>
      </c>
      <c r="K3084" t="s">
        <v>1348</v>
      </c>
      <c r="L3084" t="s">
        <v>1349</v>
      </c>
      <c r="M3084">
        <v>1468368000</v>
      </c>
      <c r="N3084" t="s">
        <v>1628</v>
      </c>
      <c r="O3084" t="s">
        <v>1628</v>
      </c>
      <c r="P3084" t="s">
        <v>1628</v>
      </c>
      <c r="Q3084">
        <f>LEN(AMAZON_FASHION_5__2[[#This Row],[reviewText]])</f>
        <v>188</v>
      </c>
      <c r="R3084" t="str">
        <f>IF(AMAZON_FASHION_5__2[[#This Row],[overall]]&gt;=4,"Positive",IF(AMAZON_FASHION_5__2[[#This Row],[overall]]&lt;=2,"Negative","Neutral"))</f>
        <v>Positive</v>
      </c>
      <c r="S308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85" spans="1:19" x14ac:dyDescent="0.25">
      <c r="A3085">
        <v>5</v>
      </c>
      <c r="B3085" t="b">
        <v>1</v>
      </c>
      <c r="C3085" s="1">
        <v>42552</v>
      </c>
      <c r="D3085">
        <f>YEAR(AMAZON_FASHION_5__2[[#This Row],[reviewDate]])</f>
        <v>2016</v>
      </c>
      <c r="E3085" s="1" t="str">
        <f>TEXT(AMAZON_FASHION_5__2[[#This Row],[reviewDate]], "mmmm")</f>
        <v>July</v>
      </c>
      <c r="F3085" t="s">
        <v>1350</v>
      </c>
      <c r="G3085" t="s">
        <v>1607</v>
      </c>
      <c r="H3085" t="s">
        <v>320</v>
      </c>
      <c r="I3085" t="s">
        <v>198</v>
      </c>
      <c r="J3085" t="s">
        <v>63</v>
      </c>
      <c r="K3085" t="s">
        <v>1351</v>
      </c>
      <c r="L3085" t="s">
        <v>1352</v>
      </c>
      <c r="M3085">
        <v>1467331200</v>
      </c>
      <c r="N3085" t="s">
        <v>1628</v>
      </c>
      <c r="O3085" t="s">
        <v>1628</v>
      </c>
      <c r="P3085" t="s">
        <v>1628</v>
      </c>
      <c r="Q3085">
        <f>LEN(AMAZON_FASHION_5__2[[#This Row],[reviewText]])</f>
        <v>62</v>
      </c>
      <c r="R3085" t="str">
        <f>IF(AMAZON_FASHION_5__2[[#This Row],[overall]]&gt;=4,"Positive",IF(AMAZON_FASHION_5__2[[#This Row],[overall]]&lt;=2,"Negative","Neutral"))</f>
        <v>Positive</v>
      </c>
      <c r="S308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86" spans="1:19" x14ac:dyDescent="0.25">
      <c r="A3086">
        <v>5</v>
      </c>
      <c r="B3086" t="b">
        <v>1</v>
      </c>
      <c r="C3086" s="1">
        <v>42552</v>
      </c>
      <c r="D3086">
        <f>YEAR(AMAZON_FASHION_5__2[[#This Row],[reviewDate]])</f>
        <v>2016</v>
      </c>
      <c r="E3086" s="1" t="str">
        <f>TEXT(AMAZON_FASHION_5__2[[#This Row],[reviewDate]], "mmmm")</f>
        <v>July</v>
      </c>
      <c r="F3086" t="s">
        <v>1353</v>
      </c>
      <c r="G3086" t="s">
        <v>1607</v>
      </c>
      <c r="H3086" t="s">
        <v>1598</v>
      </c>
      <c r="I3086" t="s">
        <v>493</v>
      </c>
      <c r="J3086" t="s">
        <v>1354</v>
      </c>
      <c r="K3086" t="s">
        <v>1355</v>
      </c>
      <c r="L3086" t="s">
        <v>1356</v>
      </c>
      <c r="M3086">
        <v>1467331200</v>
      </c>
      <c r="N3086" t="s">
        <v>1628</v>
      </c>
      <c r="O3086" t="s">
        <v>1628</v>
      </c>
      <c r="P3086">
        <v>5</v>
      </c>
      <c r="Q3086">
        <f>LEN(AMAZON_FASHION_5__2[[#This Row],[reviewText]])</f>
        <v>378</v>
      </c>
      <c r="R3086" t="str">
        <f>IF(AMAZON_FASHION_5__2[[#This Row],[overall]]&gt;=4,"Positive",IF(AMAZON_FASHION_5__2[[#This Row],[overall]]&lt;=2,"Negative","Neutral"))</f>
        <v>Positive</v>
      </c>
      <c r="S308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87" spans="1:19" x14ac:dyDescent="0.25">
      <c r="A3087">
        <v>5</v>
      </c>
      <c r="B3087" t="b">
        <v>1</v>
      </c>
      <c r="C3087" s="1">
        <v>42549</v>
      </c>
      <c r="D3087">
        <f>YEAR(AMAZON_FASHION_5__2[[#This Row],[reviewDate]])</f>
        <v>2016</v>
      </c>
      <c r="E3087" s="1" t="str">
        <f>TEXT(AMAZON_FASHION_5__2[[#This Row],[reviewDate]], "mmmm")</f>
        <v>June</v>
      </c>
      <c r="F3087" t="s">
        <v>1357</v>
      </c>
      <c r="G3087" t="s">
        <v>1607</v>
      </c>
      <c r="H3087" t="s">
        <v>1578</v>
      </c>
      <c r="I3087" t="s">
        <v>198</v>
      </c>
      <c r="J3087" t="s">
        <v>1358</v>
      </c>
      <c r="K3087" t="s">
        <v>1359</v>
      </c>
      <c r="L3087" t="s">
        <v>1360</v>
      </c>
      <c r="M3087">
        <v>1467072000</v>
      </c>
      <c r="N3087" t="s">
        <v>1628</v>
      </c>
      <c r="O3087" t="s">
        <v>1628</v>
      </c>
      <c r="P3087">
        <v>7</v>
      </c>
      <c r="Q3087">
        <f>LEN(AMAZON_FASHION_5__2[[#This Row],[reviewText]])</f>
        <v>288</v>
      </c>
      <c r="R3087" t="str">
        <f>IF(AMAZON_FASHION_5__2[[#This Row],[overall]]&gt;=4,"Positive",IF(AMAZON_FASHION_5__2[[#This Row],[overall]]&lt;=2,"Negative","Neutral"))</f>
        <v>Positive</v>
      </c>
      <c r="S308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88" spans="1:19" x14ac:dyDescent="0.25">
      <c r="A3088">
        <v>5</v>
      </c>
      <c r="B3088" t="b">
        <v>1</v>
      </c>
      <c r="C3088" s="1">
        <v>42546</v>
      </c>
      <c r="D3088">
        <f>YEAR(AMAZON_FASHION_5__2[[#This Row],[reviewDate]])</f>
        <v>2016</v>
      </c>
      <c r="E3088" s="1" t="str">
        <f>TEXT(AMAZON_FASHION_5__2[[#This Row],[reviewDate]], "mmmm")</f>
        <v>June</v>
      </c>
      <c r="F3088" t="s">
        <v>1361</v>
      </c>
      <c r="G3088" t="s">
        <v>1607</v>
      </c>
      <c r="H3088" t="s">
        <v>205</v>
      </c>
      <c r="I3088" t="s">
        <v>849</v>
      </c>
      <c r="J3088" t="s">
        <v>1362</v>
      </c>
      <c r="K3088" t="s">
        <v>1363</v>
      </c>
      <c r="L3088" t="s">
        <v>17</v>
      </c>
      <c r="M3088">
        <v>1466812800</v>
      </c>
      <c r="N3088" t="s">
        <v>1628</v>
      </c>
      <c r="O3088" t="s">
        <v>1628</v>
      </c>
      <c r="P3088" t="s">
        <v>1628</v>
      </c>
      <c r="Q3088">
        <f>LEN(AMAZON_FASHION_5__2[[#This Row],[reviewText]])</f>
        <v>60</v>
      </c>
      <c r="R3088" t="str">
        <f>IF(AMAZON_FASHION_5__2[[#This Row],[overall]]&gt;=4,"Positive",IF(AMAZON_FASHION_5__2[[#This Row],[overall]]&lt;=2,"Negative","Neutral"))</f>
        <v>Positive</v>
      </c>
      <c r="S308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89" spans="1:19" x14ac:dyDescent="0.25">
      <c r="A3089">
        <v>3</v>
      </c>
      <c r="B3089" t="b">
        <v>1</v>
      </c>
      <c r="C3089" s="1">
        <v>42542</v>
      </c>
      <c r="D3089">
        <f>YEAR(AMAZON_FASHION_5__2[[#This Row],[reviewDate]])</f>
        <v>2016</v>
      </c>
      <c r="E3089" s="1" t="str">
        <f>TEXT(AMAZON_FASHION_5__2[[#This Row],[reviewDate]], "mmmm")</f>
        <v>June</v>
      </c>
      <c r="F3089" t="s">
        <v>1364</v>
      </c>
      <c r="G3089" t="s">
        <v>1607</v>
      </c>
      <c r="H3089" t="s">
        <v>1596</v>
      </c>
      <c r="I3089" t="s">
        <v>211</v>
      </c>
      <c r="J3089" t="s">
        <v>63</v>
      </c>
      <c r="K3089" t="s">
        <v>1365</v>
      </c>
      <c r="L3089" t="s">
        <v>1366</v>
      </c>
      <c r="M3089">
        <v>1466467200</v>
      </c>
      <c r="N3089" t="s">
        <v>1628</v>
      </c>
      <c r="O3089" t="s">
        <v>1628</v>
      </c>
      <c r="P3089">
        <v>3</v>
      </c>
      <c r="Q3089">
        <f>LEN(AMAZON_FASHION_5__2[[#This Row],[reviewText]])</f>
        <v>236</v>
      </c>
      <c r="R3089" t="str">
        <f>IF(AMAZON_FASHION_5__2[[#This Row],[overall]]&gt;=4,"Positive",IF(AMAZON_FASHION_5__2[[#This Row],[overall]]&lt;=2,"Negative","Neutral"))</f>
        <v>Neutral</v>
      </c>
      <c r="S308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90" spans="1:19" x14ac:dyDescent="0.25">
      <c r="A3090">
        <v>5</v>
      </c>
      <c r="B3090" t="b">
        <v>1</v>
      </c>
      <c r="C3090" s="1">
        <v>42540</v>
      </c>
      <c r="D3090">
        <f>YEAR(AMAZON_FASHION_5__2[[#This Row],[reviewDate]])</f>
        <v>2016</v>
      </c>
      <c r="E3090" s="1" t="str">
        <f>TEXT(AMAZON_FASHION_5__2[[#This Row],[reviewDate]], "mmmm")</f>
        <v>June</v>
      </c>
      <c r="F3090" t="s">
        <v>1367</v>
      </c>
      <c r="G3090" t="s">
        <v>1607</v>
      </c>
      <c r="H3090" t="s">
        <v>1571</v>
      </c>
      <c r="I3090" t="s">
        <v>198</v>
      </c>
      <c r="J3090" t="s">
        <v>1368</v>
      </c>
      <c r="K3090" t="s">
        <v>1369</v>
      </c>
      <c r="L3090" t="s">
        <v>480</v>
      </c>
      <c r="M3090">
        <v>1466294400</v>
      </c>
      <c r="N3090" t="s">
        <v>1628</v>
      </c>
      <c r="O3090" t="s">
        <v>1628</v>
      </c>
      <c r="P3090">
        <v>3</v>
      </c>
      <c r="Q3090">
        <f>LEN(AMAZON_FASHION_5__2[[#This Row],[reviewText]])</f>
        <v>308</v>
      </c>
      <c r="R3090" t="str">
        <f>IF(AMAZON_FASHION_5__2[[#This Row],[overall]]&gt;=4,"Positive",IF(AMAZON_FASHION_5__2[[#This Row],[overall]]&lt;=2,"Negative","Neutral"))</f>
        <v>Positive</v>
      </c>
      <c r="S309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91" spans="1:19" x14ac:dyDescent="0.25">
      <c r="A3091">
        <v>5</v>
      </c>
      <c r="B3091" t="b">
        <v>0</v>
      </c>
      <c r="C3091" s="1">
        <v>42537</v>
      </c>
      <c r="D3091">
        <f>YEAR(AMAZON_FASHION_5__2[[#This Row],[reviewDate]])</f>
        <v>2016</v>
      </c>
      <c r="E3091" s="1" t="str">
        <f>TEXT(AMAZON_FASHION_5__2[[#This Row],[reviewDate]], "mmmm")</f>
        <v>June</v>
      </c>
      <c r="F3091" t="s">
        <v>1370</v>
      </c>
      <c r="G3091" t="s">
        <v>1607</v>
      </c>
      <c r="H3091" t="s">
        <v>1571</v>
      </c>
      <c r="I3091" t="s">
        <v>236</v>
      </c>
      <c r="J3091" t="s">
        <v>63</v>
      </c>
      <c r="K3091" t="s">
        <v>1371</v>
      </c>
      <c r="L3091" t="s">
        <v>1372</v>
      </c>
      <c r="M3091">
        <v>1466035200</v>
      </c>
      <c r="N3091" t="s">
        <v>1628</v>
      </c>
      <c r="O3091" t="s">
        <v>1628</v>
      </c>
      <c r="P3091">
        <v>3</v>
      </c>
      <c r="Q3091">
        <f>LEN(AMAZON_FASHION_5__2[[#This Row],[reviewText]])</f>
        <v>370</v>
      </c>
      <c r="R3091" t="str">
        <f>IF(AMAZON_FASHION_5__2[[#This Row],[overall]]&gt;=4,"Positive",IF(AMAZON_FASHION_5__2[[#This Row],[overall]]&lt;=2,"Negative","Neutral"))</f>
        <v>Positive</v>
      </c>
      <c r="S309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92" spans="1:19" x14ac:dyDescent="0.25">
      <c r="A3092">
        <v>5</v>
      </c>
      <c r="B3092" t="b">
        <v>1</v>
      </c>
      <c r="C3092" s="1">
        <v>42531</v>
      </c>
      <c r="D3092">
        <f>YEAR(AMAZON_FASHION_5__2[[#This Row],[reviewDate]])</f>
        <v>2016</v>
      </c>
      <c r="E3092" s="1" t="str">
        <f>TEXT(AMAZON_FASHION_5__2[[#This Row],[reviewDate]], "mmmm")</f>
        <v>June</v>
      </c>
      <c r="F3092" t="s">
        <v>1373</v>
      </c>
      <c r="G3092" t="s">
        <v>1607</v>
      </c>
      <c r="H3092" t="s">
        <v>1572</v>
      </c>
      <c r="I3092" t="s">
        <v>198</v>
      </c>
      <c r="J3092" t="s">
        <v>1374</v>
      </c>
      <c r="K3092" t="s">
        <v>1375</v>
      </c>
      <c r="L3092" t="s">
        <v>1376</v>
      </c>
      <c r="M3092">
        <v>1465516800</v>
      </c>
      <c r="N3092" t="s">
        <v>1628</v>
      </c>
      <c r="O3092" t="s">
        <v>1628</v>
      </c>
      <c r="P3092">
        <v>11</v>
      </c>
      <c r="Q3092">
        <f>LEN(AMAZON_FASHION_5__2[[#This Row],[reviewText]])</f>
        <v>204</v>
      </c>
      <c r="R3092" t="str">
        <f>IF(AMAZON_FASHION_5__2[[#This Row],[overall]]&gt;=4,"Positive",IF(AMAZON_FASHION_5__2[[#This Row],[overall]]&lt;=2,"Negative","Neutral"))</f>
        <v>Positive</v>
      </c>
      <c r="S309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93" spans="1:19" x14ac:dyDescent="0.25">
      <c r="A3093">
        <v>5</v>
      </c>
      <c r="B3093" t="b">
        <v>1</v>
      </c>
      <c r="C3093" s="1">
        <v>42526</v>
      </c>
      <c r="D3093">
        <f>YEAR(AMAZON_FASHION_5__2[[#This Row],[reviewDate]])</f>
        <v>2016</v>
      </c>
      <c r="E3093" s="1" t="str">
        <f>TEXT(AMAZON_FASHION_5__2[[#This Row],[reviewDate]], "mmmm")</f>
        <v>June</v>
      </c>
      <c r="F3093" t="s">
        <v>1377</v>
      </c>
      <c r="G3093" t="s">
        <v>1607</v>
      </c>
      <c r="H3093" t="s">
        <v>1574</v>
      </c>
      <c r="I3093" t="s">
        <v>198</v>
      </c>
      <c r="J3093" t="s">
        <v>1378</v>
      </c>
      <c r="K3093" t="s">
        <v>1379</v>
      </c>
      <c r="L3093" t="s">
        <v>17</v>
      </c>
      <c r="M3093">
        <v>1465084800</v>
      </c>
      <c r="N3093" t="s">
        <v>1628</v>
      </c>
      <c r="O3093" t="s">
        <v>1628</v>
      </c>
      <c r="P3093" t="s">
        <v>1628</v>
      </c>
      <c r="Q3093">
        <f>LEN(AMAZON_FASHION_5__2[[#This Row],[reviewText]])</f>
        <v>9</v>
      </c>
      <c r="R3093" t="str">
        <f>IF(AMAZON_FASHION_5__2[[#This Row],[overall]]&gt;=4,"Positive",IF(AMAZON_FASHION_5__2[[#This Row],[overall]]&lt;=2,"Negative","Neutral"))</f>
        <v>Positive</v>
      </c>
      <c r="S309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94" spans="1:19" x14ac:dyDescent="0.25">
      <c r="A3094">
        <v>5</v>
      </c>
      <c r="B3094" t="b">
        <v>1</v>
      </c>
      <c r="C3094" s="1">
        <v>42523</v>
      </c>
      <c r="D3094">
        <f>YEAR(AMAZON_FASHION_5__2[[#This Row],[reviewDate]])</f>
        <v>2016</v>
      </c>
      <c r="E3094" s="1" t="str">
        <f>TEXT(AMAZON_FASHION_5__2[[#This Row],[reviewDate]], "mmmm")</f>
        <v>June</v>
      </c>
      <c r="F3094" t="s">
        <v>1380</v>
      </c>
      <c r="G3094" t="s">
        <v>1607</v>
      </c>
      <c r="H3094" t="s">
        <v>1574</v>
      </c>
      <c r="I3094" t="s">
        <v>493</v>
      </c>
      <c r="J3094" t="s">
        <v>1381</v>
      </c>
      <c r="K3094" t="s">
        <v>1382</v>
      </c>
      <c r="L3094" t="s">
        <v>1383</v>
      </c>
      <c r="M3094">
        <v>1464825600</v>
      </c>
      <c r="N3094" t="s">
        <v>1628</v>
      </c>
      <c r="O3094" t="s">
        <v>1628</v>
      </c>
      <c r="P3094" t="s">
        <v>1628</v>
      </c>
      <c r="Q3094">
        <f>LEN(AMAZON_FASHION_5__2[[#This Row],[reviewText]])</f>
        <v>237</v>
      </c>
      <c r="R3094" t="str">
        <f>IF(AMAZON_FASHION_5__2[[#This Row],[overall]]&gt;=4,"Positive",IF(AMAZON_FASHION_5__2[[#This Row],[overall]]&lt;=2,"Negative","Neutral"))</f>
        <v>Positive</v>
      </c>
      <c r="S309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95" spans="1:19" x14ac:dyDescent="0.25">
      <c r="A3095">
        <v>5</v>
      </c>
      <c r="B3095" t="b">
        <v>1</v>
      </c>
      <c r="C3095" s="1">
        <v>42519</v>
      </c>
      <c r="D3095">
        <f>YEAR(AMAZON_FASHION_5__2[[#This Row],[reviewDate]])</f>
        <v>2016</v>
      </c>
      <c r="E3095" s="1" t="str">
        <f>TEXT(AMAZON_FASHION_5__2[[#This Row],[reviewDate]], "mmmm")</f>
        <v>May</v>
      </c>
      <c r="F3095" t="s">
        <v>1384</v>
      </c>
      <c r="G3095" t="s">
        <v>1607</v>
      </c>
      <c r="H3095" t="s">
        <v>1567</v>
      </c>
      <c r="I3095" t="s">
        <v>211</v>
      </c>
      <c r="J3095" t="s">
        <v>1385</v>
      </c>
      <c r="K3095" t="s">
        <v>1386</v>
      </c>
      <c r="L3095" t="s">
        <v>17</v>
      </c>
      <c r="M3095">
        <v>1464480000</v>
      </c>
      <c r="N3095" t="s">
        <v>1628</v>
      </c>
      <c r="O3095" t="s">
        <v>1628</v>
      </c>
      <c r="P3095" t="s">
        <v>1628</v>
      </c>
      <c r="Q3095">
        <f>LEN(AMAZON_FASHION_5__2[[#This Row],[reviewText]])</f>
        <v>11</v>
      </c>
      <c r="R3095" t="str">
        <f>IF(AMAZON_FASHION_5__2[[#This Row],[overall]]&gt;=4,"Positive",IF(AMAZON_FASHION_5__2[[#This Row],[overall]]&lt;=2,"Negative","Neutral"))</f>
        <v>Positive</v>
      </c>
      <c r="S309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96" spans="1:19" x14ac:dyDescent="0.25">
      <c r="A3096">
        <v>5</v>
      </c>
      <c r="B3096" t="b">
        <v>1</v>
      </c>
      <c r="C3096" s="1">
        <v>42518</v>
      </c>
      <c r="D3096">
        <f>YEAR(AMAZON_FASHION_5__2[[#This Row],[reviewDate]])</f>
        <v>2016</v>
      </c>
      <c r="E3096" s="1" t="str">
        <f>TEXT(AMAZON_FASHION_5__2[[#This Row],[reviewDate]], "mmmm")</f>
        <v>May</v>
      </c>
      <c r="F3096" t="s">
        <v>1387</v>
      </c>
      <c r="G3096" t="s">
        <v>1607</v>
      </c>
      <c r="H3096" t="s">
        <v>1388</v>
      </c>
      <c r="I3096" t="s">
        <v>1570</v>
      </c>
      <c r="J3096" t="s">
        <v>63</v>
      </c>
      <c r="K3096" t="s">
        <v>638</v>
      </c>
      <c r="L3096" t="s">
        <v>17</v>
      </c>
      <c r="M3096">
        <v>1464393600</v>
      </c>
      <c r="N3096" t="s">
        <v>1628</v>
      </c>
      <c r="O3096" t="s">
        <v>1628</v>
      </c>
      <c r="P3096" t="s">
        <v>1628</v>
      </c>
      <c r="Q3096">
        <f>LEN(AMAZON_FASHION_5__2[[#This Row],[reviewText]])</f>
        <v>7</v>
      </c>
      <c r="R3096" t="str">
        <f>IF(AMAZON_FASHION_5__2[[#This Row],[overall]]&gt;=4,"Positive",IF(AMAZON_FASHION_5__2[[#This Row],[overall]]&lt;=2,"Negative","Neutral"))</f>
        <v>Positive</v>
      </c>
      <c r="S309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97" spans="1:19" x14ac:dyDescent="0.25">
      <c r="A3097">
        <v>5</v>
      </c>
      <c r="B3097" t="b">
        <v>0</v>
      </c>
      <c r="C3097" s="1">
        <v>42514</v>
      </c>
      <c r="D3097">
        <f>YEAR(AMAZON_FASHION_5__2[[#This Row],[reviewDate]])</f>
        <v>2016</v>
      </c>
      <c r="E3097" s="1" t="str">
        <f>TEXT(AMAZON_FASHION_5__2[[#This Row],[reviewDate]], "mmmm")</f>
        <v>May</v>
      </c>
      <c r="F3097" t="s">
        <v>1389</v>
      </c>
      <c r="G3097" t="s">
        <v>1607</v>
      </c>
      <c r="H3097" t="s">
        <v>1628</v>
      </c>
      <c r="I3097" t="s">
        <v>1628</v>
      </c>
      <c r="J3097" t="s">
        <v>1390</v>
      </c>
      <c r="K3097" t="s">
        <v>1391</v>
      </c>
      <c r="L3097" t="s">
        <v>1392</v>
      </c>
      <c r="M3097">
        <v>1464048000</v>
      </c>
      <c r="N3097" t="s">
        <v>1628</v>
      </c>
      <c r="O3097" t="s">
        <v>1628</v>
      </c>
      <c r="P3097">
        <v>8</v>
      </c>
      <c r="Q3097">
        <f>LEN(AMAZON_FASHION_5__2[[#This Row],[reviewText]])</f>
        <v>629</v>
      </c>
      <c r="R3097" t="str">
        <f>IF(AMAZON_FASHION_5__2[[#This Row],[overall]]&gt;=4,"Positive",IF(AMAZON_FASHION_5__2[[#This Row],[overall]]&lt;=2,"Negative","Neutral"))</f>
        <v>Positive</v>
      </c>
      <c r="S309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98" spans="1:19" x14ac:dyDescent="0.25">
      <c r="A3098">
        <v>4</v>
      </c>
      <c r="B3098" t="b">
        <v>1</v>
      </c>
      <c r="C3098" s="1">
        <v>42514</v>
      </c>
      <c r="D3098">
        <f>YEAR(AMAZON_FASHION_5__2[[#This Row],[reviewDate]])</f>
        <v>2016</v>
      </c>
      <c r="E3098" s="1" t="str">
        <f>TEXT(AMAZON_FASHION_5__2[[#This Row],[reviewDate]], "mmmm")</f>
        <v>May</v>
      </c>
      <c r="F3098" t="s">
        <v>1393</v>
      </c>
      <c r="G3098" t="s">
        <v>1607</v>
      </c>
      <c r="H3098" t="s">
        <v>1571</v>
      </c>
      <c r="I3098" t="s">
        <v>211</v>
      </c>
      <c r="J3098" t="s">
        <v>1606</v>
      </c>
      <c r="K3098" t="s">
        <v>1395</v>
      </c>
      <c r="L3098" t="s">
        <v>1396</v>
      </c>
      <c r="M3098">
        <v>1464048000</v>
      </c>
      <c r="N3098" t="s">
        <v>1628</v>
      </c>
      <c r="O3098" t="s">
        <v>1628</v>
      </c>
      <c r="P3098" t="s">
        <v>1628</v>
      </c>
      <c r="Q3098">
        <f>LEN(AMAZON_FASHION_5__2[[#This Row],[reviewText]])</f>
        <v>148</v>
      </c>
      <c r="R3098" t="str">
        <f>IF(AMAZON_FASHION_5__2[[#This Row],[overall]]&gt;=4,"Positive",IF(AMAZON_FASHION_5__2[[#This Row],[overall]]&lt;=2,"Negative","Neutral"))</f>
        <v>Positive</v>
      </c>
      <c r="S309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099" spans="1:19" x14ac:dyDescent="0.25">
      <c r="A3099">
        <v>5</v>
      </c>
      <c r="B3099" t="b">
        <v>1</v>
      </c>
      <c r="C3099" s="1">
        <v>42510</v>
      </c>
      <c r="D3099">
        <f>YEAR(AMAZON_FASHION_5__2[[#This Row],[reviewDate]])</f>
        <v>2016</v>
      </c>
      <c r="E3099" s="1" t="str">
        <f>TEXT(AMAZON_FASHION_5__2[[#This Row],[reviewDate]], "mmmm")</f>
        <v>May</v>
      </c>
      <c r="F3099" t="s">
        <v>1397</v>
      </c>
      <c r="G3099" t="s">
        <v>1607</v>
      </c>
      <c r="H3099" t="s">
        <v>320</v>
      </c>
      <c r="I3099" t="s">
        <v>198</v>
      </c>
      <c r="J3099" t="s">
        <v>1398</v>
      </c>
      <c r="K3099" t="s">
        <v>940</v>
      </c>
      <c r="L3099" t="s">
        <v>17</v>
      </c>
      <c r="M3099">
        <v>1463702400</v>
      </c>
      <c r="N3099" t="s">
        <v>1628</v>
      </c>
      <c r="O3099" t="s">
        <v>1628</v>
      </c>
      <c r="P3099" t="s">
        <v>1628</v>
      </c>
      <c r="Q3099">
        <f>LEN(AMAZON_FASHION_5__2[[#This Row],[reviewText]])</f>
        <v>10</v>
      </c>
      <c r="R3099" t="str">
        <f>IF(AMAZON_FASHION_5__2[[#This Row],[overall]]&gt;=4,"Positive",IF(AMAZON_FASHION_5__2[[#This Row],[overall]]&lt;=2,"Negative","Neutral"))</f>
        <v>Positive</v>
      </c>
      <c r="S309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00" spans="1:19" x14ac:dyDescent="0.25">
      <c r="A3100">
        <v>5</v>
      </c>
      <c r="B3100" t="b">
        <v>0</v>
      </c>
      <c r="C3100" s="1">
        <v>42508</v>
      </c>
      <c r="D3100">
        <f>YEAR(AMAZON_FASHION_5__2[[#This Row],[reviewDate]])</f>
        <v>2016</v>
      </c>
      <c r="E3100" s="1" t="str">
        <f>TEXT(AMAZON_FASHION_5__2[[#This Row],[reviewDate]], "mmmm")</f>
        <v>May</v>
      </c>
      <c r="F3100" t="s">
        <v>1399</v>
      </c>
      <c r="G3100" t="s">
        <v>1607</v>
      </c>
      <c r="H3100" t="s">
        <v>1567</v>
      </c>
      <c r="I3100" t="s">
        <v>524</v>
      </c>
      <c r="J3100" t="s">
        <v>1400</v>
      </c>
      <c r="K3100" t="s">
        <v>1401</v>
      </c>
      <c r="L3100" t="s">
        <v>1402</v>
      </c>
      <c r="M3100">
        <v>1463529600</v>
      </c>
      <c r="N3100" t="s">
        <v>1628</v>
      </c>
      <c r="O3100" t="s">
        <v>1628</v>
      </c>
      <c r="P3100" t="s">
        <v>1628</v>
      </c>
      <c r="Q3100">
        <f>LEN(AMAZON_FASHION_5__2[[#This Row],[reviewText]])</f>
        <v>247</v>
      </c>
      <c r="R3100" t="str">
        <f>IF(AMAZON_FASHION_5__2[[#This Row],[overall]]&gt;=4,"Positive",IF(AMAZON_FASHION_5__2[[#This Row],[overall]]&lt;=2,"Negative","Neutral"))</f>
        <v>Positive</v>
      </c>
      <c r="S310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01" spans="1:19" x14ac:dyDescent="0.25">
      <c r="A3101">
        <v>5</v>
      </c>
      <c r="B3101" t="b">
        <v>1</v>
      </c>
      <c r="C3101" s="1">
        <v>42506</v>
      </c>
      <c r="D3101">
        <f>YEAR(AMAZON_FASHION_5__2[[#This Row],[reviewDate]])</f>
        <v>2016</v>
      </c>
      <c r="E3101" s="1" t="str">
        <f>TEXT(AMAZON_FASHION_5__2[[#This Row],[reviewDate]], "mmmm")</f>
        <v>May</v>
      </c>
      <c r="F3101" t="s">
        <v>1403</v>
      </c>
      <c r="G3101" t="s">
        <v>1607</v>
      </c>
      <c r="H3101" t="s">
        <v>235</v>
      </c>
      <c r="I3101" t="s">
        <v>236</v>
      </c>
      <c r="J3101" t="s">
        <v>63</v>
      </c>
      <c r="K3101" t="s">
        <v>1404</v>
      </c>
      <c r="L3101" t="s">
        <v>17</v>
      </c>
      <c r="M3101">
        <v>1463356800</v>
      </c>
      <c r="N3101" t="s">
        <v>1628</v>
      </c>
      <c r="O3101" t="s">
        <v>1628</v>
      </c>
      <c r="P3101" t="s">
        <v>1628</v>
      </c>
      <c r="Q3101">
        <f>LEN(AMAZON_FASHION_5__2[[#This Row],[reviewText]])</f>
        <v>76</v>
      </c>
      <c r="R3101" t="str">
        <f>IF(AMAZON_FASHION_5__2[[#This Row],[overall]]&gt;=4,"Positive",IF(AMAZON_FASHION_5__2[[#This Row],[overall]]&lt;=2,"Negative","Neutral"))</f>
        <v>Positive</v>
      </c>
      <c r="S310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02" spans="1:19" x14ac:dyDescent="0.25">
      <c r="A3102">
        <v>5</v>
      </c>
      <c r="B3102" t="b">
        <v>1</v>
      </c>
      <c r="C3102" s="1">
        <v>42505</v>
      </c>
      <c r="D3102">
        <f>YEAR(AMAZON_FASHION_5__2[[#This Row],[reviewDate]])</f>
        <v>2016</v>
      </c>
      <c r="E3102" s="1" t="str">
        <f>TEXT(AMAZON_FASHION_5__2[[#This Row],[reviewDate]], "mmmm")</f>
        <v>May</v>
      </c>
      <c r="F3102" t="s">
        <v>1405</v>
      </c>
      <c r="G3102" t="s">
        <v>1607</v>
      </c>
      <c r="H3102" t="s">
        <v>1578</v>
      </c>
      <c r="I3102" t="s">
        <v>493</v>
      </c>
      <c r="J3102" t="s">
        <v>1406</v>
      </c>
      <c r="K3102" t="s">
        <v>1407</v>
      </c>
      <c r="L3102" t="s">
        <v>1408</v>
      </c>
      <c r="M3102">
        <v>1463270400</v>
      </c>
      <c r="N3102" t="s">
        <v>1628</v>
      </c>
      <c r="O3102" t="s">
        <v>1628</v>
      </c>
      <c r="P3102" t="s">
        <v>1628</v>
      </c>
      <c r="Q3102">
        <f>LEN(AMAZON_FASHION_5__2[[#This Row],[reviewText]])</f>
        <v>27</v>
      </c>
      <c r="R3102" t="str">
        <f>IF(AMAZON_FASHION_5__2[[#This Row],[overall]]&gt;=4,"Positive",IF(AMAZON_FASHION_5__2[[#This Row],[overall]]&lt;=2,"Negative","Neutral"))</f>
        <v>Positive</v>
      </c>
      <c r="S310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03" spans="1:19" x14ac:dyDescent="0.25">
      <c r="A3103">
        <v>4</v>
      </c>
      <c r="B3103" t="b">
        <v>1</v>
      </c>
      <c r="C3103" s="1">
        <v>42501</v>
      </c>
      <c r="D3103">
        <f>YEAR(AMAZON_FASHION_5__2[[#This Row],[reviewDate]])</f>
        <v>2016</v>
      </c>
      <c r="E3103" s="1" t="str">
        <f>TEXT(AMAZON_FASHION_5__2[[#This Row],[reviewDate]], "mmmm")</f>
        <v>May</v>
      </c>
      <c r="F3103" t="s">
        <v>1409</v>
      </c>
      <c r="G3103" t="s">
        <v>1607</v>
      </c>
      <c r="H3103" t="s">
        <v>1596</v>
      </c>
      <c r="I3103" t="s">
        <v>1570</v>
      </c>
      <c r="J3103" t="s">
        <v>1412</v>
      </c>
      <c r="K3103" t="s">
        <v>1413</v>
      </c>
      <c r="L3103" t="s">
        <v>1414</v>
      </c>
      <c r="M3103">
        <v>1462924800</v>
      </c>
      <c r="N3103" t="s">
        <v>1628</v>
      </c>
      <c r="O3103" t="s">
        <v>1628</v>
      </c>
      <c r="P3103" t="s">
        <v>1628</v>
      </c>
      <c r="Q3103">
        <f>LEN(AMAZON_FASHION_5__2[[#This Row],[reviewText]])</f>
        <v>468</v>
      </c>
      <c r="R3103" t="str">
        <f>IF(AMAZON_FASHION_5__2[[#This Row],[overall]]&gt;=4,"Positive",IF(AMAZON_FASHION_5__2[[#This Row],[overall]]&lt;=2,"Negative","Neutral"))</f>
        <v>Positive</v>
      </c>
      <c r="S310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04" spans="1:19" x14ac:dyDescent="0.25">
      <c r="A3104">
        <v>5</v>
      </c>
      <c r="B3104" t="b">
        <v>0</v>
      </c>
      <c r="C3104" s="1">
        <v>42500</v>
      </c>
      <c r="D3104">
        <f>YEAR(AMAZON_FASHION_5__2[[#This Row],[reviewDate]])</f>
        <v>2016</v>
      </c>
      <c r="E3104" s="1" t="str">
        <f>TEXT(AMAZON_FASHION_5__2[[#This Row],[reviewDate]], "mmmm")</f>
        <v>May</v>
      </c>
      <c r="F3104" t="s">
        <v>1415</v>
      </c>
      <c r="G3104" t="s">
        <v>1607</v>
      </c>
      <c r="H3104" t="s">
        <v>1567</v>
      </c>
      <c r="I3104" t="s">
        <v>211</v>
      </c>
      <c r="J3104" t="s">
        <v>63</v>
      </c>
      <c r="K3104" t="s">
        <v>1416</v>
      </c>
      <c r="L3104" t="s">
        <v>735</v>
      </c>
      <c r="M3104">
        <v>1462838400</v>
      </c>
      <c r="N3104" t="s">
        <v>1628</v>
      </c>
      <c r="O3104" t="s">
        <v>1628</v>
      </c>
      <c r="P3104" t="s">
        <v>1628</v>
      </c>
      <c r="Q3104">
        <f>LEN(AMAZON_FASHION_5__2[[#This Row],[reviewText]])</f>
        <v>166</v>
      </c>
      <c r="R3104" t="str">
        <f>IF(AMAZON_FASHION_5__2[[#This Row],[overall]]&gt;=4,"Positive",IF(AMAZON_FASHION_5__2[[#This Row],[overall]]&lt;=2,"Negative","Neutral"))</f>
        <v>Positive</v>
      </c>
      <c r="S310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05" spans="1:19" x14ac:dyDescent="0.25">
      <c r="A3105">
        <v>5</v>
      </c>
      <c r="B3105" t="b">
        <v>1</v>
      </c>
      <c r="C3105" s="1">
        <v>42499</v>
      </c>
      <c r="D3105">
        <f>YEAR(AMAZON_FASHION_5__2[[#This Row],[reviewDate]])</f>
        <v>2016</v>
      </c>
      <c r="E3105" s="1" t="str">
        <f>TEXT(AMAZON_FASHION_5__2[[#This Row],[reviewDate]], "mmmm")</f>
        <v>May</v>
      </c>
      <c r="F3105" t="s">
        <v>1417</v>
      </c>
      <c r="G3105" t="s">
        <v>1607</v>
      </c>
      <c r="H3105" t="s">
        <v>1571</v>
      </c>
      <c r="I3105" t="s">
        <v>198</v>
      </c>
      <c r="J3105" t="s">
        <v>1418</v>
      </c>
      <c r="K3105" t="s">
        <v>1419</v>
      </c>
      <c r="L3105" t="s">
        <v>17</v>
      </c>
      <c r="M3105">
        <v>1462752000</v>
      </c>
      <c r="N3105" t="s">
        <v>1628</v>
      </c>
      <c r="O3105" t="s">
        <v>1628</v>
      </c>
      <c r="P3105" t="s">
        <v>1628</v>
      </c>
      <c r="Q3105">
        <f>LEN(AMAZON_FASHION_5__2[[#This Row],[reviewText]])</f>
        <v>33</v>
      </c>
      <c r="R3105" t="str">
        <f>IF(AMAZON_FASHION_5__2[[#This Row],[overall]]&gt;=4,"Positive",IF(AMAZON_FASHION_5__2[[#This Row],[overall]]&lt;=2,"Negative","Neutral"))</f>
        <v>Positive</v>
      </c>
      <c r="S310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06" spans="1:19" x14ac:dyDescent="0.25">
      <c r="A3106">
        <v>5</v>
      </c>
      <c r="B3106" t="b">
        <v>1</v>
      </c>
      <c r="C3106" s="1">
        <v>42498</v>
      </c>
      <c r="D3106">
        <f>YEAR(AMAZON_FASHION_5__2[[#This Row],[reviewDate]])</f>
        <v>2016</v>
      </c>
      <c r="E3106" s="1" t="str">
        <f>TEXT(AMAZON_FASHION_5__2[[#This Row],[reviewDate]], "mmmm")</f>
        <v>May</v>
      </c>
      <c r="F3106" t="s">
        <v>1420</v>
      </c>
      <c r="G3106" t="s">
        <v>1607</v>
      </c>
      <c r="H3106" t="s">
        <v>320</v>
      </c>
      <c r="I3106" t="s">
        <v>198</v>
      </c>
      <c r="J3106" t="s">
        <v>1421</v>
      </c>
      <c r="K3106" t="s">
        <v>1422</v>
      </c>
      <c r="L3106" t="s">
        <v>1423</v>
      </c>
      <c r="M3106">
        <v>1462665600</v>
      </c>
      <c r="N3106" t="s">
        <v>1628</v>
      </c>
      <c r="O3106" t="s">
        <v>1628</v>
      </c>
      <c r="P3106" t="s">
        <v>1628</v>
      </c>
      <c r="Q3106">
        <f>LEN(AMAZON_FASHION_5__2[[#This Row],[reviewText]])</f>
        <v>62</v>
      </c>
      <c r="R3106" t="str">
        <f>IF(AMAZON_FASHION_5__2[[#This Row],[overall]]&gt;=4,"Positive",IF(AMAZON_FASHION_5__2[[#This Row],[overall]]&lt;=2,"Negative","Neutral"))</f>
        <v>Positive</v>
      </c>
      <c r="S310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07" spans="1:19" x14ac:dyDescent="0.25">
      <c r="A3107">
        <v>4</v>
      </c>
      <c r="B3107" t="b">
        <v>1</v>
      </c>
      <c r="C3107" s="1">
        <v>42497</v>
      </c>
      <c r="D3107">
        <f>YEAR(AMAZON_FASHION_5__2[[#This Row],[reviewDate]])</f>
        <v>2016</v>
      </c>
      <c r="E3107" s="1" t="str">
        <f>TEXT(AMAZON_FASHION_5__2[[#This Row],[reviewDate]], "mmmm")</f>
        <v>May</v>
      </c>
      <c r="F3107" t="s">
        <v>1424</v>
      </c>
      <c r="G3107" t="s">
        <v>1607</v>
      </c>
      <c r="H3107" t="s">
        <v>1425</v>
      </c>
      <c r="I3107" t="s">
        <v>1570</v>
      </c>
      <c r="J3107" t="s">
        <v>1426</v>
      </c>
      <c r="K3107" t="s">
        <v>1427</v>
      </c>
      <c r="L3107" t="s">
        <v>103</v>
      </c>
      <c r="M3107">
        <v>1462579200</v>
      </c>
      <c r="N3107" t="s">
        <v>1628</v>
      </c>
      <c r="O3107" t="s">
        <v>1628</v>
      </c>
      <c r="P3107" t="s">
        <v>1628</v>
      </c>
      <c r="Q3107">
        <f>LEN(AMAZON_FASHION_5__2[[#This Row],[reviewText]])</f>
        <v>25</v>
      </c>
      <c r="R3107" t="str">
        <f>IF(AMAZON_FASHION_5__2[[#This Row],[overall]]&gt;=4,"Positive",IF(AMAZON_FASHION_5__2[[#This Row],[overall]]&lt;=2,"Negative","Neutral"))</f>
        <v>Positive</v>
      </c>
      <c r="S310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08" spans="1:19" x14ac:dyDescent="0.25">
      <c r="A3108">
        <v>4</v>
      </c>
      <c r="B3108" t="b">
        <v>1</v>
      </c>
      <c r="C3108" s="1">
        <v>42494</v>
      </c>
      <c r="D3108">
        <f>YEAR(AMAZON_FASHION_5__2[[#This Row],[reviewDate]])</f>
        <v>2016</v>
      </c>
      <c r="E3108" s="1" t="str">
        <f>TEXT(AMAZON_FASHION_5__2[[#This Row],[reviewDate]], "mmmm")</f>
        <v>May</v>
      </c>
      <c r="F3108" t="s">
        <v>1428</v>
      </c>
      <c r="G3108" t="s">
        <v>1607</v>
      </c>
      <c r="H3108" t="s">
        <v>1571</v>
      </c>
      <c r="I3108" t="s">
        <v>198</v>
      </c>
      <c r="J3108" t="s">
        <v>1429</v>
      </c>
      <c r="K3108" t="s">
        <v>1430</v>
      </c>
      <c r="L3108" t="s">
        <v>1376</v>
      </c>
      <c r="M3108">
        <v>1462320000</v>
      </c>
      <c r="N3108" t="s">
        <v>1628</v>
      </c>
      <c r="O3108" t="s">
        <v>1628</v>
      </c>
      <c r="P3108">
        <v>20</v>
      </c>
      <c r="Q3108">
        <f>LEN(AMAZON_FASHION_5__2[[#This Row],[reviewText]])</f>
        <v>1368</v>
      </c>
      <c r="R3108" t="str">
        <f>IF(AMAZON_FASHION_5__2[[#This Row],[overall]]&gt;=4,"Positive",IF(AMAZON_FASHION_5__2[[#This Row],[overall]]&lt;=2,"Negative","Neutral"))</f>
        <v>Positive</v>
      </c>
      <c r="S310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09" spans="1:19" x14ac:dyDescent="0.25">
      <c r="A3109">
        <v>5</v>
      </c>
      <c r="B3109" t="b">
        <v>1</v>
      </c>
      <c r="C3109" s="1">
        <v>42494</v>
      </c>
      <c r="D3109">
        <f>YEAR(AMAZON_FASHION_5__2[[#This Row],[reviewDate]])</f>
        <v>2016</v>
      </c>
      <c r="E3109" s="1" t="str">
        <f>TEXT(AMAZON_FASHION_5__2[[#This Row],[reviewDate]], "mmmm")</f>
        <v>May</v>
      </c>
      <c r="F3109" t="s">
        <v>1431</v>
      </c>
      <c r="G3109" t="s">
        <v>1607</v>
      </c>
      <c r="H3109" t="s">
        <v>1425</v>
      </c>
      <c r="I3109" t="s">
        <v>1570</v>
      </c>
      <c r="J3109" t="s">
        <v>1432</v>
      </c>
      <c r="K3109" t="s">
        <v>1433</v>
      </c>
      <c r="L3109" t="s">
        <v>1434</v>
      </c>
      <c r="M3109">
        <v>1462320000</v>
      </c>
      <c r="N3109" t="s">
        <v>1628</v>
      </c>
      <c r="O3109" t="s">
        <v>1628</v>
      </c>
      <c r="P3109" t="s">
        <v>1628</v>
      </c>
      <c r="Q3109">
        <f>LEN(AMAZON_FASHION_5__2[[#This Row],[reviewText]])</f>
        <v>57</v>
      </c>
      <c r="R3109" t="str">
        <f>IF(AMAZON_FASHION_5__2[[#This Row],[overall]]&gt;=4,"Positive",IF(AMAZON_FASHION_5__2[[#This Row],[overall]]&lt;=2,"Negative","Neutral"))</f>
        <v>Positive</v>
      </c>
      <c r="S310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10" spans="1:19" x14ac:dyDescent="0.25">
      <c r="A3110">
        <v>5</v>
      </c>
      <c r="B3110" t="b">
        <v>1</v>
      </c>
      <c r="C3110" s="1">
        <v>42483</v>
      </c>
      <c r="D3110">
        <f>YEAR(AMAZON_FASHION_5__2[[#This Row],[reviewDate]])</f>
        <v>2016</v>
      </c>
      <c r="E3110" s="1" t="str">
        <f>TEXT(AMAZON_FASHION_5__2[[#This Row],[reviewDate]], "mmmm")</f>
        <v>April</v>
      </c>
      <c r="F3110" t="s">
        <v>1435</v>
      </c>
      <c r="G3110" t="s">
        <v>1607</v>
      </c>
      <c r="H3110" t="s">
        <v>1598</v>
      </c>
      <c r="I3110" t="s">
        <v>198</v>
      </c>
      <c r="J3110" t="s">
        <v>1436</v>
      </c>
      <c r="K3110" t="s">
        <v>1437</v>
      </c>
      <c r="L3110" t="s">
        <v>17</v>
      </c>
      <c r="M3110">
        <v>1461369600</v>
      </c>
      <c r="N3110" t="s">
        <v>1628</v>
      </c>
      <c r="O3110" t="s">
        <v>1628</v>
      </c>
      <c r="P3110" t="s">
        <v>1628</v>
      </c>
      <c r="Q3110">
        <f>LEN(AMAZON_FASHION_5__2[[#This Row],[reviewText]])</f>
        <v>50</v>
      </c>
      <c r="R3110" t="str">
        <f>IF(AMAZON_FASHION_5__2[[#This Row],[overall]]&gt;=4,"Positive",IF(AMAZON_FASHION_5__2[[#This Row],[overall]]&lt;=2,"Negative","Neutral"))</f>
        <v>Positive</v>
      </c>
      <c r="S311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11" spans="1:19" x14ac:dyDescent="0.25">
      <c r="A3111">
        <v>5</v>
      </c>
      <c r="B3111" t="b">
        <v>1</v>
      </c>
      <c r="C3111" s="1">
        <v>42481</v>
      </c>
      <c r="D3111">
        <f>YEAR(AMAZON_FASHION_5__2[[#This Row],[reviewDate]])</f>
        <v>2016</v>
      </c>
      <c r="E3111" s="1" t="str">
        <f>TEXT(AMAZON_FASHION_5__2[[#This Row],[reviewDate]], "mmmm")</f>
        <v>April</v>
      </c>
      <c r="F3111" t="s">
        <v>1438</v>
      </c>
      <c r="G3111" t="s">
        <v>1607</v>
      </c>
      <c r="H3111" t="s">
        <v>1596</v>
      </c>
      <c r="I3111" t="s">
        <v>198</v>
      </c>
      <c r="J3111" t="s">
        <v>1439</v>
      </c>
      <c r="K3111" t="s">
        <v>1440</v>
      </c>
      <c r="L3111" t="s">
        <v>1441</v>
      </c>
      <c r="M3111">
        <v>1461196800</v>
      </c>
      <c r="N3111" t="s">
        <v>1628</v>
      </c>
      <c r="O3111" t="s">
        <v>1628</v>
      </c>
      <c r="P3111">
        <v>3</v>
      </c>
      <c r="Q3111">
        <f>LEN(AMAZON_FASHION_5__2[[#This Row],[reviewText]])</f>
        <v>371</v>
      </c>
      <c r="R3111" t="str">
        <f>IF(AMAZON_FASHION_5__2[[#This Row],[overall]]&gt;=4,"Positive",IF(AMAZON_FASHION_5__2[[#This Row],[overall]]&lt;=2,"Negative","Neutral"))</f>
        <v>Positive</v>
      </c>
      <c r="S311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12" spans="1:19" x14ac:dyDescent="0.25">
      <c r="A3112">
        <v>4</v>
      </c>
      <c r="B3112" t="b">
        <v>1</v>
      </c>
      <c r="C3112" s="1">
        <v>42480</v>
      </c>
      <c r="D3112">
        <f>YEAR(AMAZON_FASHION_5__2[[#This Row],[reviewDate]])</f>
        <v>2016</v>
      </c>
      <c r="E3112" s="1" t="str">
        <f>TEXT(AMAZON_FASHION_5__2[[#This Row],[reviewDate]], "mmmm")</f>
        <v>April</v>
      </c>
      <c r="F3112" t="s">
        <v>1442</v>
      </c>
      <c r="G3112" t="s">
        <v>1607</v>
      </c>
      <c r="H3112" t="s">
        <v>1598</v>
      </c>
      <c r="I3112" t="s">
        <v>198</v>
      </c>
      <c r="J3112" t="s">
        <v>63</v>
      </c>
      <c r="K3112" t="s">
        <v>1443</v>
      </c>
      <c r="L3112" t="s">
        <v>103</v>
      </c>
      <c r="M3112">
        <v>1461110400</v>
      </c>
      <c r="N3112" t="s">
        <v>1628</v>
      </c>
      <c r="O3112" t="s">
        <v>1628</v>
      </c>
      <c r="P3112" t="s">
        <v>1628</v>
      </c>
      <c r="Q3112">
        <f>LEN(AMAZON_FASHION_5__2[[#This Row],[reviewText]])</f>
        <v>19</v>
      </c>
      <c r="R3112" t="str">
        <f>IF(AMAZON_FASHION_5__2[[#This Row],[overall]]&gt;=4,"Positive",IF(AMAZON_FASHION_5__2[[#This Row],[overall]]&lt;=2,"Negative","Neutral"))</f>
        <v>Positive</v>
      </c>
      <c r="S311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13" spans="1:19" x14ac:dyDescent="0.25">
      <c r="A3113">
        <v>4</v>
      </c>
      <c r="B3113" t="b">
        <v>1</v>
      </c>
      <c r="C3113" s="1">
        <v>42479</v>
      </c>
      <c r="D3113">
        <f>YEAR(AMAZON_FASHION_5__2[[#This Row],[reviewDate]])</f>
        <v>2016</v>
      </c>
      <c r="E3113" s="1" t="str">
        <f>TEXT(AMAZON_FASHION_5__2[[#This Row],[reviewDate]], "mmmm")</f>
        <v>April</v>
      </c>
      <c r="F3113" t="s">
        <v>195</v>
      </c>
      <c r="G3113" t="s">
        <v>1607</v>
      </c>
      <c r="H3113" t="s">
        <v>1574</v>
      </c>
      <c r="I3113" t="s">
        <v>198</v>
      </c>
      <c r="J3113" t="s">
        <v>63</v>
      </c>
      <c r="K3113" t="s">
        <v>199</v>
      </c>
      <c r="L3113" t="s">
        <v>103</v>
      </c>
      <c r="M3113">
        <v>1461024000</v>
      </c>
      <c r="N3113" t="s">
        <v>1628</v>
      </c>
      <c r="O3113" t="s">
        <v>1628</v>
      </c>
      <c r="P3113">
        <v>2</v>
      </c>
      <c r="Q3113">
        <f>LEN(AMAZON_FASHION_5__2[[#This Row],[reviewText]])</f>
        <v>60</v>
      </c>
      <c r="R3113" t="str">
        <f>IF(AMAZON_FASHION_5__2[[#This Row],[overall]]&gt;=4,"Positive",IF(AMAZON_FASHION_5__2[[#This Row],[overall]]&lt;=2,"Negative","Neutral"))</f>
        <v>Positive</v>
      </c>
      <c r="S311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14" spans="1:19" x14ac:dyDescent="0.25">
      <c r="A3114">
        <v>5</v>
      </c>
      <c r="B3114" t="b">
        <v>1</v>
      </c>
      <c r="C3114" s="1">
        <v>42478</v>
      </c>
      <c r="D3114">
        <f>YEAR(AMAZON_FASHION_5__2[[#This Row],[reviewDate]])</f>
        <v>2016</v>
      </c>
      <c r="E3114" s="1" t="str">
        <f>TEXT(AMAZON_FASHION_5__2[[#This Row],[reviewDate]], "mmmm")</f>
        <v>April</v>
      </c>
      <c r="F3114" t="s">
        <v>200</v>
      </c>
      <c r="G3114" t="s">
        <v>1607</v>
      </c>
      <c r="H3114" t="s">
        <v>1578</v>
      </c>
      <c r="I3114" t="s">
        <v>198</v>
      </c>
      <c r="J3114" t="s">
        <v>202</v>
      </c>
      <c r="K3114" t="s">
        <v>203</v>
      </c>
      <c r="L3114" t="s">
        <v>17</v>
      </c>
      <c r="M3114">
        <v>1460937600</v>
      </c>
      <c r="N3114" t="s">
        <v>1628</v>
      </c>
      <c r="O3114" t="s">
        <v>1628</v>
      </c>
      <c r="P3114" t="s">
        <v>1628</v>
      </c>
      <c r="Q3114">
        <f>LEN(AMAZON_FASHION_5__2[[#This Row],[reviewText]])</f>
        <v>22</v>
      </c>
      <c r="R3114" t="str">
        <f>IF(AMAZON_FASHION_5__2[[#This Row],[overall]]&gt;=4,"Positive",IF(AMAZON_FASHION_5__2[[#This Row],[overall]]&lt;=2,"Negative","Neutral"))</f>
        <v>Positive</v>
      </c>
      <c r="S311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15" spans="1:19" x14ac:dyDescent="0.25">
      <c r="A3115">
        <v>3</v>
      </c>
      <c r="B3115" t="b">
        <v>1</v>
      </c>
      <c r="C3115" s="1">
        <v>42464</v>
      </c>
      <c r="D3115">
        <f>YEAR(AMAZON_FASHION_5__2[[#This Row],[reviewDate]])</f>
        <v>2016</v>
      </c>
      <c r="E3115" s="1" t="str">
        <f>TEXT(AMAZON_FASHION_5__2[[#This Row],[reviewDate]], "mmmm")</f>
        <v>April</v>
      </c>
      <c r="F3115" t="s">
        <v>204</v>
      </c>
      <c r="G3115" t="s">
        <v>1607</v>
      </c>
      <c r="H3115" t="s">
        <v>1598</v>
      </c>
      <c r="I3115" t="s">
        <v>198</v>
      </c>
      <c r="J3115" t="s">
        <v>206</v>
      </c>
      <c r="K3115" t="s">
        <v>207</v>
      </c>
      <c r="L3115" t="s">
        <v>208</v>
      </c>
      <c r="M3115">
        <v>1459728000</v>
      </c>
      <c r="N3115" t="s">
        <v>1628</v>
      </c>
      <c r="O3115" t="s">
        <v>1628</v>
      </c>
      <c r="P3115">
        <v>2</v>
      </c>
      <c r="Q3115">
        <f>LEN(AMAZON_FASHION_5__2[[#This Row],[reviewText]])</f>
        <v>272</v>
      </c>
      <c r="R3115" t="str">
        <f>IF(AMAZON_FASHION_5__2[[#This Row],[overall]]&gt;=4,"Positive",IF(AMAZON_FASHION_5__2[[#This Row],[overall]]&lt;=2,"Negative","Neutral"))</f>
        <v>Neutral</v>
      </c>
      <c r="S311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16" spans="1:19" x14ac:dyDescent="0.25">
      <c r="A3116">
        <v>5</v>
      </c>
      <c r="B3116" t="b">
        <v>1</v>
      </c>
      <c r="C3116" s="1">
        <v>42460</v>
      </c>
      <c r="D3116">
        <f>YEAR(AMAZON_FASHION_5__2[[#This Row],[reviewDate]])</f>
        <v>2016</v>
      </c>
      <c r="E3116" s="1" t="str">
        <f>TEXT(AMAZON_FASHION_5__2[[#This Row],[reviewDate]], "mmmm")</f>
        <v>March</v>
      </c>
      <c r="F3116" t="s">
        <v>209</v>
      </c>
      <c r="G3116" t="s">
        <v>1607</v>
      </c>
      <c r="H3116" t="s">
        <v>1567</v>
      </c>
      <c r="I3116" t="s">
        <v>211</v>
      </c>
      <c r="J3116" t="s">
        <v>212</v>
      </c>
      <c r="K3116" t="s">
        <v>213</v>
      </c>
      <c r="L3116" t="s">
        <v>214</v>
      </c>
      <c r="M3116">
        <v>1459382400</v>
      </c>
      <c r="N3116" t="s">
        <v>1628</v>
      </c>
      <c r="O3116" t="s">
        <v>1628</v>
      </c>
      <c r="P3116" t="s">
        <v>1628</v>
      </c>
      <c r="Q3116">
        <f>LEN(AMAZON_FASHION_5__2[[#This Row],[reviewText]])</f>
        <v>123</v>
      </c>
      <c r="R3116" t="str">
        <f>IF(AMAZON_FASHION_5__2[[#This Row],[overall]]&gt;=4,"Positive",IF(AMAZON_FASHION_5__2[[#This Row],[overall]]&lt;=2,"Negative","Neutral"))</f>
        <v>Positive</v>
      </c>
      <c r="S311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17" spans="1:19" x14ac:dyDescent="0.25">
      <c r="A3117">
        <v>5</v>
      </c>
      <c r="B3117" t="b">
        <v>1</v>
      </c>
      <c r="C3117" s="1">
        <v>43139</v>
      </c>
      <c r="D3117">
        <f>YEAR(AMAZON_FASHION_5__2[[#This Row],[reviewDate]])</f>
        <v>2018</v>
      </c>
      <c r="E3117" s="1" t="str">
        <f>TEXT(AMAZON_FASHION_5__2[[#This Row],[reviewDate]], "mmmm")</f>
        <v>February</v>
      </c>
      <c r="F3117" t="s">
        <v>66</v>
      </c>
      <c r="G3117" t="s">
        <v>1608</v>
      </c>
      <c r="H3117" t="s">
        <v>1609</v>
      </c>
      <c r="I3117" t="s">
        <v>1610</v>
      </c>
      <c r="J3117" t="s">
        <v>63</v>
      </c>
      <c r="K3117" t="s">
        <v>1611</v>
      </c>
      <c r="L3117" t="s">
        <v>17</v>
      </c>
      <c r="M3117">
        <v>1518048000</v>
      </c>
      <c r="N3117" t="s">
        <v>1628</v>
      </c>
      <c r="O3117" t="s">
        <v>1628</v>
      </c>
      <c r="P3117" t="s">
        <v>1628</v>
      </c>
      <c r="Q3117">
        <f>LEN(AMAZON_FASHION_5__2[[#This Row],[reviewText]])</f>
        <v>35</v>
      </c>
      <c r="R3117" t="str">
        <f>IF(AMAZON_FASHION_5__2[[#This Row],[overall]]&gt;=4,"Positive",IF(AMAZON_FASHION_5__2[[#This Row],[overall]]&lt;=2,"Negative","Neutral"))</f>
        <v>Positive</v>
      </c>
      <c r="S311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18" spans="1:19" x14ac:dyDescent="0.25">
      <c r="A3118">
        <v>5</v>
      </c>
      <c r="B3118" t="b">
        <v>1</v>
      </c>
      <c r="C3118" s="1">
        <v>43132</v>
      </c>
      <c r="D3118">
        <f>YEAR(AMAZON_FASHION_5__2[[#This Row],[reviewDate]])</f>
        <v>2018</v>
      </c>
      <c r="E3118" s="1" t="str">
        <f>TEXT(AMAZON_FASHION_5__2[[#This Row],[reviewDate]], "mmmm")</f>
        <v>February</v>
      </c>
      <c r="F3118" t="s">
        <v>400</v>
      </c>
      <c r="G3118" t="s">
        <v>1612</v>
      </c>
      <c r="H3118" t="s">
        <v>1628</v>
      </c>
      <c r="I3118" t="s">
        <v>1613</v>
      </c>
      <c r="J3118" t="s">
        <v>401</v>
      </c>
      <c r="K3118" t="s">
        <v>1614</v>
      </c>
      <c r="L3118" t="s">
        <v>17</v>
      </c>
      <c r="M3118">
        <v>1517443200</v>
      </c>
      <c r="N3118" t="s">
        <v>1628</v>
      </c>
      <c r="O3118" t="s">
        <v>1628</v>
      </c>
      <c r="P3118" t="s">
        <v>1628</v>
      </c>
      <c r="Q3118">
        <f>LEN(AMAZON_FASHION_5__2[[#This Row],[reviewText]])</f>
        <v>6</v>
      </c>
      <c r="R3118" t="str">
        <f>IF(AMAZON_FASHION_5__2[[#This Row],[overall]]&gt;=4,"Positive",IF(AMAZON_FASHION_5__2[[#This Row],[overall]]&lt;=2,"Negative","Neutral"))</f>
        <v>Positive</v>
      </c>
      <c r="S311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19" spans="1:19" x14ac:dyDescent="0.25">
      <c r="A3119">
        <v>4</v>
      </c>
      <c r="B3119" t="b">
        <v>1</v>
      </c>
      <c r="C3119" s="1">
        <v>42935</v>
      </c>
      <c r="D3119">
        <f>YEAR(AMAZON_FASHION_5__2[[#This Row],[reviewDate]])</f>
        <v>2017</v>
      </c>
      <c r="E3119" s="1" t="str">
        <f>TEXT(AMAZON_FASHION_5__2[[#This Row],[reviewDate]], "mmmm")</f>
        <v>July</v>
      </c>
      <c r="F3119" t="s">
        <v>184</v>
      </c>
      <c r="G3119" t="s">
        <v>1615</v>
      </c>
      <c r="H3119" t="s">
        <v>1616</v>
      </c>
      <c r="I3119" t="s">
        <v>1617</v>
      </c>
      <c r="J3119" t="s">
        <v>186</v>
      </c>
      <c r="K3119" t="s">
        <v>1618</v>
      </c>
      <c r="L3119" t="s">
        <v>1619</v>
      </c>
      <c r="M3119">
        <v>1500422400</v>
      </c>
      <c r="N3119" t="s">
        <v>1628</v>
      </c>
      <c r="O3119" t="s">
        <v>1628</v>
      </c>
      <c r="P3119" t="s">
        <v>1628</v>
      </c>
      <c r="Q3119">
        <f>LEN(AMAZON_FASHION_5__2[[#This Row],[reviewText]])</f>
        <v>165</v>
      </c>
      <c r="R3119" t="str">
        <f>IF(AMAZON_FASHION_5__2[[#This Row],[overall]]&gt;=4,"Positive",IF(AMAZON_FASHION_5__2[[#This Row],[overall]]&lt;=2,"Negative","Neutral"))</f>
        <v>Positive</v>
      </c>
      <c r="S311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20" spans="1:19" x14ac:dyDescent="0.25">
      <c r="A3120">
        <v>5</v>
      </c>
      <c r="B3120" t="b">
        <v>1</v>
      </c>
      <c r="C3120" s="1">
        <v>43242</v>
      </c>
      <c r="D3120">
        <f>YEAR(AMAZON_FASHION_5__2[[#This Row],[reviewDate]])</f>
        <v>2018</v>
      </c>
      <c r="E3120" s="1" t="str">
        <f>TEXT(AMAZON_FASHION_5__2[[#This Row],[reviewDate]], "mmmm")</f>
        <v>May</v>
      </c>
      <c r="F3120" t="s">
        <v>1491</v>
      </c>
      <c r="G3120" t="s">
        <v>196</v>
      </c>
      <c r="H3120" t="s">
        <v>261</v>
      </c>
      <c r="I3120" t="s">
        <v>249</v>
      </c>
      <c r="J3120" t="s">
        <v>1492</v>
      </c>
      <c r="K3120" t="s">
        <v>1493</v>
      </c>
      <c r="L3120" t="s">
        <v>1494</v>
      </c>
      <c r="M3120">
        <v>1526947200</v>
      </c>
      <c r="N3120" t="s">
        <v>1628</v>
      </c>
      <c r="O3120" t="s">
        <v>1628</v>
      </c>
      <c r="P3120" t="s">
        <v>1628</v>
      </c>
      <c r="Q3120">
        <f>LEN(AMAZON_FASHION_5__2[[#This Row],[reviewText]])</f>
        <v>372</v>
      </c>
      <c r="R3120" t="str">
        <f>IF(AMAZON_FASHION_5__2[[#This Row],[overall]]&gt;=4,"Positive",IF(AMAZON_FASHION_5__2[[#This Row],[overall]]&lt;=2,"Negative","Neutral"))</f>
        <v>Positive</v>
      </c>
      <c r="S312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21" spans="1:19" x14ac:dyDescent="0.25">
      <c r="A3121">
        <v>5</v>
      </c>
      <c r="B3121" t="b">
        <v>1</v>
      </c>
      <c r="C3121" s="1">
        <v>43236</v>
      </c>
      <c r="D3121">
        <f>YEAR(AMAZON_FASHION_5__2[[#This Row],[reviewDate]])</f>
        <v>2018</v>
      </c>
      <c r="E3121" s="1" t="str">
        <f>TEXT(AMAZON_FASHION_5__2[[#This Row],[reviewDate]], "mmmm")</f>
        <v>May</v>
      </c>
      <c r="F3121" t="s">
        <v>1495</v>
      </c>
      <c r="G3121" t="s">
        <v>196</v>
      </c>
      <c r="H3121" t="s">
        <v>477</v>
      </c>
      <c r="I3121" t="s">
        <v>198</v>
      </c>
      <c r="J3121" t="s">
        <v>1496</v>
      </c>
      <c r="K3121" t="s">
        <v>1497</v>
      </c>
      <c r="L3121" t="s">
        <v>1498</v>
      </c>
      <c r="M3121">
        <v>1526428800</v>
      </c>
      <c r="N3121" t="s">
        <v>1628</v>
      </c>
      <c r="O3121" t="s">
        <v>1628</v>
      </c>
      <c r="P3121" t="s">
        <v>1628</v>
      </c>
      <c r="Q3121">
        <f>LEN(AMAZON_FASHION_5__2[[#This Row],[reviewText]])</f>
        <v>17</v>
      </c>
      <c r="R3121" t="str">
        <f>IF(AMAZON_FASHION_5__2[[#This Row],[overall]]&gt;=4,"Positive",IF(AMAZON_FASHION_5__2[[#This Row],[overall]]&lt;=2,"Negative","Neutral"))</f>
        <v>Positive</v>
      </c>
      <c r="S312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22" spans="1:19" x14ac:dyDescent="0.25">
      <c r="A3122">
        <v>5</v>
      </c>
      <c r="B3122" t="b">
        <v>1</v>
      </c>
      <c r="C3122" s="1">
        <v>43236</v>
      </c>
      <c r="D3122">
        <f>YEAR(AMAZON_FASHION_5__2[[#This Row],[reviewDate]])</f>
        <v>2018</v>
      </c>
      <c r="E3122" s="1" t="str">
        <f>TEXT(AMAZON_FASHION_5__2[[#This Row],[reviewDate]], "mmmm")</f>
        <v>May</v>
      </c>
      <c r="F3122" t="s">
        <v>1480</v>
      </c>
      <c r="G3122" t="s">
        <v>196</v>
      </c>
      <c r="H3122" t="s">
        <v>558</v>
      </c>
      <c r="I3122" t="s">
        <v>198</v>
      </c>
      <c r="J3122" t="s">
        <v>1481</v>
      </c>
      <c r="K3122" t="s">
        <v>69</v>
      </c>
      <c r="L3122" t="s">
        <v>17</v>
      </c>
      <c r="M3122">
        <v>1526428800</v>
      </c>
      <c r="N3122" t="s">
        <v>1628</v>
      </c>
      <c r="O3122" t="s">
        <v>1628</v>
      </c>
      <c r="P3122" t="s">
        <v>1628</v>
      </c>
      <c r="Q3122">
        <f>LEN(AMAZON_FASHION_5__2[[#This Row],[reviewText]])</f>
        <v>11</v>
      </c>
      <c r="R3122" t="str">
        <f>IF(AMAZON_FASHION_5__2[[#This Row],[overall]]&gt;=4,"Positive",IF(AMAZON_FASHION_5__2[[#This Row],[overall]]&lt;=2,"Negative","Neutral"))</f>
        <v>Positive</v>
      </c>
      <c r="S312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23" spans="1:19" x14ac:dyDescent="0.25">
      <c r="A3123">
        <v>3</v>
      </c>
      <c r="B3123" t="b">
        <v>1</v>
      </c>
      <c r="C3123" s="1">
        <v>43235</v>
      </c>
      <c r="D3123">
        <f>YEAR(AMAZON_FASHION_5__2[[#This Row],[reviewDate]])</f>
        <v>2018</v>
      </c>
      <c r="E3123" s="1" t="str">
        <f>TEXT(AMAZON_FASHION_5__2[[#This Row],[reviewDate]], "mmmm")</f>
        <v>May</v>
      </c>
      <c r="F3123" t="s">
        <v>1482</v>
      </c>
      <c r="G3123" t="s">
        <v>196</v>
      </c>
      <c r="H3123" t="s">
        <v>230</v>
      </c>
      <c r="I3123" t="s">
        <v>249</v>
      </c>
      <c r="J3123" t="s">
        <v>63</v>
      </c>
      <c r="K3123" t="s">
        <v>1483</v>
      </c>
      <c r="L3123" t="s">
        <v>101</v>
      </c>
      <c r="M3123">
        <v>1526342400</v>
      </c>
      <c r="N3123" t="s">
        <v>1628</v>
      </c>
      <c r="O3123" t="s">
        <v>1628</v>
      </c>
      <c r="P3123" t="s">
        <v>1628</v>
      </c>
      <c r="Q3123">
        <f>LEN(AMAZON_FASHION_5__2[[#This Row],[reviewText]])</f>
        <v>39</v>
      </c>
      <c r="R3123" t="str">
        <f>IF(AMAZON_FASHION_5__2[[#This Row],[overall]]&gt;=4,"Positive",IF(AMAZON_FASHION_5__2[[#This Row],[overall]]&lt;=2,"Negative","Neutral"))</f>
        <v>Neutral</v>
      </c>
      <c r="S312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24" spans="1:19" x14ac:dyDescent="0.25">
      <c r="A3124">
        <v>3</v>
      </c>
      <c r="B3124" t="b">
        <v>1</v>
      </c>
      <c r="C3124" s="1">
        <v>43235</v>
      </c>
      <c r="D3124">
        <f>YEAR(AMAZON_FASHION_5__2[[#This Row],[reviewDate]])</f>
        <v>2018</v>
      </c>
      <c r="E3124" s="1" t="str">
        <f>TEXT(AMAZON_FASHION_5__2[[#This Row],[reviewDate]], "mmmm")</f>
        <v>May</v>
      </c>
      <c r="F3124" t="s">
        <v>1484</v>
      </c>
      <c r="G3124" t="s">
        <v>196</v>
      </c>
      <c r="H3124" t="s">
        <v>210</v>
      </c>
      <c r="I3124" t="s">
        <v>249</v>
      </c>
      <c r="J3124" t="s">
        <v>1485</v>
      </c>
      <c r="K3124" t="s">
        <v>1486</v>
      </c>
      <c r="L3124" t="s">
        <v>1487</v>
      </c>
      <c r="M3124">
        <v>1526342400</v>
      </c>
      <c r="N3124" t="s">
        <v>1628</v>
      </c>
      <c r="O3124" t="s">
        <v>1628</v>
      </c>
      <c r="P3124" t="s">
        <v>1628</v>
      </c>
      <c r="Q3124">
        <f>LEN(AMAZON_FASHION_5__2[[#This Row],[reviewText]])</f>
        <v>173</v>
      </c>
      <c r="R3124" t="str">
        <f>IF(AMAZON_FASHION_5__2[[#This Row],[overall]]&gt;=4,"Positive",IF(AMAZON_FASHION_5__2[[#This Row],[overall]]&lt;=2,"Negative","Neutral"))</f>
        <v>Neutral</v>
      </c>
      <c r="S312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25" spans="1:19" x14ac:dyDescent="0.25">
      <c r="A3125">
        <v>5</v>
      </c>
      <c r="B3125" t="b">
        <v>1</v>
      </c>
      <c r="C3125" s="1">
        <v>43225</v>
      </c>
      <c r="D3125">
        <f>YEAR(AMAZON_FASHION_5__2[[#This Row],[reviewDate]])</f>
        <v>2018</v>
      </c>
      <c r="E3125" s="1" t="str">
        <f>TEXT(AMAZON_FASHION_5__2[[#This Row],[reviewDate]], "mmmm")</f>
        <v>May</v>
      </c>
      <c r="F3125" t="s">
        <v>1470</v>
      </c>
      <c r="G3125" t="s">
        <v>196</v>
      </c>
      <c r="H3125" t="s">
        <v>230</v>
      </c>
      <c r="I3125" t="s">
        <v>548</v>
      </c>
      <c r="J3125" t="s">
        <v>1471</v>
      </c>
      <c r="K3125" t="s">
        <v>1472</v>
      </c>
      <c r="L3125" t="s">
        <v>17</v>
      </c>
      <c r="M3125">
        <v>1525478400</v>
      </c>
      <c r="N3125" t="s">
        <v>1628</v>
      </c>
      <c r="O3125" t="s">
        <v>1628</v>
      </c>
      <c r="P3125" t="s">
        <v>1628</v>
      </c>
      <c r="Q3125">
        <f>LEN(AMAZON_FASHION_5__2[[#This Row],[reviewText]])</f>
        <v>71</v>
      </c>
      <c r="R3125" t="str">
        <f>IF(AMAZON_FASHION_5__2[[#This Row],[overall]]&gt;=4,"Positive",IF(AMAZON_FASHION_5__2[[#This Row],[overall]]&lt;=2,"Negative","Neutral"))</f>
        <v>Positive</v>
      </c>
      <c r="S312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26" spans="1:19" x14ac:dyDescent="0.25">
      <c r="A3126">
        <v>5</v>
      </c>
      <c r="B3126" t="b">
        <v>1</v>
      </c>
      <c r="C3126" s="1">
        <v>43223</v>
      </c>
      <c r="D3126">
        <f>YEAR(AMAZON_FASHION_5__2[[#This Row],[reviewDate]])</f>
        <v>2018</v>
      </c>
      <c r="E3126" s="1" t="str">
        <f>TEXT(AMAZON_FASHION_5__2[[#This Row],[reviewDate]], "mmmm")</f>
        <v>May</v>
      </c>
      <c r="F3126" t="s">
        <v>1473</v>
      </c>
      <c r="G3126" t="s">
        <v>196</v>
      </c>
      <c r="H3126" t="s">
        <v>201</v>
      </c>
      <c r="I3126" t="s">
        <v>524</v>
      </c>
      <c r="J3126" t="s">
        <v>1474</v>
      </c>
      <c r="K3126" t="s">
        <v>1475</v>
      </c>
      <c r="L3126" t="s">
        <v>17</v>
      </c>
      <c r="M3126">
        <v>1525305600</v>
      </c>
      <c r="N3126" t="s">
        <v>1628</v>
      </c>
      <c r="O3126" t="s">
        <v>1628</v>
      </c>
      <c r="P3126" t="s">
        <v>1628</v>
      </c>
      <c r="Q3126">
        <f>LEN(AMAZON_FASHION_5__2[[#This Row],[reviewText]])</f>
        <v>90</v>
      </c>
      <c r="R3126" t="str">
        <f>IF(AMAZON_FASHION_5__2[[#This Row],[overall]]&gt;=4,"Positive",IF(AMAZON_FASHION_5__2[[#This Row],[overall]]&lt;=2,"Negative","Neutral"))</f>
        <v>Positive</v>
      </c>
      <c r="S312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27" spans="1:19" x14ac:dyDescent="0.25">
      <c r="A3127">
        <v>3</v>
      </c>
      <c r="B3127" t="b">
        <v>1</v>
      </c>
      <c r="C3127" s="1">
        <v>43220</v>
      </c>
      <c r="D3127">
        <f>YEAR(AMAZON_FASHION_5__2[[#This Row],[reviewDate]])</f>
        <v>2018</v>
      </c>
      <c r="E3127" s="1" t="str">
        <f>TEXT(AMAZON_FASHION_5__2[[#This Row],[reviewDate]], "mmmm")</f>
        <v>April</v>
      </c>
      <c r="F3127" t="s">
        <v>1446</v>
      </c>
      <c r="G3127" t="s">
        <v>196</v>
      </c>
      <c r="H3127" t="s">
        <v>1145</v>
      </c>
      <c r="I3127" t="s">
        <v>411</v>
      </c>
      <c r="J3127" t="s">
        <v>63</v>
      </c>
      <c r="K3127" t="s">
        <v>1447</v>
      </c>
      <c r="L3127" t="s">
        <v>101</v>
      </c>
      <c r="M3127">
        <v>1525046400</v>
      </c>
      <c r="N3127" t="s">
        <v>1628</v>
      </c>
      <c r="O3127" t="s">
        <v>1628</v>
      </c>
      <c r="P3127" t="s">
        <v>1628</v>
      </c>
      <c r="Q3127">
        <f>LEN(AMAZON_FASHION_5__2[[#This Row],[reviewText]])</f>
        <v>14</v>
      </c>
      <c r="R3127" t="str">
        <f>IF(AMAZON_FASHION_5__2[[#This Row],[overall]]&gt;=4,"Positive",IF(AMAZON_FASHION_5__2[[#This Row],[overall]]&lt;=2,"Negative","Neutral"))</f>
        <v>Neutral</v>
      </c>
      <c r="S312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28" spans="1:19" x14ac:dyDescent="0.25">
      <c r="A3128">
        <v>5</v>
      </c>
      <c r="B3128" t="b">
        <v>1</v>
      </c>
      <c r="C3128" s="1">
        <v>43216</v>
      </c>
      <c r="D3128">
        <f>YEAR(AMAZON_FASHION_5__2[[#This Row],[reviewDate]])</f>
        <v>2018</v>
      </c>
      <c r="E3128" s="1" t="str">
        <f>TEXT(AMAZON_FASHION_5__2[[#This Row],[reviewDate]], "mmmm")</f>
        <v>April</v>
      </c>
      <c r="F3128" t="s">
        <v>1448</v>
      </c>
      <c r="G3128" t="s">
        <v>196</v>
      </c>
      <c r="H3128" t="s">
        <v>205</v>
      </c>
      <c r="I3128" t="s">
        <v>435</v>
      </c>
      <c r="J3128" t="s">
        <v>1449</v>
      </c>
      <c r="K3128" t="s">
        <v>1450</v>
      </c>
      <c r="L3128" t="s">
        <v>17</v>
      </c>
      <c r="M3128">
        <v>1524700800</v>
      </c>
      <c r="N3128" t="s">
        <v>1628</v>
      </c>
      <c r="O3128" t="s">
        <v>1628</v>
      </c>
      <c r="P3128" t="s">
        <v>1628</v>
      </c>
      <c r="Q3128">
        <f>LEN(AMAZON_FASHION_5__2[[#This Row],[reviewText]])</f>
        <v>43</v>
      </c>
      <c r="R3128" t="str">
        <f>IF(AMAZON_FASHION_5__2[[#This Row],[overall]]&gt;=4,"Positive",IF(AMAZON_FASHION_5__2[[#This Row],[overall]]&lt;=2,"Negative","Neutral"))</f>
        <v>Positive</v>
      </c>
      <c r="S312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29" spans="1:19" x14ac:dyDescent="0.25">
      <c r="A3129">
        <v>5</v>
      </c>
      <c r="B3129" t="b">
        <v>1</v>
      </c>
      <c r="C3129" s="1">
        <v>43214</v>
      </c>
      <c r="D3129">
        <f>YEAR(AMAZON_FASHION_5__2[[#This Row],[reviewDate]])</f>
        <v>2018</v>
      </c>
      <c r="E3129" s="1" t="str">
        <f>TEXT(AMAZON_FASHION_5__2[[#This Row],[reviewDate]], "mmmm")</f>
        <v>April</v>
      </c>
      <c r="F3129" t="s">
        <v>1451</v>
      </c>
      <c r="G3129" t="s">
        <v>196</v>
      </c>
      <c r="H3129" t="s">
        <v>205</v>
      </c>
      <c r="I3129" t="s">
        <v>198</v>
      </c>
      <c r="J3129" t="s">
        <v>1452</v>
      </c>
      <c r="K3129" t="s">
        <v>1453</v>
      </c>
      <c r="L3129" t="s">
        <v>1454</v>
      </c>
      <c r="M3129">
        <v>1524528000</v>
      </c>
      <c r="N3129" t="s">
        <v>1628</v>
      </c>
      <c r="O3129" t="s">
        <v>1628</v>
      </c>
      <c r="P3129" t="s">
        <v>1628</v>
      </c>
      <c r="Q3129">
        <f>LEN(AMAZON_FASHION_5__2[[#This Row],[reviewText]])</f>
        <v>160</v>
      </c>
      <c r="R3129" t="str">
        <f>IF(AMAZON_FASHION_5__2[[#This Row],[overall]]&gt;=4,"Positive",IF(AMAZON_FASHION_5__2[[#This Row],[overall]]&lt;=2,"Negative","Neutral"))</f>
        <v>Positive</v>
      </c>
      <c r="S312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Sneakers</v>
      </c>
    </row>
    <row r="3130" spans="1:19" x14ac:dyDescent="0.25">
      <c r="A3130">
        <v>1</v>
      </c>
      <c r="B3130" t="b">
        <v>1</v>
      </c>
      <c r="C3130" s="1">
        <v>42774</v>
      </c>
      <c r="D3130">
        <f>YEAR(AMAZON_FASHION_5__2[[#This Row],[reviewDate]])</f>
        <v>2017</v>
      </c>
      <c r="E3130" s="1" t="str">
        <f>TEXT(AMAZON_FASHION_5__2[[#This Row],[reviewDate]], "mmmm")</f>
        <v>February</v>
      </c>
      <c r="F3130" t="s">
        <v>120</v>
      </c>
      <c r="G3130" t="s">
        <v>1444</v>
      </c>
      <c r="H3130" t="s">
        <v>1628</v>
      </c>
      <c r="I3130" t="s">
        <v>1628</v>
      </c>
      <c r="J3130" t="s">
        <v>121</v>
      </c>
      <c r="K3130" t="s">
        <v>122</v>
      </c>
      <c r="L3130" t="s">
        <v>123</v>
      </c>
      <c r="M3130">
        <v>1486512000</v>
      </c>
      <c r="N3130" t="s">
        <v>1628</v>
      </c>
      <c r="O3130" t="s">
        <v>1628</v>
      </c>
      <c r="P3130" t="s">
        <v>1628</v>
      </c>
      <c r="Q3130">
        <f>LEN(AMAZON_FASHION_5__2[[#This Row],[reviewText]])</f>
        <v>128</v>
      </c>
      <c r="R3130" t="str">
        <f>IF(AMAZON_FASHION_5__2[[#This Row],[overall]]&gt;=4,"Positive",IF(AMAZON_FASHION_5__2[[#This Row],[overall]]&lt;=2,"Negative","Neutral"))</f>
        <v>Negative</v>
      </c>
      <c r="S313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31" spans="1:19" x14ac:dyDescent="0.25">
      <c r="A3131">
        <v>5</v>
      </c>
      <c r="B3131" t="b">
        <v>1</v>
      </c>
      <c r="C3131" s="1">
        <v>42758</v>
      </c>
      <c r="D3131">
        <f>YEAR(AMAZON_FASHION_5__2[[#This Row],[reviewDate]])</f>
        <v>2017</v>
      </c>
      <c r="E3131" s="1" t="str">
        <f>TEXT(AMAZON_FASHION_5__2[[#This Row],[reviewDate]], "mmmm")</f>
        <v>January</v>
      </c>
      <c r="F3131" t="s">
        <v>107</v>
      </c>
      <c r="G3131" t="s">
        <v>1444</v>
      </c>
      <c r="H3131" t="s">
        <v>1628</v>
      </c>
      <c r="I3131" t="s">
        <v>1628</v>
      </c>
      <c r="J3131" t="s">
        <v>63</v>
      </c>
      <c r="K3131" t="s">
        <v>125</v>
      </c>
      <c r="L3131" t="s">
        <v>17</v>
      </c>
      <c r="M3131">
        <v>1485129600</v>
      </c>
      <c r="N3131" t="s">
        <v>1628</v>
      </c>
      <c r="O3131" t="s">
        <v>1628</v>
      </c>
      <c r="P3131" t="s">
        <v>1628</v>
      </c>
      <c r="Q3131">
        <f>LEN(AMAZON_FASHION_5__2[[#This Row],[reviewText]])</f>
        <v>31</v>
      </c>
      <c r="R3131" t="str">
        <f>IF(AMAZON_FASHION_5__2[[#This Row],[overall]]&gt;=4,"Positive",IF(AMAZON_FASHION_5__2[[#This Row],[overall]]&lt;=2,"Negative","Neutral"))</f>
        <v>Positive</v>
      </c>
      <c r="S313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32" spans="1:19" x14ac:dyDescent="0.25">
      <c r="A3132">
        <v>4</v>
      </c>
      <c r="B3132" t="b">
        <v>1</v>
      </c>
      <c r="C3132" s="1">
        <v>43087</v>
      </c>
      <c r="D3132">
        <f>YEAR(AMAZON_FASHION_5__2[[#This Row],[reviewDate]])</f>
        <v>2017</v>
      </c>
      <c r="E3132" s="1" t="str">
        <f>TEXT(AMAZON_FASHION_5__2[[#This Row],[reviewDate]], "mmmm")</f>
        <v>December</v>
      </c>
      <c r="F3132" t="s">
        <v>87</v>
      </c>
      <c r="G3132" t="s">
        <v>1620</v>
      </c>
      <c r="H3132" t="s">
        <v>1621</v>
      </c>
      <c r="I3132" t="s">
        <v>1622</v>
      </c>
      <c r="J3132" t="s">
        <v>89</v>
      </c>
      <c r="K3132" t="s">
        <v>1623</v>
      </c>
      <c r="L3132" t="s">
        <v>1624</v>
      </c>
      <c r="M3132">
        <v>1513555200</v>
      </c>
      <c r="N3132" t="s">
        <v>1628</v>
      </c>
      <c r="O3132" t="s">
        <v>1625</v>
      </c>
      <c r="P3132" t="s">
        <v>1628</v>
      </c>
      <c r="Q3132">
        <f>LEN(AMAZON_FASHION_5__2[[#This Row],[reviewText]])</f>
        <v>65</v>
      </c>
      <c r="R3132" t="str">
        <f>IF(AMAZON_FASHION_5__2[[#This Row],[overall]]&gt;=4,"Positive",IF(AMAZON_FASHION_5__2[[#This Row],[overall]]&lt;=2,"Negative","Neutral"))</f>
        <v>Positive</v>
      </c>
      <c r="S313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33" spans="1:19" x14ac:dyDescent="0.25">
      <c r="A3133">
        <v>5</v>
      </c>
      <c r="B3133" t="b">
        <v>1</v>
      </c>
      <c r="C3133" s="1">
        <v>43271</v>
      </c>
      <c r="D3133">
        <f>YEAR(AMAZON_FASHION_5__2[[#This Row],[reviewDate]])</f>
        <v>2018</v>
      </c>
      <c r="E3133" s="1" t="str">
        <f>TEXT(AMAZON_FASHION_5__2[[#This Row],[reviewDate]], "mmmm")</f>
        <v>June</v>
      </c>
      <c r="F3133" t="s">
        <v>1590</v>
      </c>
      <c r="G3133" t="s">
        <v>1445</v>
      </c>
      <c r="H3133" t="s">
        <v>210</v>
      </c>
      <c r="I3133" t="s">
        <v>249</v>
      </c>
      <c r="J3133" t="s">
        <v>1591</v>
      </c>
      <c r="K3133" t="s">
        <v>1592</v>
      </c>
      <c r="L3133" t="s">
        <v>468</v>
      </c>
      <c r="M3133">
        <v>1529452800</v>
      </c>
      <c r="N3133" t="s">
        <v>1628</v>
      </c>
      <c r="O3133" t="s">
        <v>1628</v>
      </c>
      <c r="P3133" t="s">
        <v>1628</v>
      </c>
      <c r="Q3133">
        <f>LEN(AMAZON_FASHION_5__2[[#This Row],[reviewText]])</f>
        <v>382</v>
      </c>
      <c r="R3133" t="str">
        <f>IF(AMAZON_FASHION_5__2[[#This Row],[overall]]&gt;=4,"Positive",IF(AMAZON_FASHION_5__2[[#This Row],[overall]]&lt;=2,"Negative","Neutral"))</f>
        <v>Positive</v>
      </c>
      <c r="S313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34" spans="1:19" x14ac:dyDescent="0.25">
      <c r="A3134">
        <v>5</v>
      </c>
      <c r="B3134" t="b">
        <v>1</v>
      </c>
      <c r="C3134" s="1">
        <v>43267</v>
      </c>
      <c r="D3134">
        <f>YEAR(AMAZON_FASHION_5__2[[#This Row],[reviewDate]])</f>
        <v>2018</v>
      </c>
      <c r="E3134" s="1" t="str">
        <f>TEXT(AMAZON_FASHION_5__2[[#This Row],[reviewDate]], "mmmm")</f>
        <v>June</v>
      </c>
      <c r="F3134" t="s">
        <v>1593</v>
      </c>
      <c r="G3134" t="s">
        <v>1445</v>
      </c>
      <c r="H3134" t="s">
        <v>210</v>
      </c>
      <c r="I3134" t="s">
        <v>198</v>
      </c>
      <c r="J3134" t="s">
        <v>797</v>
      </c>
      <c r="K3134" t="s">
        <v>1594</v>
      </c>
      <c r="L3134" t="s">
        <v>17</v>
      </c>
      <c r="M3134">
        <v>1529107200</v>
      </c>
      <c r="N3134" t="s">
        <v>1628</v>
      </c>
      <c r="O3134" t="s">
        <v>1628</v>
      </c>
      <c r="P3134" t="s">
        <v>1628</v>
      </c>
      <c r="Q3134">
        <f>LEN(AMAZON_FASHION_5__2[[#This Row],[reviewText]])</f>
        <v>44</v>
      </c>
      <c r="R3134" t="str">
        <f>IF(AMAZON_FASHION_5__2[[#This Row],[overall]]&gt;=4,"Positive",IF(AMAZON_FASHION_5__2[[#This Row],[overall]]&lt;=2,"Negative","Neutral"))</f>
        <v>Positive</v>
      </c>
      <c r="S313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35" spans="1:19" x14ac:dyDescent="0.25">
      <c r="A3135">
        <v>5</v>
      </c>
      <c r="B3135" t="b">
        <v>1</v>
      </c>
      <c r="C3135" s="1">
        <v>43254</v>
      </c>
      <c r="D3135">
        <f>YEAR(AMAZON_FASHION_5__2[[#This Row],[reviewDate]])</f>
        <v>2018</v>
      </c>
      <c r="E3135" s="1" t="str">
        <f>TEXT(AMAZON_FASHION_5__2[[#This Row],[reviewDate]], "mmmm")</f>
        <v>June</v>
      </c>
      <c r="F3135" t="s">
        <v>1502</v>
      </c>
      <c r="G3135" t="s">
        <v>1445</v>
      </c>
      <c r="H3135" t="s">
        <v>201</v>
      </c>
      <c r="I3135" t="s">
        <v>198</v>
      </c>
      <c r="J3135" t="s">
        <v>1503</v>
      </c>
      <c r="K3135" t="s">
        <v>1504</v>
      </c>
      <c r="L3135" t="s">
        <v>17</v>
      </c>
      <c r="M3135">
        <v>1527984000</v>
      </c>
      <c r="N3135" t="s">
        <v>1628</v>
      </c>
      <c r="O3135" t="s">
        <v>1628</v>
      </c>
      <c r="P3135" t="s">
        <v>1628</v>
      </c>
      <c r="Q3135">
        <f>LEN(AMAZON_FASHION_5__2[[#This Row],[reviewText]])</f>
        <v>47</v>
      </c>
      <c r="R3135" t="str">
        <f>IF(AMAZON_FASHION_5__2[[#This Row],[overall]]&gt;=4,"Positive",IF(AMAZON_FASHION_5__2[[#This Row],[overall]]&lt;=2,"Negative","Neutral"))</f>
        <v>Positive</v>
      </c>
      <c r="S313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36" spans="1:19" x14ac:dyDescent="0.25">
      <c r="A3136">
        <v>5</v>
      </c>
      <c r="B3136" t="b">
        <v>1</v>
      </c>
      <c r="C3136" s="1">
        <v>43242</v>
      </c>
      <c r="D3136">
        <f>YEAR(AMAZON_FASHION_5__2[[#This Row],[reviewDate]])</f>
        <v>2018</v>
      </c>
      <c r="E3136" s="1" t="str">
        <f>TEXT(AMAZON_FASHION_5__2[[#This Row],[reviewDate]], "mmmm")</f>
        <v>May</v>
      </c>
      <c r="F3136" t="s">
        <v>1491</v>
      </c>
      <c r="G3136" t="s">
        <v>1445</v>
      </c>
      <c r="H3136" t="s">
        <v>261</v>
      </c>
      <c r="I3136" t="s">
        <v>249</v>
      </c>
      <c r="J3136" t="s">
        <v>1492</v>
      </c>
      <c r="K3136" t="s">
        <v>1493</v>
      </c>
      <c r="L3136" t="s">
        <v>1494</v>
      </c>
      <c r="M3136">
        <v>1526947200</v>
      </c>
      <c r="N3136" t="s">
        <v>1628</v>
      </c>
      <c r="O3136" t="s">
        <v>1628</v>
      </c>
      <c r="P3136" t="s">
        <v>1628</v>
      </c>
      <c r="Q3136">
        <f>LEN(AMAZON_FASHION_5__2[[#This Row],[reviewText]])</f>
        <v>372</v>
      </c>
      <c r="R3136" t="str">
        <f>IF(AMAZON_FASHION_5__2[[#This Row],[overall]]&gt;=4,"Positive",IF(AMAZON_FASHION_5__2[[#This Row],[overall]]&lt;=2,"Negative","Neutral"))</f>
        <v>Positive</v>
      </c>
      <c r="S313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37" spans="1:19" x14ac:dyDescent="0.25">
      <c r="A3137">
        <v>5</v>
      </c>
      <c r="B3137" t="b">
        <v>1</v>
      </c>
      <c r="C3137" s="1">
        <v>43236</v>
      </c>
      <c r="D3137">
        <f>YEAR(AMAZON_FASHION_5__2[[#This Row],[reviewDate]])</f>
        <v>2018</v>
      </c>
      <c r="E3137" s="1" t="str">
        <f>TEXT(AMAZON_FASHION_5__2[[#This Row],[reviewDate]], "mmmm")</f>
        <v>May</v>
      </c>
      <c r="F3137" t="s">
        <v>1495</v>
      </c>
      <c r="G3137" t="s">
        <v>1445</v>
      </c>
      <c r="H3137" t="s">
        <v>477</v>
      </c>
      <c r="I3137" t="s">
        <v>198</v>
      </c>
      <c r="J3137" t="s">
        <v>1496</v>
      </c>
      <c r="K3137" t="s">
        <v>1497</v>
      </c>
      <c r="L3137" t="s">
        <v>1498</v>
      </c>
      <c r="M3137">
        <v>1526428800</v>
      </c>
      <c r="N3137" t="s">
        <v>1628</v>
      </c>
      <c r="O3137" t="s">
        <v>1628</v>
      </c>
      <c r="P3137" t="s">
        <v>1628</v>
      </c>
      <c r="Q3137">
        <f>LEN(AMAZON_FASHION_5__2[[#This Row],[reviewText]])</f>
        <v>17</v>
      </c>
      <c r="R3137" t="str">
        <f>IF(AMAZON_FASHION_5__2[[#This Row],[overall]]&gt;=4,"Positive",IF(AMAZON_FASHION_5__2[[#This Row],[overall]]&lt;=2,"Negative","Neutral"))</f>
        <v>Positive</v>
      </c>
      <c r="S313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38" spans="1:19" x14ac:dyDescent="0.25">
      <c r="A3138">
        <v>5</v>
      </c>
      <c r="B3138" t="b">
        <v>1</v>
      </c>
      <c r="C3138" s="1">
        <v>43236</v>
      </c>
      <c r="D3138">
        <f>YEAR(AMAZON_FASHION_5__2[[#This Row],[reviewDate]])</f>
        <v>2018</v>
      </c>
      <c r="E3138" s="1" t="str">
        <f>TEXT(AMAZON_FASHION_5__2[[#This Row],[reviewDate]], "mmmm")</f>
        <v>May</v>
      </c>
      <c r="F3138" t="s">
        <v>1480</v>
      </c>
      <c r="G3138" t="s">
        <v>1445</v>
      </c>
      <c r="H3138" t="s">
        <v>558</v>
      </c>
      <c r="I3138" t="s">
        <v>198</v>
      </c>
      <c r="J3138" t="s">
        <v>1481</v>
      </c>
      <c r="K3138" t="s">
        <v>69</v>
      </c>
      <c r="L3138" t="s">
        <v>17</v>
      </c>
      <c r="M3138">
        <v>1526428800</v>
      </c>
      <c r="N3138" t="s">
        <v>1628</v>
      </c>
      <c r="O3138" t="s">
        <v>1628</v>
      </c>
      <c r="P3138" t="s">
        <v>1628</v>
      </c>
      <c r="Q3138">
        <f>LEN(AMAZON_FASHION_5__2[[#This Row],[reviewText]])</f>
        <v>11</v>
      </c>
      <c r="R3138" t="str">
        <f>IF(AMAZON_FASHION_5__2[[#This Row],[overall]]&gt;=4,"Positive",IF(AMAZON_FASHION_5__2[[#This Row],[overall]]&lt;=2,"Negative","Neutral"))</f>
        <v>Positive</v>
      </c>
      <c r="S313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39" spans="1:19" x14ac:dyDescent="0.25">
      <c r="A3139">
        <v>3</v>
      </c>
      <c r="B3139" t="b">
        <v>1</v>
      </c>
      <c r="C3139" s="1">
        <v>43235</v>
      </c>
      <c r="D3139">
        <f>YEAR(AMAZON_FASHION_5__2[[#This Row],[reviewDate]])</f>
        <v>2018</v>
      </c>
      <c r="E3139" s="1" t="str">
        <f>TEXT(AMAZON_FASHION_5__2[[#This Row],[reviewDate]], "mmmm")</f>
        <v>May</v>
      </c>
      <c r="F3139" t="s">
        <v>1482</v>
      </c>
      <c r="G3139" t="s">
        <v>1445</v>
      </c>
      <c r="H3139" t="s">
        <v>230</v>
      </c>
      <c r="I3139" t="s">
        <v>249</v>
      </c>
      <c r="J3139" t="s">
        <v>63</v>
      </c>
      <c r="K3139" t="s">
        <v>1483</v>
      </c>
      <c r="L3139" t="s">
        <v>101</v>
      </c>
      <c r="M3139">
        <v>1526342400</v>
      </c>
      <c r="N3139" t="s">
        <v>1628</v>
      </c>
      <c r="O3139" t="s">
        <v>1628</v>
      </c>
      <c r="P3139" t="s">
        <v>1628</v>
      </c>
      <c r="Q3139">
        <f>LEN(AMAZON_FASHION_5__2[[#This Row],[reviewText]])</f>
        <v>39</v>
      </c>
      <c r="R3139" t="str">
        <f>IF(AMAZON_FASHION_5__2[[#This Row],[overall]]&gt;=4,"Positive",IF(AMAZON_FASHION_5__2[[#This Row],[overall]]&lt;=2,"Negative","Neutral"))</f>
        <v>Neutral</v>
      </c>
      <c r="S313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40" spans="1:19" x14ac:dyDescent="0.25">
      <c r="A3140">
        <v>3</v>
      </c>
      <c r="B3140" t="b">
        <v>1</v>
      </c>
      <c r="C3140" s="1">
        <v>43235</v>
      </c>
      <c r="D3140">
        <f>YEAR(AMAZON_FASHION_5__2[[#This Row],[reviewDate]])</f>
        <v>2018</v>
      </c>
      <c r="E3140" s="1" t="str">
        <f>TEXT(AMAZON_FASHION_5__2[[#This Row],[reviewDate]], "mmmm")</f>
        <v>May</v>
      </c>
      <c r="F3140" t="s">
        <v>1484</v>
      </c>
      <c r="G3140" t="s">
        <v>1445</v>
      </c>
      <c r="H3140" t="s">
        <v>210</v>
      </c>
      <c r="I3140" t="s">
        <v>249</v>
      </c>
      <c r="J3140" t="s">
        <v>1485</v>
      </c>
      <c r="K3140" t="s">
        <v>1486</v>
      </c>
      <c r="L3140" t="s">
        <v>1487</v>
      </c>
      <c r="M3140">
        <v>1526342400</v>
      </c>
      <c r="N3140" t="s">
        <v>1628</v>
      </c>
      <c r="O3140" t="s">
        <v>1628</v>
      </c>
      <c r="P3140" t="s">
        <v>1628</v>
      </c>
      <c r="Q3140">
        <f>LEN(AMAZON_FASHION_5__2[[#This Row],[reviewText]])</f>
        <v>173</v>
      </c>
      <c r="R3140" t="str">
        <f>IF(AMAZON_FASHION_5__2[[#This Row],[overall]]&gt;=4,"Positive",IF(AMAZON_FASHION_5__2[[#This Row],[overall]]&lt;=2,"Negative","Neutral"))</f>
        <v>Neutral</v>
      </c>
      <c r="S314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41" spans="1:19" x14ac:dyDescent="0.25">
      <c r="A3141">
        <v>5</v>
      </c>
      <c r="B3141" t="b">
        <v>1</v>
      </c>
      <c r="C3141" s="1">
        <v>43225</v>
      </c>
      <c r="D3141">
        <f>YEAR(AMAZON_FASHION_5__2[[#This Row],[reviewDate]])</f>
        <v>2018</v>
      </c>
      <c r="E3141" s="1" t="str">
        <f>TEXT(AMAZON_FASHION_5__2[[#This Row],[reviewDate]], "mmmm")</f>
        <v>May</v>
      </c>
      <c r="F3141" t="s">
        <v>1470</v>
      </c>
      <c r="G3141" t="s">
        <v>1445</v>
      </c>
      <c r="H3141" t="s">
        <v>230</v>
      </c>
      <c r="I3141" t="s">
        <v>548</v>
      </c>
      <c r="J3141" t="s">
        <v>1471</v>
      </c>
      <c r="K3141" t="s">
        <v>1472</v>
      </c>
      <c r="L3141" t="s">
        <v>17</v>
      </c>
      <c r="M3141">
        <v>1525478400</v>
      </c>
      <c r="N3141" t="s">
        <v>1628</v>
      </c>
      <c r="O3141" t="s">
        <v>1628</v>
      </c>
      <c r="P3141" t="s">
        <v>1628</v>
      </c>
      <c r="Q3141">
        <f>LEN(AMAZON_FASHION_5__2[[#This Row],[reviewText]])</f>
        <v>71</v>
      </c>
      <c r="R3141" t="str">
        <f>IF(AMAZON_FASHION_5__2[[#This Row],[overall]]&gt;=4,"Positive",IF(AMAZON_FASHION_5__2[[#This Row],[overall]]&lt;=2,"Negative","Neutral"))</f>
        <v>Positive</v>
      </c>
      <c r="S314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42" spans="1:19" x14ac:dyDescent="0.25">
      <c r="A3142">
        <v>5</v>
      </c>
      <c r="B3142" t="b">
        <v>1</v>
      </c>
      <c r="C3142" s="1">
        <v>43223</v>
      </c>
      <c r="D3142">
        <f>YEAR(AMAZON_FASHION_5__2[[#This Row],[reviewDate]])</f>
        <v>2018</v>
      </c>
      <c r="E3142" s="1" t="str">
        <f>TEXT(AMAZON_FASHION_5__2[[#This Row],[reviewDate]], "mmmm")</f>
        <v>May</v>
      </c>
      <c r="F3142" t="s">
        <v>1473</v>
      </c>
      <c r="G3142" t="s">
        <v>1445</v>
      </c>
      <c r="H3142" t="s">
        <v>201</v>
      </c>
      <c r="I3142" t="s">
        <v>524</v>
      </c>
      <c r="J3142" t="s">
        <v>1474</v>
      </c>
      <c r="K3142" t="s">
        <v>1475</v>
      </c>
      <c r="L3142" t="s">
        <v>17</v>
      </c>
      <c r="M3142">
        <v>1525305600</v>
      </c>
      <c r="N3142" t="s">
        <v>1628</v>
      </c>
      <c r="O3142" t="s">
        <v>1628</v>
      </c>
      <c r="P3142" t="s">
        <v>1628</v>
      </c>
      <c r="Q3142">
        <f>LEN(AMAZON_FASHION_5__2[[#This Row],[reviewText]])</f>
        <v>90</v>
      </c>
      <c r="R3142" t="str">
        <f>IF(AMAZON_FASHION_5__2[[#This Row],[overall]]&gt;=4,"Positive",IF(AMAZON_FASHION_5__2[[#This Row],[overall]]&lt;=2,"Negative","Neutral"))</f>
        <v>Positive</v>
      </c>
      <c r="S314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43" spans="1:19" x14ac:dyDescent="0.25">
      <c r="A3143">
        <v>5</v>
      </c>
      <c r="B3143" t="b">
        <v>1</v>
      </c>
      <c r="C3143" s="1">
        <v>43279</v>
      </c>
      <c r="D3143">
        <f>YEAR(AMAZON_FASHION_5__2[[#This Row],[reviewDate]])</f>
        <v>2018</v>
      </c>
      <c r="E3143" s="1" t="str">
        <f>TEXT(AMAZON_FASHION_5__2[[#This Row],[reviewDate]], "mmmm")</f>
        <v>June</v>
      </c>
      <c r="F3143" t="s">
        <v>1584</v>
      </c>
      <c r="G3143" t="s">
        <v>1456</v>
      </c>
      <c r="H3143" t="s">
        <v>677</v>
      </c>
      <c r="I3143" t="s">
        <v>274</v>
      </c>
      <c r="J3143" t="s">
        <v>1586</v>
      </c>
      <c r="K3143" t="s">
        <v>1587</v>
      </c>
      <c r="L3143" t="s">
        <v>69</v>
      </c>
      <c r="M3143">
        <v>1530144000</v>
      </c>
      <c r="N3143" t="s">
        <v>1628</v>
      </c>
      <c r="O3143" t="s">
        <v>1628</v>
      </c>
      <c r="P3143" t="s">
        <v>1628</v>
      </c>
      <c r="Q3143">
        <f>LEN(AMAZON_FASHION_5__2[[#This Row],[reviewText]])</f>
        <v>27</v>
      </c>
      <c r="R3143" t="str">
        <f>IF(AMAZON_FASHION_5__2[[#This Row],[overall]]&gt;=4,"Positive",IF(AMAZON_FASHION_5__2[[#This Row],[overall]]&lt;=2,"Negative","Neutral"))</f>
        <v>Positive</v>
      </c>
      <c r="S314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44" spans="1:19" x14ac:dyDescent="0.25">
      <c r="A3144">
        <v>5</v>
      </c>
      <c r="B3144" t="b">
        <v>1</v>
      </c>
      <c r="C3144" s="1">
        <v>43276</v>
      </c>
      <c r="D3144">
        <f>YEAR(AMAZON_FASHION_5__2[[#This Row],[reviewDate]])</f>
        <v>2018</v>
      </c>
      <c r="E3144" s="1" t="str">
        <f>TEXT(AMAZON_FASHION_5__2[[#This Row],[reviewDate]], "mmmm")</f>
        <v>June</v>
      </c>
      <c r="F3144" t="s">
        <v>1588</v>
      </c>
      <c r="G3144" t="s">
        <v>1456</v>
      </c>
      <c r="H3144" t="s">
        <v>201</v>
      </c>
      <c r="I3144" t="s">
        <v>249</v>
      </c>
      <c r="J3144" t="s">
        <v>63</v>
      </c>
      <c r="K3144" t="s">
        <v>1589</v>
      </c>
      <c r="L3144" t="s">
        <v>17</v>
      </c>
      <c r="M3144">
        <v>1529884800</v>
      </c>
      <c r="N3144" t="s">
        <v>1628</v>
      </c>
      <c r="O3144" t="s">
        <v>1628</v>
      </c>
      <c r="P3144" t="s">
        <v>1628</v>
      </c>
      <c r="Q3144">
        <f>LEN(AMAZON_FASHION_5__2[[#This Row],[reviewText]])</f>
        <v>21</v>
      </c>
      <c r="R3144" t="str">
        <f>IF(AMAZON_FASHION_5__2[[#This Row],[overall]]&gt;=4,"Positive",IF(AMAZON_FASHION_5__2[[#This Row],[overall]]&lt;=2,"Negative","Neutral"))</f>
        <v>Positive</v>
      </c>
      <c r="S314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45" spans="1:19" x14ac:dyDescent="0.25">
      <c r="A3145">
        <v>5</v>
      </c>
      <c r="B3145" t="b">
        <v>1</v>
      </c>
      <c r="C3145" s="1">
        <v>43271</v>
      </c>
      <c r="D3145">
        <f>YEAR(AMAZON_FASHION_5__2[[#This Row],[reviewDate]])</f>
        <v>2018</v>
      </c>
      <c r="E3145" s="1" t="str">
        <f>TEXT(AMAZON_FASHION_5__2[[#This Row],[reviewDate]], "mmmm")</f>
        <v>June</v>
      </c>
      <c r="F3145" t="s">
        <v>1590</v>
      </c>
      <c r="G3145" t="s">
        <v>1456</v>
      </c>
      <c r="H3145" t="s">
        <v>210</v>
      </c>
      <c r="I3145" t="s">
        <v>249</v>
      </c>
      <c r="J3145" t="s">
        <v>1591</v>
      </c>
      <c r="K3145" t="s">
        <v>1592</v>
      </c>
      <c r="L3145" t="s">
        <v>468</v>
      </c>
      <c r="M3145">
        <v>1529452800</v>
      </c>
      <c r="N3145" t="s">
        <v>1628</v>
      </c>
      <c r="O3145" t="s">
        <v>1628</v>
      </c>
      <c r="P3145" t="s">
        <v>1628</v>
      </c>
      <c r="Q3145">
        <f>LEN(AMAZON_FASHION_5__2[[#This Row],[reviewText]])</f>
        <v>382</v>
      </c>
      <c r="R3145" t="str">
        <f>IF(AMAZON_FASHION_5__2[[#This Row],[overall]]&gt;=4,"Positive",IF(AMAZON_FASHION_5__2[[#This Row],[overall]]&lt;=2,"Negative","Neutral"))</f>
        <v>Positive</v>
      </c>
      <c r="S314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46" spans="1:19" x14ac:dyDescent="0.25">
      <c r="A3146">
        <v>5</v>
      </c>
      <c r="B3146" t="b">
        <v>1</v>
      </c>
      <c r="C3146" s="1">
        <v>43267</v>
      </c>
      <c r="D3146">
        <f>YEAR(AMAZON_FASHION_5__2[[#This Row],[reviewDate]])</f>
        <v>2018</v>
      </c>
      <c r="E3146" s="1" t="str">
        <f>TEXT(AMAZON_FASHION_5__2[[#This Row],[reviewDate]], "mmmm")</f>
        <v>June</v>
      </c>
      <c r="F3146" t="s">
        <v>1593</v>
      </c>
      <c r="G3146" t="s">
        <v>1456</v>
      </c>
      <c r="H3146" t="s">
        <v>210</v>
      </c>
      <c r="I3146" t="s">
        <v>198</v>
      </c>
      <c r="J3146" t="s">
        <v>797</v>
      </c>
      <c r="K3146" t="s">
        <v>1594</v>
      </c>
      <c r="L3146" t="s">
        <v>17</v>
      </c>
      <c r="M3146">
        <v>1529107200</v>
      </c>
      <c r="N3146" t="s">
        <v>1628</v>
      </c>
      <c r="O3146" t="s">
        <v>1628</v>
      </c>
      <c r="P3146" t="s">
        <v>1628</v>
      </c>
      <c r="Q3146">
        <f>LEN(AMAZON_FASHION_5__2[[#This Row],[reviewText]])</f>
        <v>44</v>
      </c>
      <c r="R3146" t="str">
        <f>IF(AMAZON_FASHION_5__2[[#This Row],[overall]]&gt;=4,"Positive",IF(AMAZON_FASHION_5__2[[#This Row],[overall]]&lt;=2,"Negative","Neutral"))</f>
        <v>Positive</v>
      </c>
      <c r="S314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47" spans="1:19" x14ac:dyDescent="0.25">
      <c r="A3147">
        <v>5</v>
      </c>
      <c r="B3147" t="b">
        <v>1</v>
      </c>
      <c r="C3147" s="1">
        <v>43254</v>
      </c>
      <c r="D3147">
        <f>YEAR(AMAZON_FASHION_5__2[[#This Row],[reviewDate]])</f>
        <v>2018</v>
      </c>
      <c r="E3147" s="1" t="str">
        <f>TEXT(AMAZON_FASHION_5__2[[#This Row],[reviewDate]], "mmmm")</f>
        <v>June</v>
      </c>
      <c r="F3147" t="s">
        <v>1502</v>
      </c>
      <c r="G3147" t="s">
        <v>1456</v>
      </c>
      <c r="H3147" t="s">
        <v>201</v>
      </c>
      <c r="I3147" t="s">
        <v>198</v>
      </c>
      <c r="J3147" t="s">
        <v>1503</v>
      </c>
      <c r="K3147" t="s">
        <v>1504</v>
      </c>
      <c r="L3147" t="s">
        <v>17</v>
      </c>
      <c r="M3147">
        <v>1527984000</v>
      </c>
      <c r="N3147" t="s">
        <v>1628</v>
      </c>
      <c r="O3147" t="s">
        <v>1628</v>
      </c>
      <c r="P3147" t="s">
        <v>1628</v>
      </c>
      <c r="Q3147">
        <f>LEN(AMAZON_FASHION_5__2[[#This Row],[reviewText]])</f>
        <v>47</v>
      </c>
      <c r="R3147" t="str">
        <f>IF(AMAZON_FASHION_5__2[[#This Row],[overall]]&gt;=4,"Positive",IF(AMAZON_FASHION_5__2[[#This Row],[overall]]&lt;=2,"Negative","Neutral"))</f>
        <v>Positive</v>
      </c>
      <c r="S314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48" spans="1:19" x14ac:dyDescent="0.25">
      <c r="A3148">
        <v>5</v>
      </c>
      <c r="B3148" t="b">
        <v>1</v>
      </c>
      <c r="C3148" s="1">
        <v>43242</v>
      </c>
      <c r="D3148">
        <f>YEAR(AMAZON_FASHION_5__2[[#This Row],[reviewDate]])</f>
        <v>2018</v>
      </c>
      <c r="E3148" s="1" t="str">
        <f>TEXT(AMAZON_FASHION_5__2[[#This Row],[reviewDate]], "mmmm")</f>
        <v>May</v>
      </c>
      <c r="F3148" t="s">
        <v>1491</v>
      </c>
      <c r="G3148" t="s">
        <v>1456</v>
      </c>
      <c r="H3148" t="s">
        <v>261</v>
      </c>
      <c r="I3148" t="s">
        <v>249</v>
      </c>
      <c r="J3148" t="s">
        <v>1492</v>
      </c>
      <c r="K3148" t="s">
        <v>1493</v>
      </c>
      <c r="L3148" t="s">
        <v>1494</v>
      </c>
      <c r="M3148">
        <v>1526947200</v>
      </c>
      <c r="N3148" t="s">
        <v>1628</v>
      </c>
      <c r="O3148" t="s">
        <v>1628</v>
      </c>
      <c r="P3148" t="s">
        <v>1628</v>
      </c>
      <c r="Q3148">
        <f>LEN(AMAZON_FASHION_5__2[[#This Row],[reviewText]])</f>
        <v>372</v>
      </c>
      <c r="R3148" t="str">
        <f>IF(AMAZON_FASHION_5__2[[#This Row],[overall]]&gt;=4,"Positive",IF(AMAZON_FASHION_5__2[[#This Row],[overall]]&lt;=2,"Negative","Neutral"))</f>
        <v>Positive</v>
      </c>
      <c r="S314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49" spans="1:19" x14ac:dyDescent="0.25">
      <c r="A3149">
        <v>5</v>
      </c>
      <c r="B3149" t="b">
        <v>1</v>
      </c>
      <c r="C3149" s="1">
        <v>43236</v>
      </c>
      <c r="D3149">
        <f>YEAR(AMAZON_FASHION_5__2[[#This Row],[reviewDate]])</f>
        <v>2018</v>
      </c>
      <c r="E3149" s="1" t="str">
        <f>TEXT(AMAZON_FASHION_5__2[[#This Row],[reviewDate]], "mmmm")</f>
        <v>May</v>
      </c>
      <c r="F3149" t="s">
        <v>1495</v>
      </c>
      <c r="G3149" t="s">
        <v>1456</v>
      </c>
      <c r="H3149" t="s">
        <v>477</v>
      </c>
      <c r="I3149" t="s">
        <v>198</v>
      </c>
      <c r="J3149" t="s">
        <v>1496</v>
      </c>
      <c r="K3149" t="s">
        <v>1497</v>
      </c>
      <c r="L3149" t="s">
        <v>1498</v>
      </c>
      <c r="M3149">
        <v>1526428800</v>
      </c>
      <c r="N3149" t="s">
        <v>1628</v>
      </c>
      <c r="O3149" t="s">
        <v>1628</v>
      </c>
      <c r="P3149" t="s">
        <v>1628</v>
      </c>
      <c r="Q3149">
        <f>LEN(AMAZON_FASHION_5__2[[#This Row],[reviewText]])</f>
        <v>17</v>
      </c>
      <c r="R3149" t="str">
        <f>IF(AMAZON_FASHION_5__2[[#This Row],[overall]]&gt;=4,"Positive",IF(AMAZON_FASHION_5__2[[#This Row],[overall]]&lt;=2,"Negative","Neutral"))</f>
        <v>Positive</v>
      </c>
      <c r="S314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50" spans="1:19" x14ac:dyDescent="0.25">
      <c r="A3150">
        <v>5</v>
      </c>
      <c r="B3150" t="b">
        <v>1</v>
      </c>
      <c r="C3150" s="1">
        <v>43236</v>
      </c>
      <c r="D3150">
        <f>YEAR(AMAZON_FASHION_5__2[[#This Row],[reviewDate]])</f>
        <v>2018</v>
      </c>
      <c r="E3150" s="1" t="str">
        <f>TEXT(AMAZON_FASHION_5__2[[#This Row],[reviewDate]], "mmmm")</f>
        <v>May</v>
      </c>
      <c r="F3150" t="s">
        <v>1480</v>
      </c>
      <c r="G3150" t="s">
        <v>1456</v>
      </c>
      <c r="H3150" t="s">
        <v>558</v>
      </c>
      <c r="I3150" t="s">
        <v>198</v>
      </c>
      <c r="J3150" t="s">
        <v>1481</v>
      </c>
      <c r="K3150" t="s">
        <v>69</v>
      </c>
      <c r="L3150" t="s">
        <v>17</v>
      </c>
      <c r="M3150">
        <v>1526428800</v>
      </c>
      <c r="N3150" t="s">
        <v>1628</v>
      </c>
      <c r="O3150" t="s">
        <v>1628</v>
      </c>
      <c r="P3150" t="s">
        <v>1628</v>
      </c>
      <c r="Q3150">
        <f>LEN(AMAZON_FASHION_5__2[[#This Row],[reviewText]])</f>
        <v>11</v>
      </c>
      <c r="R3150" t="str">
        <f>IF(AMAZON_FASHION_5__2[[#This Row],[overall]]&gt;=4,"Positive",IF(AMAZON_FASHION_5__2[[#This Row],[overall]]&lt;=2,"Negative","Neutral"))</f>
        <v>Positive</v>
      </c>
      <c r="S315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51" spans="1:19" x14ac:dyDescent="0.25">
      <c r="A3151">
        <v>3</v>
      </c>
      <c r="B3151" t="b">
        <v>1</v>
      </c>
      <c r="C3151" s="1">
        <v>43235</v>
      </c>
      <c r="D3151">
        <f>YEAR(AMAZON_FASHION_5__2[[#This Row],[reviewDate]])</f>
        <v>2018</v>
      </c>
      <c r="E3151" s="1" t="str">
        <f>TEXT(AMAZON_FASHION_5__2[[#This Row],[reviewDate]], "mmmm")</f>
        <v>May</v>
      </c>
      <c r="F3151" t="s">
        <v>1482</v>
      </c>
      <c r="G3151" t="s">
        <v>1456</v>
      </c>
      <c r="H3151" t="s">
        <v>230</v>
      </c>
      <c r="I3151" t="s">
        <v>249</v>
      </c>
      <c r="J3151" t="s">
        <v>63</v>
      </c>
      <c r="K3151" t="s">
        <v>1483</v>
      </c>
      <c r="L3151" t="s">
        <v>101</v>
      </c>
      <c r="M3151">
        <v>1526342400</v>
      </c>
      <c r="N3151" t="s">
        <v>1628</v>
      </c>
      <c r="O3151" t="s">
        <v>1628</v>
      </c>
      <c r="P3151" t="s">
        <v>1628</v>
      </c>
      <c r="Q3151">
        <f>LEN(AMAZON_FASHION_5__2[[#This Row],[reviewText]])</f>
        <v>39</v>
      </c>
      <c r="R3151" t="str">
        <f>IF(AMAZON_FASHION_5__2[[#This Row],[overall]]&gt;=4,"Positive",IF(AMAZON_FASHION_5__2[[#This Row],[overall]]&lt;=2,"Negative","Neutral"))</f>
        <v>Neutral</v>
      </c>
      <c r="S315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52" spans="1:19" x14ac:dyDescent="0.25">
      <c r="A3152">
        <v>3</v>
      </c>
      <c r="B3152" t="b">
        <v>1</v>
      </c>
      <c r="C3152" s="1">
        <v>43235</v>
      </c>
      <c r="D3152">
        <f>YEAR(AMAZON_FASHION_5__2[[#This Row],[reviewDate]])</f>
        <v>2018</v>
      </c>
      <c r="E3152" s="1" t="str">
        <f>TEXT(AMAZON_FASHION_5__2[[#This Row],[reviewDate]], "mmmm")</f>
        <v>May</v>
      </c>
      <c r="F3152" t="s">
        <v>1484</v>
      </c>
      <c r="G3152" t="s">
        <v>1456</v>
      </c>
      <c r="H3152" t="s">
        <v>210</v>
      </c>
      <c r="I3152" t="s">
        <v>249</v>
      </c>
      <c r="J3152" t="s">
        <v>1485</v>
      </c>
      <c r="K3152" t="s">
        <v>1486</v>
      </c>
      <c r="L3152" t="s">
        <v>1487</v>
      </c>
      <c r="M3152">
        <v>1526342400</v>
      </c>
      <c r="N3152" t="s">
        <v>1628</v>
      </c>
      <c r="O3152" t="s">
        <v>1628</v>
      </c>
      <c r="P3152" t="s">
        <v>1628</v>
      </c>
      <c r="Q3152">
        <f>LEN(AMAZON_FASHION_5__2[[#This Row],[reviewText]])</f>
        <v>173</v>
      </c>
      <c r="R3152" t="str">
        <f>IF(AMAZON_FASHION_5__2[[#This Row],[overall]]&gt;=4,"Positive",IF(AMAZON_FASHION_5__2[[#This Row],[overall]]&lt;=2,"Negative","Neutral"))</f>
        <v>Neutral</v>
      </c>
      <c r="S315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53" spans="1:19" x14ac:dyDescent="0.25">
      <c r="A3153">
        <v>5</v>
      </c>
      <c r="B3153" t="b">
        <v>1</v>
      </c>
      <c r="C3153" s="1">
        <v>43286</v>
      </c>
      <c r="D3153">
        <f>YEAR(AMAZON_FASHION_5__2[[#This Row],[reviewDate]])</f>
        <v>2018</v>
      </c>
      <c r="E3153" s="1" t="str">
        <f>TEXT(AMAZON_FASHION_5__2[[#This Row],[reviewDate]], "mmmm")</f>
        <v>July</v>
      </c>
      <c r="F3153" t="s">
        <v>1573</v>
      </c>
      <c r="G3153" t="s">
        <v>1479</v>
      </c>
      <c r="H3153" t="s">
        <v>197</v>
      </c>
      <c r="I3153" t="s">
        <v>274</v>
      </c>
      <c r="J3153" t="s">
        <v>1575</v>
      </c>
      <c r="K3153" t="s">
        <v>1576</v>
      </c>
      <c r="L3153" t="s">
        <v>17</v>
      </c>
      <c r="M3153">
        <v>1530748800</v>
      </c>
      <c r="N3153" t="s">
        <v>1628</v>
      </c>
      <c r="O3153" t="s">
        <v>1628</v>
      </c>
      <c r="P3153" t="s">
        <v>1628</v>
      </c>
      <c r="Q3153">
        <f>LEN(AMAZON_FASHION_5__2[[#This Row],[reviewText]])</f>
        <v>41</v>
      </c>
      <c r="R3153" t="str">
        <f>IF(AMAZON_FASHION_5__2[[#This Row],[overall]]&gt;=4,"Positive",IF(AMAZON_FASHION_5__2[[#This Row],[overall]]&lt;=2,"Negative","Neutral"))</f>
        <v>Positive</v>
      </c>
      <c r="S315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54" spans="1:19" x14ac:dyDescent="0.25">
      <c r="A3154">
        <v>5</v>
      </c>
      <c r="B3154" t="b">
        <v>1</v>
      </c>
      <c r="C3154" s="1">
        <v>43285</v>
      </c>
      <c r="D3154">
        <f>YEAR(AMAZON_FASHION_5__2[[#This Row],[reviewDate]])</f>
        <v>2018</v>
      </c>
      <c r="E3154" s="1" t="str">
        <f>TEXT(AMAZON_FASHION_5__2[[#This Row],[reviewDate]], "mmmm")</f>
        <v>July</v>
      </c>
      <c r="F3154" t="s">
        <v>1577</v>
      </c>
      <c r="G3154" t="s">
        <v>1479</v>
      </c>
      <c r="H3154" t="s">
        <v>201</v>
      </c>
      <c r="I3154" t="s">
        <v>198</v>
      </c>
      <c r="J3154" t="s">
        <v>1579</v>
      </c>
      <c r="K3154" t="s">
        <v>1580</v>
      </c>
      <c r="L3154" t="s">
        <v>1581</v>
      </c>
      <c r="M3154">
        <v>1530662400</v>
      </c>
      <c r="N3154" t="s">
        <v>1628</v>
      </c>
      <c r="O3154" t="s">
        <v>1628</v>
      </c>
      <c r="P3154" t="s">
        <v>1628</v>
      </c>
      <c r="Q3154">
        <f>LEN(AMAZON_FASHION_5__2[[#This Row],[reviewText]])</f>
        <v>337</v>
      </c>
      <c r="R3154" t="str">
        <f>IF(AMAZON_FASHION_5__2[[#This Row],[overall]]&gt;=4,"Positive",IF(AMAZON_FASHION_5__2[[#This Row],[overall]]&lt;=2,"Negative","Neutral"))</f>
        <v>Positive</v>
      </c>
      <c r="S315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55" spans="1:19" x14ac:dyDescent="0.25">
      <c r="A3155">
        <v>5</v>
      </c>
      <c r="B3155" t="b">
        <v>1</v>
      </c>
      <c r="C3155" s="1">
        <v>43283</v>
      </c>
      <c r="D3155">
        <f>YEAR(AMAZON_FASHION_5__2[[#This Row],[reviewDate]])</f>
        <v>2018</v>
      </c>
      <c r="E3155" s="1" t="str">
        <f>TEXT(AMAZON_FASHION_5__2[[#This Row],[reviewDate]], "mmmm")</f>
        <v>July</v>
      </c>
      <c r="F3155" t="s">
        <v>1582</v>
      </c>
      <c r="G3155" t="s">
        <v>1479</v>
      </c>
      <c r="H3155" t="s">
        <v>230</v>
      </c>
      <c r="I3155" t="s">
        <v>548</v>
      </c>
      <c r="J3155" t="s">
        <v>63</v>
      </c>
      <c r="K3155" t="s">
        <v>1583</v>
      </c>
      <c r="L3155" t="s">
        <v>17</v>
      </c>
      <c r="M3155">
        <v>1530489600</v>
      </c>
      <c r="N3155" t="s">
        <v>1628</v>
      </c>
      <c r="O3155" t="s">
        <v>1628</v>
      </c>
      <c r="P3155" t="s">
        <v>1628</v>
      </c>
      <c r="Q3155">
        <f>LEN(AMAZON_FASHION_5__2[[#This Row],[reviewText]])</f>
        <v>12</v>
      </c>
      <c r="R3155" t="str">
        <f>IF(AMAZON_FASHION_5__2[[#This Row],[overall]]&gt;=4,"Positive",IF(AMAZON_FASHION_5__2[[#This Row],[overall]]&lt;=2,"Negative","Neutral"))</f>
        <v>Positive</v>
      </c>
      <c r="S315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56" spans="1:19" x14ac:dyDescent="0.25">
      <c r="A3156">
        <v>5</v>
      </c>
      <c r="B3156" t="b">
        <v>1</v>
      </c>
      <c r="C3156" s="1">
        <v>43279</v>
      </c>
      <c r="D3156">
        <f>YEAR(AMAZON_FASHION_5__2[[#This Row],[reviewDate]])</f>
        <v>2018</v>
      </c>
      <c r="E3156" s="1" t="str">
        <f>TEXT(AMAZON_FASHION_5__2[[#This Row],[reviewDate]], "mmmm")</f>
        <v>June</v>
      </c>
      <c r="F3156" t="s">
        <v>1584</v>
      </c>
      <c r="G3156" t="s">
        <v>1479</v>
      </c>
      <c r="H3156" t="s">
        <v>677</v>
      </c>
      <c r="I3156" t="s">
        <v>274</v>
      </c>
      <c r="J3156" t="s">
        <v>1586</v>
      </c>
      <c r="K3156" t="s">
        <v>1587</v>
      </c>
      <c r="L3156" t="s">
        <v>69</v>
      </c>
      <c r="M3156">
        <v>1530144000</v>
      </c>
      <c r="N3156" t="s">
        <v>1628</v>
      </c>
      <c r="O3156" t="s">
        <v>1628</v>
      </c>
      <c r="P3156" t="s">
        <v>1628</v>
      </c>
      <c r="Q3156">
        <f>LEN(AMAZON_FASHION_5__2[[#This Row],[reviewText]])</f>
        <v>27</v>
      </c>
      <c r="R3156" t="str">
        <f>IF(AMAZON_FASHION_5__2[[#This Row],[overall]]&gt;=4,"Positive",IF(AMAZON_FASHION_5__2[[#This Row],[overall]]&lt;=2,"Negative","Neutral"))</f>
        <v>Positive</v>
      </c>
      <c r="S315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57" spans="1:19" x14ac:dyDescent="0.25">
      <c r="A3157">
        <v>5</v>
      </c>
      <c r="B3157" t="b">
        <v>1</v>
      </c>
      <c r="C3157" s="1">
        <v>43276</v>
      </c>
      <c r="D3157">
        <f>YEAR(AMAZON_FASHION_5__2[[#This Row],[reviewDate]])</f>
        <v>2018</v>
      </c>
      <c r="E3157" s="1" t="str">
        <f>TEXT(AMAZON_FASHION_5__2[[#This Row],[reviewDate]], "mmmm")</f>
        <v>June</v>
      </c>
      <c r="F3157" t="s">
        <v>1588</v>
      </c>
      <c r="G3157" t="s">
        <v>1479</v>
      </c>
      <c r="H3157" t="s">
        <v>201</v>
      </c>
      <c r="I3157" t="s">
        <v>249</v>
      </c>
      <c r="J3157" t="s">
        <v>63</v>
      </c>
      <c r="K3157" t="s">
        <v>1589</v>
      </c>
      <c r="L3157" t="s">
        <v>17</v>
      </c>
      <c r="M3157">
        <v>1529884800</v>
      </c>
      <c r="N3157" t="s">
        <v>1628</v>
      </c>
      <c r="O3157" t="s">
        <v>1628</v>
      </c>
      <c r="P3157" t="s">
        <v>1628</v>
      </c>
      <c r="Q3157">
        <f>LEN(AMAZON_FASHION_5__2[[#This Row],[reviewText]])</f>
        <v>21</v>
      </c>
      <c r="R3157" t="str">
        <f>IF(AMAZON_FASHION_5__2[[#This Row],[overall]]&gt;=4,"Positive",IF(AMAZON_FASHION_5__2[[#This Row],[overall]]&lt;=2,"Negative","Neutral"))</f>
        <v>Positive</v>
      </c>
      <c r="S315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58" spans="1:19" x14ac:dyDescent="0.25">
      <c r="A3158">
        <v>5</v>
      </c>
      <c r="B3158" t="b">
        <v>1</v>
      </c>
      <c r="C3158" s="1">
        <v>43271</v>
      </c>
      <c r="D3158">
        <f>YEAR(AMAZON_FASHION_5__2[[#This Row],[reviewDate]])</f>
        <v>2018</v>
      </c>
      <c r="E3158" s="1" t="str">
        <f>TEXT(AMAZON_FASHION_5__2[[#This Row],[reviewDate]], "mmmm")</f>
        <v>June</v>
      </c>
      <c r="F3158" t="s">
        <v>1590</v>
      </c>
      <c r="G3158" t="s">
        <v>1479</v>
      </c>
      <c r="H3158" t="s">
        <v>210</v>
      </c>
      <c r="I3158" t="s">
        <v>249</v>
      </c>
      <c r="J3158" t="s">
        <v>1591</v>
      </c>
      <c r="K3158" t="s">
        <v>1592</v>
      </c>
      <c r="L3158" t="s">
        <v>468</v>
      </c>
      <c r="M3158">
        <v>1529452800</v>
      </c>
      <c r="N3158" t="s">
        <v>1628</v>
      </c>
      <c r="O3158" t="s">
        <v>1628</v>
      </c>
      <c r="P3158" t="s">
        <v>1628</v>
      </c>
      <c r="Q3158">
        <f>LEN(AMAZON_FASHION_5__2[[#This Row],[reviewText]])</f>
        <v>382</v>
      </c>
      <c r="R3158" t="str">
        <f>IF(AMAZON_FASHION_5__2[[#This Row],[overall]]&gt;=4,"Positive",IF(AMAZON_FASHION_5__2[[#This Row],[overall]]&lt;=2,"Negative","Neutral"))</f>
        <v>Positive</v>
      </c>
      <c r="S315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59" spans="1:19" x14ac:dyDescent="0.25">
      <c r="A3159">
        <v>5</v>
      </c>
      <c r="B3159" t="b">
        <v>1</v>
      </c>
      <c r="C3159" s="1">
        <v>43267</v>
      </c>
      <c r="D3159">
        <f>YEAR(AMAZON_FASHION_5__2[[#This Row],[reviewDate]])</f>
        <v>2018</v>
      </c>
      <c r="E3159" s="1" t="str">
        <f>TEXT(AMAZON_FASHION_5__2[[#This Row],[reviewDate]], "mmmm")</f>
        <v>June</v>
      </c>
      <c r="F3159" t="s">
        <v>1593</v>
      </c>
      <c r="G3159" t="s">
        <v>1479</v>
      </c>
      <c r="H3159" t="s">
        <v>210</v>
      </c>
      <c r="I3159" t="s">
        <v>198</v>
      </c>
      <c r="J3159" t="s">
        <v>797</v>
      </c>
      <c r="K3159" t="s">
        <v>1594</v>
      </c>
      <c r="L3159" t="s">
        <v>17</v>
      </c>
      <c r="M3159">
        <v>1529107200</v>
      </c>
      <c r="N3159" t="s">
        <v>1628</v>
      </c>
      <c r="O3159" t="s">
        <v>1628</v>
      </c>
      <c r="P3159" t="s">
        <v>1628</v>
      </c>
      <c r="Q3159">
        <f>LEN(AMAZON_FASHION_5__2[[#This Row],[reviewText]])</f>
        <v>44</v>
      </c>
      <c r="R3159" t="str">
        <f>IF(AMAZON_FASHION_5__2[[#This Row],[overall]]&gt;=4,"Positive",IF(AMAZON_FASHION_5__2[[#This Row],[overall]]&lt;=2,"Negative","Neutral"))</f>
        <v>Positive</v>
      </c>
      <c r="S315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60" spans="1:19" x14ac:dyDescent="0.25">
      <c r="A3160">
        <v>5</v>
      </c>
      <c r="B3160" t="b">
        <v>1</v>
      </c>
      <c r="C3160" s="1">
        <v>43254</v>
      </c>
      <c r="D3160">
        <f>YEAR(AMAZON_FASHION_5__2[[#This Row],[reviewDate]])</f>
        <v>2018</v>
      </c>
      <c r="E3160" s="1" t="str">
        <f>TEXT(AMAZON_FASHION_5__2[[#This Row],[reviewDate]], "mmmm")</f>
        <v>June</v>
      </c>
      <c r="F3160" t="s">
        <v>1502</v>
      </c>
      <c r="G3160" t="s">
        <v>1479</v>
      </c>
      <c r="H3160" t="s">
        <v>201</v>
      </c>
      <c r="I3160" t="s">
        <v>198</v>
      </c>
      <c r="J3160" t="s">
        <v>1503</v>
      </c>
      <c r="K3160" t="s">
        <v>1504</v>
      </c>
      <c r="L3160" t="s">
        <v>17</v>
      </c>
      <c r="M3160">
        <v>1527984000</v>
      </c>
      <c r="N3160" t="s">
        <v>1628</v>
      </c>
      <c r="O3160" t="s">
        <v>1628</v>
      </c>
      <c r="P3160" t="s">
        <v>1628</v>
      </c>
      <c r="Q3160">
        <f>LEN(AMAZON_FASHION_5__2[[#This Row],[reviewText]])</f>
        <v>47</v>
      </c>
      <c r="R3160" t="str">
        <f>IF(AMAZON_FASHION_5__2[[#This Row],[overall]]&gt;=4,"Positive",IF(AMAZON_FASHION_5__2[[#This Row],[overall]]&lt;=2,"Negative","Neutral"))</f>
        <v>Positive</v>
      </c>
      <c r="S316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61" spans="1:19" x14ac:dyDescent="0.25">
      <c r="A3161">
        <v>5</v>
      </c>
      <c r="B3161" t="b">
        <v>1</v>
      </c>
      <c r="C3161" s="1">
        <v>43242</v>
      </c>
      <c r="D3161">
        <f>YEAR(AMAZON_FASHION_5__2[[#This Row],[reviewDate]])</f>
        <v>2018</v>
      </c>
      <c r="E3161" s="1" t="str">
        <f>TEXT(AMAZON_FASHION_5__2[[#This Row],[reviewDate]], "mmmm")</f>
        <v>May</v>
      </c>
      <c r="F3161" t="s">
        <v>1491</v>
      </c>
      <c r="G3161" t="s">
        <v>1479</v>
      </c>
      <c r="H3161" t="s">
        <v>261</v>
      </c>
      <c r="I3161" t="s">
        <v>249</v>
      </c>
      <c r="J3161" t="s">
        <v>1492</v>
      </c>
      <c r="K3161" t="s">
        <v>1493</v>
      </c>
      <c r="L3161" t="s">
        <v>1494</v>
      </c>
      <c r="M3161">
        <v>1526947200</v>
      </c>
      <c r="N3161" t="s">
        <v>1628</v>
      </c>
      <c r="O3161" t="s">
        <v>1628</v>
      </c>
      <c r="P3161" t="s">
        <v>1628</v>
      </c>
      <c r="Q3161">
        <f>LEN(AMAZON_FASHION_5__2[[#This Row],[reviewText]])</f>
        <v>372</v>
      </c>
      <c r="R3161" t="str">
        <f>IF(AMAZON_FASHION_5__2[[#This Row],[overall]]&gt;=4,"Positive",IF(AMAZON_FASHION_5__2[[#This Row],[overall]]&lt;=2,"Negative","Neutral"))</f>
        <v>Positive</v>
      </c>
      <c r="S316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62" spans="1:19" x14ac:dyDescent="0.25">
      <c r="A3162">
        <v>5</v>
      </c>
      <c r="B3162" t="b">
        <v>1</v>
      </c>
      <c r="C3162" s="1">
        <v>43236</v>
      </c>
      <c r="D3162">
        <f>YEAR(AMAZON_FASHION_5__2[[#This Row],[reviewDate]])</f>
        <v>2018</v>
      </c>
      <c r="E3162" s="1" t="str">
        <f>TEXT(AMAZON_FASHION_5__2[[#This Row],[reviewDate]], "mmmm")</f>
        <v>May</v>
      </c>
      <c r="F3162" t="s">
        <v>1495</v>
      </c>
      <c r="G3162" t="s">
        <v>1479</v>
      </c>
      <c r="H3162" t="s">
        <v>477</v>
      </c>
      <c r="I3162" t="s">
        <v>198</v>
      </c>
      <c r="J3162" t="s">
        <v>1496</v>
      </c>
      <c r="K3162" t="s">
        <v>1497</v>
      </c>
      <c r="L3162" t="s">
        <v>1498</v>
      </c>
      <c r="M3162">
        <v>1526428800</v>
      </c>
      <c r="N3162" t="s">
        <v>1628</v>
      </c>
      <c r="O3162" t="s">
        <v>1628</v>
      </c>
      <c r="P3162" t="s">
        <v>1628</v>
      </c>
      <c r="Q3162">
        <f>LEN(AMAZON_FASHION_5__2[[#This Row],[reviewText]])</f>
        <v>17</v>
      </c>
      <c r="R3162" t="str">
        <f>IF(AMAZON_FASHION_5__2[[#This Row],[overall]]&gt;=4,"Positive",IF(AMAZON_FASHION_5__2[[#This Row],[overall]]&lt;=2,"Negative","Neutral"))</f>
        <v>Positive</v>
      </c>
      <c r="S316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63" spans="1:19" x14ac:dyDescent="0.25">
      <c r="A3163">
        <v>5</v>
      </c>
      <c r="B3163" t="b">
        <v>1</v>
      </c>
      <c r="C3163" s="1">
        <v>43286</v>
      </c>
      <c r="D3163">
        <f>YEAR(AMAZON_FASHION_5__2[[#This Row],[reviewDate]])</f>
        <v>2018</v>
      </c>
      <c r="E3163" s="1" t="str">
        <f>TEXT(AMAZON_FASHION_5__2[[#This Row],[reviewDate]], "mmmm")</f>
        <v>July</v>
      </c>
      <c r="F3163" t="s">
        <v>1573</v>
      </c>
      <c r="G3163" t="s">
        <v>1490</v>
      </c>
      <c r="H3163" t="s">
        <v>197</v>
      </c>
      <c r="I3163" t="s">
        <v>274</v>
      </c>
      <c r="J3163" t="s">
        <v>1575</v>
      </c>
      <c r="K3163" t="s">
        <v>1576</v>
      </c>
      <c r="L3163" t="s">
        <v>17</v>
      </c>
      <c r="M3163">
        <v>1530748800</v>
      </c>
      <c r="N3163" t="s">
        <v>1628</v>
      </c>
      <c r="O3163" t="s">
        <v>1628</v>
      </c>
      <c r="P3163" t="s">
        <v>1628</v>
      </c>
      <c r="Q3163">
        <f>LEN(AMAZON_FASHION_5__2[[#This Row],[reviewText]])</f>
        <v>41</v>
      </c>
      <c r="R3163" t="str">
        <f>IF(AMAZON_FASHION_5__2[[#This Row],[overall]]&gt;=4,"Positive",IF(AMAZON_FASHION_5__2[[#This Row],[overall]]&lt;=2,"Negative","Neutral"))</f>
        <v>Positive</v>
      </c>
      <c r="S316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64" spans="1:19" x14ac:dyDescent="0.25">
      <c r="A3164">
        <v>5</v>
      </c>
      <c r="B3164" t="b">
        <v>1</v>
      </c>
      <c r="C3164" s="1">
        <v>43285</v>
      </c>
      <c r="D3164">
        <f>YEAR(AMAZON_FASHION_5__2[[#This Row],[reviewDate]])</f>
        <v>2018</v>
      </c>
      <c r="E3164" s="1" t="str">
        <f>TEXT(AMAZON_FASHION_5__2[[#This Row],[reviewDate]], "mmmm")</f>
        <v>July</v>
      </c>
      <c r="F3164" t="s">
        <v>1577</v>
      </c>
      <c r="G3164" t="s">
        <v>1490</v>
      </c>
      <c r="H3164" t="s">
        <v>201</v>
      </c>
      <c r="I3164" t="s">
        <v>198</v>
      </c>
      <c r="J3164" t="s">
        <v>1579</v>
      </c>
      <c r="K3164" t="s">
        <v>1580</v>
      </c>
      <c r="L3164" t="s">
        <v>1581</v>
      </c>
      <c r="M3164">
        <v>1530662400</v>
      </c>
      <c r="N3164" t="s">
        <v>1628</v>
      </c>
      <c r="O3164" t="s">
        <v>1628</v>
      </c>
      <c r="P3164" t="s">
        <v>1628</v>
      </c>
      <c r="Q3164">
        <f>LEN(AMAZON_FASHION_5__2[[#This Row],[reviewText]])</f>
        <v>337</v>
      </c>
      <c r="R3164" t="str">
        <f>IF(AMAZON_FASHION_5__2[[#This Row],[overall]]&gt;=4,"Positive",IF(AMAZON_FASHION_5__2[[#This Row],[overall]]&lt;=2,"Negative","Neutral"))</f>
        <v>Positive</v>
      </c>
      <c r="S316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65" spans="1:19" x14ac:dyDescent="0.25">
      <c r="A3165">
        <v>5</v>
      </c>
      <c r="B3165" t="b">
        <v>1</v>
      </c>
      <c r="C3165" s="1">
        <v>43283</v>
      </c>
      <c r="D3165">
        <f>YEAR(AMAZON_FASHION_5__2[[#This Row],[reviewDate]])</f>
        <v>2018</v>
      </c>
      <c r="E3165" s="1" t="str">
        <f>TEXT(AMAZON_FASHION_5__2[[#This Row],[reviewDate]], "mmmm")</f>
        <v>July</v>
      </c>
      <c r="F3165" t="s">
        <v>1582</v>
      </c>
      <c r="G3165" t="s">
        <v>1490</v>
      </c>
      <c r="H3165" t="s">
        <v>230</v>
      </c>
      <c r="I3165" t="s">
        <v>548</v>
      </c>
      <c r="J3165" t="s">
        <v>63</v>
      </c>
      <c r="K3165" t="s">
        <v>1583</v>
      </c>
      <c r="L3165" t="s">
        <v>17</v>
      </c>
      <c r="M3165">
        <v>1530489600</v>
      </c>
      <c r="N3165" t="s">
        <v>1628</v>
      </c>
      <c r="O3165" t="s">
        <v>1628</v>
      </c>
      <c r="P3165" t="s">
        <v>1628</v>
      </c>
      <c r="Q3165">
        <f>LEN(AMAZON_FASHION_5__2[[#This Row],[reviewText]])</f>
        <v>12</v>
      </c>
      <c r="R3165" t="str">
        <f>IF(AMAZON_FASHION_5__2[[#This Row],[overall]]&gt;=4,"Positive",IF(AMAZON_FASHION_5__2[[#This Row],[overall]]&lt;=2,"Negative","Neutral"))</f>
        <v>Positive</v>
      </c>
      <c r="S316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66" spans="1:19" x14ac:dyDescent="0.25">
      <c r="A3166">
        <v>5</v>
      </c>
      <c r="B3166" t="b">
        <v>1</v>
      </c>
      <c r="C3166" s="1">
        <v>43279</v>
      </c>
      <c r="D3166">
        <f>YEAR(AMAZON_FASHION_5__2[[#This Row],[reviewDate]])</f>
        <v>2018</v>
      </c>
      <c r="E3166" s="1" t="str">
        <f>TEXT(AMAZON_FASHION_5__2[[#This Row],[reviewDate]], "mmmm")</f>
        <v>June</v>
      </c>
      <c r="F3166" t="s">
        <v>1584</v>
      </c>
      <c r="G3166" t="s">
        <v>1490</v>
      </c>
      <c r="H3166" t="s">
        <v>677</v>
      </c>
      <c r="I3166" t="s">
        <v>274</v>
      </c>
      <c r="J3166" t="s">
        <v>1586</v>
      </c>
      <c r="K3166" t="s">
        <v>1587</v>
      </c>
      <c r="L3166" t="s">
        <v>69</v>
      </c>
      <c r="M3166">
        <v>1530144000</v>
      </c>
      <c r="N3166" t="s">
        <v>1628</v>
      </c>
      <c r="O3166" t="s">
        <v>1628</v>
      </c>
      <c r="P3166" t="s">
        <v>1628</v>
      </c>
      <c r="Q3166">
        <f>LEN(AMAZON_FASHION_5__2[[#This Row],[reviewText]])</f>
        <v>27</v>
      </c>
      <c r="R3166" t="str">
        <f>IF(AMAZON_FASHION_5__2[[#This Row],[overall]]&gt;=4,"Positive",IF(AMAZON_FASHION_5__2[[#This Row],[overall]]&lt;=2,"Negative","Neutral"))</f>
        <v>Positive</v>
      </c>
      <c r="S316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67" spans="1:19" x14ac:dyDescent="0.25">
      <c r="A3167">
        <v>5</v>
      </c>
      <c r="B3167" t="b">
        <v>1</v>
      </c>
      <c r="C3167" s="1">
        <v>43276</v>
      </c>
      <c r="D3167">
        <f>YEAR(AMAZON_FASHION_5__2[[#This Row],[reviewDate]])</f>
        <v>2018</v>
      </c>
      <c r="E3167" s="1" t="str">
        <f>TEXT(AMAZON_FASHION_5__2[[#This Row],[reviewDate]], "mmmm")</f>
        <v>June</v>
      </c>
      <c r="F3167" t="s">
        <v>1588</v>
      </c>
      <c r="G3167" t="s">
        <v>1490</v>
      </c>
      <c r="H3167" t="s">
        <v>201</v>
      </c>
      <c r="I3167" t="s">
        <v>249</v>
      </c>
      <c r="J3167" t="s">
        <v>63</v>
      </c>
      <c r="K3167" t="s">
        <v>1589</v>
      </c>
      <c r="L3167" t="s">
        <v>17</v>
      </c>
      <c r="M3167">
        <v>1529884800</v>
      </c>
      <c r="N3167" t="s">
        <v>1628</v>
      </c>
      <c r="O3167" t="s">
        <v>1628</v>
      </c>
      <c r="P3167" t="s">
        <v>1628</v>
      </c>
      <c r="Q3167">
        <f>LEN(AMAZON_FASHION_5__2[[#This Row],[reviewText]])</f>
        <v>21</v>
      </c>
      <c r="R3167" t="str">
        <f>IF(AMAZON_FASHION_5__2[[#This Row],[overall]]&gt;=4,"Positive",IF(AMAZON_FASHION_5__2[[#This Row],[overall]]&lt;=2,"Negative","Neutral"))</f>
        <v>Positive</v>
      </c>
      <c r="S316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68" spans="1:19" x14ac:dyDescent="0.25">
      <c r="A3168">
        <v>5</v>
      </c>
      <c r="B3168" t="b">
        <v>1</v>
      </c>
      <c r="C3168" s="1">
        <v>43271</v>
      </c>
      <c r="D3168">
        <f>YEAR(AMAZON_FASHION_5__2[[#This Row],[reviewDate]])</f>
        <v>2018</v>
      </c>
      <c r="E3168" s="1" t="str">
        <f>TEXT(AMAZON_FASHION_5__2[[#This Row],[reviewDate]], "mmmm")</f>
        <v>June</v>
      </c>
      <c r="F3168" t="s">
        <v>1590</v>
      </c>
      <c r="G3168" t="s">
        <v>1490</v>
      </c>
      <c r="H3168" t="s">
        <v>210</v>
      </c>
      <c r="I3168" t="s">
        <v>249</v>
      </c>
      <c r="J3168" t="s">
        <v>1591</v>
      </c>
      <c r="K3168" t="s">
        <v>1592</v>
      </c>
      <c r="L3168" t="s">
        <v>468</v>
      </c>
      <c r="M3168">
        <v>1529452800</v>
      </c>
      <c r="N3168" t="s">
        <v>1628</v>
      </c>
      <c r="O3168" t="s">
        <v>1628</v>
      </c>
      <c r="P3168" t="s">
        <v>1628</v>
      </c>
      <c r="Q3168">
        <f>LEN(AMAZON_FASHION_5__2[[#This Row],[reviewText]])</f>
        <v>382</v>
      </c>
      <c r="R3168" t="str">
        <f>IF(AMAZON_FASHION_5__2[[#This Row],[overall]]&gt;=4,"Positive",IF(AMAZON_FASHION_5__2[[#This Row],[overall]]&lt;=2,"Negative","Neutral"))</f>
        <v>Positive</v>
      </c>
      <c r="S3168"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69" spans="1:19" x14ac:dyDescent="0.25">
      <c r="A3169">
        <v>5</v>
      </c>
      <c r="B3169" t="b">
        <v>1</v>
      </c>
      <c r="C3169" s="1">
        <v>43267</v>
      </c>
      <c r="D3169">
        <f>YEAR(AMAZON_FASHION_5__2[[#This Row],[reviewDate]])</f>
        <v>2018</v>
      </c>
      <c r="E3169" s="1" t="str">
        <f>TEXT(AMAZON_FASHION_5__2[[#This Row],[reviewDate]], "mmmm")</f>
        <v>June</v>
      </c>
      <c r="F3169" t="s">
        <v>1593</v>
      </c>
      <c r="G3169" t="s">
        <v>1490</v>
      </c>
      <c r="H3169" t="s">
        <v>210</v>
      </c>
      <c r="I3169" t="s">
        <v>198</v>
      </c>
      <c r="J3169" t="s">
        <v>797</v>
      </c>
      <c r="K3169" t="s">
        <v>1594</v>
      </c>
      <c r="L3169" t="s">
        <v>17</v>
      </c>
      <c r="M3169">
        <v>1529107200</v>
      </c>
      <c r="N3169" t="s">
        <v>1628</v>
      </c>
      <c r="O3169" t="s">
        <v>1628</v>
      </c>
      <c r="P3169" t="s">
        <v>1628</v>
      </c>
      <c r="Q3169">
        <f>LEN(AMAZON_FASHION_5__2[[#This Row],[reviewText]])</f>
        <v>44</v>
      </c>
      <c r="R3169" t="str">
        <f>IF(AMAZON_FASHION_5__2[[#This Row],[overall]]&gt;=4,"Positive",IF(AMAZON_FASHION_5__2[[#This Row],[overall]]&lt;=2,"Negative","Neutral"))</f>
        <v>Positive</v>
      </c>
      <c r="S3169"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70" spans="1:19" x14ac:dyDescent="0.25">
      <c r="A3170">
        <v>5</v>
      </c>
      <c r="B3170" t="b">
        <v>1</v>
      </c>
      <c r="C3170" s="1">
        <v>43254</v>
      </c>
      <c r="D3170">
        <f>YEAR(AMAZON_FASHION_5__2[[#This Row],[reviewDate]])</f>
        <v>2018</v>
      </c>
      <c r="E3170" s="1" t="str">
        <f>TEXT(AMAZON_FASHION_5__2[[#This Row],[reviewDate]], "mmmm")</f>
        <v>June</v>
      </c>
      <c r="F3170" t="s">
        <v>1502</v>
      </c>
      <c r="G3170" t="s">
        <v>1490</v>
      </c>
      <c r="H3170" t="s">
        <v>201</v>
      </c>
      <c r="I3170" t="s">
        <v>198</v>
      </c>
      <c r="J3170" t="s">
        <v>1503</v>
      </c>
      <c r="K3170" t="s">
        <v>1504</v>
      </c>
      <c r="L3170" t="s">
        <v>17</v>
      </c>
      <c r="M3170">
        <v>1527984000</v>
      </c>
      <c r="N3170" t="s">
        <v>1628</v>
      </c>
      <c r="O3170" t="s">
        <v>1628</v>
      </c>
      <c r="P3170" t="s">
        <v>1628</v>
      </c>
      <c r="Q3170">
        <f>LEN(AMAZON_FASHION_5__2[[#This Row],[reviewText]])</f>
        <v>47</v>
      </c>
      <c r="R3170" t="str">
        <f>IF(AMAZON_FASHION_5__2[[#This Row],[overall]]&gt;=4,"Positive",IF(AMAZON_FASHION_5__2[[#This Row],[overall]]&lt;=2,"Negative","Neutral"))</f>
        <v>Positive</v>
      </c>
      <c r="S3170"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71" spans="1:19" x14ac:dyDescent="0.25">
      <c r="A3171">
        <v>5</v>
      </c>
      <c r="B3171" t="b">
        <v>1</v>
      </c>
      <c r="C3171" s="1">
        <v>43286</v>
      </c>
      <c r="D3171">
        <f>YEAR(AMAZON_FASHION_5__2[[#This Row],[reviewDate]])</f>
        <v>2018</v>
      </c>
      <c r="E3171" s="1" t="str">
        <f>TEXT(AMAZON_FASHION_5__2[[#This Row],[reviewDate]], "mmmm")</f>
        <v>July</v>
      </c>
      <c r="F3171" t="s">
        <v>1573</v>
      </c>
      <c r="G3171" t="s">
        <v>1501</v>
      </c>
      <c r="H3171" t="s">
        <v>197</v>
      </c>
      <c r="I3171" t="s">
        <v>274</v>
      </c>
      <c r="J3171" t="s">
        <v>1575</v>
      </c>
      <c r="K3171" t="s">
        <v>1576</v>
      </c>
      <c r="L3171" t="s">
        <v>17</v>
      </c>
      <c r="M3171">
        <v>1530748800</v>
      </c>
      <c r="N3171" t="s">
        <v>1628</v>
      </c>
      <c r="O3171" t="s">
        <v>1628</v>
      </c>
      <c r="P3171" t="s">
        <v>1628</v>
      </c>
      <c r="Q3171">
        <f>LEN(AMAZON_FASHION_5__2[[#This Row],[reviewText]])</f>
        <v>41</v>
      </c>
      <c r="R3171" t="str">
        <f>IF(AMAZON_FASHION_5__2[[#This Row],[overall]]&gt;=4,"Positive",IF(AMAZON_FASHION_5__2[[#This Row],[overall]]&lt;=2,"Negative","Neutral"))</f>
        <v>Positive</v>
      </c>
      <c r="S3171"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72" spans="1:19" x14ac:dyDescent="0.25">
      <c r="A3172">
        <v>5</v>
      </c>
      <c r="B3172" t="b">
        <v>1</v>
      </c>
      <c r="C3172" s="1">
        <v>43285</v>
      </c>
      <c r="D3172">
        <f>YEAR(AMAZON_FASHION_5__2[[#This Row],[reviewDate]])</f>
        <v>2018</v>
      </c>
      <c r="E3172" s="1" t="str">
        <f>TEXT(AMAZON_FASHION_5__2[[#This Row],[reviewDate]], "mmmm")</f>
        <v>July</v>
      </c>
      <c r="F3172" t="s">
        <v>1577</v>
      </c>
      <c r="G3172" t="s">
        <v>1501</v>
      </c>
      <c r="H3172" t="s">
        <v>201</v>
      </c>
      <c r="I3172" t="s">
        <v>198</v>
      </c>
      <c r="J3172" t="s">
        <v>1579</v>
      </c>
      <c r="K3172" t="s">
        <v>1580</v>
      </c>
      <c r="L3172" t="s">
        <v>1581</v>
      </c>
      <c r="M3172">
        <v>1530662400</v>
      </c>
      <c r="N3172" t="s">
        <v>1628</v>
      </c>
      <c r="O3172" t="s">
        <v>1628</v>
      </c>
      <c r="P3172" t="s">
        <v>1628</v>
      </c>
      <c r="Q3172">
        <f>LEN(AMAZON_FASHION_5__2[[#This Row],[reviewText]])</f>
        <v>337</v>
      </c>
      <c r="R3172" t="str">
        <f>IF(AMAZON_FASHION_5__2[[#This Row],[overall]]&gt;=4,"Positive",IF(AMAZON_FASHION_5__2[[#This Row],[overall]]&lt;=2,"Negative","Neutral"))</f>
        <v>Positive</v>
      </c>
      <c r="S3172"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73" spans="1:19" x14ac:dyDescent="0.25">
      <c r="A3173">
        <v>5</v>
      </c>
      <c r="B3173" t="b">
        <v>1</v>
      </c>
      <c r="C3173" s="1">
        <v>43283</v>
      </c>
      <c r="D3173">
        <f>YEAR(AMAZON_FASHION_5__2[[#This Row],[reviewDate]])</f>
        <v>2018</v>
      </c>
      <c r="E3173" s="1" t="str">
        <f>TEXT(AMAZON_FASHION_5__2[[#This Row],[reviewDate]], "mmmm")</f>
        <v>July</v>
      </c>
      <c r="F3173" t="s">
        <v>1582</v>
      </c>
      <c r="G3173" t="s">
        <v>1501</v>
      </c>
      <c r="H3173" t="s">
        <v>230</v>
      </c>
      <c r="I3173" t="s">
        <v>548</v>
      </c>
      <c r="J3173" t="s">
        <v>63</v>
      </c>
      <c r="K3173" t="s">
        <v>1583</v>
      </c>
      <c r="L3173" t="s">
        <v>17</v>
      </c>
      <c r="M3173">
        <v>1530489600</v>
      </c>
      <c r="N3173" t="s">
        <v>1628</v>
      </c>
      <c r="O3173" t="s">
        <v>1628</v>
      </c>
      <c r="P3173" t="s">
        <v>1628</v>
      </c>
      <c r="Q3173">
        <f>LEN(AMAZON_FASHION_5__2[[#This Row],[reviewText]])</f>
        <v>12</v>
      </c>
      <c r="R3173" t="str">
        <f>IF(AMAZON_FASHION_5__2[[#This Row],[overall]]&gt;=4,"Positive",IF(AMAZON_FASHION_5__2[[#This Row],[overall]]&lt;=2,"Negative","Neutral"))</f>
        <v>Positive</v>
      </c>
      <c r="S3173"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74" spans="1:19" x14ac:dyDescent="0.25">
      <c r="A3174">
        <v>5</v>
      </c>
      <c r="B3174" t="b">
        <v>1</v>
      </c>
      <c r="C3174" s="1">
        <v>43279</v>
      </c>
      <c r="D3174">
        <f>YEAR(AMAZON_FASHION_5__2[[#This Row],[reviewDate]])</f>
        <v>2018</v>
      </c>
      <c r="E3174" s="1" t="str">
        <f>TEXT(AMAZON_FASHION_5__2[[#This Row],[reviewDate]], "mmmm")</f>
        <v>June</v>
      </c>
      <c r="F3174" t="s">
        <v>1584</v>
      </c>
      <c r="G3174" t="s">
        <v>1501</v>
      </c>
      <c r="H3174" t="s">
        <v>677</v>
      </c>
      <c r="I3174" t="s">
        <v>274</v>
      </c>
      <c r="J3174" t="s">
        <v>1586</v>
      </c>
      <c r="K3174" t="s">
        <v>1587</v>
      </c>
      <c r="L3174" t="s">
        <v>69</v>
      </c>
      <c r="M3174">
        <v>1530144000</v>
      </c>
      <c r="N3174" t="s">
        <v>1628</v>
      </c>
      <c r="O3174" t="s">
        <v>1628</v>
      </c>
      <c r="P3174" t="s">
        <v>1628</v>
      </c>
      <c r="Q3174">
        <f>LEN(AMAZON_FASHION_5__2[[#This Row],[reviewText]])</f>
        <v>27</v>
      </c>
      <c r="R3174" t="str">
        <f>IF(AMAZON_FASHION_5__2[[#This Row],[overall]]&gt;=4,"Positive",IF(AMAZON_FASHION_5__2[[#This Row],[overall]]&lt;=2,"Negative","Neutral"))</f>
        <v>Positive</v>
      </c>
      <c r="S3174"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75" spans="1:19" x14ac:dyDescent="0.25">
      <c r="A3175">
        <v>5</v>
      </c>
      <c r="B3175" t="b">
        <v>1</v>
      </c>
      <c r="C3175" s="1">
        <v>43276</v>
      </c>
      <c r="D3175">
        <f>YEAR(AMAZON_FASHION_5__2[[#This Row],[reviewDate]])</f>
        <v>2018</v>
      </c>
      <c r="E3175" s="1" t="str">
        <f>TEXT(AMAZON_FASHION_5__2[[#This Row],[reviewDate]], "mmmm")</f>
        <v>June</v>
      </c>
      <c r="F3175" t="s">
        <v>1588</v>
      </c>
      <c r="G3175" t="s">
        <v>1501</v>
      </c>
      <c r="H3175" t="s">
        <v>201</v>
      </c>
      <c r="I3175" t="s">
        <v>249</v>
      </c>
      <c r="J3175" t="s">
        <v>63</v>
      </c>
      <c r="K3175" t="s">
        <v>1589</v>
      </c>
      <c r="L3175" t="s">
        <v>17</v>
      </c>
      <c r="M3175">
        <v>1529884800</v>
      </c>
      <c r="N3175" t="s">
        <v>1628</v>
      </c>
      <c r="O3175" t="s">
        <v>1628</v>
      </c>
      <c r="P3175" t="s">
        <v>1628</v>
      </c>
      <c r="Q3175">
        <f>LEN(AMAZON_FASHION_5__2[[#This Row],[reviewText]])</f>
        <v>21</v>
      </c>
      <c r="R3175" t="str">
        <f>IF(AMAZON_FASHION_5__2[[#This Row],[overall]]&gt;=4,"Positive",IF(AMAZON_FASHION_5__2[[#This Row],[overall]]&lt;=2,"Negative","Neutral"))</f>
        <v>Positive</v>
      </c>
      <c r="S3175"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76" spans="1:19" x14ac:dyDescent="0.25">
      <c r="A3176">
        <v>5</v>
      </c>
      <c r="B3176" t="b">
        <v>1</v>
      </c>
      <c r="C3176" s="1">
        <v>43271</v>
      </c>
      <c r="D3176">
        <f>YEAR(AMAZON_FASHION_5__2[[#This Row],[reviewDate]])</f>
        <v>2018</v>
      </c>
      <c r="E3176" s="1" t="str">
        <f>TEXT(AMAZON_FASHION_5__2[[#This Row],[reviewDate]], "mmmm")</f>
        <v>June</v>
      </c>
      <c r="F3176" t="s">
        <v>1590</v>
      </c>
      <c r="G3176" t="s">
        <v>1501</v>
      </c>
      <c r="H3176" t="s">
        <v>210</v>
      </c>
      <c r="I3176" t="s">
        <v>249</v>
      </c>
      <c r="J3176" t="s">
        <v>1591</v>
      </c>
      <c r="K3176" t="s">
        <v>1592</v>
      </c>
      <c r="L3176" t="s">
        <v>468</v>
      </c>
      <c r="M3176">
        <v>1529452800</v>
      </c>
      <c r="N3176" t="s">
        <v>1628</v>
      </c>
      <c r="O3176" t="s">
        <v>1628</v>
      </c>
      <c r="P3176" t="s">
        <v>1628</v>
      </c>
      <c r="Q3176">
        <f>LEN(AMAZON_FASHION_5__2[[#This Row],[reviewText]])</f>
        <v>382</v>
      </c>
      <c r="R3176" t="str">
        <f>IF(AMAZON_FASHION_5__2[[#This Row],[overall]]&gt;=4,"Positive",IF(AMAZON_FASHION_5__2[[#This Row],[overall]]&lt;=2,"Negative","Neutral"))</f>
        <v>Positive</v>
      </c>
      <c r="S3176"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row r="3177" spans="1:19" x14ac:dyDescent="0.25">
      <c r="A3177">
        <v>5</v>
      </c>
      <c r="B3177" t="b">
        <v>1</v>
      </c>
      <c r="C3177" s="1">
        <v>43267</v>
      </c>
      <c r="D3177">
        <f>YEAR(AMAZON_FASHION_5__2[[#This Row],[reviewDate]])</f>
        <v>2018</v>
      </c>
      <c r="E3177" s="1" t="str">
        <f>TEXT(AMAZON_FASHION_5__2[[#This Row],[reviewDate]], "mmmm")</f>
        <v>June</v>
      </c>
      <c r="F3177" t="s">
        <v>1593</v>
      </c>
      <c r="G3177" t="s">
        <v>1501</v>
      </c>
      <c r="H3177" t="s">
        <v>210</v>
      </c>
      <c r="I3177" t="s">
        <v>198</v>
      </c>
      <c r="J3177" t="s">
        <v>797</v>
      </c>
      <c r="K3177" t="s">
        <v>1594</v>
      </c>
      <c r="L3177" t="s">
        <v>17</v>
      </c>
      <c r="M3177">
        <v>1529107200</v>
      </c>
      <c r="N3177" t="s">
        <v>1628</v>
      </c>
      <c r="O3177" t="s">
        <v>1628</v>
      </c>
      <c r="P3177" t="s">
        <v>1628</v>
      </c>
      <c r="Q3177">
        <f>LEN(AMAZON_FASHION_5__2[[#This Row],[reviewText]])</f>
        <v>44</v>
      </c>
      <c r="R3177" t="str">
        <f>IF(AMAZON_FASHION_5__2[[#This Row],[overall]]&gt;=4,"Positive",IF(AMAZON_FASHION_5__2[[#This Row],[overall]]&lt;=2,"Negative","Neutral"))</f>
        <v>Positive</v>
      </c>
      <c r="S3177" t="str">
        <f>IF(ISNUMBER(SEARCH("B000K2PJ4K",AMAZON_FASHION_5__2[[#This Row],[asin]])),"Clothing",
IF(ISNUMBER(SEARCH("B000KPIHQ4",AMAZON_FASHION_5__2[[#This Row],[asin]])),"Shoe Inserts",
IF(ISNUMBER(SEARCH("B000YFSR",AMAZON_FASHION_5__2[[#This Row],[asin]])),"Sweatpants",
IF(ISNUMBER(SEARCH("B0012DR1LU",AMAZON_FASHION_5__2[[#This Row],[asin]])),"Sandals",
IF(ISNUMBER(SEARCH("B0014F8TIU",AMAZON_FASHION_5__2[[#This Row],[asin]])),"Socks",
IF(ISNUMBER(SEARCH("B0014HA6VG",AMAZON_FASHION_5__2[[#This Row],[asin]])),"Scarves",
IF(ISNUMBER(SEARCH("B0017LD0BM",AMAZON_FASHION_5__2[[#This Row],[asin]])),"Reading Glasses",
IF(ISNUMBER(SEARCH("B001IKJOLW",AMAZON_FASHION_5__2[[#This Row],[asin]])),"Sneakers","Other"))))))))</f>
        <v>Other</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40CE-D10E-4D1B-8A16-406B1A560722}">
  <dimension ref="A1:V79"/>
  <sheetViews>
    <sheetView topLeftCell="B26" zoomScale="111" zoomScaleNormal="70" workbookViewId="0">
      <selection activeCell="K69" sqref="K69"/>
    </sheetView>
  </sheetViews>
  <sheetFormatPr defaultRowHeight="15" x14ac:dyDescent="0.25"/>
  <cols>
    <col min="1" max="1" width="19.28515625" bestFit="1" customWidth="1"/>
    <col min="2" max="2" width="16.28515625" bestFit="1" customWidth="1"/>
    <col min="3" max="3" width="7.7109375" bestFit="1" customWidth="1"/>
    <col min="4" max="4" width="8.140625" bestFit="1" customWidth="1"/>
    <col min="5" max="5" width="11.28515625" bestFit="1" customWidth="1"/>
    <col min="8" max="8" width="13.140625" bestFit="1" customWidth="1"/>
    <col min="9" max="9" width="17.42578125" bestFit="1" customWidth="1"/>
    <col min="10" max="10" width="19.140625" bestFit="1" customWidth="1"/>
    <col min="11" max="11" width="12.5703125" bestFit="1" customWidth="1"/>
    <col min="12" max="12" width="17.42578125" bestFit="1" customWidth="1"/>
    <col min="13" max="13" width="12.5703125" bestFit="1" customWidth="1"/>
    <col min="14" max="14" width="17.42578125" bestFit="1" customWidth="1"/>
    <col min="15" max="15" width="17.7109375" bestFit="1" customWidth="1"/>
    <col min="16" max="16" width="22.42578125" bestFit="1" customWidth="1"/>
    <col min="17" max="17" width="11.85546875" bestFit="1" customWidth="1"/>
    <col min="18" max="18" width="34.140625" bestFit="1" customWidth="1"/>
    <col min="19" max="19" width="38.42578125" bestFit="1" customWidth="1"/>
    <col min="20" max="20" width="23.7109375" bestFit="1" customWidth="1"/>
    <col min="21" max="21" width="12.42578125" bestFit="1" customWidth="1"/>
    <col min="22" max="22" width="17.42578125" bestFit="1" customWidth="1"/>
    <col min="23" max="23" width="29.140625" bestFit="1" customWidth="1"/>
    <col min="24" max="24" width="27.5703125" bestFit="1" customWidth="1"/>
    <col min="25" max="25" width="15.42578125" bestFit="1" customWidth="1"/>
    <col min="26" max="26" width="12.85546875" bestFit="1" customWidth="1"/>
    <col min="27" max="27" width="10.42578125" bestFit="1" customWidth="1"/>
    <col min="28" max="28" width="14.85546875" bestFit="1" customWidth="1"/>
    <col min="29" max="29" width="12.7109375" bestFit="1" customWidth="1"/>
    <col min="30" max="30" width="11.42578125" bestFit="1" customWidth="1"/>
    <col min="31" max="31" width="12.140625" bestFit="1" customWidth="1"/>
    <col min="32" max="32" width="34.140625" bestFit="1" customWidth="1"/>
    <col min="33" max="33" width="39" bestFit="1" customWidth="1"/>
    <col min="34" max="34" width="24" bestFit="1" customWidth="1"/>
    <col min="35" max="35" width="12.7109375" bestFit="1" customWidth="1"/>
    <col min="36" max="36" width="31.140625" bestFit="1" customWidth="1"/>
    <col min="37" max="37" width="29.85546875" bestFit="1" customWidth="1"/>
    <col min="38" max="38" width="27.7109375" bestFit="1" customWidth="1"/>
    <col min="39" max="39" width="27.5703125" bestFit="1" customWidth="1"/>
    <col min="40" max="40" width="33.85546875" bestFit="1" customWidth="1"/>
    <col min="41" max="41" width="15.42578125" bestFit="1" customWidth="1"/>
    <col min="42" max="42" width="12.85546875" bestFit="1" customWidth="1"/>
    <col min="43" max="43" width="10.42578125" bestFit="1" customWidth="1"/>
    <col min="44" max="44" width="15.5703125" bestFit="1" customWidth="1"/>
    <col min="45" max="45" width="16" bestFit="1" customWidth="1"/>
    <col min="46" max="46" width="33.85546875" bestFit="1" customWidth="1"/>
    <col min="47" max="47" width="17.140625" bestFit="1" customWidth="1"/>
    <col min="48" max="48" width="41.42578125" bestFit="1" customWidth="1"/>
    <col min="49" max="49" width="36" bestFit="1" customWidth="1"/>
    <col min="50" max="50" width="37.7109375" bestFit="1" customWidth="1"/>
    <col min="51" max="51" width="47.140625" bestFit="1" customWidth="1"/>
    <col min="52" max="52" width="39.140625" bestFit="1" customWidth="1"/>
    <col min="53" max="53" width="29.140625" bestFit="1" customWidth="1"/>
    <col min="54" max="54" width="28.7109375" bestFit="1" customWidth="1"/>
    <col min="55" max="55" width="19.42578125" bestFit="1" customWidth="1"/>
    <col min="56" max="56" width="13.85546875" bestFit="1" customWidth="1"/>
    <col min="57" max="57" width="20.140625" bestFit="1" customWidth="1"/>
    <col min="58" max="58" width="10.5703125" bestFit="1" customWidth="1"/>
    <col min="59" max="59" width="24" bestFit="1" customWidth="1"/>
    <col min="60" max="60" width="14.140625" bestFit="1" customWidth="1"/>
    <col min="61" max="61" width="35.5703125" bestFit="1" customWidth="1"/>
    <col min="62" max="62" width="13.85546875" bestFit="1" customWidth="1"/>
    <col min="63" max="63" width="13.140625" bestFit="1" customWidth="1"/>
    <col min="64" max="64" width="17.140625" bestFit="1" customWidth="1"/>
    <col min="65" max="65" width="33.28515625" bestFit="1" customWidth="1"/>
    <col min="66" max="66" width="17.85546875" bestFit="1" customWidth="1"/>
    <col min="67" max="67" width="14.85546875" bestFit="1" customWidth="1"/>
    <col min="68" max="68" width="13.85546875" bestFit="1" customWidth="1"/>
    <col min="69" max="69" width="7.140625" bestFit="1" customWidth="1"/>
    <col min="70" max="70" width="6.5703125" bestFit="1" customWidth="1"/>
    <col min="71" max="71" width="13.85546875" bestFit="1" customWidth="1"/>
    <col min="72" max="72" width="27.7109375" bestFit="1" customWidth="1"/>
    <col min="73" max="73" width="35.140625" bestFit="1" customWidth="1"/>
    <col min="74" max="74" width="35.42578125" bestFit="1" customWidth="1"/>
    <col min="75" max="75" width="34.85546875" bestFit="1" customWidth="1"/>
    <col min="76" max="76" width="28.85546875" bestFit="1" customWidth="1"/>
    <col min="77" max="77" width="5.140625" bestFit="1" customWidth="1"/>
    <col min="78" max="78" width="16.7109375" bestFit="1" customWidth="1"/>
    <col min="79" max="79" width="17.42578125" bestFit="1" customWidth="1"/>
    <col min="80" max="80" width="13.85546875" bestFit="1" customWidth="1"/>
    <col min="81" max="81" width="42" bestFit="1" customWidth="1"/>
    <col min="82" max="82" width="27" bestFit="1" customWidth="1"/>
    <col min="83" max="83" width="32.42578125" bestFit="1" customWidth="1"/>
    <col min="84" max="84" width="35" bestFit="1" customWidth="1"/>
    <col min="85" max="86" width="13.85546875" bestFit="1" customWidth="1"/>
  </cols>
  <sheetData>
    <row r="1" spans="1:22" ht="26.25" x14ac:dyDescent="0.4">
      <c r="T1" s="7" t="s">
        <v>1669</v>
      </c>
      <c r="V1" s="10" t="s">
        <v>1670</v>
      </c>
    </row>
    <row r="2" spans="1:22" ht="23.25" x14ac:dyDescent="0.35">
      <c r="A2" s="5" t="s">
        <v>1655</v>
      </c>
      <c r="H2" s="6" t="s">
        <v>1664</v>
      </c>
      <c r="T2" s="8">
        <f>COUNTA(AMAZON_FASHION_5__2[overall])</f>
        <v>3176</v>
      </c>
      <c r="V2" s="14">
        <f>AVERAGE(CleanedData!A:A)</f>
        <v>4.4042821158690177</v>
      </c>
    </row>
    <row r="3" spans="1:22" x14ac:dyDescent="0.25">
      <c r="A3" s="2" t="s">
        <v>1636</v>
      </c>
      <c r="B3" t="s">
        <v>1635</v>
      </c>
      <c r="I3" s="2" t="s">
        <v>1653</v>
      </c>
    </row>
    <row r="4" spans="1:22" x14ac:dyDescent="0.25">
      <c r="A4" s="3">
        <v>1</v>
      </c>
      <c r="B4">
        <v>117</v>
      </c>
      <c r="I4" t="s">
        <v>1651</v>
      </c>
      <c r="K4" t="s">
        <v>1652</v>
      </c>
      <c r="M4" t="s">
        <v>1650</v>
      </c>
      <c r="O4" t="s">
        <v>1661</v>
      </c>
      <c r="P4" t="s">
        <v>1662</v>
      </c>
    </row>
    <row r="5" spans="1:22" ht="33.75" x14ac:dyDescent="0.5">
      <c r="A5" s="3">
        <v>2</v>
      </c>
      <c r="B5">
        <v>186</v>
      </c>
      <c r="H5" s="2" t="s">
        <v>1636</v>
      </c>
      <c r="I5" t="s">
        <v>1660</v>
      </c>
      <c r="J5" t="s">
        <v>1663</v>
      </c>
      <c r="K5" t="s">
        <v>1660</v>
      </c>
      <c r="L5" t="s">
        <v>1663</v>
      </c>
      <c r="M5" t="s">
        <v>1660</v>
      </c>
      <c r="N5" t="s">
        <v>1663</v>
      </c>
      <c r="T5" s="11" t="s">
        <v>1672</v>
      </c>
      <c r="V5" s="12" t="s">
        <v>1671</v>
      </c>
    </row>
    <row r="6" spans="1:22" ht="18.75" x14ac:dyDescent="0.3">
      <c r="A6" s="3">
        <v>3</v>
      </c>
      <c r="B6">
        <v>1011</v>
      </c>
      <c r="H6" s="3" t="s">
        <v>1657</v>
      </c>
      <c r="K6">
        <v>2</v>
      </c>
      <c r="L6">
        <v>3</v>
      </c>
      <c r="M6">
        <v>8</v>
      </c>
      <c r="N6">
        <v>5</v>
      </c>
      <c r="O6">
        <v>10</v>
      </c>
      <c r="P6">
        <v>4.5999999999999996</v>
      </c>
      <c r="T6" s="13">
        <f>COUNTIF(CleanedData!R:R,"Positive")/COUNTA(CleanedData!R:R)</f>
        <v>0.82751022977651878</v>
      </c>
      <c r="V6" s="13">
        <f>COUNTIF(CleanedData!B:B,TRUE)/COUNTA(CleanedData!B:B)</f>
        <v>0.96915328926660371</v>
      </c>
    </row>
    <row r="7" spans="1:22" x14ac:dyDescent="0.25">
      <c r="A7" s="3">
        <v>4</v>
      </c>
      <c r="B7">
        <v>1884</v>
      </c>
      <c r="H7" s="3" t="s">
        <v>1658</v>
      </c>
      <c r="I7">
        <v>160</v>
      </c>
      <c r="J7">
        <v>1.425</v>
      </c>
      <c r="K7">
        <v>273</v>
      </c>
      <c r="L7">
        <v>3</v>
      </c>
      <c r="M7">
        <v>2243</v>
      </c>
      <c r="N7">
        <v>4.8247882300490419</v>
      </c>
      <c r="O7">
        <v>2676</v>
      </c>
      <c r="P7">
        <v>4.4353512705530642</v>
      </c>
    </row>
    <row r="8" spans="1:22" x14ac:dyDescent="0.25">
      <c r="A8" s="3">
        <v>5</v>
      </c>
      <c r="B8">
        <v>10790</v>
      </c>
      <c r="H8" s="3" t="s">
        <v>1659</v>
      </c>
      <c r="I8">
        <v>2</v>
      </c>
      <c r="J8">
        <v>2</v>
      </c>
      <c r="K8">
        <v>4</v>
      </c>
      <c r="L8">
        <v>3</v>
      </c>
      <c r="M8">
        <v>4</v>
      </c>
      <c r="N8">
        <v>4</v>
      </c>
      <c r="O8">
        <v>10</v>
      </c>
      <c r="P8">
        <v>3.2</v>
      </c>
    </row>
    <row r="9" spans="1:22" x14ac:dyDescent="0.25">
      <c r="A9" s="3" t="s">
        <v>1637</v>
      </c>
      <c r="B9">
        <v>13988</v>
      </c>
      <c r="H9" s="3" t="s">
        <v>1637</v>
      </c>
      <c r="I9">
        <v>162</v>
      </c>
      <c r="J9">
        <v>1.4320987654320987</v>
      </c>
      <c r="K9">
        <v>279</v>
      </c>
      <c r="L9">
        <v>3</v>
      </c>
      <c r="M9">
        <v>2255</v>
      </c>
      <c r="N9">
        <v>4.8239467849223949</v>
      </c>
      <c r="O9">
        <v>2696</v>
      </c>
      <c r="P9">
        <v>4.4313798219584566</v>
      </c>
    </row>
    <row r="10" spans="1:22" x14ac:dyDescent="0.25">
      <c r="H10" s="2" t="s">
        <v>1636</v>
      </c>
      <c r="I10" t="s">
        <v>1663</v>
      </c>
      <c r="J10" t="s">
        <v>1666</v>
      </c>
    </row>
    <row r="11" spans="1:22" x14ac:dyDescent="0.25">
      <c r="H11" s="3" t="s">
        <v>1667</v>
      </c>
      <c r="I11">
        <v>4.7525773195876289</v>
      </c>
      <c r="J11">
        <v>97</v>
      </c>
    </row>
    <row r="12" spans="1:22" x14ac:dyDescent="0.25">
      <c r="H12" s="3" t="s">
        <v>1668</v>
      </c>
      <c r="I12">
        <v>4.3933095160766484</v>
      </c>
      <c r="J12">
        <v>3079</v>
      </c>
    </row>
    <row r="13" spans="1:22" x14ac:dyDescent="0.25">
      <c r="H13" s="3" t="s">
        <v>1637</v>
      </c>
      <c r="I13">
        <v>4.4042821158690177</v>
      </c>
      <c r="J13">
        <v>3176</v>
      </c>
    </row>
    <row r="19" spans="1:22" x14ac:dyDescent="0.25">
      <c r="N19" s="6" t="s">
        <v>1665</v>
      </c>
    </row>
    <row r="20" spans="1:22" x14ac:dyDescent="0.25">
      <c r="N20" s="2" t="s">
        <v>1634</v>
      </c>
      <c r="O20" t="s">
        <v>1657</v>
      </c>
    </row>
    <row r="21" spans="1:22" x14ac:dyDescent="0.25">
      <c r="N21" s="3"/>
    </row>
    <row r="22" spans="1:22" x14ac:dyDescent="0.25">
      <c r="N22" s="2" t="s">
        <v>1663</v>
      </c>
      <c r="O22" s="2" t="s">
        <v>1653</v>
      </c>
    </row>
    <row r="23" spans="1:22" x14ac:dyDescent="0.25">
      <c r="N23" s="2" t="s">
        <v>1636</v>
      </c>
      <c r="O23" t="s">
        <v>19</v>
      </c>
      <c r="P23" t="s">
        <v>21</v>
      </c>
      <c r="Q23" t="s">
        <v>20</v>
      </c>
      <c r="R23" t="s">
        <v>14</v>
      </c>
      <c r="S23" t="s">
        <v>22</v>
      </c>
      <c r="T23" t="s">
        <v>33</v>
      </c>
      <c r="U23" t="s">
        <v>25</v>
      </c>
      <c r="V23" t="s">
        <v>1637</v>
      </c>
    </row>
    <row r="24" spans="1:22" x14ac:dyDescent="0.25">
      <c r="J24" t="s">
        <v>1673</v>
      </c>
      <c r="N24" s="3" t="s">
        <v>13</v>
      </c>
      <c r="O24">
        <v>5</v>
      </c>
      <c r="P24">
        <v>5</v>
      </c>
      <c r="Q24">
        <v>5</v>
      </c>
      <c r="R24">
        <v>5</v>
      </c>
      <c r="S24">
        <v>5</v>
      </c>
      <c r="V24">
        <v>5</v>
      </c>
    </row>
    <row r="25" spans="1:22" x14ac:dyDescent="0.25">
      <c r="N25" s="3" t="s">
        <v>24</v>
      </c>
      <c r="P25">
        <v>5</v>
      </c>
      <c r="R25">
        <v>5</v>
      </c>
      <c r="S25">
        <v>5</v>
      </c>
      <c r="T25">
        <v>3</v>
      </c>
      <c r="U25">
        <v>3</v>
      </c>
      <c r="V25">
        <v>4.2</v>
      </c>
    </row>
    <row r="26" spans="1:22" x14ac:dyDescent="0.25">
      <c r="N26" s="3" t="s">
        <v>1637</v>
      </c>
      <c r="O26">
        <v>5</v>
      </c>
      <c r="P26">
        <v>5</v>
      </c>
      <c r="Q26">
        <v>5</v>
      </c>
      <c r="R26">
        <v>5</v>
      </c>
      <c r="S26">
        <v>5</v>
      </c>
      <c r="T26">
        <v>3</v>
      </c>
      <c r="U26">
        <v>3</v>
      </c>
      <c r="V26">
        <v>4.5999999999999996</v>
      </c>
    </row>
    <row r="28" spans="1:22" x14ac:dyDescent="0.25">
      <c r="A28" s="5" t="s">
        <v>1656</v>
      </c>
    </row>
    <row r="29" spans="1:22" x14ac:dyDescent="0.25">
      <c r="A29" s="2" t="s">
        <v>1654</v>
      </c>
      <c r="B29" s="2" t="s">
        <v>1653</v>
      </c>
    </row>
    <row r="30" spans="1:22" x14ac:dyDescent="0.25">
      <c r="A30" s="2" t="s">
        <v>1636</v>
      </c>
      <c r="B30" t="s">
        <v>1651</v>
      </c>
      <c r="C30" t="s">
        <v>1652</v>
      </c>
      <c r="D30" t="s">
        <v>1650</v>
      </c>
      <c r="E30" t="s">
        <v>1637</v>
      </c>
    </row>
    <row r="31" spans="1:22" x14ac:dyDescent="0.25">
      <c r="A31" s="3" t="s">
        <v>1638</v>
      </c>
      <c r="B31" s="15">
        <v>26</v>
      </c>
      <c r="C31" s="15">
        <v>8</v>
      </c>
      <c r="D31" s="15">
        <v>143</v>
      </c>
      <c r="E31" s="15">
        <v>177</v>
      </c>
    </row>
    <row r="32" spans="1:22" x14ac:dyDescent="0.25">
      <c r="A32" s="4">
        <v>2016</v>
      </c>
      <c r="B32" s="15"/>
      <c r="C32" s="15"/>
      <c r="D32" s="15">
        <v>4</v>
      </c>
      <c r="E32" s="15">
        <v>4</v>
      </c>
    </row>
    <row r="33" spans="1:10" x14ac:dyDescent="0.25">
      <c r="A33" s="4">
        <v>2017</v>
      </c>
      <c r="B33" s="15">
        <v>26</v>
      </c>
      <c r="C33" s="15">
        <v>8</v>
      </c>
      <c r="D33" s="15">
        <v>139</v>
      </c>
      <c r="E33" s="15">
        <v>173</v>
      </c>
    </row>
    <row r="34" spans="1:10" x14ac:dyDescent="0.25">
      <c r="A34" s="3" t="s">
        <v>1639</v>
      </c>
      <c r="B34" s="15">
        <v>21</v>
      </c>
      <c r="C34" s="15">
        <v>13</v>
      </c>
      <c r="D34" s="15">
        <v>103</v>
      </c>
      <c r="E34" s="15">
        <v>137</v>
      </c>
      <c r="H34" t="s">
        <v>1674</v>
      </c>
    </row>
    <row r="35" spans="1:10" x14ac:dyDescent="0.25">
      <c r="A35" s="4">
        <v>2015</v>
      </c>
      <c r="B35" s="15"/>
      <c r="C35" s="15"/>
      <c r="D35" s="15">
        <v>3</v>
      </c>
      <c r="E35" s="15">
        <v>3</v>
      </c>
      <c r="H35" s="2" t="s">
        <v>1636</v>
      </c>
      <c r="I35" t="s">
        <v>1663</v>
      </c>
      <c r="J35" t="s">
        <v>1666</v>
      </c>
    </row>
    <row r="36" spans="1:10" x14ac:dyDescent="0.25">
      <c r="A36" s="4">
        <v>2016</v>
      </c>
      <c r="B36" s="15"/>
      <c r="C36" s="15">
        <v>1</v>
      </c>
      <c r="D36" s="15"/>
      <c r="E36" s="15">
        <v>1</v>
      </c>
      <c r="H36" s="3" t="s">
        <v>63</v>
      </c>
      <c r="I36">
        <v>4.429590017825312</v>
      </c>
      <c r="J36">
        <v>561</v>
      </c>
    </row>
    <row r="37" spans="1:10" x14ac:dyDescent="0.25">
      <c r="A37" s="4">
        <v>2017</v>
      </c>
      <c r="B37" s="15">
        <v>21</v>
      </c>
      <c r="C37" s="15">
        <v>12</v>
      </c>
      <c r="D37" s="15">
        <v>100</v>
      </c>
      <c r="E37" s="15">
        <v>133</v>
      </c>
      <c r="H37" s="3" t="s">
        <v>482</v>
      </c>
      <c r="I37">
        <v>5</v>
      </c>
      <c r="J37">
        <v>16</v>
      </c>
    </row>
    <row r="38" spans="1:10" x14ac:dyDescent="0.25">
      <c r="A38" s="3" t="s">
        <v>1640</v>
      </c>
      <c r="B38" s="15">
        <v>24</v>
      </c>
      <c r="C38" s="15">
        <v>28</v>
      </c>
      <c r="D38" s="15">
        <v>217</v>
      </c>
      <c r="E38" s="15">
        <v>269</v>
      </c>
      <c r="H38" s="3" t="s">
        <v>231</v>
      </c>
      <c r="I38">
        <v>3</v>
      </c>
      <c r="J38">
        <v>9</v>
      </c>
    </row>
    <row r="39" spans="1:10" x14ac:dyDescent="0.25">
      <c r="A39" s="4">
        <v>2016</v>
      </c>
      <c r="B39" s="15">
        <v>8</v>
      </c>
      <c r="C39" s="15">
        <v>8</v>
      </c>
      <c r="D39" s="15">
        <v>69</v>
      </c>
      <c r="E39" s="15">
        <v>85</v>
      </c>
      <c r="H39" s="3" t="s">
        <v>451</v>
      </c>
      <c r="I39">
        <v>3.5</v>
      </c>
      <c r="J39">
        <v>16</v>
      </c>
    </row>
    <row r="40" spans="1:10" x14ac:dyDescent="0.25">
      <c r="A40" s="4">
        <v>2017</v>
      </c>
      <c r="B40" s="15">
        <v>16</v>
      </c>
      <c r="C40" s="15">
        <v>20</v>
      </c>
      <c r="D40" s="15">
        <v>148</v>
      </c>
      <c r="E40" s="15">
        <v>184</v>
      </c>
      <c r="H40" s="3" t="s">
        <v>160</v>
      </c>
      <c r="I40">
        <v>5</v>
      </c>
      <c r="J40">
        <v>10</v>
      </c>
    </row>
    <row r="41" spans="1:10" x14ac:dyDescent="0.25">
      <c r="A41" s="3" t="s">
        <v>1641</v>
      </c>
      <c r="B41" s="15"/>
      <c r="C41" s="15">
        <v>16</v>
      </c>
      <c r="D41" s="15">
        <v>238</v>
      </c>
      <c r="E41" s="15">
        <v>254</v>
      </c>
      <c r="H41" s="3" t="s">
        <v>810</v>
      </c>
      <c r="I41">
        <v>5</v>
      </c>
      <c r="J41">
        <v>16</v>
      </c>
    </row>
    <row r="42" spans="1:10" x14ac:dyDescent="0.25">
      <c r="A42" s="4">
        <v>2016</v>
      </c>
      <c r="B42" s="15"/>
      <c r="C42" s="15">
        <v>8</v>
      </c>
      <c r="D42" s="15">
        <v>40</v>
      </c>
      <c r="E42" s="15">
        <v>48</v>
      </c>
      <c r="H42" s="3" t="s">
        <v>734</v>
      </c>
      <c r="I42">
        <v>5</v>
      </c>
      <c r="J42">
        <v>16</v>
      </c>
    </row>
    <row r="43" spans="1:10" x14ac:dyDescent="0.25">
      <c r="A43" s="4">
        <v>2017</v>
      </c>
      <c r="B43" s="15"/>
      <c r="C43" s="15">
        <v>8</v>
      </c>
      <c r="D43" s="15">
        <v>198</v>
      </c>
      <c r="E43" s="15">
        <v>206</v>
      </c>
      <c r="H43" s="3" t="s">
        <v>1076</v>
      </c>
      <c r="I43">
        <v>4.2</v>
      </c>
      <c r="J43">
        <v>20</v>
      </c>
    </row>
    <row r="44" spans="1:10" x14ac:dyDescent="0.25">
      <c r="A44" s="3" t="s">
        <v>1642</v>
      </c>
      <c r="B44" s="15">
        <v>4</v>
      </c>
      <c r="C44" s="15">
        <v>18</v>
      </c>
      <c r="D44" s="15">
        <v>262</v>
      </c>
      <c r="E44" s="15">
        <v>284</v>
      </c>
      <c r="H44" s="3" t="s">
        <v>328</v>
      </c>
      <c r="I44">
        <v>5</v>
      </c>
      <c r="J44">
        <v>9</v>
      </c>
    </row>
    <row r="45" spans="1:10" x14ac:dyDescent="0.25">
      <c r="A45" s="4">
        <v>2015</v>
      </c>
      <c r="B45" s="15">
        <v>4</v>
      </c>
      <c r="C45" s="15">
        <v>2</v>
      </c>
      <c r="D45" s="15">
        <v>8</v>
      </c>
      <c r="E45" s="15">
        <v>14</v>
      </c>
      <c r="H45" s="3" t="s">
        <v>401</v>
      </c>
      <c r="I45">
        <v>5</v>
      </c>
      <c r="J45">
        <v>9</v>
      </c>
    </row>
    <row r="46" spans="1:10" x14ac:dyDescent="0.25">
      <c r="A46" s="4">
        <v>2016</v>
      </c>
      <c r="B46" s="15"/>
      <c r="C46" s="15"/>
      <c r="D46" s="15">
        <v>120</v>
      </c>
      <c r="E46" s="15">
        <v>120</v>
      </c>
      <c r="H46" s="3" t="s">
        <v>797</v>
      </c>
      <c r="I46">
        <v>3.9333333333333331</v>
      </c>
      <c r="J46">
        <v>15</v>
      </c>
    </row>
    <row r="47" spans="1:10" x14ac:dyDescent="0.25">
      <c r="A47" s="4">
        <v>2017</v>
      </c>
      <c r="B47" s="15"/>
      <c r="C47" s="15">
        <v>16</v>
      </c>
      <c r="D47" s="15">
        <v>134</v>
      </c>
      <c r="E47" s="15">
        <v>150</v>
      </c>
      <c r="H47" s="3" t="s">
        <v>960</v>
      </c>
      <c r="I47">
        <v>5</v>
      </c>
      <c r="J47">
        <v>9</v>
      </c>
    </row>
    <row r="48" spans="1:10" x14ac:dyDescent="0.25">
      <c r="A48" s="3" t="s">
        <v>1643</v>
      </c>
      <c r="B48" s="15">
        <v>8</v>
      </c>
      <c r="C48" s="15">
        <v>21</v>
      </c>
      <c r="D48" s="15">
        <v>184</v>
      </c>
      <c r="E48" s="15">
        <v>213</v>
      </c>
      <c r="H48" s="3" t="s">
        <v>1637</v>
      </c>
      <c r="I48">
        <v>4.4419263456090654</v>
      </c>
      <c r="J48">
        <v>706</v>
      </c>
    </row>
    <row r="49" spans="1:5" x14ac:dyDescent="0.25">
      <c r="A49" s="4">
        <v>2015</v>
      </c>
      <c r="B49" s="15"/>
      <c r="C49" s="15">
        <v>5</v>
      </c>
      <c r="D49" s="15">
        <v>3</v>
      </c>
      <c r="E49" s="15">
        <v>8</v>
      </c>
    </row>
    <row r="50" spans="1:5" x14ac:dyDescent="0.25">
      <c r="A50" s="4">
        <v>2016</v>
      </c>
      <c r="B50" s="15"/>
      <c r="C50" s="15">
        <v>8</v>
      </c>
      <c r="D50" s="15">
        <v>56</v>
      </c>
      <c r="E50" s="15">
        <v>64</v>
      </c>
    </row>
    <row r="51" spans="1:5" x14ac:dyDescent="0.25">
      <c r="A51" s="4">
        <v>2017</v>
      </c>
      <c r="B51" s="15">
        <v>8</v>
      </c>
      <c r="C51" s="15">
        <v>8</v>
      </c>
      <c r="D51" s="15">
        <v>125</v>
      </c>
      <c r="E51" s="15">
        <v>141</v>
      </c>
    </row>
    <row r="52" spans="1:5" x14ac:dyDescent="0.25">
      <c r="A52" s="3" t="s">
        <v>1644</v>
      </c>
      <c r="B52" s="15"/>
      <c r="C52" s="15">
        <v>28</v>
      </c>
      <c r="D52" s="15">
        <v>165</v>
      </c>
      <c r="E52" s="15">
        <v>193</v>
      </c>
    </row>
    <row r="53" spans="1:5" x14ac:dyDescent="0.25">
      <c r="A53" s="4">
        <v>2010</v>
      </c>
      <c r="B53" s="15"/>
      <c r="C53" s="15"/>
      <c r="D53" s="15">
        <v>5</v>
      </c>
      <c r="E53" s="15">
        <v>5</v>
      </c>
    </row>
    <row r="54" spans="1:5" x14ac:dyDescent="0.25">
      <c r="A54" s="4">
        <v>2015</v>
      </c>
      <c r="B54" s="15"/>
      <c r="C54" s="15">
        <v>4</v>
      </c>
      <c r="D54" s="15">
        <v>2</v>
      </c>
      <c r="E54" s="15">
        <v>6</v>
      </c>
    </row>
    <row r="55" spans="1:5" x14ac:dyDescent="0.25">
      <c r="A55" s="4">
        <v>2016</v>
      </c>
      <c r="B55" s="15"/>
      <c r="C55" s="15">
        <v>8</v>
      </c>
      <c r="D55" s="15">
        <v>56</v>
      </c>
      <c r="E55" s="15">
        <v>64</v>
      </c>
    </row>
    <row r="56" spans="1:5" x14ac:dyDescent="0.25">
      <c r="A56" s="4">
        <v>2017</v>
      </c>
      <c r="B56" s="15"/>
      <c r="C56" s="15">
        <v>16</v>
      </c>
      <c r="D56" s="15">
        <v>102</v>
      </c>
      <c r="E56" s="15">
        <v>118</v>
      </c>
    </row>
    <row r="57" spans="1:5" x14ac:dyDescent="0.25">
      <c r="A57" s="3" t="s">
        <v>1645</v>
      </c>
      <c r="B57" s="15">
        <v>16</v>
      </c>
      <c r="C57" s="15">
        <v>40</v>
      </c>
      <c r="D57" s="15">
        <v>189</v>
      </c>
      <c r="E57" s="15">
        <v>245</v>
      </c>
    </row>
    <row r="58" spans="1:5" x14ac:dyDescent="0.25">
      <c r="A58" s="4">
        <v>2014</v>
      </c>
      <c r="B58" s="15"/>
      <c r="C58" s="15"/>
      <c r="D58" s="15">
        <v>2</v>
      </c>
      <c r="E58" s="15">
        <v>2</v>
      </c>
    </row>
    <row r="59" spans="1:5" x14ac:dyDescent="0.25">
      <c r="A59" s="4">
        <v>2016</v>
      </c>
      <c r="B59" s="15"/>
      <c r="C59" s="15">
        <v>16</v>
      </c>
      <c r="D59" s="15">
        <v>75</v>
      </c>
      <c r="E59" s="15">
        <v>91</v>
      </c>
    </row>
    <row r="60" spans="1:5" x14ac:dyDescent="0.25">
      <c r="A60" s="4">
        <v>2017</v>
      </c>
      <c r="B60" s="15">
        <v>16</v>
      </c>
      <c r="C60" s="15">
        <v>24</v>
      </c>
      <c r="D60" s="15">
        <v>112</v>
      </c>
      <c r="E60" s="15">
        <v>152</v>
      </c>
    </row>
    <row r="61" spans="1:5" x14ac:dyDescent="0.25">
      <c r="A61" s="3" t="s">
        <v>1646</v>
      </c>
      <c r="B61" s="15">
        <v>16</v>
      </c>
      <c r="C61" s="15"/>
      <c r="D61" s="15">
        <v>158</v>
      </c>
      <c r="E61" s="15">
        <v>174</v>
      </c>
    </row>
    <row r="62" spans="1:5" x14ac:dyDescent="0.25">
      <c r="A62" s="4">
        <v>2015</v>
      </c>
      <c r="B62" s="15"/>
      <c r="C62" s="15"/>
      <c r="D62" s="15">
        <v>5</v>
      </c>
      <c r="E62" s="15">
        <v>5</v>
      </c>
    </row>
    <row r="63" spans="1:5" x14ac:dyDescent="0.25">
      <c r="A63" s="4">
        <v>2016</v>
      </c>
      <c r="B63" s="15">
        <v>16</v>
      </c>
      <c r="C63" s="15"/>
      <c r="D63" s="15">
        <v>48</v>
      </c>
      <c r="E63" s="15">
        <v>64</v>
      </c>
    </row>
    <row r="64" spans="1:5" x14ac:dyDescent="0.25">
      <c r="A64" s="4">
        <v>2017</v>
      </c>
      <c r="B64" s="15"/>
      <c r="C64" s="15"/>
      <c r="D64" s="15">
        <v>105</v>
      </c>
      <c r="E64" s="15">
        <v>105</v>
      </c>
    </row>
    <row r="65" spans="1:5" x14ac:dyDescent="0.25">
      <c r="A65" s="3" t="s">
        <v>1647</v>
      </c>
      <c r="B65" s="15">
        <v>5</v>
      </c>
      <c r="C65" s="15">
        <v>48</v>
      </c>
      <c r="D65" s="15">
        <v>164</v>
      </c>
      <c r="E65" s="15">
        <v>217</v>
      </c>
    </row>
    <row r="66" spans="1:5" x14ac:dyDescent="0.25">
      <c r="A66" s="4">
        <v>2015</v>
      </c>
      <c r="B66" s="15">
        <v>5</v>
      </c>
      <c r="C66" s="15"/>
      <c r="D66" s="15">
        <v>2</v>
      </c>
      <c r="E66" s="15">
        <v>7</v>
      </c>
    </row>
    <row r="67" spans="1:5" x14ac:dyDescent="0.25">
      <c r="A67" s="4">
        <v>2016</v>
      </c>
      <c r="B67" s="15"/>
      <c r="C67" s="15">
        <v>32</v>
      </c>
      <c r="D67" s="15">
        <v>74</v>
      </c>
      <c r="E67" s="15">
        <v>106</v>
      </c>
    </row>
    <row r="68" spans="1:5" x14ac:dyDescent="0.25">
      <c r="A68" s="4">
        <v>2017</v>
      </c>
      <c r="B68" s="15"/>
      <c r="C68" s="15">
        <v>16</v>
      </c>
      <c r="D68" s="15">
        <v>88</v>
      </c>
      <c r="E68" s="15">
        <v>104</v>
      </c>
    </row>
    <row r="69" spans="1:5" x14ac:dyDescent="0.25">
      <c r="A69" s="3" t="s">
        <v>1648</v>
      </c>
      <c r="B69" s="15">
        <v>16</v>
      </c>
      <c r="C69" s="15">
        <v>41</v>
      </c>
      <c r="D69" s="15">
        <v>185</v>
      </c>
      <c r="E69" s="15">
        <v>242</v>
      </c>
    </row>
    <row r="70" spans="1:5" x14ac:dyDescent="0.25">
      <c r="A70" s="4">
        <v>2014</v>
      </c>
      <c r="B70" s="15"/>
      <c r="C70" s="15"/>
      <c r="D70" s="15">
        <v>2</v>
      </c>
      <c r="E70" s="15">
        <v>2</v>
      </c>
    </row>
    <row r="71" spans="1:5" x14ac:dyDescent="0.25">
      <c r="A71" s="4">
        <v>2016</v>
      </c>
      <c r="B71" s="15"/>
      <c r="C71" s="15">
        <v>16</v>
      </c>
      <c r="D71" s="15">
        <v>88</v>
      </c>
      <c r="E71" s="15">
        <v>104</v>
      </c>
    </row>
    <row r="72" spans="1:5" x14ac:dyDescent="0.25">
      <c r="A72" s="4">
        <v>2017</v>
      </c>
      <c r="B72" s="15">
        <v>16</v>
      </c>
      <c r="C72" s="15">
        <v>25</v>
      </c>
      <c r="D72" s="15">
        <v>95</v>
      </c>
      <c r="E72" s="15">
        <v>136</v>
      </c>
    </row>
    <row r="73" spans="1:5" x14ac:dyDescent="0.25">
      <c r="A73" s="3" t="s">
        <v>1649</v>
      </c>
      <c r="B73" s="15">
        <v>32</v>
      </c>
      <c r="C73" s="15">
        <v>12</v>
      </c>
      <c r="D73" s="15">
        <v>171</v>
      </c>
      <c r="E73" s="15">
        <v>215</v>
      </c>
    </row>
    <row r="74" spans="1:5" x14ac:dyDescent="0.25">
      <c r="A74" s="4">
        <v>2009</v>
      </c>
      <c r="B74" s="15"/>
      <c r="C74" s="15"/>
      <c r="D74" s="15">
        <v>4</v>
      </c>
      <c r="E74" s="15">
        <v>4</v>
      </c>
    </row>
    <row r="75" spans="1:5" x14ac:dyDescent="0.25">
      <c r="A75" s="4">
        <v>2012</v>
      </c>
      <c r="B75" s="15"/>
      <c r="C75" s="15">
        <v>4</v>
      </c>
      <c r="D75" s="15"/>
      <c r="E75" s="15">
        <v>4</v>
      </c>
    </row>
    <row r="76" spans="1:5" x14ac:dyDescent="0.25">
      <c r="A76" s="4">
        <v>2014</v>
      </c>
      <c r="B76" s="15"/>
      <c r="C76" s="15"/>
      <c r="D76" s="15">
        <v>6</v>
      </c>
      <c r="E76" s="15">
        <v>6</v>
      </c>
    </row>
    <row r="77" spans="1:5" x14ac:dyDescent="0.25">
      <c r="A77" s="4">
        <v>2016</v>
      </c>
      <c r="B77" s="15">
        <v>24</v>
      </c>
      <c r="C77" s="15"/>
      <c r="D77" s="15">
        <v>120</v>
      </c>
      <c r="E77" s="15">
        <v>144</v>
      </c>
    </row>
    <row r="78" spans="1:5" x14ac:dyDescent="0.25">
      <c r="A78" s="4">
        <v>2017</v>
      </c>
      <c r="B78" s="15">
        <v>8</v>
      </c>
      <c r="C78" s="15">
        <v>8</v>
      </c>
      <c r="D78" s="15">
        <v>41</v>
      </c>
      <c r="E78" s="15">
        <v>57</v>
      </c>
    </row>
    <row r="79" spans="1:5" x14ac:dyDescent="0.25">
      <c r="A79" s="3" t="s">
        <v>1637</v>
      </c>
      <c r="B79" s="15">
        <v>168</v>
      </c>
      <c r="C79" s="15">
        <v>273</v>
      </c>
      <c r="D79" s="15">
        <v>2179</v>
      </c>
      <c r="E79" s="15">
        <v>2620</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64DE0-F5B3-4632-A67C-27E259C2EE55}">
  <dimension ref="AA7"/>
  <sheetViews>
    <sheetView tabSelected="1" zoomScale="44" zoomScaleNormal="40" workbookViewId="0">
      <selection activeCell="AD45" sqref="AD45"/>
    </sheetView>
  </sheetViews>
  <sheetFormatPr defaultRowHeight="15" x14ac:dyDescent="0.25"/>
  <sheetData>
    <row r="7" spans="27:27" x14ac:dyDescent="0.25">
      <c r="AA7"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7FC686-6064-4111-8602-83A29F335E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Dhiman</dc:creator>
  <cp:lastModifiedBy>Prachi Dhiman</cp:lastModifiedBy>
  <dcterms:created xsi:type="dcterms:W3CDTF">2025-04-10T10:50:26Z</dcterms:created>
  <dcterms:modified xsi:type="dcterms:W3CDTF">2025-04-11T23:31:08Z</dcterms:modified>
</cp:coreProperties>
</file>